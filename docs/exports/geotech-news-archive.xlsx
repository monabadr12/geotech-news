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24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2563D6"/>
    </font>
    <font>
      <b val="1"/>
      <color rgb="00C23D7B"/>
    </font>
    <font>
      <b val="1"/>
      <color rgb="00B8C0CA"/>
    </font>
    <font>
      <b val="1"/>
      <color rgb="00D38B00"/>
    </font>
    <font>
      <b val="1"/>
      <color rgb="001F9D63"/>
    </font>
    <font>
      <b val="1"/>
      <color rgb="008A94A3"/>
    </font>
    <font>
      <b val="1"/>
      <color rgb="006B4FD6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7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  <fill>
      <patternFill patternType="solid">
        <fgColor rgb="00D8E3F8"/>
        <bgColor rgb="00D8E3F8"/>
      </patternFill>
    </fill>
    <fill>
      <patternFill patternType="solid">
        <fgColor rgb="00F4DCE7"/>
        <bgColor rgb="00F4DCE7"/>
      </patternFill>
    </fill>
  </fills>
  <borders count="6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  <border>
      <left style="thick">
        <color rgb="002563D6"/>
      </left>
      <bottom style="thin">
        <color rgb="00D9DEE3"/>
      </bottom>
    </border>
    <border>
      <left style="thick">
        <color rgb="00C23D7B"/>
      </left>
      <bottom style="thin">
        <color rgb="00D9DEE3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15" borderId="4" applyAlignment="1" pivotButton="0" quotePrefix="0" xfId="0">
      <alignment horizontal="left" vertical="center"/>
    </xf>
    <xf numFmtId="0" fontId="14" fillId="16" borderId="5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2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21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center" vertical="center"/>
    </xf>
    <xf numFmtId="0" fontId="17" fillId="0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/>
    </xf>
    <xf numFmtId="0" fontId="13" fillId="15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8" fillId="0" borderId="0" applyAlignment="1" pivotButton="0" quotePrefix="0" xfId="0">
      <alignment vertical="top"/>
    </xf>
    <xf numFmtId="0" fontId="19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23D7B"/>
              </a:solidFill>
              <a:ln xmlns:a="http://schemas.openxmlformats.org/drawingml/2006/main">
                <a:solidFill>
                  <a:srgbClr val="C23D7B"/>
                </a:solidFill>
                <a:prstDash val="solid"/>
              </a:ln>
            </spPr>
          </dPt>
          <cat>
            <numRef>
              <f>'Dashboard'!$A$11:$A$13</f>
            </numRef>
          </cat>
          <val>
            <numRef>
              <f>'Dashboard'!$B$11:$B$13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38B00"/>
              </a:solidFill>
              <a:ln xmlns:a="http://schemas.openxmlformats.org/drawingml/2006/main">
                <a:solidFill>
                  <a:srgbClr val="D38B0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F9D63"/>
              </a:solidFill>
              <a:ln xmlns:a="http://schemas.openxmlformats.org/drawingml/2006/main">
                <a:solidFill>
                  <a:srgbClr val="1F9D63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A94A3"/>
              </a:solidFill>
              <a:ln xmlns:a="http://schemas.openxmlformats.org/drawingml/2006/main">
                <a:solidFill>
                  <a:srgbClr val="8A94A3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6B4FD6"/>
              </a:solidFill>
              <a:ln xmlns:a="http://schemas.openxmlformats.org/drawingml/2006/main">
                <a:solidFill>
                  <a:srgbClr val="6B4FD6"/>
                </a:solidFill>
                <a:prstDash val="solid"/>
              </a:ln>
            </spPr>
          </dPt>
          <cat>
            <numRef>
              <f>'Dashboard'!$A$30:$A$35</f>
            </numRef>
          </cat>
          <val>
            <numRef>
              <f>'Dashboard'!$B$30:$B$35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issue window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81" headerRowCount="1">
  <autoFilter ref="A1:M8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a0FVX3lxTE45UVhrbTdIV2NXaVloOTBleGdWeThGbHNoSTJtMTE3cFlfalpoYVBnUEFoUVRJQUp5Z2pVOEZvaGZzRUtjRWtOMzY3Wll0RHJOUTB6c0JYdGEzOXk2VXltZUFkc3RURDBUYUg4?oc=5" TargetMode="External" Id="rId1"/><Relationship Type="http://schemas.openxmlformats.org/officeDocument/2006/relationships/hyperlink" Target="https://news.google.com/rss/articles/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?oc=5" TargetMode="External" Id="rId2"/><Relationship Type="http://schemas.openxmlformats.org/officeDocument/2006/relationships/hyperlink" Target="https://news.google.com/rss/articles/CBMiogFBVV95cUxQNGhpZmtjSDF5eDFZZEJXaTdIZWo2QVZTRDVlc3E0T2pvQ2tRaURBcHpRUk5hSmFDNjNuaGV5X1pHeVdqc2RjR1dOQVhPc2tUUVRmb2RiWnB0dWNDcU96QUxGcVg1dmNxRlpfdTNmT0Z5ZG4wSXNTSmR5OUY4ZmRZcW9kNmRHS0ZaVUxyMW9ySU5TSWJlNzJCWWJaZGlrRHd1a2c?oc=5" TargetMode="External" Id="rId3"/><Relationship Type="http://schemas.openxmlformats.org/officeDocument/2006/relationships/hyperlink" Target="https://news.google.com/rss/articles/CBMizAFBVV95cUxOX19SY3ozdEtSRFpyZlE3a3o4LWtuMTdJeXVsZkVtZVJIaXJzbndtWVd2T21uQncydzJ1bmZONW1yVU9DVExhUFI5VmI3RkVHbjJqTjZWSXpjd1NLeDViOHZnLWo5ZV9oYVRNZi1KN3E3OERXVC1pdzlDVlBvY3pHZE1WRm9vR0E5VnNNdXN3SU9xbFVGRzY4UkstZUpkYTlMYjJobWoxTDRDNWVqYWdlR2taRV94RG9yaFJuUExrN1VCT2ZpTkFNQllycXo?oc=5" TargetMode="External" Id="rId4"/><Relationship Type="http://schemas.openxmlformats.org/officeDocument/2006/relationships/hyperlink" Target="https://news.google.com/rss/articles/CBMipwFBVV95cUxQM0JfTHl5bmwxRmJ6Y3lLZ2l6XzB1c0lkclVfRzJ2clZEV29YU25kOWNsX1hXNjFuUnJnVGNjRXBFa0V2RWlYVllQOVEzV1ZCY3VYNENpdk9wSGVNNlUtNGVwdGZhZDY5UUVTYW1OZHQ1TkFoUURUTFMwSWdoLU90QTU2VE5Md1NKOU1Rd041aXFxNUJ1OGc3QTAxLUpGbndSWXh0czMzSQ?oc=5" TargetMode="External" Id="rId5"/><Relationship Type="http://schemas.openxmlformats.org/officeDocument/2006/relationships/hyperlink" Target="https://news.google.com/rss/articles/CBMivAFBVV95cUxPVnZwX2NIbW5ha096Sy1UbWpwVHYtN2llMVhrQ1NYVWlBWkhGRHZyd2dtemZMTnhqVTVrd0ZiOEVCN1ROM1hGLTh4OVB1cjJvQzliNHVSRmNhNWszM012aWpncjBmWEJoUHRiWUh0M0drVlU3Sk10SUdCTmxnbV85eHhUNUFiSnJkaTczZERERFFia0xBNUdXM0o3SHhMNWNSOEZxdFROMXBzb2dKUV81Tm5PRGRCOVQ0QkFvVA?oc=5" TargetMode="External" Id="rId6"/><Relationship Type="http://schemas.openxmlformats.org/officeDocument/2006/relationships/hyperlink" Target="https://news.google.com/rss/articles/CBMirwFBVV95cUxPRkxsbl9ZdlM1cmloa1JxT3ZENFdkYUI5U3pIZy1UM005NU9SVVFIVjVmZ1ZvTDNybGJkMHAtc3Ewd3RldnRYWHlrSnQ2R1hXN2xpR1BNREFxTlRlb2tFMnFJZ01VSEZqN0ZheUtlbWJEd3h2SURJb3ppVWl6dTU2Y21zZGJGR1hpMWdNUmNfdWluZDJQYzZkeC1QTHhEUFNmcVhTVWtnWWxiUDczMmtr?oc=5" TargetMode="External" Id="rId7"/><Relationship Type="http://schemas.openxmlformats.org/officeDocument/2006/relationships/hyperlink" Target="https://news.google.com/rss/articles/CBMiogFBVV95cUxOYkthemxCdGdtc1c3TnBBbGY4MVZlMDFvWnZiX3E4UERSQ1lsX2g4R0x5VHVaVndQdnJHQTBZSy02bV8wT1d4RVZ6WHRVN2w0UUx1MFRMbDhINzgtWlJJLXFKOHIzWFRZa1VmZUVFNUNCM3hRdE9GUGZpdVNQQnd3ZmxRTWZFOGU5REFvOTg4cG40YkU1bDhlZ2pQSkR5Ti04Q1E?oc=5" TargetMode="External" Id="rId8"/><Relationship Type="http://schemas.openxmlformats.org/officeDocument/2006/relationships/hyperlink" Target="https://news.google.com/rss/articles/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?oc=5" TargetMode="External" Id="rId9"/><Relationship Type="http://schemas.openxmlformats.org/officeDocument/2006/relationships/hyperlink" Target="https://news.google.com/rss/articles/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?oc=5" TargetMode="External" Id="rId10"/><Relationship Type="http://schemas.openxmlformats.org/officeDocument/2006/relationships/hyperlink" Target="https://news.google.com/rss/articles/CBMibEFVX3lxTE9qd0p2T2p3a1lzbEg5TnFXNDZ2VXRhLWIzbGk1U0pnQlFCUk1RU2tqdFFXeEt4RkM3bThuVUUyelBfNHJMdlFmMThyZG9UakhLLTFqTGJBTDBKVmN1bXlqQmYyX1U3eHIyWTNfTw?oc=5" TargetMode="External" Id="rId11"/><Relationship Type="http://schemas.openxmlformats.org/officeDocument/2006/relationships/hyperlink" Target="https://news.google.com/rss/articles/CBMinwFBVV95cUxQbmljanByeFhpYlNScnE2RHN0UUVIMy1oenIwbzdmbFBTeHUxMXZjT2xhY3dnbm5UdW42ZTNhTk5LMWNWTlg0eFBvTnE2Q1ZqY2JlNElKTVdqd0x1M0liaTlFRzVBUkFiUXdfY29PUUJsU2M3TEVaVHpkeUtiSkdqV0lPN3Y1dV9ZR1B5bk5OalNJNGZPMVlRZUd5RHJtOUU?oc=5" TargetMode="External" Id="rId12"/><Relationship Type="http://schemas.openxmlformats.org/officeDocument/2006/relationships/hyperlink" Target="https://news.google.com/rss/articles/CBMimwFBVV95cUxOd3VEcWZ4d01oX25TMUhmNDFtX1QtRktKMmhoOWM5Z3BQVGV3TFE5elhLYkhPaWtCUkJTU3paUkRqQjNGdnFYbW1sNWRzRzAyaVFiYlJEWWRaZjY4ckppMTBSTWFlVUpaMHpHLVdMRU11NnFNQUp4Ymtac3UtYk03RndxbVp6V3Exc3p3RFRyTWxyYlkyTDVhcUxWSQ?oc=5" TargetMode="External" Id="rId13"/><Relationship Type="http://schemas.openxmlformats.org/officeDocument/2006/relationships/hyperlink" Target="https://news.google.com/rss/articles/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?oc=5" TargetMode="External" Id="rId14"/><Relationship Type="http://schemas.openxmlformats.org/officeDocument/2006/relationships/hyperlink" Target="https://news.google.com/rss/articles/CBMiTEFVX3lxTE5jQUtRMEZxbjBPU3kxaVdvdjhRc09sV2NnalVMYklmVHFZQmwybkFHUjRLMVYtdzlvS3laVGlFMGw4aXhtdTduc1o4c3U?oc=5" TargetMode="External" Id="rId15"/><Relationship Type="http://schemas.openxmlformats.org/officeDocument/2006/relationships/hyperlink" Target="https://news.google.com/rss/articles/CBMihgFBVV95cUxPWEJjZzVNcHVub2RyNTNCN3huS0djNHpyQnA4YVJGdEtQSG9jTzdtMkRoR2lveGlsSmlZcmE0UGZsMVdnYThVT2phYU0zdjBoeDM1VkJlUUlGOUNQSmVoOFYyLVBRSF9manVQWW5jdUZsQThDUm5fU0J0NDBHT3VfV0lYNEwwdw?oc=5" TargetMode="External" Id="rId16"/><Relationship Type="http://schemas.openxmlformats.org/officeDocument/2006/relationships/hyperlink" Target="https://news.google.com/rss/articles/CBMilgFBVV95cUxPbVV1NmdrOGFidElfXzZzV1ppbDBCOEc5V0luUWxOSTAwMXNGdmhVMkoxMjUwSUpmbU5lQlBuNkFVTXZGMk5IRzd5Y0taREt0ckRUT3VqSjBfbGFPTmRjUTZFS18wLTQ5Wi1ZdnFtYWd1QmN0U0Nsekx4ZzR0YVk0dmhhTXVpTW1rdEpCbGlKLTZNVXVzMEE?oc=5" TargetMode="External" Id="rId17"/><Relationship Type="http://schemas.openxmlformats.org/officeDocument/2006/relationships/hyperlink" Target="https://news.google.com/rss/articles/CBMitgFBVV95cUxQdzVvaE1CeTVyMmlqMWE0TXIyR0EzRmVxUm9GWlFTTnBaU19KQlNvRWU0SVlEaUhnRll3UkljQ0hmZDM0aksxQ0hMN3FxWlJfYk9jelcwSFJqUEpvbW5IcndXTXRMQzJ1T2hOMmdzN0J3aENBMExBRXdycnZYRnVnVjd1WmZRZzR1MmlybDhiZnpXdFE0Z0JEZUFacVJFWDdxVlA5WGljaHBqeHNFZGwtb0FLNEkwQQ?oc=5" TargetMode="External" Id="rId18"/><Relationship Type="http://schemas.openxmlformats.org/officeDocument/2006/relationships/hyperlink" Target="https://news.google.com/rss/articles/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?oc=5" TargetMode="External" Id="rId19"/><Relationship Type="http://schemas.openxmlformats.org/officeDocument/2006/relationships/hyperlink" Target="https://news.google.com/rss/articles/CBMiyAFBVV95cUxPUG9NdEk4dWpHTXhYNzA5ZTdCX1lZQW9NaDdjeXZEWTg5X1ZpM2Z5VWducm9penNtZmRDaUxoVlNDUmJ4RkV2VkpDX3RTN1hzcXp4X1Q2MkxZd0JUQkF1c2xVc2NLQ3ItMWVGTEwxWTRfTGdidjFBdGtrV2FBTVd0bVlHSkFURGxOdHlQUzRnRlpacjdmbW5Qdi1zaHVhcDNXNm5KX2xZV20wbnBSM0o3UTdsUFgwWUNPaDF4VFVzeUJ2Yjh5RjF4aQ?oc=5" TargetMode="External" Id="rId20"/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2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2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2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2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2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2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2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2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3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3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3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3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3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3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3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3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3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3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4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4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4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4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4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4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4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4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4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4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5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5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5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5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5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5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5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5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5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5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6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6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6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6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6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6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6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6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6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6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7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7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7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7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7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7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7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7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7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7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80"/><Relationship Type="http://schemas.openxmlformats.org/officeDocument/2006/relationships/table" Target="/xl/tables/table1.xml" Id="rId8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Whole archive</t>
        </is>
      </c>
    </row>
    <row r="2" ht="22" customHeight="1">
      <c r="A2" s="2" t="inlineStr">
        <is>
          <t>All 1 issue windows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80</v>
      </c>
      <c r="B5" s="5" t="n">
        <v>1</v>
      </c>
      <c r="C5" s="6" t="n"/>
      <c r="D5" s="7" t="n">
        <v>0</v>
      </c>
      <c r="E5" s="8" t="n"/>
      <c r="F5" s="9" t="n">
        <v>6</v>
      </c>
      <c r="G5" s="10" t="n"/>
      <c r="H5" s="11" t="n">
        <v>56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76</v>
      </c>
      <c r="C11" s="28" t="n">
        <v>0</v>
      </c>
      <c r="D11" s="28" t="n">
        <v>11</v>
      </c>
      <c r="E11" s="28" t="n">
        <v>4</v>
      </c>
    </row>
    <row r="12">
      <c r="A12" s="29" t="inlineStr">
        <is>
          <t>Infrastructure &amp; the Underground City</t>
        </is>
      </c>
      <c r="B12" s="27" t="n">
        <v>3</v>
      </c>
      <c r="C12" s="28" t="n">
        <v>0</v>
      </c>
      <c r="D12" s="28" t="n">
        <v>1</v>
      </c>
      <c r="E12" s="28" t="n">
        <v>1</v>
      </c>
    </row>
    <row r="13">
      <c r="A13" s="30" t="inlineStr">
        <is>
          <t>Characterisation &amp; Modelling</t>
        </is>
      </c>
      <c r="B13" s="27" t="n">
        <v>1</v>
      </c>
      <c r="C13" s="28" t="n">
        <v>0</v>
      </c>
      <c r="D13" s="28" t="n">
        <v>1</v>
      </c>
      <c r="E13" s="28" t="n">
        <v>1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31" t="inlineStr">
        <is>
          <t>Not rated</t>
        </is>
      </c>
      <c r="B30" s="28" t="n">
        <v>60</v>
      </c>
      <c r="C30" s="32" t="n">
        <v>0.75</v>
      </c>
      <c r="E30" s="33" t="inlineStr">
        <is>
          <t>5 / 5</t>
        </is>
      </c>
      <c r="F30" s="28" t="n">
        <v>0</v>
      </c>
    </row>
    <row r="31">
      <c r="A31" s="34" t="inlineStr">
        <is>
          <t>News brief</t>
        </is>
      </c>
      <c r="B31" s="28" t="n">
        <v>9</v>
      </c>
      <c r="C31" s="32" t="n">
        <v>0.1125</v>
      </c>
      <c r="E31" s="35" t="inlineStr">
        <is>
          <t>4 / 5</t>
        </is>
      </c>
      <c r="F31" s="28" t="n">
        <v>13</v>
      </c>
    </row>
    <row r="32">
      <c r="A32" s="36" t="inlineStr">
        <is>
          <t>Feature lead</t>
        </is>
      </c>
      <c r="B32" s="28" t="n">
        <v>6</v>
      </c>
      <c r="C32" s="32" t="n">
        <v>0.075</v>
      </c>
      <c r="E32" s="37" t="inlineStr">
        <is>
          <t>3 / 5</t>
        </is>
      </c>
      <c r="F32" s="28" t="n">
        <v>7</v>
      </c>
    </row>
    <row r="33">
      <c r="A33" s="38" t="inlineStr">
        <is>
          <t>Regional insight</t>
        </is>
      </c>
      <c r="B33" s="28" t="n">
        <v>2</v>
      </c>
      <c r="C33" s="32" t="n">
        <v>0.025</v>
      </c>
      <c r="E33" s="39" t="inlineStr">
        <is>
          <t>Keyword-ranked</t>
        </is>
      </c>
      <c r="F33" s="28" t="n">
        <v>60</v>
      </c>
    </row>
    <row r="34">
      <c r="A34" s="40" t="inlineStr">
        <is>
          <t>Watch only</t>
        </is>
      </c>
      <c r="B34" s="28" t="n">
        <v>2</v>
      </c>
      <c r="C34" s="32" t="n">
        <v>0.025</v>
      </c>
    </row>
    <row r="35">
      <c r="A35" s="41" t="inlineStr">
        <is>
          <t>Academia-to-Industry topic</t>
        </is>
      </c>
      <c r="B35" s="28" t="n">
        <v>1</v>
      </c>
      <c r="C35" s="32" t="n">
        <v>0.0125</v>
      </c>
    </row>
    <row r="45">
      <c r="A45" s="22" t="inlineStr">
        <is>
          <t>Stories per issue window</t>
        </is>
      </c>
      <c r="B45" s="23" t="n"/>
    </row>
    <row r="46">
      <c r="A46" s="24" t="inlineStr">
        <is>
          <t>Issue window</t>
        </is>
      </c>
      <c r="B46" s="25" t="inlineStr">
        <is>
          <t>Stories</t>
        </is>
      </c>
    </row>
    <row r="47">
      <c r="A47" s="42" t="inlineStr">
        <is>
          <t>Q4 2026</t>
        </is>
      </c>
      <c r="B47" s="28" t="n">
        <v>80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43" t="inlineStr">
        <is>
          <t>Hazards &amp; Resilience</t>
        </is>
      </c>
      <c r="B65" s="28" t="n">
        <v>4</v>
      </c>
      <c r="C65" s="28" t="n">
        <v>7</v>
      </c>
      <c r="D65" s="28" t="n">
        <v>1</v>
      </c>
      <c r="E65" s="28" t="n">
        <v>2</v>
      </c>
      <c r="F65" s="28" t="n">
        <v>2</v>
      </c>
      <c r="G65" s="28" t="n">
        <v>60</v>
      </c>
    </row>
    <row r="66">
      <c r="A66" s="34" t="inlineStr">
        <is>
          <t>Infrastructure &amp; the Underground City</t>
        </is>
      </c>
      <c r="B66" s="28" t="n">
        <v>1</v>
      </c>
      <c r="C66" s="28" t="n">
        <v>2</v>
      </c>
      <c r="D66" s="28" t="n">
        <v>0</v>
      </c>
      <c r="E66" s="28" t="n">
        <v>0</v>
      </c>
      <c r="F66" s="28" t="n">
        <v>0</v>
      </c>
      <c r="G66" s="28" t="n">
        <v>0</v>
      </c>
    </row>
    <row r="67">
      <c r="A67" s="44" t="inlineStr">
        <is>
          <t>Characterisation &amp; Modelling</t>
        </is>
      </c>
      <c r="B67" s="28" t="n">
        <v>1</v>
      </c>
      <c r="C67" s="28" t="n">
        <v>0</v>
      </c>
      <c r="D67" s="28" t="n">
        <v>0</v>
      </c>
      <c r="E67" s="28" t="n">
        <v>0</v>
      </c>
      <c r="F67" s="28" t="n">
        <v>0</v>
      </c>
      <c r="G67" s="28" t="n">
        <v>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7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45" t="inlineStr">
        <is>
          <t>Digest date</t>
        </is>
      </c>
      <c r="B1" s="45" t="inlineStr">
        <is>
          <t>Issue window</t>
        </is>
      </c>
      <c r="C1" s="45" t="inlineStr">
        <is>
          <t>Theme</t>
        </is>
      </c>
      <c r="D1" s="45" t="inlineStr">
        <is>
          <t>Relevance</t>
        </is>
      </c>
      <c r="E1" s="45" t="inlineStr">
        <is>
          <t>Suggested use</t>
        </is>
      </c>
      <c r="F1" s="45" t="inlineStr">
        <is>
          <t>Headline (English)</t>
        </is>
      </c>
      <c r="G1" s="45" t="inlineStr">
        <is>
          <t>Original headline</t>
        </is>
      </c>
      <c r="H1" s="45" t="inlineStr">
        <is>
          <t>Magazine angle</t>
        </is>
      </c>
      <c r="I1" s="45" t="inlineStr">
        <is>
          <t>Source</t>
        </is>
      </c>
      <c r="J1" s="45" t="inlineStr">
        <is>
          <t>Google News edition</t>
        </is>
      </c>
      <c r="K1" s="45" t="inlineStr">
        <is>
          <t>Published</t>
        </is>
      </c>
      <c r="L1" s="45" t="inlineStr">
        <is>
          <t>Keywords</t>
        </is>
      </c>
      <c r="M1" s="45" t="inlineStr">
        <is>
          <t>Link</t>
        </is>
      </c>
    </row>
    <row r="2" ht="48" customHeight="1">
      <c r="A2" s="46" t="n">
        <v>46319</v>
      </c>
      <c r="B2" s="47" t="inlineStr">
        <is>
          <t>2026-Q4</t>
        </is>
      </c>
      <c r="C2" s="48" t="inlineStr">
        <is>
          <t>Hazards &amp; Resilience</t>
        </is>
      </c>
      <c r="D2" s="49" t="n">
        <v>4</v>
      </c>
      <c r="E2" s="50" t="inlineStr">
        <is>
          <t>Feature lead</t>
        </is>
      </c>
      <c r="F2" s="51" t="inlineStr">
        <is>
          <t>Landslide-prevention embankment threatens residential area</t>
        </is>
      </c>
      <c r="G2" s="51" t="inlineStr">
        <is>
          <t>Tanggul pencegah tanah longsor 'mengancam' kawasan permukiman.</t>
        </is>
      </c>
      <c r="H2" s="51" t="inlineStr">
        <is>
          <t>Can retaining and protective embankments be designed to resist landslide loading from upslope slopes beside settlements, and how should such risk be assessed?</t>
        </is>
      </c>
      <c r="I2" s="47" t="inlineStr">
        <is>
          <t>Vietnam.vn</t>
        </is>
      </c>
      <c r="J2" s="47" t="inlineStr">
        <is>
          <t>Indonesia</t>
        </is>
      </c>
      <c r="K2" s="46" t="n">
        <v>46318</v>
      </c>
      <c r="L2" s="51" t="inlineStr">
        <is>
          <t>landslide, embankment</t>
        </is>
      </c>
      <c r="M2" s="52" t="inlineStr">
        <is>
          <t>Open article</t>
        </is>
      </c>
    </row>
    <row r="3" ht="48" customHeight="1">
      <c r="A3" s="46" t="n">
        <v>46319</v>
      </c>
      <c r="B3" s="47" t="inlineStr">
        <is>
          <t>2026-Q4</t>
        </is>
      </c>
      <c r="C3" s="48" t="inlineStr">
        <is>
          <t>Hazards &amp; Resilience</t>
        </is>
      </c>
      <c r="D3" s="49" t="n">
        <v>4</v>
      </c>
      <c r="E3" s="53" t="inlineStr">
        <is>
          <t>News brief</t>
        </is>
      </c>
      <c r="F3" s="51" t="inlineStr">
        <is>
          <t>Storms in Liguria, major landslide in Savona: the collapse destroyed a city road</t>
        </is>
      </c>
      <c r="G3" s="51" t="inlineStr">
        <is>
          <t>RAINEWS * CRONACA: «MALTEMPO IN LIGURIA, GRANDE FRANA A SAVONA: IL CROLLO HA DISTRUTTO UNA STRADA CITTADINA</t>
        </is>
      </c>
      <c r="H3" s="51" t="inlineStr">
        <is>
          <t>What triggered this large rock or soil slope failure in Savona during heavy rain, and what does the collapse reveal about slope stability in Liguria?</t>
        </is>
      </c>
      <c r="I3" s="47" t="inlineStr">
        <is>
          <t>agenzia giornalistica opinione</t>
        </is>
      </c>
      <c r="J3" s="47" t="inlineStr">
        <is>
          <t>Italy</t>
        </is>
      </c>
      <c r="K3" s="46" t="n">
        <v>46317</v>
      </c>
      <c r="L3" s="51" t="inlineStr">
        <is>
          <t>landslide, collapse</t>
        </is>
      </c>
      <c r="M3" s="52" t="inlineStr">
        <is>
          <t>Open article</t>
        </is>
      </c>
    </row>
    <row r="4" ht="48" customHeight="1">
      <c r="A4" s="46" t="n">
        <v>46319</v>
      </c>
      <c r="B4" s="47" t="inlineStr">
        <is>
          <t>2026-Q4</t>
        </is>
      </c>
      <c r="C4" s="48" t="inlineStr">
        <is>
          <t>Hazards &amp; Resilience</t>
        </is>
      </c>
      <c r="D4" s="49" t="n">
        <v>4</v>
      </c>
      <c r="E4" s="50" t="inlineStr">
        <is>
          <t>Feature lead</t>
        </is>
      </c>
      <c r="F4" s="51" t="inlineStr">
        <is>
          <t>At Khanh Le pass, traffic will be interrupted at 30-minute intervals to deal with landslides; road users should plan accordingly</t>
        </is>
      </c>
      <c r="G4" s="51" t="inlineStr">
        <is>
          <t>En el paso de Khanh Le, el tráfico se interrumpirá a intervalos de 30 minutos para hacer frente a los deslizamientos de tierra; los usuarios de la carretera deben tenerlo en cuenta.</t>
        </is>
      </c>
      <c r="H4" s="51" t="inlineStr">
        <is>
          <t>How should traffic management and monitoring be combined with slope stabilisation on mountain passes subject to recurrent landslides?</t>
        </is>
      </c>
      <c r="I4" s="47" t="inlineStr">
        <is>
          <t>Vietnam.vn</t>
        </is>
      </c>
      <c r="J4" s="47" t="inlineStr">
        <is>
          <t>Spain</t>
        </is>
      </c>
      <c r="K4" s="46" t="n">
        <v>46319</v>
      </c>
      <c r="L4" s="51" t="inlineStr">
        <is>
          <t>landslide</t>
        </is>
      </c>
      <c r="M4" s="52" t="inlineStr">
        <is>
          <t>Open article</t>
        </is>
      </c>
    </row>
    <row r="5" ht="48" customHeight="1">
      <c r="A5" s="46" t="n">
        <v>46319</v>
      </c>
      <c r="B5" s="47" t="inlineStr">
        <is>
          <t>2026-Q4</t>
        </is>
      </c>
      <c r="C5" s="48" t="inlineStr">
        <is>
          <t>Hazards &amp; Resilience</t>
        </is>
      </c>
      <c r="D5" s="49" t="n">
        <v>4</v>
      </c>
      <c r="E5" s="53" t="inlineStr">
        <is>
          <t>News brief</t>
        </is>
      </c>
      <c r="F5" s="51" t="inlineStr">
        <is>
          <t>Valmontone, bad weather: tuff slope collapses onto Prenestina road, road partially closed</t>
        </is>
      </c>
      <c r="G5" s="51" t="inlineStr">
        <is>
          <t>Valmontone, maltempo: frana costone di tufo sulla via Prenestina, strada parzialmente chiusa</t>
        </is>
      </c>
      <c r="H5" s="51" t="inlineStr">
        <is>
          <t>What causes tuff cliff collapse in volcanic deposits under rainfall, and how can such slopes be assessed and stabilised near roads?</t>
        </is>
      </c>
      <c r="I5" s="47" t="inlineStr">
        <is>
          <t>Il Giornale dei Castelli Romani</t>
        </is>
      </c>
      <c r="J5" s="47" t="inlineStr">
        <is>
          <t>Italy</t>
        </is>
      </c>
      <c r="K5" s="46" t="n">
        <v>46319</v>
      </c>
      <c r="L5" s="51" t="inlineStr">
        <is>
          <t>landslide</t>
        </is>
      </c>
      <c r="M5" s="52" t="inlineStr">
        <is>
          <t>Open article</t>
        </is>
      </c>
    </row>
    <row r="6" ht="48" customHeight="1">
      <c r="A6" s="46" t="n">
        <v>46319</v>
      </c>
      <c r="B6" s="47" t="inlineStr">
        <is>
          <t>2026-Q4</t>
        </is>
      </c>
      <c r="C6" s="48" t="inlineStr">
        <is>
          <t>Hazards &amp; Resilience</t>
        </is>
      </c>
      <c r="D6" s="49" t="n">
        <v>4</v>
      </c>
      <c r="E6" s="53" t="inlineStr">
        <is>
          <t>News brief</t>
        </is>
      </c>
      <c r="F6" s="51" t="inlineStr">
        <is>
          <t>Bonea, landslide in Capo locality: mayor closes three roads by urgent order</t>
        </is>
      </c>
      <c r="G6" s="51" t="inlineStr">
        <is>
          <t>BONEA, FRANA IN LOCALITÀ CAPO: IL SINDACO CHIUDE TRE STRADE CON ORDINANZA URGENTE</t>
        </is>
      </c>
      <c r="H6" s="51" t="inlineStr">
        <is>
          <t>What ground investigation would confirm the landslide mechanism at Capo locality and guide safe reopening of the three closed roads?</t>
        </is>
      </c>
      <c r="I6" s="47" t="inlineStr">
        <is>
          <t>Tv7 Benevento</t>
        </is>
      </c>
      <c r="J6" s="47" t="inlineStr">
        <is>
          <t>Italy</t>
        </is>
      </c>
      <c r="K6" s="46" t="n">
        <v>46319</v>
      </c>
      <c r="L6" s="51" t="inlineStr">
        <is>
          <t>landslide</t>
        </is>
      </c>
      <c r="M6" s="52" t="inlineStr">
        <is>
          <t>Open article</t>
        </is>
      </c>
    </row>
    <row r="7" ht="48" customHeight="1">
      <c r="A7" s="46" t="n">
        <v>46319</v>
      </c>
      <c r="B7" s="47" t="inlineStr">
        <is>
          <t>2026-Q4</t>
        </is>
      </c>
      <c r="C7" s="48" t="inlineStr">
        <is>
          <t>Hazards &amp; Resilience</t>
        </is>
      </c>
      <c r="D7" s="49" t="n">
        <v>4</v>
      </c>
      <c r="E7" s="53" t="inlineStr">
        <is>
          <t>News brief</t>
        </is>
      </c>
      <c r="F7" s="51" t="inlineStr">
        <is>
          <t>Valmontone – Landslide near homes due to bad weather, partial road closure</t>
        </is>
      </c>
      <c r="G7" s="51" t="inlineStr">
        <is>
          <t>Valmontone – Frana vicino ad abitazioni per maltempo, chiusura parziale della strada</t>
        </is>
      </c>
      <c r="H7" s="51" t="inlineStr">
        <is>
          <t>What slope failure mechanism threatens homes near this Valmontone landslide, and what monitoring is needed before residents return?</t>
        </is>
      </c>
      <c r="I7" s="47" t="inlineStr">
        <is>
          <t>lacronaca24.it</t>
        </is>
      </c>
      <c r="J7" s="47" t="inlineStr">
        <is>
          <t>Italy</t>
        </is>
      </c>
      <c r="K7" s="46" t="n">
        <v>46319</v>
      </c>
      <c r="L7" s="51" t="inlineStr">
        <is>
          <t>landslide</t>
        </is>
      </c>
      <c r="M7" s="52" t="inlineStr">
        <is>
          <t>Open article</t>
        </is>
      </c>
    </row>
    <row r="8" ht="48" customHeight="1">
      <c r="A8" s="46" t="n">
        <v>46319</v>
      </c>
      <c r="B8" s="47" t="inlineStr">
        <is>
          <t>2026-Q4</t>
        </is>
      </c>
      <c r="C8" s="48" t="inlineStr">
        <is>
          <t>Hazards &amp; Resilience</t>
        </is>
      </c>
      <c r="D8" s="49" t="n">
        <v>4</v>
      </c>
      <c r="E8" s="50" t="inlineStr">
        <is>
          <t>Feature lead</t>
        </is>
      </c>
      <c r="F8" s="51" t="inlineStr">
        <is>
          <t>La frana del Cencione Tra fango e polemiche Le ruspe sono al lavoro</t>
        </is>
      </c>
      <c r="G8" s="51" t="inlineStr"/>
      <c r="H8" s="51" t="inlineStr">
        <is>
          <t>How should authorities balance urgent earthworks with geotechnical investigation and accountability when a landslide site becomes politically contested?</t>
        </is>
      </c>
      <c r="I8" s="47" t="inlineStr">
        <is>
          <t>Zazoom Social News</t>
        </is>
      </c>
      <c r="J8" s="47" t="inlineStr">
        <is>
          <t>Italy</t>
        </is>
      </c>
      <c r="K8" s="46" t="n">
        <v>46318</v>
      </c>
      <c r="L8" s="51" t="inlineStr">
        <is>
          <t>landslide</t>
        </is>
      </c>
      <c r="M8" s="52" t="inlineStr">
        <is>
          <t>Open article</t>
        </is>
      </c>
    </row>
    <row r="9" ht="48" customHeight="1">
      <c r="A9" s="46" t="n">
        <v>46319</v>
      </c>
      <c r="B9" s="47" t="inlineStr">
        <is>
          <t>2026-Q4</t>
        </is>
      </c>
      <c r="C9" s="48" t="inlineStr">
        <is>
          <t>Hazards &amp; Resilience</t>
        </is>
      </c>
      <c r="D9" s="49" t="n">
        <v>4</v>
      </c>
      <c r="E9" s="53" t="inlineStr">
        <is>
          <t>News brief</t>
        </is>
      </c>
      <c r="F9" s="51" t="inlineStr">
        <is>
          <t>TNI helps landslide victims in Lae Ikan, Subulussalam</t>
        </is>
      </c>
      <c r="G9" s="51" t="inlineStr">
        <is>
          <t>TNI Bantu Korban Longsor di Lae Ikan Subulussalam</t>
        </is>
      </c>
      <c r="H9" s="51" t="inlineStr">
        <is>
          <t>What role can emergency response and rapid geotechnical assessment play after a landslide in a mountainous Indonesian village?</t>
        </is>
      </c>
      <c r="I9" s="47" t="inlineStr">
        <is>
          <t>RRI.co.id</t>
        </is>
      </c>
      <c r="J9" s="47" t="inlineStr">
        <is>
          <t>Indonesia</t>
        </is>
      </c>
      <c r="K9" s="46" t="n">
        <v>46319</v>
      </c>
      <c r="L9" s="51" t="inlineStr">
        <is>
          <t>landslide</t>
        </is>
      </c>
      <c r="M9" s="52" t="inlineStr">
        <is>
          <t>Open article</t>
        </is>
      </c>
    </row>
    <row r="10" ht="48" customHeight="1">
      <c r="A10" s="46" t="n">
        <v>46319</v>
      </c>
      <c r="B10" s="47" t="inlineStr">
        <is>
          <t>2026-Q4</t>
        </is>
      </c>
      <c r="C10" s="48" t="inlineStr">
        <is>
          <t>Hazards &amp; Resilience</t>
        </is>
      </c>
      <c r="D10" s="49" t="n">
        <v>4</v>
      </c>
      <c r="E10" s="53" t="inlineStr">
        <is>
          <t>News brief</t>
        </is>
      </c>
      <c r="F10" s="51" t="inlineStr">
        <is>
          <t>Source: no casualties in Tanta building collapse and 4 cars destroyed - video and photos</t>
        </is>
      </c>
      <c r="G10" s="51" t="inlineStr">
        <is>
          <t>مصدر: لاضحايا في انهيار عقار طنطا وتحطم 4 سيارات - فيديو وصور</t>
        </is>
      </c>
      <c r="H10" s="51" t="inlineStr">
        <is>
          <t>What caused the collapse of this Tanta building, and what foundation or excavation failure lessons does it offer?</t>
        </is>
      </c>
      <c r="I10" s="47" t="inlineStr">
        <is>
          <t>Masrawy</t>
        </is>
      </c>
      <c r="J10" s="47" t="inlineStr">
        <is>
          <t>Egypt</t>
        </is>
      </c>
      <c r="K10" s="46" t="n">
        <v>46319</v>
      </c>
      <c r="L10" s="51" t="inlineStr">
        <is>
          <t>collapse</t>
        </is>
      </c>
      <c r="M10" s="52" t="inlineStr">
        <is>
          <t>Open article</t>
        </is>
      </c>
    </row>
    <row r="11" ht="48" customHeight="1">
      <c r="A11" s="46" t="n">
        <v>46319</v>
      </c>
      <c r="B11" s="47" t="inlineStr">
        <is>
          <t>2026-Q4</t>
        </is>
      </c>
      <c r="C11" s="48" t="inlineStr">
        <is>
          <t>Hazards &amp; Resilience</t>
        </is>
      </c>
      <c r="D11" s="49" t="n">
        <v>4</v>
      </c>
      <c r="E11" s="54" t="inlineStr">
        <is>
          <t>Regional insight</t>
        </is>
      </c>
      <c r="F11" s="51" t="inlineStr">
        <is>
          <t>25 subdistricts in Bandung Regency classified as medium-high landslide potential</t>
        </is>
      </c>
      <c r="G11" s="51" t="inlineStr">
        <is>
          <t>25 Kecamatan di Kabupaten Bandung Masuk Kategori Potensi Gerakan Tanah Menengah-Tinggi</t>
        </is>
      </c>
      <c r="H11" s="51" t="inlineStr">
        <is>
          <t>How are landslide susceptibility maps produced for districts, and how should medium-high hazard classes inform land-use planning?</t>
        </is>
      </c>
      <c r="I11" s="47" t="inlineStr">
        <is>
          <t>Pikiran-Rakyat.com</t>
        </is>
      </c>
      <c r="J11" s="47" t="inlineStr">
        <is>
          <t>Indonesia</t>
        </is>
      </c>
      <c r="K11" s="46" t="n">
        <v>46319</v>
      </c>
      <c r="L11" s="51" t="inlineStr"/>
      <c r="M11" s="52" t="inlineStr">
        <is>
          <t>Open article</t>
        </is>
      </c>
    </row>
    <row r="12" ht="48" customHeight="1">
      <c r="A12" s="46" t="n">
        <v>46319</v>
      </c>
      <c r="B12" s="47" t="inlineStr">
        <is>
          <t>2026-Q4</t>
        </is>
      </c>
      <c r="C12" s="55" t="inlineStr">
        <is>
          <t>Infrastructure &amp; the Underground City</t>
        </is>
      </c>
      <c r="D12" s="49" t="n">
        <v>4</v>
      </c>
      <c r="E12" s="53" t="inlineStr">
        <is>
          <t>News brief</t>
        </is>
      </c>
      <c r="F12" s="51" t="inlineStr">
        <is>
          <t>Gochang-Buan Noeuldaegyo Enters Geotechnical Survey Phase; Construction Targeted for January 2028</t>
        </is>
      </c>
      <c r="G12" s="51" t="inlineStr"/>
      <c r="H12" s="51" t="inlineStr">
        <is>
          <t>What ground conditions will the geotechnical survey reveal for this Korean nuclear-related or major construction project, and how will they shape the 2028 schedule?</t>
        </is>
      </c>
      <c r="I12" s="47" t="inlineStr">
        <is>
          <t>아시아경제</t>
        </is>
      </c>
      <c r="J12" s="47" t="inlineStr">
        <is>
          <t>United Kingdom</t>
        </is>
      </c>
      <c r="K12" s="46" t="n">
        <v>46317</v>
      </c>
      <c r="L12" s="51" t="inlineStr">
        <is>
          <t>geotechnical</t>
        </is>
      </c>
      <c r="M12" s="52" t="inlineStr">
        <is>
          <t>Open article</t>
        </is>
      </c>
    </row>
    <row r="13" ht="48" customHeight="1">
      <c r="A13" s="46" t="n">
        <v>46319</v>
      </c>
      <c r="B13" s="47" t="inlineStr">
        <is>
          <t>2026-Q4</t>
        </is>
      </c>
      <c r="C13" s="56" t="inlineStr">
        <is>
          <t>Characterisation &amp; Modelling</t>
        </is>
      </c>
      <c r="D13" s="49" t="n">
        <v>4</v>
      </c>
      <c r="E13" s="50" t="inlineStr">
        <is>
          <t>Feature lead</t>
        </is>
      </c>
      <c r="F13" s="51" t="inlineStr">
        <is>
          <t>Giant sinkhole discovered in Phong Nha-Ke Bang National Park</t>
        </is>
      </c>
      <c r="G13" s="51" t="inlineStr">
        <is>
          <t>Giant sinkhole discovered in Phong Nha-Ke Bang National Park</t>
        </is>
      </c>
      <c r="H13" s="51" t="inlineStr">
        <is>
          <t>How are giant karst sinkholes detected and characterised in limestone terrain, and what hazards do they pose to park access and infrastructure?</t>
        </is>
      </c>
      <c r="I13" s="47" t="inlineStr">
        <is>
          <t>Baolangson.vn</t>
        </is>
      </c>
      <c r="J13" s="47" t="inlineStr">
        <is>
          <t>United Kingdom</t>
        </is>
      </c>
      <c r="K13" s="46" t="n">
        <v>46319</v>
      </c>
      <c r="L13" s="51" t="inlineStr">
        <is>
          <t>sinkhole</t>
        </is>
      </c>
      <c r="M13" s="52" t="inlineStr">
        <is>
          <t>Open article</t>
        </is>
      </c>
    </row>
    <row r="14" ht="48" customHeight="1">
      <c r="A14" s="46" t="n">
        <v>46319</v>
      </c>
      <c r="B14" s="47" t="inlineStr">
        <is>
          <t>2026-Q4</t>
        </is>
      </c>
      <c r="C14" s="48" t="inlineStr">
        <is>
          <t>Hazards &amp; Resilience</t>
        </is>
      </c>
      <c r="D14" s="49" t="n">
        <v>4</v>
      </c>
      <c r="E14" s="50" t="inlineStr">
        <is>
          <t>Feature lead</t>
        </is>
      </c>
      <c r="F14" s="51" t="inlineStr">
        <is>
          <t>In Massachusetts, sinkhole questions linger as mill demolition clears way for housing units</t>
        </is>
      </c>
      <c r="G14" s="51" t="inlineStr"/>
      <c r="H14" s="51" t="inlineStr">
        <is>
          <t>How should sinkhole origin be investigated beneath a former mill site before redevelopment for housing, and what ground remediation is needed?</t>
        </is>
      </c>
      <c r="I14" s="47" t="inlineStr">
        <is>
          <t>Yahoo</t>
        </is>
      </c>
      <c r="J14" s="47" t="inlineStr">
        <is>
          <t>United Kingdom</t>
        </is>
      </c>
      <c r="K14" s="46" t="n">
        <v>46318</v>
      </c>
      <c r="L14" s="51" t="inlineStr">
        <is>
          <t>sinkhole</t>
        </is>
      </c>
      <c r="M14" s="52" t="inlineStr">
        <is>
          <t>Open article</t>
        </is>
      </c>
    </row>
    <row r="15" ht="48" customHeight="1">
      <c r="A15" s="46" t="n">
        <v>46319</v>
      </c>
      <c r="B15" s="47" t="inlineStr">
        <is>
          <t>2026-Q4</t>
        </is>
      </c>
      <c r="C15" s="48" t="inlineStr">
        <is>
          <t>Hazards &amp; Resilience</t>
        </is>
      </c>
      <c r="D15" s="49" t="n">
        <v>3</v>
      </c>
      <c r="E15" s="57" t="inlineStr">
        <is>
          <t>Watch only</t>
        </is>
      </c>
      <c r="F15" s="51" t="inlineStr">
        <is>
          <t>Frana tra via Gentile e via Genova: scatta il senso unico alternato con il semaforo</t>
        </is>
      </c>
      <c r="G15" s="51" t="inlineStr"/>
      <c r="H15" s="51" t="inlineStr">
        <is>
          <t>Does a landslide on an urban road indicate ground instability requiring geotechnical investigation before reopening?</t>
        </is>
      </c>
      <c r="I15" s="47" t="inlineStr">
        <is>
          <t>Savona News</t>
        </is>
      </c>
      <c r="J15" s="47" t="inlineStr">
        <is>
          <t>Italy</t>
        </is>
      </c>
      <c r="K15" s="46" t="n">
        <v>46319</v>
      </c>
      <c r="L15" s="51" t="inlineStr">
        <is>
          <t>landslide</t>
        </is>
      </c>
      <c r="M15" s="52" t="inlineStr">
        <is>
          <t>Open article</t>
        </is>
      </c>
    </row>
    <row r="16" ht="48" customHeight="1">
      <c r="A16" s="46" t="n">
        <v>46319</v>
      </c>
      <c r="B16" s="47" t="inlineStr">
        <is>
          <t>2026-Q4</t>
        </is>
      </c>
      <c r="C16" s="48" t="inlineStr">
        <is>
          <t>Hazards &amp; Resilience</t>
        </is>
      </c>
      <c r="D16" s="49" t="n">
        <v>3</v>
      </c>
      <c r="E16" s="57" t="inlineStr">
        <is>
          <t>Watch only</t>
        </is>
      </c>
      <c r="F16" s="51" t="inlineStr">
        <is>
          <t>Torrential rain brings hidden hazards: mountain floods and landslides must be strictly prevented; public service advertisement</t>
        </is>
      </c>
      <c r="G16" s="51" t="inlineStr">
        <is>
          <t>暴雨来袭隐患藏 山洪滑坡需严防｜公益广告</t>
        </is>
      </c>
      <c r="H16" s="51" t="inlineStr">
        <is>
          <t>How do mountain flood and landslide hazards during intense rainfall get prevented through early warning and slope management?</t>
        </is>
      </c>
      <c r="I16" s="47" t="inlineStr">
        <is>
          <t>凤凰网</t>
        </is>
      </c>
      <c r="J16" s="47" t="inlineStr">
        <is>
          <t>China</t>
        </is>
      </c>
      <c r="K16" s="46" t="n">
        <v>46318</v>
      </c>
      <c r="L16" s="51" t="inlineStr">
        <is>
          <t>landslide</t>
        </is>
      </c>
      <c r="M16" s="52" t="inlineStr">
        <is>
          <t>Open article</t>
        </is>
      </c>
    </row>
    <row r="17" ht="48" customHeight="1">
      <c r="A17" s="46" t="n">
        <v>46319</v>
      </c>
      <c r="B17" s="47" t="inlineStr">
        <is>
          <t>2026-Q4</t>
        </is>
      </c>
      <c r="C17" s="48" t="inlineStr">
        <is>
          <t>Hazards &amp; Resilience</t>
        </is>
      </c>
      <c r="D17" s="49" t="n">
        <v>3</v>
      </c>
      <c r="E17" s="54" t="inlineStr">
        <is>
          <t>Regional insight</t>
        </is>
      </c>
      <c r="F17" s="51" t="inlineStr">
        <is>
          <t>At Khanh Le pass, vehicles are stopped in groups to face rockfall risk</t>
        </is>
      </c>
      <c r="G17" s="51" t="inlineStr">
        <is>
          <t>Au col de Khanh Le, les véhicules sont arrêtés par groupes pour faire face au risque de chutes de pierres.</t>
        </is>
      </c>
      <c r="H17" s="51" t="inlineStr">
        <is>
          <t>How should rockfall risk on mountain roads be assessed and mitigated, and when is traffic control sufficient versus slope engineering?</t>
        </is>
      </c>
      <c r="I17" s="47" t="inlineStr">
        <is>
          <t>Vietnam.vn</t>
        </is>
      </c>
      <c r="J17" s="47" t="inlineStr">
        <is>
          <t>France</t>
        </is>
      </c>
      <c r="K17" s="46" t="n">
        <v>46317</v>
      </c>
      <c r="L17" s="51" t="inlineStr"/>
      <c r="M17" s="52" t="inlineStr">
        <is>
          <t>Open article</t>
        </is>
      </c>
    </row>
    <row r="18" ht="48" customHeight="1">
      <c r="A18" s="46" t="n">
        <v>46319</v>
      </c>
      <c r="B18" s="47" t="inlineStr">
        <is>
          <t>2026-Q4</t>
        </is>
      </c>
      <c r="C18" s="55" t="inlineStr">
        <is>
          <t>Infrastructure &amp; the Underground City</t>
        </is>
      </c>
      <c r="D18" s="49" t="n">
        <v>3</v>
      </c>
      <c r="E18" s="50" t="inlineStr">
        <is>
          <t>Feature lead</t>
        </is>
      </c>
      <c r="F18" s="51" t="inlineStr">
        <is>
          <t>What options exist for Mot Mountain in Quy Nhon: levelling it or preserving the historic site?</t>
        </is>
      </c>
      <c r="G18" s="51" t="inlineStr">
        <is>
          <t>Apa saja pilihan yang tersedia untuk Gunung Mot di Quy Nhon: meratakannya atau melestarikan situs bersejarah tersebut?</t>
        </is>
      </c>
      <c r="H18" s="51" t="inlineStr">
        <is>
          <t>What geotechnical and heritage considerations should guide levelling versus preserving a rocky hill site in an urban coastal city?</t>
        </is>
      </c>
      <c r="I18" s="47" t="inlineStr">
        <is>
          <t>Vietnam.vn</t>
        </is>
      </c>
      <c r="J18" s="47" t="inlineStr">
        <is>
          <t>Indonesia</t>
        </is>
      </c>
      <c r="K18" s="46" t="n">
        <v>46319</v>
      </c>
      <c r="L18" s="51" t="inlineStr"/>
      <c r="M18" s="52" t="inlineStr">
        <is>
          <t>Open article</t>
        </is>
      </c>
    </row>
    <row r="19" ht="48" customHeight="1">
      <c r="A19" s="46" t="n">
        <v>46319</v>
      </c>
      <c r="B19" s="47" t="inlineStr">
        <is>
          <t>2026-Q4</t>
        </is>
      </c>
      <c r="C19" s="48" t="inlineStr">
        <is>
          <t>Hazards &amp; Resilience</t>
        </is>
      </c>
      <c r="D19" s="49" t="n">
        <v>3</v>
      </c>
      <c r="E19" s="58" t="inlineStr">
        <is>
          <t>Academia-to-Industry topic</t>
        </is>
      </c>
      <c r="F19" s="51" t="inlineStr">
        <is>
          <t>From landslide alerts to drone safety, young innovators showcase AI solutions at IIT Guwahati</t>
        </is>
      </c>
      <c r="G19" s="51" t="inlineStr"/>
      <c r="H19" s="51" t="inlineStr">
        <is>
          <t>Can low-cost AI and sensor systems from student innovators provide reliable landslide early warning for practitioners?</t>
        </is>
      </c>
      <c r="I19" s="47" t="inlineStr">
        <is>
          <t>Hub News</t>
        </is>
      </c>
      <c r="J19" s="47" t="inlineStr">
        <is>
          <t>India</t>
        </is>
      </c>
      <c r="K19" s="46" t="n">
        <v>46319</v>
      </c>
      <c r="L19" s="51" t="inlineStr">
        <is>
          <t>landslide</t>
        </is>
      </c>
      <c r="M19" s="52" t="inlineStr">
        <is>
          <t>Open article</t>
        </is>
      </c>
    </row>
    <row r="20" ht="48" customHeight="1">
      <c r="A20" s="46" t="n">
        <v>46319</v>
      </c>
      <c r="B20" s="47" t="inlineStr">
        <is>
          <t>2026-Q4</t>
        </is>
      </c>
      <c r="C20" s="55" t="inlineStr">
        <is>
          <t>Infrastructure &amp; the Underground City</t>
        </is>
      </c>
      <c r="D20" s="49" t="n">
        <v>3</v>
      </c>
      <c r="E20" s="53" t="inlineStr">
        <is>
          <t>News brief</t>
        </is>
      </c>
      <c r="F20" s="51" t="inlineStr">
        <is>
          <t>Landslide Derails Locomotive in Keralam, Train Services Restored</t>
        </is>
      </c>
      <c r="G20" s="51" t="inlineStr"/>
      <c r="H20" s="51" t="inlineStr">
        <is>
          <t>What slope or embankment failure caused the locomotive derailment, and how should rail corridors be assessed for landslide risk?</t>
        </is>
      </c>
      <c r="I20" s="47" t="inlineStr">
        <is>
          <t>Deccan Chronicle</t>
        </is>
      </c>
      <c r="J20" s="47" t="inlineStr">
        <is>
          <t>Singapore</t>
        </is>
      </c>
      <c r="K20" s="46" t="n">
        <v>46317</v>
      </c>
      <c r="L20" s="51" t="inlineStr">
        <is>
          <t>landslide</t>
        </is>
      </c>
      <c r="M20" s="52" t="inlineStr">
        <is>
          <t>Open article</t>
        </is>
      </c>
    </row>
    <row r="21" ht="48" customHeight="1">
      <c r="A21" s="46" t="n">
        <v>46319</v>
      </c>
      <c r="B21" s="47" t="inlineStr">
        <is>
          <t>2026-Q4</t>
        </is>
      </c>
      <c r="C21" s="48" t="inlineStr">
        <is>
          <t>Hazards &amp; Resilience</t>
        </is>
      </c>
      <c r="D21" s="49" t="n">
        <v>3</v>
      </c>
      <c r="E21" s="53" t="inlineStr">
        <is>
          <t>News brief</t>
        </is>
      </c>
      <c r="F21" s="51" t="inlineStr">
        <is>
          <t>Gas Leak, Sinkhole Shut Down Businesses Near Riverview Plaza</t>
        </is>
      </c>
      <c r="G21" s="51" t="inlineStr"/>
      <c r="H21" s="51" t="inlineStr">
        <is>
          <t>What caused the sinkhole near Riverview Plaza, and how do subsurface voids and utility leaks interact to create ground collapse hazards?</t>
        </is>
      </c>
      <c r="I21" s="47" t="inlineStr">
        <is>
          <t>NewsRadio WFLA</t>
        </is>
      </c>
      <c r="J21" s="47" t="inlineStr">
        <is>
          <t>Australia</t>
        </is>
      </c>
      <c r="K21" s="46" t="n">
        <v>46318</v>
      </c>
      <c r="L21" s="51" t="inlineStr">
        <is>
          <t>sinkhole</t>
        </is>
      </c>
      <c r="M21" s="52" t="inlineStr">
        <is>
          <t>Open article</t>
        </is>
      </c>
    </row>
    <row r="22" ht="48" customHeight="1">
      <c r="A22" s="46" t="n">
        <v>46319</v>
      </c>
      <c r="B22" s="47" t="inlineStr">
        <is>
          <t>2026-Q4</t>
        </is>
      </c>
      <c r="C22" s="48" t="inlineStr">
        <is>
          <t>Hazards &amp; Resilience</t>
        </is>
      </c>
      <c r="D22" s="49" t="n"/>
      <c r="E22" s="59" t="inlineStr"/>
      <c r="F22" s="51" t="inlineStr">
        <is>
          <t>PTPP traite 31 points de glissement de terrain dans le nord de Sumatra, le projet de Lampaui est en cours Indonesian: PTPP Tangani 31 Titik Longsor di Sumut, Progres Proyek Lampaui Target</t>
        </is>
      </c>
      <c r="G22" s="51" t="inlineStr"/>
      <c r="H22" s="51" t="inlineStr"/>
      <c r="I22" s="47" t="inlineStr">
        <is>
          <t>VOI.ID</t>
        </is>
      </c>
      <c r="J22" s="47" t="inlineStr">
        <is>
          <t>France</t>
        </is>
      </c>
      <c r="K22" s="46" t="n">
        <v>46318</v>
      </c>
      <c r="L22" s="51" t="inlineStr">
        <is>
          <t>landslide</t>
        </is>
      </c>
      <c r="M22" s="52" t="inlineStr">
        <is>
          <t>Open article</t>
        </is>
      </c>
    </row>
    <row r="23" ht="30" customHeight="1">
      <c r="A23" s="46" t="n">
        <v>46319</v>
      </c>
      <c r="B23" s="47" t="inlineStr">
        <is>
          <t>2026-Q4</t>
        </is>
      </c>
      <c r="C23" s="48" t="inlineStr">
        <is>
          <t>Hazards &amp; Resilience</t>
        </is>
      </c>
      <c r="D23" s="49" t="n"/>
      <c r="E23" s="59" t="inlineStr"/>
      <c r="F23" s="51" t="inlineStr">
        <is>
          <t>Tak Lagi Takut Tanah Longsor, Warga Desa Mengulak Lega Talud Dibangun Kokoh</t>
        </is>
      </c>
      <c r="G23" s="51" t="inlineStr"/>
      <c r="H23" s="51" t="inlineStr"/>
      <c r="I23" s="47" t="inlineStr">
        <is>
          <t>https://investigasi.news/</t>
        </is>
      </c>
      <c r="J23" s="47" t="inlineStr">
        <is>
          <t>Indonesia</t>
        </is>
      </c>
      <c r="K23" s="46" t="n">
        <v>46318</v>
      </c>
      <c r="L23" s="51" t="inlineStr">
        <is>
          <t>landslide, retaining wall</t>
        </is>
      </c>
      <c r="M23" s="52" t="inlineStr">
        <is>
          <t>Open article</t>
        </is>
      </c>
    </row>
    <row r="24" ht="48" customHeight="1">
      <c r="A24" s="46" t="n">
        <v>46319</v>
      </c>
      <c r="B24" s="47" t="inlineStr">
        <is>
          <t>2026-Q4</t>
        </is>
      </c>
      <c r="C24" s="48" t="inlineStr">
        <is>
          <t>Hazards &amp; Resilience</t>
        </is>
      </c>
      <c r="D24" s="49" t="n"/>
      <c r="E24" s="59" t="inlineStr"/>
      <c r="F24" s="51" t="inlineStr">
        <is>
          <t>Antisipasi Longsor Jelang Musim Hujan, Satgas TMMD Kejar Penyelesaian Talud di Kalebarembeng</t>
        </is>
      </c>
      <c r="G24" s="51" t="inlineStr"/>
      <c r="H24" s="51" t="inlineStr"/>
      <c r="I24" s="47" t="inlineStr">
        <is>
          <t>XPOSE TV</t>
        </is>
      </c>
      <c r="J24" s="47" t="inlineStr">
        <is>
          <t>Indonesia</t>
        </is>
      </c>
      <c r="K24" s="46" t="n">
        <v>46318</v>
      </c>
      <c r="L24" s="51" t="inlineStr">
        <is>
          <t>landslide, retaining wall</t>
        </is>
      </c>
      <c r="M24" s="52" t="inlineStr">
        <is>
          <t>Open article</t>
        </is>
      </c>
    </row>
    <row r="25" ht="30" customHeight="1">
      <c r="A25" s="46" t="n">
        <v>46319</v>
      </c>
      <c r="B25" s="47" t="inlineStr">
        <is>
          <t>2026-Q4</t>
        </is>
      </c>
      <c r="C25" s="48" t="inlineStr">
        <is>
          <t>Hazards &amp; Resilience</t>
        </is>
      </c>
      <c r="D25" s="49" t="n"/>
      <c r="E25" s="59" t="inlineStr"/>
      <c r="F25" s="51" t="inlineStr">
        <is>
          <t>Gard : un nouveau glissement de terrain bloque un boulevard à Villeneuve-lès-Avignon</t>
        </is>
      </c>
      <c r="G25" s="51" t="inlineStr"/>
      <c r="H25" s="51" t="inlineStr"/>
      <c r="I25" s="47" t="inlineStr">
        <is>
          <t>Seven Radio</t>
        </is>
      </c>
      <c r="J25" s="47" t="inlineStr">
        <is>
          <t>France</t>
        </is>
      </c>
      <c r="K25" s="46" t="n">
        <v>46317</v>
      </c>
      <c r="L25" s="51" t="inlineStr">
        <is>
          <t>landslide</t>
        </is>
      </c>
      <c r="M25" s="52" t="inlineStr">
        <is>
          <t>Open article</t>
        </is>
      </c>
    </row>
    <row r="26" ht="30" customHeight="1">
      <c r="A26" s="46" t="n">
        <v>46319</v>
      </c>
      <c r="B26" s="47" t="inlineStr">
        <is>
          <t>2026-Q4</t>
        </is>
      </c>
      <c r="C26" s="48" t="inlineStr">
        <is>
          <t>Hazards &amp; Resilience</t>
        </is>
      </c>
      <c r="D26" s="49" t="n"/>
      <c r="E26" s="59" t="inlineStr"/>
      <c r="F26" s="51" t="inlineStr">
        <is>
          <t>Fr glissement de terrain : mesures d'urgence à Bonea</t>
        </is>
      </c>
      <c r="G26" s="51" t="inlineStr"/>
      <c r="H26" s="51" t="inlineStr"/>
      <c r="I26" s="47" t="inlineStr">
        <is>
          <t>Il Mattino</t>
        </is>
      </c>
      <c r="J26" s="47" t="inlineStr">
        <is>
          <t>France</t>
        </is>
      </c>
      <c r="K26" s="46" t="n">
        <v>46318</v>
      </c>
      <c r="L26" s="51" t="inlineStr">
        <is>
          <t>landslide</t>
        </is>
      </c>
      <c r="M26" s="52" t="inlineStr">
        <is>
          <t>Open article</t>
        </is>
      </c>
    </row>
    <row r="27" ht="30" customHeight="1">
      <c r="A27" s="46" t="n">
        <v>46319</v>
      </c>
      <c r="B27" s="47" t="inlineStr">
        <is>
          <t>2026-Q4</t>
        </is>
      </c>
      <c r="C27" s="48" t="inlineStr">
        <is>
          <t>Hazards &amp; Resilience</t>
        </is>
      </c>
      <c r="D27" s="49" t="n"/>
      <c r="E27" s="59" t="inlineStr"/>
      <c r="F27" s="51" t="inlineStr">
        <is>
          <t>Grave glissement de terrain dans le sud de Chiayi</t>
        </is>
      </c>
      <c r="G27" s="51" t="inlineStr"/>
      <c r="H27" s="51" t="inlineStr"/>
      <c r="I27" s="47" t="inlineStr">
        <is>
          <t>Vietnam.vn</t>
        </is>
      </c>
      <c r="J27" s="47" t="inlineStr">
        <is>
          <t>France</t>
        </is>
      </c>
      <c r="K27" s="46" t="n">
        <v>46318</v>
      </c>
      <c r="L27" s="51" t="inlineStr">
        <is>
          <t>landslide</t>
        </is>
      </c>
      <c r="M27" s="52" t="inlineStr">
        <is>
          <t>Open article</t>
        </is>
      </c>
    </row>
    <row r="28" ht="48" customHeight="1">
      <c r="A28" s="46" t="n">
        <v>46319</v>
      </c>
      <c r="B28" s="47" t="inlineStr">
        <is>
          <t>2026-Q4</t>
        </is>
      </c>
      <c r="C28" s="48" t="inlineStr">
        <is>
          <t>Hazards &amp; Resilience</t>
        </is>
      </c>
      <c r="D28" s="49" t="n"/>
      <c r="E28" s="59" t="inlineStr"/>
      <c r="F28" s="51" t="inlineStr">
        <is>
          <t>Nghe An : Il est urgent d'agir face au glissement de terrain sur le talus le long de la route côtière.</t>
        </is>
      </c>
      <c r="G28" s="51" t="inlineStr"/>
      <c r="H28" s="51" t="inlineStr"/>
      <c r="I28" s="47" t="inlineStr">
        <is>
          <t>Vietnam.vn</t>
        </is>
      </c>
      <c r="J28" s="47" t="inlineStr">
        <is>
          <t>France</t>
        </is>
      </c>
      <c r="K28" s="46" t="n">
        <v>46318</v>
      </c>
      <c r="L28" s="51" t="inlineStr">
        <is>
          <t>landslide, slope</t>
        </is>
      </c>
      <c r="M28" s="52" t="inlineStr">
        <is>
          <t>Open article</t>
        </is>
      </c>
    </row>
    <row r="29" ht="48" customHeight="1">
      <c r="A29" s="46" t="n">
        <v>46319</v>
      </c>
      <c r="B29" s="47" t="inlineStr">
        <is>
          <t>2026-Q4</t>
        </is>
      </c>
      <c r="C29" s="48" t="inlineStr">
        <is>
          <t>Hazards &amp; Resilience</t>
        </is>
      </c>
      <c r="D29" s="49" t="n"/>
      <c r="E29" s="59" t="inlineStr"/>
      <c r="F29" s="51" t="inlineStr">
        <is>
          <t>Evalúan estabilización de laderas y subsidios para familias ante deslizamiento de tierra en Lota</t>
        </is>
      </c>
      <c r="G29" s="51" t="inlineStr"/>
      <c r="H29" s="51" t="inlineStr"/>
      <c r="I29" s="47" t="inlineStr">
        <is>
          <t>Diario Concepción</t>
        </is>
      </c>
      <c r="J29" s="47" t="inlineStr">
        <is>
          <t>Spain</t>
        </is>
      </c>
      <c r="K29" s="46" t="n">
        <v>46318</v>
      </c>
      <c r="L29" s="51" t="inlineStr">
        <is>
          <t>landslide, slope</t>
        </is>
      </c>
      <c r="M29" s="52" t="inlineStr">
        <is>
          <t>Open article</t>
        </is>
      </c>
    </row>
    <row r="30" ht="30" customHeight="1">
      <c r="A30" s="46" t="n">
        <v>46319</v>
      </c>
      <c r="B30" s="47" t="inlineStr">
        <is>
          <t>2026-Q4</t>
        </is>
      </c>
      <c r="C30" s="48" t="inlineStr">
        <is>
          <t>Hazards &amp; Resilience</t>
        </is>
      </c>
      <c r="D30" s="49" t="n"/>
      <c r="E30" s="59" t="inlineStr"/>
      <c r="F30" s="51" t="inlineStr">
        <is>
          <t>Concepción: trabajos de despeje avanzan tras deslizamiento de tierra en Juan Riquelme</t>
        </is>
      </c>
      <c r="G30" s="51" t="inlineStr"/>
      <c r="H30" s="51" t="inlineStr"/>
      <c r="I30" s="47" t="inlineStr">
        <is>
          <t>Canal 9 Bío Bío Televisión</t>
        </is>
      </c>
      <c r="J30" s="47" t="inlineStr">
        <is>
          <t>Spain</t>
        </is>
      </c>
      <c r="K30" s="46" t="n">
        <v>46318</v>
      </c>
      <c r="L30" s="51" t="inlineStr">
        <is>
          <t>landslide</t>
        </is>
      </c>
      <c r="M30" s="52" t="inlineStr">
        <is>
          <t>Open article</t>
        </is>
      </c>
    </row>
    <row r="31" ht="30" customHeight="1">
      <c r="A31" s="46" t="n">
        <v>46319</v>
      </c>
      <c r="B31" s="47" t="inlineStr">
        <is>
          <t>2026-Q4</t>
        </is>
      </c>
      <c r="C31" s="48" t="inlineStr">
        <is>
          <t>Hazards &amp; Resilience</t>
        </is>
      </c>
      <c r="D31" s="49" t="n"/>
      <c r="E31" s="59" t="inlineStr"/>
      <c r="F31" s="51" t="inlineStr">
        <is>
          <t>Viviendas Colapsan por Deslizamiento de Tierra en Lomas Conjunto Residencial, Tijuana</t>
        </is>
      </c>
      <c r="G31" s="51" t="inlineStr"/>
      <c r="H31" s="51" t="inlineStr"/>
      <c r="I31" s="47" t="inlineStr">
        <is>
          <t>N+</t>
        </is>
      </c>
      <c r="J31" s="47" t="inlineStr">
        <is>
          <t>Spain</t>
        </is>
      </c>
      <c r="K31" s="46" t="n">
        <v>46318</v>
      </c>
      <c r="L31" s="51" t="inlineStr">
        <is>
          <t>landslide</t>
        </is>
      </c>
      <c r="M31" s="52" t="inlineStr">
        <is>
          <t>Open article</t>
        </is>
      </c>
    </row>
    <row r="32" ht="48" customHeight="1">
      <c r="A32" s="46" t="n">
        <v>46319</v>
      </c>
      <c r="B32" s="47" t="inlineStr">
        <is>
          <t>2026-Q4</t>
        </is>
      </c>
      <c r="C32" s="48" t="inlineStr">
        <is>
          <t>Hazards &amp; Resilience</t>
        </is>
      </c>
      <c r="D32" s="49" t="n"/>
      <c r="E32" s="59" t="inlineStr"/>
      <c r="F32" s="51" t="inlineStr">
        <is>
          <t>La atención se centra en la reparación de los deslizamientos de tierra en la Carretera Nacional 15C.</t>
        </is>
      </c>
      <c r="G32" s="51" t="inlineStr"/>
      <c r="H32" s="51" t="inlineStr"/>
      <c r="I32" s="47" t="inlineStr">
        <is>
          <t>Vietnam.vn</t>
        </is>
      </c>
      <c r="J32" s="47" t="inlineStr">
        <is>
          <t>Spain</t>
        </is>
      </c>
      <c r="K32" s="46" t="n">
        <v>46318</v>
      </c>
      <c r="L32" s="51" t="inlineStr">
        <is>
          <t>landslide</t>
        </is>
      </c>
      <c r="M32" s="52" t="inlineStr">
        <is>
          <t>Open article</t>
        </is>
      </c>
    </row>
    <row r="33" ht="30" customHeight="1">
      <c r="A33" s="46" t="n">
        <v>46319</v>
      </c>
      <c r="B33" s="47" t="inlineStr">
        <is>
          <t>2026-Q4</t>
        </is>
      </c>
      <c r="C33" s="48" t="inlineStr">
        <is>
          <t>Hazards &amp; Resilience</t>
        </is>
      </c>
      <c r="D33" s="49" t="n"/>
      <c r="E33" s="59" t="inlineStr"/>
      <c r="F33" s="51" t="inlineStr">
        <is>
          <t>Limpieza tras deslizamiento habilitó la vía Riobamba–Cebadas</t>
        </is>
      </c>
      <c r="G33" s="51" t="inlineStr"/>
      <c r="H33" s="51" t="inlineStr"/>
      <c r="I33" s="47" t="inlineStr">
        <is>
          <t>diariolosandes.com.ec</t>
        </is>
      </c>
      <c r="J33" s="47" t="inlineStr">
        <is>
          <t>Spain</t>
        </is>
      </c>
      <c r="K33" s="46" t="n">
        <v>46319</v>
      </c>
      <c r="L33" s="51" t="inlineStr">
        <is>
          <t>landslide</t>
        </is>
      </c>
      <c r="M33" s="52" t="inlineStr">
        <is>
          <t>Open article</t>
        </is>
      </c>
    </row>
    <row r="34" ht="48" customHeight="1">
      <c r="A34" s="46" t="n">
        <v>46319</v>
      </c>
      <c r="B34" s="47" t="inlineStr">
        <is>
          <t>2026-Q4</t>
        </is>
      </c>
      <c r="C34" s="48" t="inlineStr">
        <is>
          <t>Hazards &amp; Resilience</t>
        </is>
      </c>
      <c r="D34" s="49" t="n"/>
      <c r="E34" s="59" t="inlineStr"/>
      <c r="F34" s="51" t="inlineStr">
        <is>
          <t>Emergencia en Moniquirá, Boyacá, por deslizamiento de tierra en la vereda de Pajales tras fuertes lluvias: se reportan tres casas afectadas</t>
        </is>
      </c>
      <c r="G34" s="51" t="inlineStr"/>
      <c r="H34" s="51" t="inlineStr"/>
      <c r="I34" s="47" t="inlineStr">
        <is>
          <t>El Tiempo</t>
        </is>
      </c>
      <c r="J34" s="47" t="inlineStr">
        <is>
          <t>Spain</t>
        </is>
      </c>
      <c r="K34" s="46" t="n">
        <v>46318</v>
      </c>
      <c r="L34" s="51" t="inlineStr">
        <is>
          <t>landslide</t>
        </is>
      </c>
      <c r="M34" s="52" t="inlineStr">
        <is>
          <t>Open article</t>
        </is>
      </c>
    </row>
    <row r="35" ht="30" customHeight="1">
      <c r="A35" s="46" t="n">
        <v>46319</v>
      </c>
      <c r="B35" s="47" t="inlineStr">
        <is>
          <t>2026-Q4</t>
        </is>
      </c>
      <c r="C35" s="48" t="inlineStr">
        <is>
          <t>Hazards &amp; Resilience</t>
        </is>
      </c>
      <c r="D35" s="49" t="n"/>
      <c r="E35" s="59" t="inlineStr"/>
      <c r="F35" s="51" t="inlineStr">
        <is>
          <t>Deslizamiento de tierra en Pahuatlán</t>
        </is>
      </c>
      <c r="G35" s="51" t="inlineStr"/>
      <c r="H35" s="51" t="inlineStr"/>
      <c r="I35" s="47" t="inlineStr">
        <is>
          <t>Diario sin Secretos</t>
        </is>
      </c>
      <c r="J35" s="47" t="inlineStr">
        <is>
          <t>Spain</t>
        </is>
      </c>
      <c r="K35" s="46" t="n">
        <v>46319</v>
      </c>
      <c r="L35" s="51" t="inlineStr">
        <is>
          <t>landslide</t>
        </is>
      </c>
      <c r="M35" s="52" t="inlineStr">
        <is>
          <t>Open article</t>
        </is>
      </c>
    </row>
    <row r="36" ht="48" customHeight="1">
      <c r="A36" s="46" t="n">
        <v>46319</v>
      </c>
      <c r="B36" s="47" t="inlineStr">
        <is>
          <t>2026-Q4</t>
        </is>
      </c>
      <c r="C36" s="48" t="inlineStr">
        <is>
          <t>Hazards &amp; Resilience</t>
        </is>
      </c>
      <c r="D36" s="49" t="n"/>
      <c r="E36" s="59" t="inlineStr"/>
      <c r="F36" s="51" t="inlineStr">
        <is>
          <t>Calle intransitable por el barro: deslizamiento de tierra afecta a sector Juan Riquelme de Concepción</t>
        </is>
      </c>
      <c r="G36" s="51" t="inlineStr"/>
      <c r="H36" s="51" t="inlineStr"/>
      <c r="I36" s="47" t="inlineStr">
        <is>
          <t>BioBioChile</t>
        </is>
      </c>
      <c r="J36" s="47" t="inlineStr">
        <is>
          <t>Spain</t>
        </is>
      </c>
      <c r="K36" s="46" t="n">
        <v>46317</v>
      </c>
      <c r="L36" s="51" t="inlineStr">
        <is>
          <t>landslide</t>
        </is>
      </c>
      <c r="M36" s="52" t="inlineStr">
        <is>
          <t>Open article</t>
        </is>
      </c>
    </row>
    <row r="37" ht="30" customHeight="1">
      <c r="A37" s="46" t="n">
        <v>46319</v>
      </c>
      <c r="B37" s="47" t="inlineStr">
        <is>
          <t>2026-Q4</t>
        </is>
      </c>
      <c r="C37" s="48" t="inlineStr">
        <is>
          <t>Hazards &amp; Resilience</t>
        </is>
      </c>
      <c r="D37" s="49" t="n"/>
      <c r="E37" s="59" t="inlineStr"/>
      <c r="F37" s="51" t="inlineStr">
        <is>
          <t>Deslizamiento de Tierra Obliga al Cierre Total en Bonea</t>
        </is>
      </c>
      <c r="G37" s="51" t="inlineStr"/>
      <c r="H37" s="51" t="inlineStr"/>
      <c r="I37" s="47" t="inlineStr">
        <is>
          <t>Il Mattino</t>
        </is>
      </c>
      <c r="J37" s="47" t="inlineStr">
        <is>
          <t>Spain</t>
        </is>
      </c>
      <c r="K37" s="46" t="n">
        <v>46318</v>
      </c>
      <c r="L37" s="51" t="inlineStr">
        <is>
          <t>landslide</t>
        </is>
      </c>
      <c r="M37" s="52" t="inlineStr">
        <is>
          <t>Open article</t>
        </is>
      </c>
    </row>
    <row r="38" ht="48" customHeight="1">
      <c r="A38" s="46" t="n">
        <v>46319</v>
      </c>
      <c r="B38" s="47" t="inlineStr">
        <is>
          <t>2026-Q4</t>
        </is>
      </c>
      <c r="C38" s="48" t="inlineStr">
        <is>
          <t>Hazards &amp; Resilience</t>
        </is>
      </c>
      <c r="D38" s="49" t="n"/>
      <c r="E38" s="59" t="inlineStr"/>
      <c r="F38" s="51" t="inlineStr">
        <is>
          <t>Evalúan riesgos por deslizamiento de tierra en Lota y analizan apoyo habitacional para familias afectadas</t>
        </is>
      </c>
      <c r="G38" s="51" t="inlineStr"/>
      <c r="H38" s="51" t="inlineStr"/>
      <c r="I38" s="47" t="inlineStr">
        <is>
          <t>La Tribuna</t>
        </is>
      </c>
      <c r="J38" s="47" t="inlineStr">
        <is>
          <t>Spain</t>
        </is>
      </c>
      <c r="K38" s="46" t="n">
        <v>46318</v>
      </c>
      <c r="L38" s="51" t="inlineStr">
        <is>
          <t>landslide</t>
        </is>
      </c>
      <c r="M38" s="52" t="inlineStr">
        <is>
          <t>Open article</t>
        </is>
      </c>
    </row>
    <row r="39" ht="30" customHeight="1">
      <c r="A39" s="46" t="n">
        <v>46319</v>
      </c>
      <c r="B39" s="47" t="inlineStr">
        <is>
          <t>2026-Q4</t>
        </is>
      </c>
      <c r="C39" s="48" t="inlineStr">
        <is>
          <t>Hazards &amp; Resilience</t>
        </is>
      </c>
      <c r="D39" s="49" t="n"/>
      <c r="E39" s="59" t="inlineStr"/>
      <c r="F39" s="51" t="inlineStr">
        <is>
          <t>Deslizamiento de tierra cierra la vía Alóag–Santo Domingo en ambos sentidos</t>
        </is>
      </c>
      <c r="G39" s="51" t="inlineStr"/>
      <c r="H39" s="51" t="inlineStr"/>
      <c r="I39" s="47" t="inlineStr">
        <is>
          <t>Teleamazonas</t>
        </is>
      </c>
      <c r="J39" s="47" t="inlineStr">
        <is>
          <t>Spain</t>
        </is>
      </c>
      <c r="K39" s="46" t="n">
        <v>46318</v>
      </c>
      <c r="L39" s="51" t="inlineStr">
        <is>
          <t>landslide</t>
        </is>
      </c>
      <c r="M39" s="52" t="inlineStr">
        <is>
          <t>Open article</t>
        </is>
      </c>
    </row>
    <row r="40" ht="48" customHeight="1">
      <c r="A40" s="46" t="n">
        <v>46319</v>
      </c>
      <c r="B40" s="47" t="inlineStr">
        <is>
          <t>2026-Q4</t>
        </is>
      </c>
      <c r="C40" s="48" t="inlineStr">
        <is>
          <t>Hazards &amp; Resilience</t>
        </is>
      </c>
      <c r="D40" s="49" t="n"/>
      <c r="E40" s="59" t="inlineStr"/>
      <c r="F40" s="51" t="inlineStr">
        <is>
          <t>Deslizamiento de tierra en la vía Salinas-Lita moviliza maquinaria para habilitar el tránsito en Imbabura</t>
        </is>
      </c>
      <c r="G40" s="51" t="inlineStr"/>
      <c r="H40" s="51" t="inlineStr"/>
      <c r="I40" s="47" t="inlineStr">
        <is>
          <t>El Universo</t>
        </is>
      </c>
      <c r="J40" s="47" t="inlineStr">
        <is>
          <t>Spain</t>
        </is>
      </c>
      <c r="K40" s="46" t="n">
        <v>46317</v>
      </c>
      <c r="L40" s="51" t="inlineStr">
        <is>
          <t>landslide</t>
        </is>
      </c>
      <c r="M40" s="52" t="inlineStr">
        <is>
          <t>Open article</t>
        </is>
      </c>
    </row>
    <row r="41" ht="48" customHeight="1">
      <c r="A41" s="46" t="n">
        <v>46319</v>
      </c>
      <c r="B41" s="47" t="inlineStr">
        <is>
          <t>2026-Q4</t>
        </is>
      </c>
      <c r="C41" s="48" t="inlineStr">
        <is>
          <t>Hazards &amp; Resilience</t>
        </is>
      </c>
      <c r="D41" s="49" t="n"/>
      <c r="E41" s="59" t="inlineStr"/>
      <c r="F41" s="51" t="inlineStr">
        <is>
          <t>Ministerio de Salud mantiene vigilancia tras deslizamiento de tierra en zona minera de Remance</t>
        </is>
      </c>
      <c r="G41" s="51" t="inlineStr"/>
      <c r="H41" s="51" t="inlineStr"/>
      <c r="I41" s="47" t="inlineStr">
        <is>
          <t>Destino Panamá</t>
        </is>
      </c>
      <c r="J41" s="47" t="inlineStr">
        <is>
          <t>Spain</t>
        </is>
      </c>
      <c r="K41" s="46" t="n">
        <v>46319</v>
      </c>
      <c r="L41" s="51" t="inlineStr">
        <is>
          <t>landslide</t>
        </is>
      </c>
      <c r="M41" s="52" t="inlineStr">
        <is>
          <t>Open article</t>
        </is>
      </c>
    </row>
    <row r="42" ht="48" customHeight="1">
      <c r="A42" s="46" t="n">
        <v>46319</v>
      </c>
      <c r="B42" s="47" t="inlineStr">
        <is>
          <t>2026-Q4</t>
        </is>
      </c>
      <c r="C42" s="48" t="inlineStr">
        <is>
          <t>Hazards &amp; Resilience</t>
        </is>
      </c>
      <c r="D42" s="49" t="n"/>
      <c r="E42" s="59" t="inlineStr"/>
      <c r="F42" s="51" t="inlineStr">
        <is>
          <t>El 24 de octubre de 2026 se emitió una alerta por alto riesgo de inundaciones repentinas y deslizamientos de tierra en muchas zonas de Tuyen Quang.</t>
        </is>
      </c>
      <c r="G42" s="51" t="inlineStr"/>
      <c r="H42" s="51" t="inlineStr"/>
      <c r="I42" s="47" t="inlineStr">
        <is>
          <t>Vietnam.vn</t>
        </is>
      </c>
      <c r="J42" s="47" t="inlineStr">
        <is>
          <t>Spain</t>
        </is>
      </c>
      <c r="K42" s="46" t="n">
        <v>46318</v>
      </c>
      <c r="L42" s="51" t="inlineStr">
        <is>
          <t>landslide</t>
        </is>
      </c>
      <c r="M42" s="52" t="inlineStr">
        <is>
          <t>Open article</t>
        </is>
      </c>
    </row>
    <row r="43" ht="30" customHeight="1">
      <c r="A43" s="46" t="n">
        <v>46319</v>
      </c>
      <c r="B43" s="47" t="inlineStr">
        <is>
          <t>2026-Q4</t>
        </is>
      </c>
      <c r="C43" s="48" t="inlineStr">
        <is>
          <t>Hazards &amp; Resilience</t>
        </is>
      </c>
      <c r="D43" s="49" t="n"/>
      <c r="E43" s="59" t="inlineStr"/>
      <c r="F43" s="51" t="inlineStr">
        <is>
          <t>Concepción: lluvias activan aluvión y deslizamiento de tierra en Juan Riquelme</t>
        </is>
      </c>
      <c r="G43" s="51" t="inlineStr"/>
      <c r="H43" s="51" t="inlineStr"/>
      <c r="I43" s="47" t="inlineStr">
        <is>
          <t>Diario Concepción</t>
        </is>
      </c>
      <c r="J43" s="47" t="inlineStr">
        <is>
          <t>Spain</t>
        </is>
      </c>
      <c r="K43" s="46" t="n">
        <v>46317</v>
      </c>
      <c r="L43" s="51" t="inlineStr">
        <is>
          <t>landslide</t>
        </is>
      </c>
      <c r="M43" s="52" t="inlineStr">
        <is>
          <t>Open article</t>
        </is>
      </c>
    </row>
    <row r="44" ht="30" customHeight="1">
      <c r="A44" s="46" t="n">
        <v>46319</v>
      </c>
      <c r="B44" s="47" t="inlineStr">
        <is>
          <t>2026-Q4</t>
        </is>
      </c>
      <c r="C44" s="48" t="inlineStr">
        <is>
          <t>Hazards &amp; Resilience</t>
        </is>
      </c>
      <c r="D44" s="49" t="n"/>
      <c r="E44" s="59" t="inlineStr"/>
      <c r="F44" s="51" t="inlineStr">
        <is>
          <t>Dos casas se derrumbaron debido a deslizamientos de tierra a lo largo del río Tien.</t>
        </is>
      </c>
      <c r="G44" s="51" t="inlineStr"/>
      <c r="H44" s="51" t="inlineStr"/>
      <c r="I44" s="47" t="inlineStr">
        <is>
          <t>Vietnam.vn</t>
        </is>
      </c>
      <c r="J44" s="47" t="inlineStr">
        <is>
          <t>Spain</t>
        </is>
      </c>
      <c r="K44" s="46" t="n">
        <v>46318</v>
      </c>
      <c r="L44" s="51" t="inlineStr">
        <is>
          <t>landslide</t>
        </is>
      </c>
      <c r="M44" s="52" t="inlineStr">
        <is>
          <t>Open article</t>
        </is>
      </c>
    </row>
    <row r="45" ht="48" customHeight="1">
      <c r="A45" s="46" t="n">
        <v>46319</v>
      </c>
      <c r="B45" s="47" t="inlineStr">
        <is>
          <t>2026-Q4</t>
        </is>
      </c>
      <c r="C45" s="48" t="inlineStr">
        <is>
          <t>Hazards &amp; Resilience</t>
        </is>
      </c>
      <c r="D45" s="49" t="n"/>
      <c r="E45" s="59" t="inlineStr"/>
      <c r="F45" s="51" t="inlineStr">
        <is>
          <t>Nghe An: Se necesitan medidas urgentes para solucionar el deslizamiento de tierra en el terraplén a lo largo de la carretera costera.</t>
        </is>
      </c>
      <c r="G45" s="51" t="inlineStr"/>
      <c r="H45" s="51" t="inlineStr"/>
      <c r="I45" s="47" t="inlineStr">
        <is>
          <t>Vietnam.vn</t>
        </is>
      </c>
      <c r="J45" s="47" t="inlineStr">
        <is>
          <t>Spain</t>
        </is>
      </c>
      <c r="K45" s="46" t="n">
        <v>46318</v>
      </c>
      <c r="L45" s="51" t="inlineStr">
        <is>
          <t>landslide, embankment</t>
        </is>
      </c>
      <c r="M45" s="52" t="inlineStr">
        <is>
          <t>Open article</t>
        </is>
      </c>
    </row>
    <row r="46" ht="48" customHeight="1">
      <c r="A46" s="46" t="n">
        <v>46319</v>
      </c>
      <c r="B46" s="47" t="inlineStr">
        <is>
          <t>2026-Q4</t>
        </is>
      </c>
      <c r="C46" s="48" t="inlineStr">
        <is>
          <t>Hazards &amp; Resilience</t>
        </is>
      </c>
      <c r="D46" s="49" t="n"/>
      <c r="E46" s="59" t="inlineStr"/>
      <c r="F46" s="51" t="inlineStr">
        <is>
          <t>Concepción: deslizamiento de tierra afecta 2 viviendas y bloquea calle en Juan Riquelme por el barro</t>
        </is>
      </c>
      <c r="G46" s="51" t="inlineStr"/>
      <c r="H46" s="51" t="inlineStr"/>
      <c r="I46" s="47" t="inlineStr">
        <is>
          <t>Canal 9 Bío Bío Televisión</t>
        </is>
      </c>
      <c r="J46" s="47" t="inlineStr">
        <is>
          <t>Spain</t>
        </is>
      </c>
      <c r="K46" s="46" t="n">
        <v>46318</v>
      </c>
      <c r="L46" s="51" t="inlineStr">
        <is>
          <t>landslide</t>
        </is>
      </c>
      <c r="M46" s="52" t="inlineStr">
        <is>
          <t>Open article</t>
        </is>
      </c>
    </row>
    <row r="47" ht="30" customHeight="1">
      <c r="A47" s="46" t="n">
        <v>46319</v>
      </c>
      <c r="B47" s="47" t="inlineStr">
        <is>
          <t>2026-Q4</t>
        </is>
      </c>
      <c r="C47" s="48" t="inlineStr">
        <is>
          <t>Hazards &amp; Resilience</t>
        </is>
      </c>
      <c r="D47" s="49" t="n"/>
      <c r="E47" s="59" t="inlineStr"/>
      <c r="F47" s="51" t="inlineStr">
        <is>
          <t>Arcata comprará el parcela del barranco y comenzará la reparación de deslizamientos</t>
        </is>
      </c>
      <c r="G47" s="51" t="inlineStr"/>
      <c r="H47" s="51" t="inlineStr"/>
      <c r="I47" s="47" t="inlineStr">
        <is>
          <t>Lost Coast Outpost</t>
        </is>
      </c>
      <c r="J47" s="47" t="inlineStr">
        <is>
          <t>Spain</t>
        </is>
      </c>
      <c r="K47" s="46" t="n">
        <v>46317</v>
      </c>
      <c r="L47" s="51" t="inlineStr">
        <is>
          <t>landslide</t>
        </is>
      </c>
      <c r="M47" s="52" t="inlineStr">
        <is>
          <t>Open article</t>
        </is>
      </c>
    </row>
    <row r="48" ht="30" customHeight="1">
      <c r="A48" s="46" t="n">
        <v>46319</v>
      </c>
      <c r="B48" s="47" t="inlineStr">
        <is>
          <t>2026-Q4</t>
        </is>
      </c>
      <c r="C48" s="48" t="inlineStr">
        <is>
          <t>Hazards &amp; Resilience</t>
        </is>
      </c>
      <c r="D48" s="49" t="n"/>
      <c r="E48" s="59" t="inlineStr"/>
      <c r="F48" s="51" t="inlineStr">
        <is>
          <t>Auto y viviendas afectadas tras deslizamiento de tierra en Concepción</t>
        </is>
      </c>
      <c r="G48" s="51" t="inlineStr"/>
      <c r="H48" s="51" t="inlineStr"/>
      <c r="I48" s="47" t="inlineStr">
        <is>
          <t>Meganoticias</t>
        </is>
      </c>
      <c r="J48" s="47" t="inlineStr">
        <is>
          <t>Spain</t>
        </is>
      </c>
      <c r="K48" s="46" t="n">
        <v>46317</v>
      </c>
      <c r="L48" s="51" t="inlineStr">
        <is>
          <t>landslide</t>
        </is>
      </c>
      <c r="M48" s="52" t="inlineStr">
        <is>
          <t>Open article</t>
        </is>
      </c>
    </row>
    <row r="49" ht="30" customHeight="1">
      <c r="A49" s="46" t="n">
        <v>46319</v>
      </c>
      <c r="B49" s="47" t="inlineStr">
        <is>
          <t>2026-Q4</t>
        </is>
      </c>
      <c r="C49" s="48" t="inlineStr">
        <is>
          <t>Hazards &amp; Resilience</t>
        </is>
      </c>
      <c r="D49" s="49" t="n"/>
      <c r="E49" s="59" t="inlineStr"/>
      <c r="F49" s="51" t="inlineStr">
        <is>
          <t>En peligro vecinos del bulevar Felipe J. Mery por deslizamiento de tierra</t>
        </is>
      </c>
      <c r="G49" s="51" t="inlineStr"/>
      <c r="H49" s="51" t="inlineStr"/>
      <c r="I49" s="47" t="inlineStr">
        <is>
          <t>RCG Media</t>
        </is>
      </c>
      <c r="J49" s="47" t="inlineStr">
        <is>
          <t>Spain</t>
        </is>
      </c>
      <c r="K49" s="46" t="n">
        <v>46317</v>
      </c>
      <c r="L49" s="51" t="inlineStr">
        <is>
          <t>landslide</t>
        </is>
      </c>
      <c r="M49" s="52" t="inlineStr">
        <is>
          <t>Open article</t>
        </is>
      </c>
    </row>
    <row r="50" ht="30" customHeight="1">
      <c r="A50" s="46" t="n">
        <v>46319</v>
      </c>
      <c r="B50" s="47" t="inlineStr">
        <is>
          <t>2026-Q4</t>
        </is>
      </c>
      <c r="C50" s="48" t="inlineStr">
        <is>
          <t>Hazards &amp; Resilience</t>
        </is>
      </c>
      <c r="D50" s="49" t="n"/>
      <c r="E50" s="59" t="inlineStr"/>
      <c r="F50" s="51" t="inlineStr">
        <is>
          <t>Un terraplén de prevención de deslizamientos de tierra "amenaza" una zona residencial.</t>
        </is>
      </c>
      <c r="G50" s="51" t="inlineStr"/>
      <c r="H50" s="51" t="inlineStr"/>
      <c r="I50" s="47" t="inlineStr">
        <is>
          <t>Vietnam.vn</t>
        </is>
      </c>
      <c r="J50" s="47" t="inlineStr">
        <is>
          <t>Spain</t>
        </is>
      </c>
      <c r="K50" s="46" t="n">
        <v>46318</v>
      </c>
      <c r="L50" s="51" t="inlineStr">
        <is>
          <t>landslide, embankment</t>
        </is>
      </c>
      <c r="M50" s="52" t="inlineStr">
        <is>
          <t>Open article</t>
        </is>
      </c>
    </row>
    <row r="51" ht="48" customHeight="1">
      <c r="A51" s="46" t="n">
        <v>46319</v>
      </c>
      <c r="B51" s="47" t="inlineStr">
        <is>
          <t>2026-Q4</t>
        </is>
      </c>
      <c r="C51" s="48" t="inlineStr">
        <is>
          <t>Hazards &amp; Resilience</t>
        </is>
      </c>
      <c r="D51" s="49" t="n"/>
      <c r="E51" s="59" t="inlineStr"/>
      <c r="F51" s="51" t="inlineStr">
        <is>
          <t>Fuertes lluvias provocan deslizamientos en Moniquirá: en la vereda Pajales la tierra se abrió en dos</t>
        </is>
      </c>
      <c r="G51" s="51" t="inlineStr"/>
      <c r="H51" s="51" t="inlineStr"/>
      <c r="I51" s="47" t="inlineStr">
        <is>
          <t>Revista Semana</t>
        </is>
      </c>
      <c r="J51" s="47" t="inlineStr">
        <is>
          <t>Spain</t>
        </is>
      </c>
      <c r="K51" s="46" t="n">
        <v>46318</v>
      </c>
      <c r="L51" s="51" t="inlineStr">
        <is>
          <t>landslide</t>
        </is>
      </c>
      <c r="M51" s="52" t="inlineStr">
        <is>
          <t>Open article</t>
        </is>
      </c>
    </row>
    <row r="52" ht="48" customHeight="1">
      <c r="A52" s="46" t="n">
        <v>46319</v>
      </c>
      <c r="B52" s="47" t="inlineStr">
        <is>
          <t>2026-Q4</t>
        </is>
      </c>
      <c r="C52" s="48" t="inlineStr">
        <is>
          <t>Hazards &amp; Resilience</t>
        </is>
      </c>
      <c r="D52" s="49" t="n"/>
      <c r="E52" s="59" t="inlineStr"/>
      <c r="F52" s="51" t="inlineStr">
        <is>
          <t>Alcaldía de Villavicencio adecua paso peatonal provisional tras deslizamiento en Buenavista</t>
        </is>
      </c>
      <c r="G52" s="51" t="inlineStr"/>
      <c r="H52" s="51" t="inlineStr"/>
      <c r="I52" s="47" t="inlineStr">
        <is>
          <t>Periódico del Meta</t>
        </is>
      </c>
      <c r="J52" s="47" t="inlineStr">
        <is>
          <t>Spain</t>
        </is>
      </c>
      <c r="K52" s="46" t="n">
        <v>46318</v>
      </c>
      <c r="L52" s="51" t="inlineStr">
        <is>
          <t>landslide</t>
        </is>
      </c>
      <c r="M52" s="52" t="inlineStr">
        <is>
          <t>Open article</t>
        </is>
      </c>
    </row>
    <row r="53" ht="30" customHeight="1">
      <c r="A53" s="46" t="n">
        <v>46319</v>
      </c>
      <c r="B53" s="47" t="inlineStr">
        <is>
          <t>2026-Q4</t>
        </is>
      </c>
      <c r="C53" s="48" t="inlineStr">
        <is>
          <t>Hazards &amp; Resilience</t>
        </is>
      </c>
      <c r="D53" s="49" t="n"/>
      <c r="E53" s="59" t="inlineStr"/>
      <c r="F53" s="51" t="inlineStr">
        <is>
          <t>Advierten por Posible Deslizamiento en el Bulevar Mar de Cortés en Tijuana, BC</t>
        </is>
      </c>
      <c r="G53" s="51" t="inlineStr"/>
      <c r="H53" s="51" t="inlineStr"/>
      <c r="I53" s="47" t="inlineStr">
        <is>
          <t>N+</t>
        </is>
      </c>
      <c r="J53" s="47" t="inlineStr">
        <is>
          <t>Spain</t>
        </is>
      </c>
      <c r="K53" s="46" t="n">
        <v>46318</v>
      </c>
      <c r="L53" s="51" t="inlineStr">
        <is>
          <t>landslide</t>
        </is>
      </c>
      <c r="M53" s="52" t="inlineStr">
        <is>
          <t>Open article</t>
        </is>
      </c>
    </row>
    <row r="54" ht="30" customHeight="1">
      <c r="A54" s="46" t="n">
        <v>46319</v>
      </c>
      <c r="B54" s="47" t="inlineStr">
        <is>
          <t>2026-Q4</t>
        </is>
      </c>
      <c r="C54" s="48" t="inlineStr">
        <is>
          <t>Hazards &amp; Resilience</t>
        </is>
      </c>
      <c r="D54" s="49" t="n"/>
      <c r="E54" s="59" t="inlineStr"/>
      <c r="F54" s="51" t="inlineStr">
        <is>
          <t>Grave deslizamiento de tierra en el sur de Chiayi.</t>
        </is>
      </c>
      <c r="G54" s="51" t="inlineStr"/>
      <c r="H54" s="51" t="inlineStr"/>
      <c r="I54" s="47" t="inlineStr">
        <is>
          <t>Vietnam.vn</t>
        </is>
      </c>
      <c r="J54" s="47" t="inlineStr">
        <is>
          <t>Spain</t>
        </is>
      </c>
      <c r="K54" s="46" t="n">
        <v>46317</v>
      </c>
      <c r="L54" s="51" t="inlineStr">
        <is>
          <t>landslide</t>
        </is>
      </c>
      <c r="M54" s="52" t="inlineStr">
        <is>
          <t>Open article</t>
        </is>
      </c>
    </row>
    <row r="55" ht="48" customHeight="1">
      <c r="A55" s="46" t="n">
        <v>46319</v>
      </c>
      <c r="B55" s="47" t="inlineStr">
        <is>
          <t>2026-Q4</t>
        </is>
      </c>
      <c r="C55" s="48" t="inlineStr">
        <is>
          <t>Hazards &amp; Resilience</t>
        </is>
      </c>
      <c r="D55" s="49" t="n"/>
      <c r="E55" s="59" t="inlineStr"/>
      <c r="F55" s="51" t="inlineStr">
        <is>
          <t>Deslizamiento en Muzo afecta colegio y deja sin clases a 120 estudiantes por las fuertes lluvias</t>
        </is>
      </c>
      <c r="G55" s="51" t="inlineStr"/>
      <c r="H55" s="51" t="inlineStr"/>
      <c r="I55" s="47" t="inlineStr">
        <is>
          <t>Caracol Radio</t>
        </is>
      </c>
      <c r="J55" s="47" t="inlineStr">
        <is>
          <t>Spain</t>
        </is>
      </c>
      <c r="K55" s="46" t="n">
        <v>46318</v>
      </c>
      <c r="L55" s="51" t="inlineStr">
        <is>
          <t>landslide</t>
        </is>
      </c>
      <c r="M55" s="52" t="inlineStr">
        <is>
          <t>Open article</t>
        </is>
      </c>
    </row>
    <row r="56" ht="48" customHeight="1">
      <c r="A56" s="46" t="n">
        <v>46319</v>
      </c>
      <c r="B56" s="47" t="inlineStr">
        <is>
          <t>2026-Q4</t>
        </is>
      </c>
      <c r="C56" s="48" t="inlineStr">
        <is>
          <t>Hazards &amp; Resilience</t>
        </is>
      </c>
      <c r="D56" s="49" t="n"/>
      <c r="E56" s="59" t="inlineStr"/>
      <c r="F56" s="51" t="inlineStr">
        <is>
          <t>Organismos de emergencia atendieron ayer varios deslizamientos en Manizales por las lluvias. 🔗 Encuentre el link de la noticia en el primer comentario 🗞️</t>
        </is>
      </c>
      <c r="G56" s="51" t="inlineStr"/>
      <c r="H56" s="51" t="inlineStr"/>
      <c r="I56" s="47" t="inlineStr">
        <is>
          <t>Facebook</t>
        </is>
      </c>
      <c r="J56" s="47" t="inlineStr">
        <is>
          <t>Spain</t>
        </is>
      </c>
      <c r="K56" s="46" t="n">
        <v>46317</v>
      </c>
      <c r="L56" s="51" t="inlineStr">
        <is>
          <t>landslide</t>
        </is>
      </c>
      <c r="M56" s="52" t="inlineStr">
        <is>
          <t>Open article</t>
        </is>
      </c>
    </row>
    <row r="57" ht="30" customHeight="1">
      <c r="A57" s="46" t="n">
        <v>46319</v>
      </c>
      <c r="B57" s="47" t="inlineStr">
        <is>
          <t>2026-Q4</t>
        </is>
      </c>
      <c r="C57" s="48" t="inlineStr">
        <is>
          <t>Hazards &amp; Resilience</t>
        </is>
      </c>
      <c r="D57" s="49" t="n"/>
      <c r="E57" s="59" t="inlineStr"/>
      <c r="F57" s="51" t="inlineStr">
        <is>
          <t>Fuertes lluvias provocan deslizamientos en Moniquirá, Boyacá</t>
        </is>
      </c>
      <c r="G57" s="51" t="inlineStr"/>
      <c r="H57" s="51" t="inlineStr"/>
      <c r="I57" s="47" t="inlineStr">
        <is>
          <t>Agencia de Periodismo Investigativo</t>
        </is>
      </c>
      <c r="J57" s="47" t="inlineStr">
        <is>
          <t>Spain</t>
        </is>
      </c>
      <c r="K57" s="46" t="n">
        <v>46318</v>
      </c>
      <c r="L57" s="51" t="inlineStr">
        <is>
          <t>landslide</t>
        </is>
      </c>
      <c r="M57" s="52" t="inlineStr">
        <is>
          <t>Open article</t>
        </is>
      </c>
    </row>
    <row r="58" ht="48" customHeight="1">
      <c r="A58" s="46" t="n">
        <v>46319</v>
      </c>
      <c r="B58" s="47" t="inlineStr">
        <is>
          <t>2026-Q4</t>
        </is>
      </c>
      <c r="C58" s="48" t="inlineStr">
        <is>
          <t>Hazards &amp; Resilience</t>
        </is>
      </c>
      <c r="D58" s="49" t="n"/>
      <c r="E58" s="59" t="inlineStr"/>
      <c r="F58" s="51" t="inlineStr">
        <is>
          <t>Deslizamiento de tierra mantiene totalmente suspendido el tránsito en la Ruta 5 Norte en Canela</t>
        </is>
      </c>
      <c r="G58" s="51" t="inlineStr"/>
      <c r="H58" s="51" t="inlineStr"/>
      <c r="I58" s="47" t="inlineStr">
        <is>
          <t>Mi Radio</t>
        </is>
      </c>
      <c r="J58" s="47" t="inlineStr">
        <is>
          <t>Spain</t>
        </is>
      </c>
      <c r="K58" s="46" t="n">
        <v>46317</v>
      </c>
      <c r="L58" s="51" t="inlineStr">
        <is>
          <t>landslide</t>
        </is>
      </c>
      <c r="M58" s="52" t="inlineStr">
        <is>
          <t>Open article</t>
        </is>
      </c>
    </row>
    <row r="59" ht="30" customHeight="1">
      <c r="A59" s="46" t="n">
        <v>46319</v>
      </c>
      <c r="B59" s="47" t="inlineStr">
        <is>
          <t>2026-Q4</t>
        </is>
      </c>
      <c r="C59" s="48" t="inlineStr">
        <is>
          <t>Hazards &amp; Resilience</t>
        </is>
      </c>
      <c r="D59" s="49" t="n"/>
      <c r="E59" s="59" t="inlineStr"/>
      <c r="F59" s="51" t="inlineStr">
        <is>
          <t>Rabren vía Las Tablas–Tonosí tras deslizamiento de tierra por fuertes lluvias</t>
        </is>
      </c>
      <c r="G59" s="51" t="inlineStr"/>
      <c r="H59" s="51" t="inlineStr"/>
      <c r="I59" s="47" t="inlineStr">
        <is>
          <t>Telemetro</t>
        </is>
      </c>
      <c r="J59" s="47" t="inlineStr">
        <is>
          <t>Spain</t>
        </is>
      </c>
      <c r="K59" s="46" t="n">
        <v>46317</v>
      </c>
      <c r="L59" s="51" t="inlineStr">
        <is>
          <t>landslide</t>
        </is>
      </c>
      <c r="M59" s="52" t="inlineStr">
        <is>
          <t>Open article</t>
        </is>
      </c>
    </row>
    <row r="60" ht="30" customHeight="1">
      <c r="A60" s="46" t="n">
        <v>46319</v>
      </c>
      <c r="B60" s="47" t="inlineStr">
        <is>
          <t>2026-Q4</t>
        </is>
      </c>
      <c r="C60" s="48" t="inlineStr">
        <is>
          <t>Hazards &amp; Resilience</t>
        </is>
      </c>
      <c r="D60" s="49" t="n"/>
      <c r="E60" s="59" t="inlineStr"/>
      <c r="F60" s="51" t="inlineStr">
        <is>
          <t>Deslizamiento destruyó cuatro viviendas y mantiene en riesgo a familias en el Moniquirá</t>
        </is>
      </c>
      <c r="G60" s="51" t="inlineStr"/>
      <c r="H60" s="51" t="inlineStr"/>
      <c r="I60" s="47" t="inlineStr">
        <is>
          <t>Caracol Radio</t>
        </is>
      </c>
      <c r="J60" s="47" t="inlineStr">
        <is>
          <t>Spain</t>
        </is>
      </c>
      <c r="K60" s="46" t="n">
        <v>46317</v>
      </c>
      <c r="L60" s="51" t="inlineStr">
        <is>
          <t>landslide</t>
        </is>
      </c>
      <c r="M60" s="52" t="inlineStr">
        <is>
          <t>Open article</t>
        </is>
      </c>
    </row>
    <row r="61" ht="48" customHeight="1">
      <c r="A61" s="46" t="n">
        <v>46319</v>
      </c>
      <c r="B61" s="47" t="inlineStr">
        <is>
          <t>2026-Q4</t>
        </is>
      </c>
      <c r="C61" s="48" t="inlineStr">
        <is>
          <t>Hazards &amp; Resilience</t>
        </is>
      </c>
      <c r="D61" s="49" t="n"/>
      <c r="E61" s="59" t="inlineStr"/>
      <c r="F61" s="51" t="inlineStr">
        <is>
          <t>La provincia de Dong Thap destina 330 mil millones de VND para hacer frente a las zonas afectadas por graves deslizamientos de tierra.</t>
        </is>
      </c>
      <c r="G61" s="51" t="inlineStr"/>
      <c r="H61" s="51" t="inlineStr"/>
      <c r="I61" s="47" t="inlineStr">
        <is>
          <t>Vietnam.vn</t>
        </is>
      </c>
      <c r="J61" s="47" t="inlineStr">
        <is>
          <t>Spain</t>
        </is>
      </c>
      <c r="K61" s="46" t="n">
        <v>46318</v>
      </c>
      <c r="L61" s="51" t="inlineStr">
        <is>
          <t>landslide</t>
        </is>
      </c>
      <c r="M61" s="52" t="inlineStr">
        <is>
          <t>Open article</t>
        </is>
      </c>
    </row>
    <row r="62" ht="48" customHeight="1">
      <c r="A62" s="46" t="n">
        <v>46319</v>
      </c>
      <c r="B62" s="47" t="inlineStr">
        <is>
          <t>2026-Q4</t>
        </is>
      </c>
      <c r="C62" s="48" t="inlineStr">
        <is>
          <t>Hazards &amp; Resilience</t>
        </is>
      </c>
      <c r="D62" s="49" t="n"/>
      <c r="E62" s="59" t="inlineStr"/>
      <c r="F62" s="51" t="inlineStr">
        <is>
          <t>Vista de cerca de 500 metros de calle en la provincia de Lam Dong, gravemente afectada por hundimientos y deslizamientos de tierra.</t>
        </is>
      </c>
      <c r="G62" s="51" t="inlineStr"/>
      <c r="H62" s="51" t="inlineStr"/>
      <c r="I62" s="47" t="inlineStr">
        <is>
          <t>Vietnam.vn</t>
        </is>
      </c>
      <c r="J62" s="47" t="inlineStr">
        <is>
          <t>Spain</t>
        </is>
      </c>
      <c r="K62" s="46" t="n">
        <v>46317</v>
      </c>
      <c r="L62" s="51" t="inlineStr">
        <is>
          <t>landslide, subsidence</t>
        </is>
      </c>
      <c r="M62" s="52" t="inlineStr">
        <is>
          <t>Open article</t>
        </is>
      </c>
    </row>
    <row r="63" ht="48" customHeight="1">
      <c r="A63" s="46" t="n">
        <v>46319</v>
      </c>
      <c r="B63" s="47" t="inlineStr">
        <is>
          <t>2026-Q4</t>
        </is>
      </c>
      <c r="C63" s="48" t="inlineStr">
        <is>
          <t>Hazards &amp; Resilience</t>
        </is>
      </c>
      <c r="D63" s="49" t="n"/>
      <c r="E63" s="59" t="inlineStr"/>
      <c r="F63" s="51" t="inlineStr">
        <is>
          <t>Lam Dong: La carretera en Nam Gia Nghia sufre graves hundimientos y deslizamientos de tierra.</t>
        </is>
      </c>
      <c r="G63" s="51" t="inlineStr"/>
      <c r="H63" s="51" t="inlineStr"/>
      <c r="I63" s="47" t="inlineStr">
        <is>
          <t>Vietnam.vn</t>
        </is>
      </c>
      <c r="J63" s="47" t="inlineStr">
        <is>
          <t>Spain</t>
        </is>
      </c>
      <c r="K63" s="46" t="n">
        <v>46317</v>
      </c>
      <c r="L63" s="51" t="inlineStr">
        <is>
          <t>landslide, subsidence</t>
        </is>
      </c>
      <c r="M63" s="52" t="inlineStr">
        <is>
          <t>Open article</t>
        </is>
      </c>
    </row>
    <row r="64" ht="48" customHeight="1">
      <c r="A64" s="46" t="n">
        <v>46319</v>
      </c>
      <c r="B64" s="47" t="inlineStr">
        <is>
          <t>2026-Q4</t>
        </is>
      </c>
      <c r="C64" s="48" t="inlineStr">
        <is>
          <t>Hazards &amp; Resilience</t>
        </is>
      </c>
      <c r="D64" s="49" t="n"/>
      <c r="E64" s="59" t="inlineStr"/>
      <c r="F64" s="51" t="inlineStr">
        <is>
          <t>Reabren parcialmente la vía a Buenaventura tras deslizamiento en Dagua: hay paso a un carril</t>
        </is>
      </c>
      <c r="G64" s="51" t="inlineStr"/>
      <c r="H64" s="51" t="inlineStr"/>
      <c r="I64" s="47" t="inlineStr">
        <is>
          <t>El País</t>
        </is>
      </c>
      <c r="J64" s="47" t="inlineStr">
        <is>
          <t>Spain</t>
        </is>
      </c>
      <c r="K64" s="46" t="n">
        <v>46317</v>
      </c>
      <c r="L64" s="51" t="inlineStr">
        <is>
          <t>landslide</t>
        </is>
      </c>
      <c r="M64" s="52" t="inlineStr">
        <is>
          <t>Open article</t>
        </is>
      </c>
    </row>
    <row r="65" ht="30" customHeight="1">
      <c r="A65" s="46" t="n">
        <v>46319</v>
      </c>
      <c r="B65" s="47" t="inlineStr">
        <is>
          <t>2026-Q4</t>
        </is>
      </c>
      <c r="C65" s="48" t="inlineStr">
        <is>
          <t>Hazards &amp; Resilience</t>
        </is>
      </c>
      <c r="D65" s="49" t="n"/>
      <c r="E65" s="59" t="inlineStr"/>
      <c r="F65" s="51" t="inlineStr">
        <is>
          <t>Detectan coliformes en muestras de agua tras deslizamiento en mina El Remance</t>
        </is>
      </c>
      <c r="G65" s="51" t="inlineStr"/>
      <c r="H65" s="51" t="inlineStr"/>
      <c r="I65" s="47" t="inlineStr">
        <is>
          <t>CRÍTICA</t>
        </is>
      </c>
      <c r="J65" s="47" t="inlineStr">
        <is>
          <t>Spain</t>
        </is>
      </c>
      <c r="K65" s="46" t="n">
        <v>46319</v>
      </c>
      <c r="L65" s="51" t="inlineStr">
        <is>
          <t>landslide</t>
        </is>
      </c>
      <c r="M65" s="52" t="inlineStr">
        <is>
          <t>Open article</t>
        </is>
      </c>
    </row>
    <row r="66" ht="30" customHeight="1">
      <c r="A66" s="46" t="n">
        <v>46319</v>
      </c>
      <c r="B66" s="47" t="inlineStr">
        <is>
          <t>2026-Q4</t>
        </is>
      </c>
      <c r="C66" s="48" t="inlineStr">
        <is>
          <t>Hazards &amp; Resilience</t>
        </is>
      </c>
      <c r="D66" s="49" t="n"/>
      <c r="E66" s="59" t="inlineStr"/>
      <c r="F66" s="51" t="inlineStr">
        <is>
          <t>IMÁGENES SENSIBLES | Deslizamiento en mina deja 14 personas fallecidas</t>
        </is>
      </c>
      <c r="G66" s="51" t="inlineStr"/>
      <c r="H66" s="51" t="inlineStr"/>
      <c r="I66" s="47" t="inlineStr">
        <is>
          <t>Azteca Bajío</t>
        </is>
      </c>
      <c r="J66" s="47" t="inlineStr">
        <is>
          <t>Spain</t>
        </is>
      </c>
      <c r="K66" s="46" t="n">
        <v>46317</v>
      </c>
      <c r="L66" s="51" t="inlineStr">
        <is>
          <t>landslide</t>
        </is>
      </c>
      <c r="M66" s="52" t="inlineStr">
        <is>
          <t>Open article</t>
        </is>
      </c>
    </row>
    <row r="67" ht="30" customHeight="1">
      <c r="A67" s="46" t="n">
        <v>46319</v>
      </c>
      <c r="B67" s="47" t="inlineStr">
        <is>
          <t>2026-Q4</t>
        </is>
      </c>
      <c r="C67" s="48" t="inlineStr">
        <is>
          <t>Hazards &amp; Resilience</t>
        </is>
      </c>
      <c r="D67" s="49" t="n"/>
      <c r="E67" s="59" t="inlineStr"/>
      <c r="F67" s="51" t="inlineStr">
        <is>
          <t>¡Emergencia en Italia! Fuertes lluvias provocan aludes y deslizamientos de tierra</t>
        </is>
      </c>
      <c r="G67" s="51" t="inlineStr"/>
      <c r="H67" s="51" t="inlineStr"/>
      <c r="I67" s="47" t="inlineStr">
        <is>
          <t>TV Azteca Baja California</t>
        </is>
      </c>
      <c r="J67" s="47" t="inlineStr">
        <is>
          <t>Spain</t>
        </is>
      </c>
      <c r="K67" s="46" t="n">
        <v>46317</v>
      </c>
      <c r="L67" s="51" t="inlineStr">
        <is>
          <t>landslide</t>
        </is>
      </c>
      <c r="M67" s="52" t="inlineStr">
        <is>
          <t>Open article</t>
        </is>
      </c>
    </row>
    <row r="68" ht="48" customHeight="1">
      <c r="A68" s="46" t="n">
        <v>46319</v>
      </c>
      <c r="B68" s="47" t="inlineStr">
        <is>
          <t>2026-Q4</t>
        </is>
      </c>
      <c r="C68" s="48" t="inlineStr">
        <is>
          <t>Hazards &amp; Resilience</t>
        </is>
      </c>
      <c r="D68" s="49" t="n"/>
      <c r="E68" s="59" t="inlineStr"/>
      <c r="F68" s="51" t="inlineStr">
        <is>
          <t>¡La tierra se movió en Moniquirá! Deslizamiento dejó cuatro casas destruidas y otras cinco en riesgo</t>
        </is>
      </c>
      <c r="G68" s="51" t="inlineStr"/>
      <c r="H68" s="51" t="inlineStr"/>
      <c r="I68" s="47" t="inlineStr">
        <is>
          <t>Minuto30</t>
        </is>
      </c>
      <c r="J68" s="47" t="inlineStr">
        <is>
          <t>Spain</t>
        </is>
      </c>
      <c r="K68" s="46" t="n">
        <v>46317</v>
      </c>
      <c r="L68" s="51" t="inlineStr">
        <is>
          <t>landslide</t>
        </is>
      </c>
      <c r="M68" s="52" t="inlineStr">
        <is>
          <t>Open article</t>
        </is>
      </c>
    </row>
    <row r="69" ht="30" customHeight="1">
      <c r="A69" s="46" t="n">
        <v>46319</v>
      </c>
      <c r="B69" s="47" t="inlineStr">
        <is>
          <t>2026-Q4</t>
        </is>
      </c>
      <c r="C69" s="48" t="inlineStr">
        <is>
          <t>Hazards &amp; Resilience</t>
        </is>
      </c>
      <c r="D69" s="49" t="n"/>
      <c r="E69" s="59" t="inlineStr"/>
      <c r="F69" s="51" t="inlineStr">
        <is>
          <t>Deslizamiento destruyó cuatro viviendas en Moniquirá, Boyacá, y dejó a varias familias</t>
        </is>
      </c>
      <c r="G69" s="51" t="inlineStr"/>
      <c r="H69" s="51" t="inlineStr"/>
      <c r="I69" s="47" t="inlineStr">
        <is>
          <t>Diario del Sur</t>
        </is>
      </c>
      <c r="J69" s="47" t="inlineStr">
        <is>
          <t>Spain</t>
        </is>
      </c>
      <c r="K69" s="46" t="n">
        <v>46318</v>
      </c>
      <c r="L69" s="51" t="inlineStr">
        <is>
          <t>landslide</t>
        </is>
      </c>
      <c r="M69" s="52" t="inlineStr">
        <is>
          <t>Open article</t>
        </is>
      </c>
    </row>
    <row r="70" ht="30" customHeight="1">
      <c r="A70" s="46" t="n">
        <v>46319</v>
      </c>
      <c r="B70" s="47" t="inlineStr">
        <is>
          <t>2026-Q4</t>
        </is>
      </c>
      <c r="C70" s="48" t="inlineStr">
        <is>
          <t>Hazards &amp; Resilience</t>
        </is>
      </c>
      <c r="D70" s="49" t="n"/>
      <c r="E70" s="59" t="inlineStr"/>
      <c r="F70" s="51" t="inlineStr">
        <is>
          <t>Por tercera vez, un deslizamiento afecta al Pedregal de Santa Julia en Tijuana</t>
        </is>
      </c>
      <c r="G70" s="51" t="inlineStr"/>
      <c r="H70" s="51" t="inlineStr"/>
      <c r="I70" s="47" t="inlineStr">
        <is>
          <t>TV Azteca Baja California</t>
        </is>
      </c>
      <c r="J70" s="47" t="inlineStr">
        <is>
          <t>Spain</t>
        </is>
      </c>
      <c r="K70" s="46" t="n">
        <v>46318</v>
      </c>
      <c r="L70" s="51" t="inlineStr">
        <is>
          <t>landslide</t>
        </is>
      </c>
      <c r="M70" s="52" t="inlineStr">
        <is>
          <t>Open article</t>
        </is>
      </c>
    </row>
    <row r="71" ht="30" customHeight="1">
      <c r="A71" s="46" t="n">
        <v>46319</v>
      </c>
      <c r="B71" s="47" t="inlineStr">
        <is>
          <t>2026-Q4</t>
        </is>
      </c>
      <c r="C71" s="48" t="inlineStr">
        <is>
          <t>Hazards &amp; Resilience</t>
        </is>
      </c>
      <c r="D71" s="49" t="n"/>
      <c r="E71" s="59" t="inlineStr"/>
      <c r="F71" s="51" t="inlineStr">
        <is>
          <t>Deslizamiento en Moniquirá, Boyacá: 3 casas destruidas por lluvias</t>
        </is>
      </c>
      <c r="G71" s="51" t="inlineStr"/>
      <c r="H71" s="51" t="inlineStr"/>
      <c r="I71" s="47" t="inlineStr">
        <is>
          <t>Estrella Digital Colombia</t>
        </is>
      </c>
      <c r="J71" s="47" t="inlineStr">
        <is>
          <t>Spain</t>
        </is>
      </c>
      <c r="K71" s="46" t="n">
        <v>46318</v>
      </c>
      <c r="L71" s="51" t="inlineStr">
        <is>
          <t>landslide</t>
        </is>
      </c>
      <c r="M71" s="52" t="inlineStr">
        <is>
          <t>Open article</t>
        </is>
      </c>
    </row>
    <row r="72" ht="48" customHeight="1">
      <c r="A72" s="46" t="n">
        <v>46319</v>
      </c>
      <c r="B72" s="47" t="inlineStr">
        <is>
          <t>2026-Q4</t>
        </is>
      </c>
      <c r="C72" s="48" t="inlineStr">
        <is>
          <t>Hazards &amp; Resilience</t>
        </is>
      </c>
      <c r="D72" s="49" t="n"/>
      <c r="E72" s="59" t="inlineStr"/>
      <c r="F72" s="51" t="inlineStr">
        <is>
          <t>Obrero permaneció sepultado por casi cuatro horas tras colapso de muro de contención en Ventanilla: fue rescatado con vida</t>
        </is>
      </c>
      <c r="G72" s="51" t="inlineStr"/>
      <c r="H72" s="51" t="inlineStr"/>
      <c r="I72" s="47" t="inlineStr">
        <is>
          <t>Infobae</t>
        </is>
      </c>
      <c r="J72" s="47" t="inlineStr">
        <is>
          <t>Mexico</t>
        </is>
      </c>
      <c r="K72" s="46" t="n">
        <v>46318</v>
      </c>
      <c r="L72" s="51" t="inlineStr">
        <is>
          <t>retaining wall, collapse</t>
        </is>
      </c>
      <c r="M72" s="52" t="inlineStr">
        <is>
          <t>Open article</t>
        </is>
      </c>
    </row>
    <row r="73" ht="30" customHeight="1">
      <c r="A73" s="46" t="n">
        <v>46319</v>
      </c>
      <c r="B73" s="47" t="inlineStr">
        <is>
          <t>2026-Q4</t>
        </is>
      </c>
      <c r="C73" s="48" t="inlineStr">
        <is>
          <t>Hazards &amp; Resilience</t>
        </is>
      </c>
      <c r="D73" s="49" t="n"/>
      <c r="E73" s="59" t="inlineStr"/>
      <c r="F73" s="51" t="inlineStr">
        <is>
          <t>Tres viviendas quedaron destruidas tras deslizamiento en zona rural de Moniquirá</t>
        </is>
      </c>
      <c r="G73" s="51" t="inlineStr"/>
      <c r="H73" s="51" t="inlineStr"/>
      <c r="I73" s="47" t="inlineStr">
        <is>
          <t>Noticias Caracol</t>
        </is>
      </c>
      <c r="J73" s="47" t="inlineStr">
        <is>
          <t>Mexico</t>
        </is>
      </c>
      <c r="K73" s="46" t="n">
        <v>46318</v>
      </c>
      <c r="L73" s="51" t="inlineStr">
        <is>
          <t>landslide</t>
        </is>
      </c>
      <c r="M73" s="52" t="inlineStr">
        <is>
          <t>Open article</t>
        </is>
      </c>
    </row>
    <row r="74" ht="30" customHeight="1">
      <c r="A74" s="46" t="n">
        <v>46319</v>
      </c>
      <c r="B74" s="47" t="inlineStr">
        <is>
          <t>2026-Q4</t>
        </is>
      </c>
      <c r="C74" s="48" t="inlineStr">
        <is>
          <t>Hazards &amp; Resilience</t>
        </is>
      </c>
      <c r="D74" s="49" t="n"/>
      <c r="E74" s="59" t="inlineStr"/>
      <c r="F74" s="51" t="inlineStr">
        <is>
          <t>Quito bajo la lluvia: 321 barrios están expuestos a inundaciones y deslizamientos</t>
        </is>
      </c>
      <c r="G74" s="51" t="inlineStr"/>
      <c r="H74" s="51" t="inlineStr"/>
      <c r="I74" s="47" t="inlineStr">
        <is>
          <t>Diario Extra</t>
        </is>
      </c>
      <c r="J74" s="47" t="inlineStr">
        <is>
          <t>Mexico</t>
        </is>
      </c>
      <c r="K74" s="46" t="n">
        <v>46318</v>
      </c>
      <c r="L74" s="51" t="inlineStr">
        <is>
          <t>landslide</t>
        </is>
      </c>
      <c r="M74" s="52" t="inlineStr">
        <is>
          <t>Open article</t>
        </is>
      </c>
    </row>
    <row r="75" ht="30" customHeight="1">
      <c r="A75" s="46" t="n">
        <v>46319</v>
      </c>
      <c r="B75" s="47" t="inlineStr">
        <is>
          <t>2026-Q4</t>
        </is>
      </c>
      <c r="C75" s="48" t="inlineStr">
        <is>
          <t>Hazards &amp; Resilience</t>
        </is>
      </c>
      <c r="D75" s="49" t="n"/>
      <c r="E75" s="59" t="inlineStr"/>
      <c r="F75" s="51" t="inlineStr">
        <is>
          <t>Deslizamento de terra em mina de ouro ilegal na Colômbia deixa nove mortos</t>
        </is>
      </c>
      <c r="G75" s="51" t="inlineStr"/>
      <c r="H75" s="51" t="inlineStr"/>
      <c r="I75" s="47" t="inlineStr">
        <is>
          <t>Estadão</t>
        </is>
      </c>
      <c r="J75" s="47" t="inlineStr">
        <is>
          <t>Brazil</t>
        </is>
      </c>
      <c r="K75" s="46" t="n">
        <v>46319</v>
      </c>
      <c r="L75" s="51" t="inlineStr">
        <is>
          <t>landslide</t>
        </is>
      </c>
      <c r="M75" s="52" t="inlineStr">
        <is>
          <t>Open article</t>
        </is>
      </c>
    </row>
    <row r="76" ht="30" customHeight="1">
      <c r="A76" s="46" t="n">
        <v>46319</v>
      </c>
      <c r="B76" s="47" t="inlineStr">
        <is>
          <t>2026-Q4</t>
        </is>
      </c>
      <c r="C76" s="48" t="inlineStr">
        <is>
          <t>Hazards &amp; Resilience</t>
        </is>
      </c>
      <c r="D76" s="49" t="n"/>
      <c r="E76" s="59" t="inlineStr"/>
      <c r="F76" s="51" t="inlineStr">
        <is>
          <t>Deslizamento de terra interdita rua em Presidente Getúlio</t>
        </is>
      </c>
      <c r="G76" s="51" t="inlineStr"/>
      <c r="H76" s="51" t="inlineStr"/>
      <c r="I76" s="47" t="inlineStr">
        <is>
          <t>Rádio Mirador</t>
        </is>
      </c>
      <c r="J76" s="47" t="inlineStr">
        <is>
          <t>Brazil</t>
        </is>
      </c>
      <c r="K76" s="46" t="n">
        <v>46318</v>
      </c>
      <c r="L76" s="51" t="inlineStr">
        <is>
          <t>landslide</t>
        </is>
      </c>
      <c r="M76" s="52" t="inlineStr">
        <is>
          <t>Open article</t>
        </is>
      </c>
    </row>
    <row r="77" ht="30" customHeight="1">
      <c r="A77" s="46" t="n">
        <v>46319</v>
      </c>
      <c r="B77" s="47" t="inlineStr">
        <is>
          <t>2026-Q4</t>
        </is>
      </c>
      <c r="C77" s="48" t="inlineStr">
        <is>
          <t>Hazards &amp; Resilience</t>
        </is>
      </c>
      <c r="D77" s="49" t="n"/>
      <c r="E77" s="59" t="inlineStr"/>
      <c r="F77" s="51" t="inlineStr">
        <is>
          <t>Deslizamento e obras exigem atenção de motoristas na Serra Dona Francisca</t>
        </is>
      </c>
      <c r="G77" s="51" t="inlineStr"/>
      <c r="H77" s="51" t="inlineStr"/>
      <c r="I77" s="47" t="inlineStr">
        <is>
          <t>ND Mais</t>
        </is>
      </c>
      <c r="J77" s="47" t="inlineStr">
        <is>
          <t>Brazil</t>
        </is>
      </c>
      <c r="K77" s="46" t="n">
        <v>46318</v>
      </c>
      <c r="L77" s="51" t="inlineStr">
        <is>
          <t>landslide</t>
        </is>
      </c>
      <c r="M77" s="52" t="inlineStr">
        <is>
          <t>Open article</t>
        </is>
      </c>
    </row>
    <row r="78" ht="30" customHeight="1">
      <c r="A78" s="46" t="n">
        <v>46319</v>
      </c>
      <c r="B78" s="47" t="inlineStr">
        <is>
          <t>2026-Q4</t>
        </is>
      </c>
      <c r="C78" s="48" t="inlineStr">
        <is>
          <t>Hazards &amp; Resilience</t>
        </is>
      </c>
      <c r="D78" s="49" t="n"/>
      <c r="E78" s="59" t="inlineStr"/>
      <c r="F78" s="51" t="inlineStr">
        <is>
          <t>Barreira de contenção de deslizamentos de terra 'ameaça' área residencial.</t>
        </is>
      </c>
      <c r="G78" s="51" t="inlineStr"/>
      <c r="H78" s="51" t="inlineStr"/>
      <c r="I78" s="47" t="inlineStr">
        <is>
          <t>Vietnam.vn</t>
        </is>
      </c>
      <c r="J78" s="47" t="inlineStr">
        <is>
          <t>Brazil</t>
        </is>
      </c>
      <c r="K78" s="46" t="n">
        <v>46318</v>
      </c>
      <c r="L78" s="51" t="inlineStr">
        <is>
          <t>landslide</t>
        </is>
      </c>
      <c r="M78" s="52" t="inlineStr">
        <is>
          <t>Open article</t>
        </is>
      </c>
    </row>
    <row r="79" ht="48" customHeight="1">
      <c r="A79" s="46" t="n">
        <v>46319</v>
      </c>
      <c r="B79" s="47" t="inlineStr">
        <is>
          <t>2026-Q4</t>
        </is>
      </c>
      <c r="C79" s="48" t="inlineStr">
        <is>
          <t>Hazards &amp; Resilience</t>
        </is>
      </c>
      <c r="D79" s="49" t="n"/>
      <c r="E79" s="59" t="inlineStr"/>
      <c r="F79" s="51" t="inlineStr">
        <is>
          <t>O Passo de Khanh Le está parcialmente fechado para lidar com o risco de deslizamentos de rochas.</t>
        </is>
      </c>
      <c r="G79" s="51" t="inlineStr"/>
      <c r="H79" s="51" t="inlineStr"/>
      <c r="I79" s="47" t="inlineStr">
        <is>
          <t>Vietnam.vn</t>
        </is>
      </c>
      <c r="J79" s="47" t="inlineStr">
        <is>
          <t>Brazil</t>
        </is>
      </c>
      <c r="K79" s="46" t="n">
        <v>46317</v>
      </c>
      <c r="L79" s="51" t="inlineStr">
        <is>
          <t>landslide</t>
        </is>
      </c>
      <c r="M79" s="52" t="inlineStr">
        <is>
          <t>Open article</t>
        </is>
      </c>
    </row>
    <row r="80" ht="48" customHeight="1">
      <c r="A80" s="46" t="n">
        <v>46319</v>
      </c>
      <c r="B80" s="47" t="inlineStr">
        <is>
          <t>2026-Q4</t>
        </is>
      </c>
      <c r="C80" s="48" t="inlineStr">
        <is>
          <t>Hazards &amp; Resilience</t>
        </is>
      </c>
      <c r="D80" s="49" t="n"/>
      <c r="E80" s="59" t="inlineStr"/>
      <c r="F80" s="51" t="inlineStr">
        <is>
          <t>Nghe An: É necessária uma ação urgente para resolver o deslizamento de terra no aterro ao longo da estrada costeira.</t>
        </is>
      </c>
      <c r="G80" s="51" t="inlineStr"/>
      <c r="H80" s="51" t="inlineStr"/>
      <c r="I80" s="47" t="inlineStr">
        <is>
          <t>Vietnam.vn</t>
        </is>
      </c>
      <c r="J80" s="47" t="inlineStr">
        <is>
          <t>Brazil</t>
        </is>
      </c>
      <c r="K80" s="46" t="n">
        <v>46318</v>
      </c>
      <c r="L80" s="51" t="inlineStr">
        <is>
          <t>landslide, embankment</t>
        </is>
      </c>
      <c r="M80" s="52" t="inlineStr">
        <is>
          <t>Open article</t>
        </is>
      </c>
    </row>
    <row r="81" ht="48" customHeight="1">
      <c r="A81" s="46" t="n">
        <v>46319</v>
      </c>
      <c r="B81" s="47" t="inlineStr">
        <is>
          <t>2026-Q4</t>
        </is>
      </c>
      <c r="C81" s="48" t="inlineStr">
        <is>
          <t>Hazards &amp; Resilience</t>
        </is>
      </c>
      <c r="D81" s="49" t="n"/>
      <c r="E81" s="59" t="inlineStr"/>
      <c r="F81" s="51" t="inlineStr">
        <is>
          <t>Embora concordem em se mudar para evitar deslizamentos de terra, os moradores de Nui Mot estão preocupados com a indenização e o reassentamento.</t>
        </is>
      </c>
      <c r="G81" s="51" t="inlineStr"/>
      <c r="H81" s="51" t="inlineStr"/>
      <c r="I81" s="47" t="inlineStr">
        <is>
          <t>Vietnam.vn</t>
        </is>
      </c>
      <c r="J81" s="47" t="inlineStr">
        <is>
          <t>Brazil</t>
        </is>
      </c>
      <c r="K81" s="46" t="n">
        <v>46317</v>
      </c>
      <c r="L81" s="51" t="inlineStr">
        <is>
          <t>landslide</t>
        </is>
      </c>
      <c r="M81" s="52" t="inlineStr">
        <is>
          <t>Open article</t>
        </is>
      </c>
    </row>
  </sheetData>
  <conditionalFormatting sqref="D2:D8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8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60" t="inlineStr">
        <is>
          <t>Vietnam.vn</t>
        </is>
      </c>
      <c r="B2" s="28" t="n">
        <v>19</v>
      </c>
      <c r="C2" s="61" t="n">
        <v>3.5</v>
      </c>
      <c r="D2" s="43" t="inlineStr">
        <is>
          <t>Hazards &amp; Resilience</t>
        </is>
      </c>
    </row>
    <row r="3">
      <c r="A3" s="60" t="inlineStr">
        <is>
          <t>Il Mattino</t>
        </is>
      </c>
      <c r="B3" s="28" t="n">
        <v>2</v>
      </c>
      <c r="C3" s="61" t="n"/>
      <c r="D3" s="43" t="inlineStr">
        <is>
          <t>Hazards &amp; Resilience</t>
        </is>
      </c>
    </row>
    <row r="4">
      <c r="A4" s="60" t="inlineStr">
        <is>
          <t>Diario Concepción</t>
        </is>
      </c>
      <c r="B4" s="28" t="n">
        <v>2</v>
      </c>
      <c r="C4" s="61" t="n"/>
      <c r="D4" s="43" t="inlineStr">
        <is>
          <t>Hazards &amp; Resilience</t>
        </is>
      </c>
    </row>
    <row r="5">
      <c r="A5" s="60" t="inlineStr">
        <is>
          <t>Canal 9 Bío Bío Televisión</t>
        </is>
      </c>
      <c r="B5" s="28" t="n">
        <v>2</v>
      </c>
      <c r="C5" s="61" t="n"/>
      <c r="D5" s="43" t="inlineStr">
        <is>
          <t>Hazards &amp; Resilience</t>
        </is>
      </c>
    </row>
    <row r="6">
      <c r="A6" s="60" t="inlineStr">
        <is>
          <t>N+</t>
        </is>
      </c>
      <c r="B6" s="28" t="n">
        <v>2</v>
      </c>
      <c r="C6" s="61" t="n"/>
      <c r="D6" s="43" t="inlineStr">
        <is>
          <t>Hazards &amp; Resilience</t>
        </is>
      </c>
    </row>
    <row r="7">
      <c r="A7" s="60" t="inlineStr">
        <is>
          <t>Caracol Radio</t>
        </is>
      </c>
      <c r="B7" s="28" t="n">
        <v>2</v>
      </c>
      <c r="C7" s="61" t="n"/>
      <c r="D7" s="43" t="inlineStr">
        <is>
          <t>Hazards &amp; Resilience</t>
        </is>
      </c>
    </row>
    <row r="8">
      <c r="A8" s="60" t="inlineStr">
        <is>
          <t>TV Azteca Baja California</t>
        </is>
      </c>
      <c r="B8" s="28" t="n">
        <v>2</v>
      </c>
      <c r="C8" s="61" t="n"/>
      <c r="D8" s="43" t="inlineStr">
        <is>
          <t>Hazards &amp; Resilience</t>
        </is>
      </c>
    </row>
    <row r="9">
      <c r="A9" s="60" t="inlineStr">
        <is>
          <t>agenzia giornalistica opinione</t>
        </is>
      </c>
      <c r="B9" s="28" t="n">
        <v>1</v>
      </c>
      <c r="C9" s="61" t="n">
        <v>4</v>
      </c>
      <c r="D9" s="43" t="inlineStr">
        <is>
          <t>Hazards &amp; Resilience</t>
        </is>
      </c>
    </row>
    <row r="10">
      <c r="A10" s="60" t="inlineStr">
        <is>
          <t>Il Giornale dei Castelli Romani</t>
        </is>
      </c>
      <c r="B10" s="28" t="n">
        <v>1</v>
      </c>
      <c r="C10" s="61" t="n">
        <v>4</v>
      </c>
      <c r="D10" s="43" t="inlineStr">
        <is>
          <t>Hazards &amp; Resilience</t>
        </is>
      </c>
    </row>
    <row r="11">
      <c r="A11" s="60" t="inlineStr">
        <is>
          <t>Tv7 Benevento</t>
        </is>
      </c>
      <c r="B11" s="28" t="n">
        <v>1</v>
      </c>
      <c r="C11" s="61" t="n">
        <v>4</v>
      </c>
      <c r="D11" s="43" t="inlineStr">
        <is>
          <t>Hazards &amp; Resilience</t>
        </is>
      </c>
    </row>
    <row r="12">
      <c r="A12" s="60" t="inlineStr">
        <is>
          <t>lacronaca24.it</t>
        </is>
      </c>
      <c r="B12" s="28" t="n">
        <v>1</v>
      </c>
      <c r="C12" s="61" t="n">
        <v>4</v>
      </c>
      <c r="D12" s="43" t="inlineStr">
        <is>
          <t>Hazards &amp; Resilience</t>
        </is>
      </c>
    </row>
    <row r="13">
      <c r="A13" s="60" t="inlineStr">
        <is>
          <t>Zazoom Social News</t>
        </is>
      </c>
      <c r="B13" s="28" t="n">
        <v>1</v>
      </c>
      <c r="C13" s="61" t="n">
        <v>4</v>
      </c>
      <c r="D13" s="43" t="inlineStr">
        <is>
          <t>Hazards &amp; Resilience</t>
        </is>
      </c>
    </row>
    <row r="14">
      <c r="A14" s="60" t="inlineStr">
        <is>
          <t>RRI.co.id</t>
        </is>
      </c>
      <c r="B14" s="28" t="n">
        <v>1</v>
      </c>
      <c r="C14" s="61" t="n">
        <v>4</v>
      </c>
      <c r="D14" s="43" t="inlineStr">
        <is>
          <t>Hazards &amp; Resilience</t>
        </is>
      </c>
    </row>
    <row r="15">
      <c r="A15" s="60" t="inlineStr">
        <is>
          <t>Masrawy</t>
        </is>
      </c>
      <c r="B15" s="28" t="n">
        <v>1</v>
      </c>
      <c r="C15" s="61" t="n">
        <v>4</v>
      </c>
      <c r="D15" s="43" t="inlineStr">
        <is>
          <t>Hazards &amp; Resilience</t>
        </is>
      </c>
    </row>
    <row r="16">
      <c r="A16" s="60" t="inlineStr">
        <is>
          <t>Pikiran-Rakyat.com</t>
        </is>
      </c>
      <c r="B16" s="28" t="n">
        <v>1</v>
      </c>
      <c r="C16" s="61" t="n">
        <v>4</v>
      </c>
      <c r="D16" s="43" t="inlineStr">
        <is>
          <t>Hazards &amp; Resilience</t>
        </is>
      </c>
    </row>
    <row r="17">
      <c r="A17" s="60" t="inlineStr">
        <is>
          <t>아시아경제</t>
        </is>
      </c>
      <c r="B17" s="28" t="n">
        <v>1</v>
      </c>
      <c r="C17" s="61" t="n">
        <v>4</v>
      </c>
      <c r="D17" s="34" t="inlineStr">
        <is>
          <t>Infrastructure &amp; the Underground City</t>
        </is>
      </c>
    </row>
    <row r="18">
      <c r="A18" s="60" t="inlineStr">
        <is>
          <t>Baolangson.vn</t>
        </is>
      </c>
      <c r="B18" s="28" t="n">
        <v>1</v>
      </c>
      <c r="C18" s="61" t="n">
        <v>4</v>
      </c>
      <c r="D18" s="44" t="inlineStr">
        <is>
          <t>Characterisation &amp; Modelling</t>
        </is>
      </c>
    </row>
    <row r="19">
      <c r="A19" s="60" t="inlineStr">
        <is>
          <t>Yahoo</t>
        </is>
      </c>
      <c r="B19" s="28" t="n">
        <v>1</v>
      </c>
      <c r="C19" s="61" t="n">
        <v>4</v>
      </c>
      <c r="D19" s="43" t="inlineStr">
        <is>
          <t>Hazards &amp; Resilience</t>
        </is>
      </c>
    </row>
    <row r="20">
      <c r="A20" s="60" t="inlineStr">
        <is>
          <t>Savona News</t>
        </is>
      </c>
      <c r="B20" s="28" t="n">
        <v>1</v>
      </c>
      <c r="C20" s="61" t="n">
        <v>3</v>
      </c>
      <c r="D20" s="43" t="inlineStr">
        <is>
          <t>Hazards &amp; Resilience</t>
        </is>
      </c>
    </row>
    <row r="21">
      <c r="A21" s="60" t="inlineStr">
        <is>
          <t>凤凰网</t>
        </is>
      </c>
      <c r="B21" s="28" t="n">
        <v>1</v>
      </c>
      <c r="C21" s="61" t="n">
        <v>3</v>
      </c>
      <c r="D21" s="43" t="inlineStr">
        <is>
          <t>Hazards &amp; Resilience</t>
        </is>
      </c>
    </row>
    <row r="22">
      <c r="A22" s="60" t="inlineStr">
        <is>
          <t>Hub News</t>
        </is>
      </c>
      <c r="B22" s="28" t="n">
        <v>1</v>
      </c>
      <c r="C22" s="61" t="n">
        <v>3</v>
      </c>
      <c r="D22" s="43" t="inlineStr">
        <is>
          <t>Hazards &amp; Resilience</t>
        </is>
      </c>
    </row>
    <row r="23">
      <c r="A23" s="60" t="inlineStr">
        <is>
          <t>Deccan Chronicle</t>
        </is>
      </c>
      <c r="B23" s="28" t="n">
        <v>1</v>
      </c>
      <c r="C23" s="61" t="n">
        <v>3</v>
      </c>
      <c r="D23" s="34" t="inlineStr">
        <is>
          <t>Infrastructure &amp; the Underground City</t>
        </is>
      </c>
    </row>
    <row r="24">
      <c r="A24" s="60" t="inlineStr">
        <is>
          <t>NewsRadio WFLA</t>
        </is>
      </c>
      <c r="B24" s="28" t="n">
        <v>1</v>
      </c>
      <c r="C24" s="61" t="n">
        <v>3</v>
      </c>
      <c r="D24" s="43" t="inlineStr">
        <is>
          <t>Hazards &amp; Resilience</t>
        </is>
      </c>
    </row>
    <row r="25">
      <c r="A25" s="60" t="inlineStr">
        <is>
          <t>VOI.ID</t>
        </is>
      </c>
      <c r="B25" s="28" t="n">
        <v>1</v>
      </c>
      <c r="C25" s="61" t="n"/>
      <c r="D25" s="43" t="inlineStr">
        <is>
          <t>Hazards &amp; Resilience</t>
        </is>
      </c>
    </row>
    <row r="26">
      <c r="A26" s="60" t="inlineStr">
        <is>
          <t>https://investigasi.news/</t>
        </is>
      </c>
      <c r="B26" s="28" t="n">
        <v>1</v>
      </c>
      <c r="C26" s="61" t="n"/>
      <c r="D26" s="43" t="inlineStr">
        <is>
          <t>Hazards &amp; Resilience</t>
        </is>
      </c>
    </row>
    <row r="27">
      <c r="A27" s="60" t="inlineStr">
        <is>
          <t>XPOSE TV</t>
        </is>
      </c>
      <c r="B27" s="28" t="n">
        <v>1</v>
      </c>
      <c r="C27" s="61" t="n"/>
      <c r="D27" s="43" t="inlineStr">
        <is>
          <t>Hazards &amp; Resilience</t>
        </is>
      </c>
    </row>
    <row r="28">
      <c r="A28" s="60" t="inlineStr">
        <is>
          <t>Seven Radio</t>
        </is>
      </c>
      <c r="B28" s="28" t="n">
        <v>1</v>
      </c>
      <c r="C28" s="61" t="n"/>
      <c r="D28" s="43" t="inlineStr">
        <is>
          <t>Hazards &amp; Resilience</t>
        </is>
      </c>
    </row>
    <row r="29">
      <c r="A29" s="60" t="inlineStr">
        <is>
          <t>diariolosandes.com.ec</t>
        </is>
      </c>
      <c r="B29" s="28" t="n">
        <v>1</v>
      </c>
      <c r="C29" s="61" t="n"/>
      <c r="D29" s="43" t="inlineStr">
        <is>
          <t>Hazards &amp; Resilience</t>
        </is>
      </c>
    </row>
    <row r="30">
      <c r="A30" s="60" t="inlineStr">
        <is>
          <t>El Tiempo</t>
        </is>
      </c>
      <c r="B30" s="28" t="n">
        <v>1</v>
      </c>
      <c r="C30" s="61" t="n"/>
      <c r="D30" s="43" t="inlineStr">
        <is>
          <t>Hazards &amp; Resilience</t>
        </is>
      </c>
    </row>
    <row r="31">
      <c r="A31" s="60" t="inlineStr">
        <is>
          <t>Diario sin Secretos</t>
        </is>
      </c>
      <c r="B31" s="28" t="n">
        <v>1</v>
      </c>
      <c r="C31" s="61" t="n"/>
      <c r="D31" s="43" t="inlineStr">
        <is>
          <t>Hazards &amp; Resilience</t>
        </is>
      </c>
    </row>
    <row r="32">
      <c r="A32" s="60" t="inlineStr">
        <is>
          <t>BioBioChile</t>
        </is>
      </c>
      <c r="B32" s="28" t="n">
        <v>1</v>
      </c>
      <c r="C32" s="61" t="n"/>
      <c r="D32" s="43" t="inlineStr">
        <is>
          <t>Hazards &amp; Resilience</t>
        </is>
      </c>
    </row>
    <row r="33">
      <c r="A33" s="60" t="inlineStr">
        <is>
          <t>La Tribuna</t>
        </is>
      </c>
      <c r="B33" s="28" t="n">
        <v>1</v>
      </c>
      <c r="C33" s="61" t="n"/>
      <c r="D33" s="43" t="inlineStr">
        <is>
          <t>Hazards &amp; Resilience</t>
        </is>
      </c>
    </row>
    <row r="34">
      <c r="A34" s="60" t="inlineStr">
        <is>
          <t>Teleamazonas</t>
        </is>
      </c>
      <c r="B34" s="28" t="n">
        <v>1</v>
      </c>
      <c r="C34" s="61" t="n"/>
      <c r="D34" s="43" t="inlineStr">
        <is>
          <t>Hazards &amp; Resilience</t>
        </is>
      </c>
    </row>
    <row r="35">
      <c r="A35" s="60" t="inlineStr">
        <is>
          <t>El Universo</t>
        </is>
      </c>
      <c r="B35" s="28" t="n">
        <v>1</v>
      </c>
      <c r="C35" s="61" t="n"/>
      <c r="D35" s="43" t="inlineStr">
        <is>
          <t>Hazards &amp; Resilience</t>
        </is>
      </c>
    </row>
    <row r="36">
      <c r="A36" s="60" t="inlineStr">
        <is>
          <t>Destino Panamá</t>
        </is>
      </c>
      <c r="B36" s="28" t="n">
        <v>1</v>
      </c>
      <c r="C36" s="61" t="n"/>
      <c r="D36" s="43" t="inlineStr">
        <is>
          <t>Hazards &amp; Resilience</t>
        </is>
      </c>
    </row>
    <row r="37">
      <c r="A37" s="60" t="inlineStr">
        <is>
          <t>Lost Coast Outpost</t>
        </is>
      </c>
      <c r="B37" s="28" t="n">
        <v>1</v>
      </c>
      <c r="C37" s="61" t="n"/>
      <c r="D37" s="43" t="inlineStr">
        <is>
          <t>Hazards &amp; Resilience</t>
        </is>
      </c>
    </row>
    <row r="38">
      <c r="A38" s="60" t="inlineStr">
        <is>
          <t>Meganoticias</t>
        </is>
      </c>
      <c r="B38" s="28" t="n">
        <v>1</v>
      </c>
      <c r="C38" s="61" t="n"/>
      <c r="D38" s="43" t="inlineStr">
        <is>
          <t>Hazards &amp; Resilience</t>
        </is>
      </c>
    </row>
    <row r="39">
      <c r="A39" s="60" t="inlineStr">
        <is>
          <t>RCG Media</t>
        </is>
      </c>
      <c r="B39" s="28" t="n">
        <v>1</v>
      </c>
      <c r="C39" s="61" t="n"/>
      <c r="D39" s="43" t="inlineStr">
        <is>
          <t>Hazards &amp; Resilience</t>
        </is>
      </c>
    </row>
    <row r="40">
      <c r="A40" s="60" t="inlineStr">
        <is>
          <t>Revista Semana</t>
        </is>
      </c>
      <c r="B40" s="28" t="n">
        <v>1</v>
      </c>
      <c r="C40" s="61" t="n"/>
      <c r="D40" s="43" t="inlineStr">
        <is>
          <t>Hazards &amp; Resilience</t>
        </is>
      </c>
    </row>
    <row r="41">
      <c r="A41" s="60" t="inlineStr">
        <is>
          <t>Periódico del Meta</t>
        </is>
      </c>
      <c r="B41" s="28" t="n">
        <v>1</v>
      </c>
      <c r="C41" s="61" t="n"/>
      <c r="D41" s="43" t="inlineStr">
        <is>
          <t>Hazards &amp; Resilience</t>
        </is>
      </c>
    </row>
    <row r="42">
      <c r="A42" s="60" t="inlineStr">
        <is>
          <t>Facebook</t>
        </is>
      </c>
      <c r="B42" s="28" t="n">
        <v>1</v>
      </c>
      <c r="C42" s="61" t="n"/>
      <c r="D42" s="43" t="inlineStr">
        <is>
          <t>Hazards &amp; Resilience</t>
        </is>
      </c>
    </row>
    <row r="43">
      <c r="A43" s="60" t="inlineStr">
        <is>
          <t>Agencia de Periodismo Investigativo</t>
        </is>
      </c>
      <c r="B43" s="28" t="n">
        <v>1</v>
      </c>
      <c r="C43" s="61" t="n"/>
      <c r="D43" s="43" t="inlineStr">
        <is>
          <t>Hazards &amp; Resilience</t>
        </is>
      </c>
    </row>
    <row r="44">
      <c r="A44" s="60" t="inlineStr">
        <is>
          <t>Mi Radio</t>
        </is>
      </c>
      <c r="B44" s="28" t="n">
        <v>1</v>
      </c>
      <c r="C44" s="61" t="n"/>
      <c r="D44" s="43" t="inlineStr">
        <is>
          <t>Hazards &amp; Resilience</t>
        </is>
      </c>
    </row>
    <row r="45">
      <c r="A45" s="60" t="inlineStr">
        <is>
          <t>Telemetro</t>
        </is>
      </c>
      <c r="B45" s="28" t="n">
        <v>1</v>
      </c>
      <c r="C45" s="61" t="n"/>
      <c r="D45" s="43" t="inlineStr">
        <is>
          <t>Hazards &amp; Resilience</t>
        </is>
      </c>
    </row>
    <row r="46">
      <c r="A46" s="60" t="inlineStr">
        <is>
          <t>El País</t>
        </is>
      </c>
      <c r="B46" s="28" t="n">
        <v>1</v>
      </c>
      <c r="C46" s="61" t="n"/>
      <c r="D46" s="43" t="inlineStr">
        <is>
          <t>Hazards &amp; Resilience</t>
        </is>
      </c>
    </row>
    <row r="47">
      <c r="A47" s="60" t="inlineStr">
        <is>
          <t>CRÍTICA</t>
        </is>
      </c>
      <c r="B47" s="28" t="n">
        <v>1</v>
      </c>
      <c r="C47" s="61" t="n"/>
      <c r="D47" s="43" t="inlineStr">
        <is>
          <t>Hazards &amp; Resilience</t>
        </is>
      </c>
    </row>
    <row r="48">
      <c r="A48" s="60" t="inlineStr">
        <is>
          <t>Azteca Bajío</t>
        </is>
      </c>
      <c r="B48" s="28" t="n">
        <v>1</v>
      </c>
      <c r="C48" s="61" t="n"/>
      <c r="D48" s="43" t="inlineStr">
        <is>
          <t>Hazards &amp; Resilience</t>
        </is>
      </c>
    </row>
    <row r="49">
      <c r="A49" s="60" t="inlineStr">
        <is>
          <t>Minuto30</t>
        </is>
      </c>
      <c r="B49" s="28" t="n">
        <v>1</v>
      </c>
      <c r="C49" s="61" t="n"/>
      <c r="D49" s="43" t="inlineStr">
        <is>
          <t>Hazards &amp; Resilience</t>
        </is>
      </c>
    </row>
    <row r="50">
      <c r="A50" s="60" t="inlineStr">
        <is>
          <t>Diario del Sur</t>
        </is>
      </c>
      <c r="B50" s="28" t="n">
        <v>1</v>
      </c>
      <c r="C50" s="61" t="n"/>
      <c r="D50" s="43" t="inlineStr">
        <is>
          <t>Hazards &amp; Resilience</t>
        </is>
      </c>
    </row>
    <row r="51">
      <c r="A51" s="60" t="inlineStr">
        <is>
          <t>Estrella Digital Colombia</t>
        </is>
      </c>
      <c r="B51" s="28" t="n">
        <v>1</v>
      </c>
      <c r="C51" s="61" t="n"/>
      <c r="D51" s="43" t="inlineStr">
        <is>
          <t>Hazards &amp; Resilience</t>
        </is>
      </c>
    </row>
    <row r="52">
      <c r="A52" s="60" t="inlineStr">
        <is>
          <t>Infobae</t>
        </is>
      </c>
      <c r="B52" s="28" t="n">
        <v>1</v>
      </c>
      <c r="C52" s="61" t="n"/>
      <c r="D52" s="43" t="inlineStr">
        <is>
          <t>Hazards &amp; Resilience</t>
        </is>
      </c>
    </row>
    <row r="53">
      <c r="A53" s="60" t="inlineStr">
        <is>
          <t>Noticias Caracol</t>
        </is>
      </c>
      <c r="B53" s="28" t="n">
        <v>1</v>
      </c>
      <c r="C53" s="61" t="n"/>
      <c r="D53" s="43" t="inlineStr">
        <is>
          <t>Hazards &amp; Resilience</t>
        </is>
      </c>
    </row>
    <row r="54">
      <c r="A54" s="60" t="inlineStr">
        <is>
          <t>Diario Extra</t>
        </is>
      </c>
      <c r="B54" s="28" t="n">
        <v>1</v>
      </c>
      <c r="C54" s="61" t="n"/>
      <c r="D54" s="43" t="inlineStr">
        <is>
          <t>Hazards &amp; Resilience</t>
        </is>
      </c>
    </row>
    <row r="55">
      <c r="A55" s="60" t="inlineStr">
        <is>
          <t>Estadão</t>
        </is>
      </c>
      <c r="B55" s="28" t="n">
        <v>1</v>
      </c>
      <c r="C55" s="61" t="n"/>
      <c r="D55" s="43" t="inlineStr">
        <is>
          <t>Hazards &amp; Resilience</t>
        </is>
      </c>
    </row>
    <row r="56">
      <c r="A56" s="60" t="inlineStr">
        <is>
          <t>Rádio Mirador</t>
        </is>
      </c>
      <c r="B56" s="28" t="n">
        <v>1</v>
      </c>
      <c r="C56" s="61" t="n"/>
      <c r="D56" s="43" t="inlineStr">
        <is>
          <t>Hazards &amp; Resilience</t>
        </is>
      </c>
    </row>
    <row r="57">
      <c r="A57" s="60" t="inlineStr">
        <is>
          <t>ND Mais</t>
        </is>
      </c>
      <c r="B57" s="28" t="n">
        <v>1</v>
      </c>
      <c r="C57" s="61" t="n"/>
      <c r="D57" s="43" t="inlineStr">
        <is>
          <t>Hazards &amp; Resilience</t>
        </is>
      </c>
    </row>
  </sheetData>
  <conditionalFormatting sqref="B2:B57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2026-10-24T13:25:42Z</dcterms:created>
  <dcterms:modified xmlns:dcterms="http://purl.org/dc/terms/" xmlns:xsi="http://www.w3.org/2001/XMLSchema-instance" xsi:type="dcterms:W3CDTF">2026-10-24T13:25:42Z</dcterms:modified>
</cp:coreProperties>
</file>