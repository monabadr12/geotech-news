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tories" sheetId="3" state="visible" r:id="rId3"/>
    <sheet xmlns:r="http://schemas.openxmlformats.org/officeDocument/2006/relationships" name="By theme" sheetId="4" state="visible" r:id="rId4"/>
    <sheet xmlns:r="http://schemas.openxmlformats.org/officeDocument/2006/relationships" name="Sources" sheetId="5" state="visible" r:id="rId5"/>
    <sheet xmlns:r="http://schemas.openxmlformats.org/officeDocument/2006/relationships" name="Lists" sheetId="6" state="hidden" r:id="rId6"/>
  </sheets>
  <definedNames>
    <definedName name="_xlnm.Print_Titles" localSheetId="0">'Start here'!$1:$3</definedName>
    <definedName name="_xlnm.Print_Titles" localSheetId="1">'Dashboard'!$1:$6</definedName>
    <definedName name="_xlnm.Print_Titles" localSheetId="2">'Stories'!$3:$3</definedName>
    <definedName name="_xlnm.Print_Area" localSheetId="2">'Stories'!$A$1:$K$33</definedName>
    <definedName name="_xlnm.Print_Titles" localSheetId="3">'By theme'!$1:$2</definedName>
    <definedName name="_xlnm.Print_Titles" localSheetId="4">'Sources'!$3:$3</definedName>
    <definedName name="_xlnm.Print_Titles" localSheetId="5">'Lists'!$1:$1</definedName>
  </definedNames>
  <calcPr calcId="124519" fullCalcOnLoad="1"/>
</workbook>
</file>

<file path=xl/styles.xml><?xml version="1.0" encoding="utf-8"?>
<styleSheet xmlns="http://schemas.openxmlformats.org/spreadsheetml/2006/main">
  <numFmts count="6">
    <numFmt numFmtId="164" formatCode="0;-0;&quot;–&quot;"/>
    <numFmt numFmtId="165" formatCode="yyyy-mm-dd"/>
    <numFmt numFmtId="166" formatCode="dd mmm yyyy"/>
    <numFmt numFmtId="167" formatCode="&quot;✓&quot;;&quot;&quot;;&quot;&quot;"/>
    <numFmt numFmtId="168" formatCode="0.0"/>
    <numFmt numFmtId="169" formatCode="dd mmm yy;;"/>
  </numFmts>
  <fonts count="66">
    <font>
      <name val="Calibri"/>
      <family val="2"/>
      <color theme="1"/>
      <sz val="11"/>
      <scheme val="minor"/>
    </font>
    <font>
      <name val="Arial"/>
      <b val="1"/>
      <color rgb="0016324F"/>
      <sz val="14"/>
    </font>
    <font>
      <name val="Arial"/>
      <b val="1"/>
      <color rgb="001D5A8A"/>
      <sz val="9"/>
      <u val="single"/>
    </font>
    <font>
      <name val="Arial"/>
      <i val="1"/>
      <color rgb="005B6573"/>
      <sz val="9"/>
    </font>
    <font>
      <name val="Arial"/>
      <b val="1"/>
      <color rgb="00FFFFFF"/>
      <sz val="10"/>
    </font>
    <font>
      <name val="Arial"/>
      <b val="1"/>
      <color rgb="0016324F"/>
      <sz val="10"/>
    </font>
    <font>
      <name val="Arial"/>
      <color rgb="005B6573"/>
      <sz val="9"/>
    </font>
    <font>
      <name val="Arial"/>
      <b val="1"/>
      <color rgb="001D5A8A"/>
      <sz val="10"/>
      <u val="single"/>
    </font>
    <font>
      <name val="Arial"/>
      <b val="1"/>
      <color rgb="006B4FD6"/>
      <sz val="9"/>
    </font>
    <font>
      <name val="Arial"/>
      <b val="1"/>
      <color rgb="001B2430"/>
      <sz val="10"/>
    </font>
    <font>
      <name val="Arial"/>
      <color rgb="001B2430"/>
      <sz val="10"/>
    </font>
    <font>
      <name val="Arial"/>
      <i val="1"/>
      <color rgb="005B6573"/>
      <sz val="10"/>
    </font>
    <font>
      <name val="Arial"/>
      <color rgb="001B2430"/>
      <sz val="9"/>
    </font>
    <font>
      <name val="Arial"/>
      <color rgb="005B6573"/>
      <sz val="8"/>
    </font>
    <font>
      <name val="Arial"/>
      <b val="1"/>
      <color rgb="001E7B4F"/>
      <sz val="10"/>
    </font>
    <font>
      <name val="Arial"/>
      <b val="1"/>
      <color rgb="00E04F2C"/>
      <sz val="9"/>
    </font>
    <font>
      <name val="Arial"/>
      <b val="1"/>
      <color rgb="00D38B00"/>
      <sz val="9"/>
    </font>
    <font>
      <name val="Arial"/>
      <b val="1"/>
      <color rgb="002563D6"/>
      <sz val="9"/>
    </font>
    <font>
      <name val="Arial"/>
      <b val="1"/>
      <color rgb="001F9D63"/>
      <sz val="9"/>
    </font>
    <font>
      <name val="Arial"/>
      <b val="1"/>
      <color rgb="00C23D7B"/>
      <sz val="9"/>
    </font>
    <font>
      <name val="Arial"/>
      <b val="1"/>
      <color rgb="008A94A3"/>
      <sz val="9"/>
    </font>
    <font>
      <name val="Arial"/>
      <b val="1"/>
      <color rgb="008A5A2B"/>
      <sz val="9"/>
    </font>
    <font>
      <name val="Arial"/>
      <b val="1"/>
      <color rgb="00E04F2C"/>
      <sz val="10"/>
    </font>
    <font>
      <name val="Arial"/>
      <b val="1"/>
      <color rgb="006B4FD6"/>
      <sz val="10"/>
    </font>
    <font>
      <name val="Arial"/>
      <b val="1"/>
      <color rgb="002563D6"/>
      <sz val="10"/>
    </font>
    <font>
      <name val="Arial"/>
      <b val="1"/>
      <color rgb="00C23D7B"/>
      <sz val="10"/>
    </font>
    <font>
      <name val="Arial"/>
      <b val="1"/>
      <color rgb="00FFFFFF"/>
      <sz val="12"/>
    </font>
    <font>
      <name val="Arial"/>
      <color rgb="001D5A8A"/>
      <sz val="9"/>
      <u val="single"/>
    </font>
    <font>
      <name val="Arial"/>
      <b val="1"/>
      <color rgb="00FFFFFF"/>
      <sz val="18"/>
    </font>
    <font>
      <name val="Arial"/>
      <i val="1"/>
      <color rgb="00FFFFFF"/>
      <sz val="10"/>
    </font>
    <font>
      <name val="Arial"/>
      <b val="1"/>
      <color rgb="005B6573"/>
      <sz val="8"/>
    </font>
    <font>
      <name val="Arial"/>
      <b val="1"/>
      <color rgb="0016324F"/>
      <sz val="11"/>
    </font>
    <font>
      <name val="Arial"/>
      <i val="1"/>
      <color rgb="005B6573"/>
      <sz val="8"/>
    </font>
    <font>
      <name val="Arial"/>
      <b val="1"/>
      <color rgb="00FFFFFF"/>
      <sz val="22"/>
    </font>
    <font>
      <name val="Arial"/>
      <b val="1"/>
      <color rgb="0016324F"/>
      <sz val="8"/>
    </font>
    <font>
      <name val="Arial"/>
      <b val="1"/>
      <color rgb="000B97A5"/>
      <sz val="8"/>
    </font>
    <font>
      <name val="Arial"/>
      <b val="1"/>
      <color rgb="001E7B4F"/>
      <sz val="8"/>
    </font>
    <font>
      <name val="Arial"/>
      <b val="1"/>
      <color rgb="00D38B00"/>
      <sz val="8"/>
    </font>
    <font>
      <name val="Arial"/>
      <b val="1"/>
      <color rgb="006B4FD6"/>
      <sz val="8"/>
    </font>
    <font>
      <name val="Arial"/>
      <b val="1"/>
      <color rgb="002563D6"/>
      <sz val="8"/>
    </font>
    <font>
      <name val="Arial"/>
      <b val="1"/>
      <color rgb="0016324F"/>
      <sz val="12"/>
    </font>
    <font>
      <name val="Arial"/>
      <b val="1"/>
      <color rgb="00FFFFFF"/>
      <sz val="9"/>
    </font>
    <font>
      <name val="Arial"/>
      <b val="1"/>
      <color rgb="00C9A227"/>
      <sz val="12"/>
    </font>
    <font>
      <name val="Arial"/>
      <b val="1"/>
      <color rgb="005B6573"/>
      <sz val="10"/>
    </font>
    <font>
      <name val="Arial"/>
      <b val="1"/>
      <color rgb="001B2430"/>
      <sz val="9"/>
    </font>
    <font>
      <name val="Arial"/>
      <color rgb="001B2430"/>
      <sz val="8"/>
    </font>
    <font>
      <name val="Arial"/>
      <b val="1"/>
      <color rgb="001F9D63"/>
      <sz val="10"/>
    </font>
    <font>
      <name val="Arial"/>
      <b val="1"/>
      <color rgb="00D38B00"/>
      <sz val="10"/>
    </font>
    <font>
      <name val="Arial"/>
      <b val="1"/>
      <color rgb="000B97A5"/>
      <sz val="10"/>
    </font>
    <font>
      <name val="Arial"/>
      <b val="1"/>
      <color rgb="008A5A2B"/>
      <sz val="10"/>
    </font>
    <font>
      <name val="Arial"/>
      <b val="1"/>
      <color rgb="0064748B"/>
      <sz val="10"/>
    </font>
    <font>
      <name val="Arial"/>
      <b val="1"/>
      <color rgb="008A94A3"/>
      <sz val="10"/>
    </font>
    <font>
      <name val="Arial"/>
      <b val="1"/>
      <color rgb="004DA06E"/>
      <sz val="10"/>
    </font>
    <font>
      <name val="Arial"/>
      <b val="1"/>
      <color rgb="00D9A21B"/>
      <sz val="10"/>
    </font>
    <font>
      <name val="Arial"/>
      <b val="1"/>
      <color rgb="004A5563"/>
      <sz val="10"/>
    </font>
    <font>
      <name val="Arial"/>
      <b val="1"/>
      <color rgb="001D4FB8"/>
      <sz val="10"/>
    </font>
    <font>
      <name val="Arial"/>
      <b val="1"/>
      <color rgb="008A5300"/>
      <sz val="10"/>
    </font>
    <font>
      <name val="Arial"/>
      <b val="1"/>
      <color rgb="0017663F"/>
      <sz val="10"/>
    </font>
    <font>
      <name val="Arial"/>
      <b val="1"/>
      <color rgb="007A8491"/>
      <sz val="10"/>
    </font>
    <font>
      <name val="Arial"/>
      <color rgb="005B6573"/>
      <sz val="10"/>
    </font>
    <font>
      <name val="Arial"/>
      <color rgb="001B2430"/>
      <sz val="11"/>
    </font>
    <font>
      <name val="Arial"/>
      <b val="1"/>
      <color rgb="006B4FD6"/>
      <sz val="10"/>
      <u val="single"/>
    </font>
    <font>
      <name val="Arial"/>
      <b val="1"/>
      <color rgb="00E04F2C"/>
      <sz val="10"/>
      <u val="single"/>
    </font>
    <font>
      <name val="Arial"/>
      <b val="1"/>
      <color rgb="002563D6"/>
      <sz val="10"/>
      <u val="single"/>
    </font>
    <font>
      <name val="Arial"/>
      <b val="1"/>
      <color rgb="00C23D7B"/>
      <sz val="10"/>
      <u val="single"/>
    </font>
    <font>
      <name val="Arial"/>
      <b val="1"/>
      <color rgb="008A5A2B"/>
      <sz val="10"/>
      <u val="single"/>
    </font>
  </fonts>
  <fills count="43">
    <fill>
      <patternFill/>
    </fill>
    <fill>
      <patternFill patternType="gray125"/>
    </fill>
    <fill>
      <patternFill patternType="solid">
        <fgColor rgb="0016324F"/>
        <bgColor rgb="0016324F"/>
      </patternFill>
    </fill>
    <fill>
      <patternFill patternType="solid">
        <fgColor rgb="00C9A227"/>
        <bgColor rgb="00C9A227"/>
      </patternFill>
    </fill>
    <fill>
      <patternFill patternType="solid">
        <fgColor rgb="00E9E5F9"/>
        <bgColor rgb="00E9E5F9"/>
      </patternFill>
    </fill>
    <fill>
      <patternFill patternType="solid">
        <fgColor rgb="00FFFBEF"/>
        <bgColor rgb="00FFFBEF"/>
      </patternFill>
    </fill>
    <fill>
      <patternFill patternType="solid">
        <fgColor rgb="00FAE5DF"/>
        <bgColor rgb="00FAE5DF"/>
      </patternFill>
    </fill>
    <fill>
      <patternFill patternType="solid">
        <fgColor rgb="00DEE8F9"/>
        <bgColor rgb="00DEE8F9"/>
      </patternFill>
    </fill>
    <fill>
      <patternFill patternType="solid">
        <fgColor rgb="00F6E2EB"/>
        <bgColor rgb="00F6E2EB"/>
      </patternFill>
    </fill>
    <fill>
      <patternFill patternType="solid">
        <fgColor rgb="00EDE6DF"/>
        <bgColor rgb="00EDE6DF"/>
      </patternFill>
    </fill>
    <fill>
      <patternFill patternType="solid">
        <fgColor rgb="006B4FD6"/>
        <bgColor rgb="006B4FD6"/>
      </patternFill>
    </fill>
    <fill>
      <patternFill patternType="solid">
        <fgColor rgb="00EAE6F9"/>
        <bgColor rgb="00EAE6F9"/>
      </patternFill>
    </fill>
    <fill>
      <patternFill patternType="solid">
        <fgColor rgb="00E04F2C"/>
        <bgColor rgb="00E04F2C"/>
      </patternFill>
    </fill>
    <fill>
      <patternFill patternType="solid">
        <fgColor rgb="00FBE6E1"/>
        <bgColor rgb="00FBE6E1"/>
      </patternFill>
    </fill>
    <fill>
      <patternFill patternType="solid">
        <fgColor rgb="002563D6"/>
        <bgColor rgb="002563D6"/>
      </patternFill>
    </fill>
    <fill>
      <patternFill patternType="solid">
        <fgColor rgb="00E0E9F9"/>
        <bgColor rgb="00E0E9F9"/>
      </patternFill>
    </fill>
    <fill>
      <patternFill patternType="solid">
        <fgColor rgb="00C23D7B"/>
        <bgColor rgb="00C23D7B"/>
      </patternFill>
    </fill>
    <fill>
      <patternFill patternType="solid">
        <fgColor rgb="00F6E4ED"/>
        <bgColor rgb="00F6E4ED"/>
      </patternFill>
    </fill>
    <fill>
      <patternFill patternType="solid">
        <fgColor rgb="008A5A2B"/>
        <bgColor rgb="008A5A2B"/>
      </patternFill>
    </fill>
    <fill>
      <patternFill patternType="solid">
        <fgColor rgb="00EFE8E1"/>
        <bgColor rgb="00EFE8E1"/>
      </patternFill>
    </fill>
    <fill>
      <patternFill patternType="solid">
        <fgColor rgb="0023466B"/>
        <bgColor rgb="0023466B"/>
      </patternFill>
    </fill>
    <fill>
      <patternFill patternType="solid">
        <fgColor rgb="00FFF4CC"/>
        <bgColor rgb="00FFF4CC"/>
      </patternFill>
    </fill>
    <fill>
      <patternFill patternType="solid">
        <fgColor rgb="00F4F6F9"/>
        <bgColor rgb="00F4F6F9"/>
      </patternFill>
    </fill>
    <fill>
      <patternFill patternType="solid">
        <fgColor rgb="00DEE2E6"/>
        <bgColor rgb="00DEE2E6"/>
      </patternFill>
    </fill>
    <fill>
      <patternFill patternType="solid">
        <fgColor rgb="000B97A5"/>
        <bgColor rgb="000B97A5"/>
      </patternFill>
    </fill>
    <fill>
      <patternFill patternType="solid">
        <fgColor rgb="00DDF0F2"/>
        <bgColor rgb="00DDF0F2"/>
      </patternFill>
    </fill>
    <fill>
      <patternFill patternType="solid">
        <fgColor rgb="001E7B4F"/>
        <bgColor rgb="001E7B4F"/>
      </patternFill>
    </fill>
    <fill>
      <patternFill patternType="solid">
        <fgColor rgb="00E0EDE6"/>
        <bgColor rgb="00E0EDE6"/>
      </patternFill>
    </fill>
    <fill>
      <patternFill patternType="solid">
        <fgColor rgb="00D38B00"/>
        <bgColor rgb="00D38B00"/>
      </patternFill>
    </fill>
    <fill>
      <patternFill patternType="solid">
        <fgColor rgb="00F9EFDB"/>
        <bgColor rgb="00F9EFDB"/>
      </patternFill>
    </fill>
    <fill>
      <patternFill patternType="solid">
        <fgColor rgb="00FFFFFF"/>
        <bgColor rgb="00FFFFFF"/>
      </patternFill>
    </fill>
    <fill>
      <patternFill patternType="solid">
        <fgColor rgb="00E0F1E9"/>
        <bgColor rgb="00E0F1E9"/>
      </patternFill>
    </fill>
    <fill>
      <patternFill patternType="solid">
        <fgColor rgb="00E9ECEF"/>
        <bgColor rgb="00E9ECEF"/>
      </patternFill>
    </fill>
    <fill>
      <patternFill patternType="solid">
        <fgColor rgb="00ECEFF3"/>
        <bgColor rgb="00ECEFF3"/>
      </patternFill>
    </fill>
    <fill>
      <patternFill patternType="solid">
        <fgColor rgb="00DCE7FB"/>
        <bgColor rgb="00DCE7FB"/>
      </patternFill>
    </fill>
    <fill>
      <patternFill patternType="solid">
        <fgColor rgb="00FBE6C2"/>
        <bgColor rgb="00FBE6C2"/>
      </patternFill>
    </fill>
    <fill>
      <patternFill patternType="solid">
        <fgColor rgb="00D3EDDF"/>
        <bgColor rgb="00D3EDDF"/>
      </patternFill>
    </fill>
    <fill>
      <patternFill patternType="solid">
        <fgColor rgb="00F1F2F4"/>
        <bgColor rgb="00F1F2F4"/>
      </patternFill>
    </fill>
    <fill>
      <patternFill patternType="solid">
        <fgColor rgb="004DA06E"/>
        <bgColor rgb="004DA06E"/>
      </patternFill>
    </fill>
    <fill>
      <patternFill patternType="solid">
        <fgColor rgb="00D9A21B"/>
        <bgColor rgb="00D9A21B"/>
      </patternFill>
    </fill>
    <fill>
      <patternFill patternType="solid">
        <fgColor rgb="00A3ADB8"/>
        <bgColor rgb="00A3ADB8"/>
      </patternFill>
    </fill>
    <fill>
      <patternFill patternType="solid">
        <fgColor rgb="00C9CED6"/>
        <bgColor rgb="00C9CED6"/>
      </patternFill>
    </fill>
    <fill>
      <patternFill patternType="solid">
        <fgColor rgb="00B8C0CA"/>
        <bgColor rgb="00B8C0CA"/>
      </patternFill>
    </fill>
  </fills>
  <borders count="22">
    <border>
      <left/>
      <right/>
      <top/>
      <bottom/>
      <diagonal/>
    </border>
    <border>
      <bottom style="thin">
        <color rgb="006B4FD6"/>
      </bottom>
    </border>
    <border>
      <bottom style="thin">
        <color rgb="00D9DEE3"/>
      </bottom>
    </border>
    <border>
      <bottom style="thin">
        <color rgb="00E04F2C"/>
      </bottom>
    </border>
    <border>
      <bottom style="thin">
        <color rgb="002563D6"/>
      </bottom>
    </border>
    <border>
      <bottom style="thin">
        <color rgb="00C23D7B"/>
      </bottom>
    </border>
    <border>
      <bottom style="thin">
        <color rgb="008A5A2B"/>
      </bottom>
    </border>
    <border>
      <left style="medium">
        <color rgb="00C9A227"/>
      </left>
      <top style="medium">
        <color rgb="00C9A227"/>
      </top>
      <bottom style="medium">
        <color rgb="00C9A227"/>
      </bottom>
    </border>
    <border>
      <top style="medium">
        <color rgb="00C9A227"/>
      </top>
      <bottom style="medium">
        <color rgb="00C9A227"/>
      </bottom>
    </border>
    <border>
      <right style="medium">
        <color rgb="00C9A227"/>
      </right>
      <top style="medium">
        <color rgb="00C9A227"/>
      </top>
      <bottom style="medium">
        <color rgb="00C9A227"/>
      </bottom>
    </border>
    <border>
      <left style="thick">
        <color rgb="00FFFFFF"/>
      </left>
      <right style="thick">
        <color rgb="00FFFFFF"/>
      </right>
    </border>
    <border>
      <bottom style="medium">
        <color rgb="00C9A227"/>
      </bottom>
    </border>
    <border>
      <left style="thick">
        <color rgb="001F9D63"/>
      </left>
      <bottom style="thin">
        <color rgb="00D9DEE3"/>
      </bottom>
    </border>
    <border>
      <left style="thick">
        <color rgb="006B4FD6"/>
      </left>
      <bottom style="thin">
        <color rgb="00D9DEE3"/>
      </bottom>
    </border>
    <border>
      <left style="thick">
        <color rgb="00E04F2C"/>
      </left>
      <bottom style="thin">
        <color rgb="00D9DEE3"/>
      </bottom>
    </border>
    <border>
      <left style="thick">
        <color rgb="00D38B00"/>
      </left>
      <bottom style="thin">
        <color rgb="00D9DEE3"/>
      </bottom>
    </border>
    <border>
      <left style="thick">
        <color rgb="002563D6"/>
      </left>
      <bottom style="thin">
        <color rgb="00D9DEE3"/>
      </bottom>
    </border>
    <border>
      <left style="thick">
        <color rgb="000B97A5"/>
      </left>
      <bottom style="thin">
        <color rgb="00D9DEE3"/>
      </bottom>
    </border>
    <border>
      <left style="thick">
        <color rgb="00C23D7B"/>
      </left>
      <bottom style="thin">
        <color rgb="00D9DEE3"/>
      </bottom>
    </border>
    <border>
      <left style="thick">
        <color rgb="008A5A2B"/>
      </left>
      <bottom style="thin">
        <color rgb="00D9DEE3"/>
      </bottom>
    </border>
    <border>
      <left style="thick">
        <color rgb="0064748B"/>
      </left>
      <bottom style="thin">
        <color rgb="00D9DEE3"/>
      </bottom>
    </border>
    <border>
      <right style="thin">
        <color rgb="00FFFFFF"/>
      </right>
      <bottom style="thin">
        <color rgb="00D9DEE3"/>
      </bottom>
    </border>
  </borders>
  <cellStyleXfs count="1">
    <xf numFmtId="0" fontId="0" fillId="0" borderId="0"/>
  </cellStyleXfs>
  <cellXfs count="225">
    <xf numFmtId="0" fontId="0" fillId="0" borderId="0" pivotButton="0" quotePrefix="0" xfId="0"/>
    <xf numFmtId="0" fontId="0" fillId="2" borderId="0" pivotButton="0" quotePrefix="0" xfId="0"/>
    <xf numFmtId="0" fontId="28" fillId="2" borderId="0" applyAlignment="1" pivotButton="0" quotePrefix="0" xfId="0">
      <alignment vertical="center"/>
    </xf>
    <xf numFmtId="0" fontId="0" fillId="20" borderId="0" pivotButton="0" quotePrefix="0" xfId="0"/>
    <xf numFmtId="0" fontId="29" fillId="20" borderId="0" applyAlignment="1" pivotButton="0" quotePrefix="0" xfId="0">
      <alignment vertical="center"/>
    </xf>
    <xf numFmtId="0" fontId="0" fillId="3" borderId="0" pivotButton="0" quotePrefix="0" xfId="0"/>
    <xf numFmtId="0" fontId="60" fillId="0" borderId="0" applyAlignment="1" pivotButton="0" quotePrefix="0" xfId="0">
      <alignment vertical="center" wrapText="1"/>
    </xf>
    <xf numFmtId="0" fontId="40" fillId="0" borderId="11" applyAlignment="1" pivotButton="0" quotePrefix="0" xfId="0">
      <alignment vertical="bottom"/>
    </xf>
    <xf numFmtId="0" fontId="0" fillId="0" borderId="11" pivotButton="0" quotePrefix="0" xfId="0"/>
    <xf numFmtId="0" fontId="7" fillId="0" borderId="2" applyAlignment="1" pivotButton="0" quotePrefix="0" xfId="0">
      <alignment horizontal="left" vertical="top"/>
    </xf>
    <xf numFmtId="0" fontId="10" fillId="0" borderId="2" applyAlignment="1" pivotButton="0" quotePrefix="0" xfId="0">
      <alignment vertical="top" wrapText="1"/>
    </xf>
    <xf numFmtId="0" fontId="0" fillId="0" borderId="2" pivotButton="0" quotePrefix="0" xfId="0"/>
    <xf numFmtId="0" fontId="5" fillId="0" borderId="2" applyAlignment="1" pivotButton="0" quotePrefix="0" xfId="0">
      <alignment horizontal="center" vertical="top"/>
    </xf>
    <xf numFmtId="0" fontId="54" fillId="33" borderId="2" applyAlignment="1" pivotButton="0" quotePrefix="0" xfId="0">
      <alignment horizontal="center" vertical="top"/>
    </xf>
    <xf numFmtId="0" fontId="55" fillId="34" borderId="2" applyAlignment="1" pivotButton="0" quotePrefix="0" xfId="0">
      <alignment horizontal="center" vertical="top"/>
    </xf>
    <xf numFmtId="0" fontId="56" fillId="35" borderId="2" applyAlignment="1" pivotButton="0" quotePrefix="0" xfId="0">
      <alignment horizontal="center" vertical="top"/>
    </xf>
    <xf numFmtId="0" fontId="57" fillId="36" borderId="2" applyAlignment="1" pivotButton="0" quotePrefix="0" xfId="0">
      <alignment horizontal="center" vertical="top"/>
    </xf>
    <xf numFmtId="0" fontId="58" fillId="37" borderId="2" applyAlignment="1" pivotButton="0" quotePrefix="0" xfId="0">
      <alignment horizontal="center" vertical="top"/>
    </xf>
    <xf numFmtId="0" fontId="4" fillId="26" borderId="2" applyAlignment="1" pivotButton="0" quotePrefix="0" xfId="0">
      <alignment horizontal="center" vertical="top"/>
    </xf>
    <xf numFmtId="0" fontId="4" fillId="38" borderId="2" applyAlignment="1" pivotButton="0" quotePrefix="0" xfId="0">
      <alignment horizontal="center" vertical="top"/>
    </xf>
    <xf numFmtId="0" fontId="4" fillId="39" borderId="2" applyAlignment="1" pivotButton="0" quotePrefix="0" xfId="0">
      <alignment horizontal="center" vertical="top"/>
    </xf>
    <xf numFmtId="0" fontId="9" fillId="40" borderId="2" applyAlignment="1" pivotButton="0" quotePrefix="0" xfId="0">
      <alignment horizontal="center" vertical="top"/>
    </xf>
    <xf numFmtId="0" fontId="9" fillId="41" borderId="2" applyAlignment="1" pivotButton="0" quotePrefix="0" xfId="0">
      <alignment horizontal="center" vertical="top"/>
    </xf>
    <xf numFmtId="0" fontId="9" fillId="42" borderId="2" applyAlignment="1" pivotButton="0" quotePrefix="0" xfId="0">
      <alignment horizontal="center" vertical="top"/>
    </xf>
    <xf numFmtId="0" fontId="61" fillId="11" borderId="2" applyAlignment="1" pivotButton="0" quotePrefix="0" xfId="0">
      <alignment horizontal="left" vertical="top" indent="1"/>
    </xf>
    <xf numFmtId="0" fontId="62" fillId="13" borderId="2" applyAlignment="1" pivotButton="0" quotePrefix="0" xfId="0">
      <alignment horizontal="left" vertical="top" indent="1"/>
    </xf>
    <xf numFmtId="0" fontId="63" fillId="15" borderId="2" applyAlignment="1" pivotButton="0" quotePrefix="0" xfId="0">
      <alignment horizontal="left" vertical="top" indent="1"/>
    </xf>
    <xf numFmtId="0" fontId="64" fillId="17" borderId="2" applyAlignment="1" pivotButton="0" quotePrefix="0" xfId="0">
      <alignment horizontal="left" vertical="top" indent="1"/>
    </xf>
    <xf numFmtId="0" fontId="65" fillId="19" borderId="2" applyAlignment="1" pivotButton="0" quotePrefix="0" xfId="0">
      <alignment horizontal="left" vertical="top" indent="1"/>
    </xf>
    <xf numFmtId="0" fontId="43" fillId="0" borderId="2" applyAlignment="1" pivotButton="0" quotePrefix="0" xfId="0">
      <alignment horizontal="left" vertical="top"/>
    </xf>
    <xf numFmtId="0" fontId="9" fillId="0" borderId="2" applyAlignment="1" pivotButton="0" quotePrefix="0" xfId="0">
      <alignment horizontal="left" vertical="top"/>
    </xf>
    <xf numFmtId="0" fontId="30" fillId="0" borderId="0" applyAlignment="1" pivotButton="0" quotePrefix="0" xfId="0">
      <alignment vertical="bottom"/>
    </xf>
    <xf numFmtId="0" fontId="32" fillId="22" borderId="0" applyAlignment="1" pivotButton="0" quotePrefix="0" xfId="0">
      <alignment vertical="center" wrapText="1" indent="1"/>
    </xf>
    <xf numFmtId="0" fontId="0" fillId="22" borderId="0" pivotButton="0" quotePrefix="0" xfId="0"/>
    <xf numFmtId="0" fontId="31" fillId="21" borderId="7" applyAlignment="1" pivotButton="0" quotePrefix="0" xfId="0">
      <alignment horizontal="left" vertical="center" indent="1"/>
    </xf>
    <xf numFmtId="0" fontId="0" fillId="21" borderId="8" pivotButton="0" quotePrefix="0" xfId="0"/>
    <xf numFmtId="0" fontId="0" fillId="21" borderId="9" pivotButton="0" quotePrefix="0" xfId="0"/>
    <xf numFmtId="0" fontId="3" fillId="0" borderId="0" applyAlignment="1" pivotButton="0" quotePrefix="0" xfId="0">
      <alignment vertical="center"/>
    </xf>
    <xf numFmtId="3" fontId="33" fillId="2" borderId="10" applyAlignment="1" pivotButton="0" quotePrefix="0" xfId="0">
      <alignment horizontal="center" vertical="center"/>
    </xf>
    <xf numFmtId="0" fontId="0" fillId="2" borderId="10" pivotButton="0" quotePrefix="0" xfId="0"/>
    <xf numFmtId="3" fontId="33" fillId="24" borderId="10" applyAlignment="1" pivotButton="0" quotePrefix="0" xfId="0">
      <alignment horizontal="center" vertical="center"/>
    </xf>
    <xf numFmtId="0" fontId="0" fillId="24" borderId="10" pivotButton="0" quotePrefix="0" xfId="0"/>
    <xf numFmtId="3" fontId="33" fillId="26" borderId="10" applyAlignment="1" pivotButton="0" quotePrefix="0" xfId="0">
      <alignment horizontal="center" vertical="center"/>
    </xf>
    <xf numFmtId="0" fontId="0" fillId="26" borderId="10" pivotButton="0" quotePrefix="0" xfId="0"/>
    <xf numFmtId="3" fontId="33" fillId="28" borderId="10" applyAlignment="1" pivotButton="0" quotePrefix="0" xfId="0">
      <alignment horizontal="center" vertical="center"/>
    </xf>
    <xf numFmtId="0" fontId="0" fillId="28" borderId="10" pivotButton="0" quotePrefix="0" xfId="0"/>
    <xf numFmtId="3" fontId="33" fillId="10" borderId="10" applyAlignment="1" pivotButton="0" quotePrefix="0" xfId="0">
      <alignment horizontal="center" vertical="center"/>
    </xf>
    <xf numFmtId="0" fontId="0" fillId="10" borderId="10" pivotButton="0" quotePrefix="0" xfId="0"/>
    <xf numFmtId="3" fontId="33" fillId="14" borderId="10" applyAlignment="1" pivotButton="0" quotePrefix="0" xfId="0">
      <alignment horizontal="center" vertical="center"/>
    </xf>
    <xf numFmtId="0" fontId="0" fillId="14" borderId="10" pivotButton="0" quotePrefix="0" xfId="0"/>
    <xf numFmtId="0" fontId="34" fillId="23" borderId="10" applyAlignment="1" pivotButton="0" quotePrefix="0" xfId="0">
      <alignment horizontal="center" vertical="center"/>
    </xf>
    <xf numFmtId="0" fontId="0" fillId="23" borderId="10" pivotButton="0" quotePrefix="0" xfId="0"/>
    <xf numFmtId="0" fontId="35" fillId="25" borderId="10" applyAlignment="1" pivotButton="0" quotePrefix="0" xfId="0">
      <alignment horizontal="center" vertical="center"/>
    </xf>
    <xf numFmtId="0" fontId="0" fillId="25" borderId="10" pivotButton="0" quotePrefix="0" xfId="0"/>
    <xf numFmtId="0" fontId="36" fillId="27" borderId="10" applyAlignment="1" pivotButton="0" quotePrefix="0" xfId="0">
      <alignment horizontal="center" vertical="center"/>
    </xf>
    <xf numFmtId="0" fontId="0" fillId="27" borderId="10" pivotButton="0" quotePrefix="0" xfId="0"/>
    <xf numFmtId="0" fontId="37" fillId="29" borderId="10" applyAlignment="1" pivotButton="0" quotePrefix="0" xfId="0">
      <alignment horizontal="center" vertical="center"/>
    </xf>
    <xf numFmtId="0" fontId="0" fillId="29" borderId="10" pivotButton="0" quotePrefix="0" xfId="0"/>
    <xf numFmtId="0" fontId="38" fillId="11" borderId="10" applyAlignment="1" pivotButton="0" quotePrefix="0" xfId="0">
      <alignment horizontal="center" vertical="center"/>
    </xf>
    <xf numFmtId="0" fontId="0" fillId="11" borderId="10" pivotButton="0" quotePrefix="0" xfId="0"/>
    <xf numFmtId="0" fontId="39" fillId="15" borderId="10" applyAlignment="1" pivotButton="0" quotePrefix="0" xfId="0">
      <alignment horizontal="center" vertical="center"/>
    </xf>
    <xf numFmtId="0" fontId="0" fillId="15" borderId="10" pivotButton="0" quotePrefix="0" xfId="0"/>
    <xf numFmtId="0" fontId="13" fillId="23" borderId="10" applyAlignment="1" pivotButton="0" quotePrefix="0" xfId="0">
      <alignment horizontal="center" vertical="center"/>
    </xf>
    <xf numFmtId="0" fontId="13" fillId="25" borderId="10" applyAlignment="1" pivotButton="0" quotePrefix="0" xfId="0">
      <alignment horizontal="center" vertical="center"/>
    </xf>
    <xf numFmtId="0" fontId="13" fillId="27" borderId="10" applyAlignment="1" pivotButton="0" quotePrefix="0" xfId="0">
      <alignment horizontal="center" vertical="center"/>
    </xf>
    <xf numFmtId="0" fontId="13" fillId="29" borderId="10" applyAlignment="1" pivotButton="0" quotePrefix="0" xfId="0">
      <alignment horizontal="center" vertical="center"/>
    </xf>
    <xf numFmtId="0" fontId="13" fillId="11" borderId="10" applyAlignment="1" pivotButton="0" quotePrefix="0" xfId="0">
      <alignment horizontal="center" vertical="center"/>
    </xf>
    <xf numFmtId="0" fontId="13" fillId="15" borderId="10" applyAlignment="1" pivotButton="0" quotePrefix="0" xfId="0">
      <alignment horizontal="center" vertical="center"/>
    </xf>
    <xf numFmtId="0" fontId="41" fillId="2" borderId="0" applyAlignment="1" pivotButton="0" quotePrefix="0" xfId="0">
      <alignment horizontal="center" vertical="center" wrapText="1"/>
    </xf>
    <xf numFmtId="0" fontId="41" fillId="2" borderId="0" applyAlignment="1" pivotButton="0" quotePrefix="0" xfId="0">
      <alignment horizontal="left" vertical="center" wrapText="1" indent="1"/>
    </xf>
    <xf numFmtId="0" fontId="42" fillId="30" borderId="2" applyAlignment="1" pivotButton="0" quotePrefix="0" xfId="0">
      <alignment horizontal="center" vertical="center"/>
    </xf>
    <xf numFmtId="0" fontId="43" fillId="30" borderId="2" applyAlignment="1" pivotButton="0" quotePrefix="0" xfId="0">
      <alignment vertical="center" wrapText="1" indent="1"/>
    </xf>
    <xf numFmtId="0" fontId="0" fillId="30" borderId="2" pivotButton="0" quotePrefix="0" xfId="0"/>
    <xf numFmtId="169" fontId="12" fillId="30" borderId="2" applyAlignment="1" pivotButton="0" quotePrefix="0" xfId="0">
      <alignment horizontal="center" vertical="center"/>
    </xf>
    <xf numFmtId="0" fontId="44" fillId="30" borderId="2" applyAlignment="1" pivotButton="0" quotePrefix="0" xfId="0">
      <alignment vertical="center" wrapText="1" indent="1"/>
    </xf>
    <xf numFmtId="164" fontId="9" fillId="30" borderId="2" applyAlignment="1" pivotButton="0" quotePrefix="0" xfId="0">
      <alignment horizontal="center" vertical="center"/>
    </xf>
    <xf numFmtId="0" fontId="12" fillId="30" borderId="2" applyAlignment="1" pivotButton="0" quotePrefix="0" xfId="0">
      <alignment vertical="center" wrapText="1" indent="1"/>
    </xf>
    <xf numFmtId="0" fontId="6" fillId="30" borderId="2" applyAlignment="1" pivotButton="0" quotePrefix="0" xfId="0">
      <alignment horizontal="center" vertical="center"/>
    </xf>
    <xf numFmtId="0" fontId="45" fillId="30" borderId="2" applyAlignment="1" pivotButton="0" quotePrefix="0" xfId="0">
      <alignment horizontal="center" vertical="center"/>
    </xf>
    <xf numFmtId="0" fontId="42" fillId="22" borderId="2" applyAlignment="1" pivotButton="0" quotePrefix="0" xfId="0">
      <alignment horizontal="center" vertical="center"/>
    </xf>
    <xf numFmtId="0" fontId="43" fillId="22" borderId="2" applyAlignment="1" pivotButton="0" quotePrefix="0" xfId="0">
      <alignment vertical="center" wrapText="1" indent="1"/>
    </xf>
    <xf numFmtId="0" fontId="0" fillId="22" borderId="2" pivotButton="0" quotePrefix="0" xfId="0"/>
    <xf numFmtId="169" fontId="12" fillId="22" borderId="2" applyAlignment="1" pivotButton="0" quotePrefix="0" xfId="0">
      <alignment horizontal="center" vertical="center"/>
    </xf>
    <xf numFmtId="0" fontId="44" fillId="22" borderId="2" applyAlignment="1" pivotButton="0" quotePrefix="0" xfId="0">
      <alignment vertical="center" wrapText="1" indent="1"/>
    </xf>
    <xf numFmtId="164" fontId="9" fillId="22" borderId="2" applyAlignment="1" pivotButton="0" quotePrefix="0" xfId="0">
      <alignment horizontal="center" vertical="center"/>
    </xf>
    <xf numFmtId="0" fontId="12" fillId="22" borderId="2" applyAlignment="1" pivotButton="0" quotePrefix="0" xfId="0">
      <alignment vertical="center" wrapText="1" indent="1"/>
    </xf>
    <xf numFmtId="0" fontId="6" fillId="22" borderId="2" applyAlignment="1" pivotButton="0" quotePrefix="0" xfId="0">
      <alignment horizontal="center" vertical="center"/>
    </xf>
    <xf numFmtId="0" fontId="45" fillId="22" borderId="2" applyAlignment="1" pivotButton="0" quotePrefix="0" xfId="0">
      <alignment horizontal="center" vertical="center"/>
    </xf>
    <xf numFmtId="0" fontId="32" fillId="0" borderId="0" applyAlignment="1" pivotButton="0" quotePrefix="0" xfId="0">
      <alignment vertical="center"/>
    </xf>
    <xf numFmtId="0" fontId="46" fillId="31" borderId="12" applyAlignment="1" pivotButton="0" quotePrefix="0" xfId="0">
      <alignment vertical="center" indent="1"/>
    </xf>
    <xf numFmtId="0" fontId="0" fillId="31" borderId="12" pivotButton="0" quotePrefix="0" xfId="0"/>
    <xf numFmtId="0" fontId="9" fillId="0" borderId="2" applyAlignment="1" pivotButton="0" quotePrefix="0" xfId="0">
      <alignment horizontal="center"/>
    </xf>
    <xf numFmtId="0" fontId="10" fillId="0" borderId="2" applyAlignment="1" pivotButton="0" quotePrefix="0" xfId="0">
      <alignment horizontal="center"/>
    </xf>
    <xf numFmtId="9" fontId="6" fillId="0" borderId="2" applyAlignment="1" pivotButton="0" quotePrefix="0" xfId="0">
      <alignment horizontal="center"/>
    </xf>
    <xf numFmtId="0" fontId="23" fillId="11" borderId="13" applyAlignment="1" pivotButton="0" quotePrefix="0" xfId="0">
      <alignment vertical="center" indent="1"/>
    </xf>
    <xf numFmtId="0" fontId="0" fillId="11" borderId="13" pivotButton="0" quotePrefix="0" xfId="0"/>
    <xf numFmtId="0" fontId="22" fillId="13" borderId="14" applyAlignment="1" pivotButton="0" quotePrefix="0" xfId="0">
      <alignment vertical="center" indent="1"/>
    </xf>
    <xf numFmtId="0" fontId="0" fillId="13" borderId="14" pivotButton="0" quotePrefix="0" xfId="0"/>
    <xf numFmtId="0" fontId="47" fillId="29" borderId="15" applyAlignment="1" pivotButton="0" quotePrefix="0" xfId="0">
      <alignment vertical="center" indent="1"/>
    </xf>
    <xf numFmtId="0" fontId="0" fillId="29" borderId="15" pivotButton="0" quotePrefix="0" xfId="0"/>
    <xf numFmtId="0" fontId="24" fillId="15" borderId="16" applyAlignment="1" pivotButton="0" quotePrefix="0" xfId="0">
      <alignment vertical="center" indent="1"/>
    </xf>
    <xf numFmtId="0" fontId="0" fillId="15" borderId="16" pivotButton="0" quotePrefix="0" xfId="0"/>
    <xf numFmtId="0" fontId="48" fillId="25" borderId="17" applyAlignment="1" pivotButton="0" quotePrefix="0" xfId="0">
      <alignment vertical="center" indent="1"/>
    </xf>
    <xf numFmtId="0" fontId="0" fillId="25" borderId="17" pivotButton="0" quotePrefix="0" xfId="0"/>
    <xf numFmtId="0" fontId="25" fillId="17" borderId="18" applyAlignment="1" pivotButton="0" quotePrefix="0" xfId="0">
      <alignment vertical="center" indent="1"/>
    </xf>
    <xf numFmtId="0" fontId="0" fillId="17" borderId="18" pivotButton="0" quotePrefix="0" xfId="0"/>
    <xf numFmtId="0" fontId="49" fillId="19" borderId="19" applyAlignment="1" pivotButton="0" quotePrefix="0" xfId="0">
      <alignment vertical="center" indent="1"/>
    </xf>
    <xf numFmtId="0" fontId="0" fillId="19" borderId="19" pivotButton="0" quotePrefix="0" xfId="0"/>
    <xf numFmtId="0" fontId="50" fillId="32" borderId="20" applyAlignment="1" pivotButton="0" quotePrefix="0" xfId="0">
      <alignment vertical="center" indent="1"/>
    </xf>
    <xf numFmtId="0" fontId="0" fillId="32" borderId="20" pivotButton="0" quotePrefix="0" xfId="0"/>
    <xf numFmtId="0" fontId="47" fillId="0" borderId="2" applyAlignment="1" pivotButton="0" quotePrefix="0" xfId="0">
      <alignment vertical="center" indent="1"/>
    </xf>
    <xf numFmtId="0" fontId="14" fillId="0" borderId="2" applyAlignment="1" pivotButton="0" quotePrefix="0" xfId="0">
      <alignment vertical="center" indent="1"/>
    </xf>
    <xf numFmtId="0" fontId="54" fillId="33" borderId="2" applyAlignment="1" pivotButton="0" quotePrefix="0" xfId="0">
      <alignment vertical="center" indent="1"/>
    </xf>
    <xf numFmtId="0" fontId="0" fillId="33" borderId="2" pivotButton="0" quotePrefix="0" xfId="0"/>
    <xf numFmtId="0" fontId="24" fillId="0" borderId="2" applyAlignment="1" pivotButton="0" quotePrefix="0" xfId="0">
      <alignment vertical="center" indent="1"/>
    </xf>
    <xf numFmtId="0" fontId="52" fillId="0" borderId="2" applyAlignment="1" pivotButton="0" quotePrefix="0" xfId="0">
      <alignment vertical="center" indent="1"/>
    </xf>
    <xf numFmtId="0" fontId="55" fillId="34" borderId="2" applyAlignment="1" pivotButton="0" quotePrefix="0" xfId="0">
      <alignment vertical="center" indent="1"/>
    </xf>
    <xf numFmtId="0" fontId="0" fillId="34" borderId="2" pivotButton="0" quotePrefix="0" xfId="0"/>
    <xf numFmtId="0" fontId="23" fillId="0" borderId="2" applyAlignment="1" pivotButton="0" quotePrefix="0" xfId="0">
      <alignment vertical="center" indent="1"/>
    </xf>
    <xf numFmtId="0" fontId="53" fillId="0" borderId="2" applyAlignment="1" pivotButton="0" quotePrefix="0" xfId="0">
      <alignment vertical="center" indent="1"/>
    </xf>
    <xf numFmtId="0" fontId="56" fillId="35" borderId="2" applyAlignment="1" pivotButton="0" quotePrefix="0" xfId="0">
      <alignment vertical="center" indent="1"/>
    </xf>
    <xf numFmtId="0" fontId="0" fillId="35" borderId="2" pivotButton="0" quotePrefix="0" xfId="0"/>
    <xf numFmtId="0" fontId="46" fillId="0" borderId="2" applyAlignment="1" pivotButton="0" quotePrefix="0" xfId="0">
      <alignment vertical="center" indent="1"/>
    </xf>
    <xf numFmtId="0" fontId="57" fillId="36" borderId="2" applyAlignment="1" pivotButton="0" quotePrefix="0" xfId="0">
      <alignment vertical="center" indent="1"/>
    </xf>
    <xf numFmtId="0" fontId="0" fillId="36" borderId="2" pivotButton="0" quotePrefix="0" xfId="0"/>
    <xf numFmtId="0" fontId="51" fillId="0" borderId="2" applyAlignment="1" pivotButton="0" quotePrefix="0" xfId="0">
      <alignment vertical="center" indent="1"/>
    </xf>
    <xf numFmtId="0" fontId="58" fillId="37" borderId="2" applyAlignment="1" pivotButton="0" quotePrefix="0" xfId="0">
      <alignment vertical="center" indent="1"/>
    </xf>
    <xf numFmtId="0" fontId="0" fillId="37" borderId="2" pivotButton="0" quotePrefix="0" xfId="0"/>
    <xf numFmtId="0" fontId="46" fillId="0" borderId="12" applyAlignment="1" pivotButton="0" quotePrefix="0" xfId="0">
      <alignment vertical="center" indent="1"/>
    </xf>
    <xf numFmtId="0" fontId="0" fillId="0" borderId="12" pivotButton="0" quotePrefix="0" xfId="0"/>
    <xf numFmtId="0" fontId="10" fillId="0" borderId="21" applyAlignment="1" pivotButton="0" quotePrefix="0" xfId="0">
      <alignment horizontal="center"/>
    </xf>
    <xf numFmtId="0" fontId="23" fillId="0" borderId="13" applyAlignment="1" pivotButton="0" quotePrefix="0" xfId="0">
      <alignment vertical="center" indent="1"/>
    </xf>
    <xf numFmtId="0" fontId="0" fillId="0" borderId="13" pivotButton="0" quotePrefix="0" xfId="0"/>
    <xf numFmtId="0" fontId="22" fillId="0" borderId="14" applyAlignment="1" pivotButton="0" quotePrefix="0" xfId="0">
      <alignment vertical="center" indent="1"/>
    </xf>
    <xf numFmtId="0" fontId="0" fillId="0" borderId="14" pivotButton="0" quotePrefix="0" xfId="0"/>
    <xf numFmtId="0" fontId="47" fillId="0" borderId="15" applyAlignment="1" pivotButton="0" quotePrefix="0" xfId="0">
      <alignment vertical="center" indent="1"/>
    </xf>
    <xf numFmtId="0" fontId="0" fillId="0" borderId="15" pivotButton="0" quotePrefix="0" xfId="0"/>
    <xf numFmtId="0" fontId="24" fillId="0" borderId="16" applyAlignment="1" pivotButton="0" quotePrefix="0" xfId="0">
      <alignment vertical="center" indent="1"/>
    </xf>
    <xf numFmtId="0" fontId="0" fillId="0" borderId="16" pivotButton="0" quotePrefix="0" xfId="0"/>
    <xf numFmtId="0" fontId="48" fillId="0" borderId="17" applyAlignment="1" pivotButton="0" quotePrefix="0" xfId="0">
      <alignment vertical="center" indent="1"/>
    </xf>
    <xf numFmtId="0" fontId="0" fillId="0" borderId="17" pivotButton="0" quotePrefix="0" xfId="0"/>
    <xf numFmtId="0" fontId="25" fillId="0" borderId="18" applyAlignment="1" pivotButton="0" quotePrefix="0" xfId="0">
      <alignment vertical="center" indent="1"/>
    </xf>
    <xf numFmtId="0" fontId="0" fillId="0" borderId="18" pivotButton="0" quotePrefix="0" xfId="0"/>
    <xf numFmtId="0" fontId="49" fillId="0" borderId="19" applyAlignment="1" pivotButton="0" quotePrefix="0" xfId="0">
      <alignment vertical="center" indent="1"/>
    </xf>
    <xf numFmtId="0" fontId="0" fillId="0" borderId="19" pivotButton="0" quotePrefix="0" xfId="0"/>
    <xf numFmtId="0" fontId="50" fillId="0" borderId="20" applyAlignment="1" pivotButton="0" quotePrefix="0" xfId="0">
      <alignment vertical="center" indent="1"/>
    </xf>
    <xf numFmtId="0" fontId="0" fillId="0" borderId="20" pivotButton="0" quotePrefix="0" xfId="0"/>
    <xf numFmtId="0" fontId="10" fillId="0" borderId="2" applyAlignment="1" pivotButton="0" quotePrefix="0" xfId="0">
      <alignment vertical="center" indent="1"/>
    </xf>
    <xf numFmtId="0" fontId="59" fillId="0" borderId="2" applyAlignment="1" pivotButton="0" quotePrefix="0" xfId="0">
      <alignment horizontal="center"/>
    </xf>
    <xf numFmtId="0" fontId="1" fillId="0" borderId="0" applyAlignment="1" pivotButton="0" quotePrefix="0" xfId="0">
      <alignment vertical="center"/>
    </xf>
    <xf numFmtId="0" fontId="2" fillId="0" borderId="0" applyAlignment="1" pivotButton="0" quotePrefix="0" xfId="0">
      <alignment horizontal="left" vertical="center"/>
    </xf>
    <xf numFmtId="0" fontId="3" fillId="0" borderId="0" pivotButton="0" quotePrefix="0" xfId="0"/>
    <xf numFmtId="0" fontId="4"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0" borderId="0" applyAlignment="1" pivotButton="0" quotePrefix="0" xfId="0">
      <alignment horizontal="center" vertical="top"/>
    </xf>
    <xf numFmtId="0" fontId="7" fillId="0" borderId="0" applyAlignment="1" pivotButton="0" quotePrefix="0" xfId="0">
      <alignment vertical="top" wrapText="1"/>
    </xf>
    <xf numFmtId="0" fontId="8" fillId="4" borderId="0" applyAlignment="1" pivotButton="0" quotePrefix="0" xfId="0">
      <alignment vertical="top" wrapText="1"/>
    </xf>
    <xf numFmtId="164" fontId="9" fillId="0" borderId="0" applyAlignment="1" pivotButton="0" quotePrefix="0" xfId="0">
      <alignment horizontal="center" vertical="top"/>
    </xf>
    <xf numFmtId="0" fontId="8" fillId="0" borderId="0" applyAlignment="1" pivotButton="0" quotePrefix="0" xfId="0">
      <alignment vertical="top" wrapText="1"/>
    </xf>
    <xf numFmtId="0" fontId="9" fillId="5" borderId="0" applyAlignment="1" pivotButton="0" quotePrefix="0" xfId="0">
      <alignment horizontal="center" vertical="top"/>
    </xf>
    <xf numFmtId="0" fontId="10" fillId="5" borderId="0" applyAlignment="1" pivotButton="0" quotePrefix="0" xfId="0">
      <alignment vertical="top"/>
    </xf>
    <xf numFmtId="0" fontId="10" fillId="5" borderId="0" applyAlignment="1" pivotButton="0" quotePrefix="0" xfId="0">
      <alignment vertical="top" wrapText="1"/>
    </xf>
    <xf numFmtId="0" fontId="10" fillId="0" borderId="0" applyAlignment="1" pivotButton="0" quotePrefix="0" xfId="0">
      <alignment vertical="top" wrapText="1"/>
    </xf>
    <xf numFmtId="166" fontId="10" fillId="0" borderId="0" applyAlignment="1" pivotButton="0" quotePrefix="0" xfId="0">
      <alignment vertical="top"/>
    </xf>
    <xf numFmtId="0" fontId="11" fillId="0" borderId="0" applyAlignment="1" pivotButton="0" quotePrefix="0" xfId="0">
      <alignment vertical="top" wrapText="1"/>
    </xf>
    <xf numFmtId="0" fontId="12" fillId="0" borderId="0" applyAlignment="1" pivotButton="0" quotePrefix="0" xfId="0">
      <alignment vertical="top"/>
    </xf>
    <xf numFmtId="0" fontId="10" fillId="0" borderId="0" applyAlignment="1" pivotButton="0" quotePrefix="0" xfId="0">
      <alignment vertical="top"/>
    </xf>
    <xf numFmtId="0" fontId="6" fillId="0" borderId="0" applyAlignment="1" pivotButton="0" quotePrefix="0" xfId="0">
      <alignment vertical="top" wrapText="1"/>
    </xf>
    <xf numFmtId="0" fontId="13" fillId="0" borderId="0" applyAlignment="1" pivotButton="0" quotePrefix="0" xfId="0">
      <alignment vertical="top"/>
    </xf>
    <xf numFmtId="167" fontId="14" fillId="0" borderId="0" applyAlignment="1" pivotButton="0" quotePrefix="0" xfId="0">
      <alignment horizontal="center" vertical="top"/>
    </xf>
    <xf numFmtId="1" fontId="6" fillId="0" borderId="0" pivotButton="0" quotePrefix="0" xfId="0"/>
    <xf numFmtId="0" fontId="15" fillId="6"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7" fillId="7" borderId="0" applyAlignment="1" pivotButton="0" quotePrefix="0" xfId="0">
      <alignment vertical="top" wrapText="1"/>
    </xf>
    <xf numFmtId="0" fontId="19" fillId="8" borderId="0" applyAlignment="1" pivotButton="0" quotePrefix="0" xfId="0">
      <alignment vertical="top" wrapText="1"/>
    </xf>
    <xf numFmtId="0" fontId="20" fillId="0" borderId="0" applyAlignment="1" pivotButton="0" quotePrefix="0" xfId="0">
      <alignment vertical="top" wrapText="1"/>
    </xf>
    <xf numFmtId="0" fontId="21" fillId="9" borderId="0" applyAlignment="1" pivotButton="0" quotePrefix="0" xfId="0">
      <alignment vertical="top" wrapText="1"/>
    </xf>
    <xf numFmtId="0" fontId="26" fillId="10" borderId="0" applyAlignment="1" pivotButton="0" quotePrefix="0" xfId="0">
      <alignment vertical="center" indent="1"/>
    </xf>
    <xf numFmtId="0" fontId="0" fillId="10" borderId="0" pivotButton="0" quotePrefix="0" xfId="0"/>
    <xf numFmtId="0" fontId="8" fillId="11" borderId="1" applyAlignment="1" pivotButton="0" quotePrefix="0" xfId="0">
      <alignment horizontal="center" vertical="center"/>
    </xf>
    <xf numFmtId="0" fontId="8" fillId="11" borderId="1" applyAlignment="1" pivotButton="0" quotePrefix="0" xfId="0">
      <alignment horizontal="left" vertical="center"/>
    </xf>
    <xf numFmtId="0" fontId="6" fillId="0" borderId="2" applyAlignment="1" pivotButton="0" quotePrefix="0" xfId="0">
      <alignment horizontal="center" vertical="top"/>
    </xf>
    <xf numFmtId="164" fontId="9" fillId="0" borderId="2" applyAlignment="1" pivotButton="0" quotePrefix="0" xfId="0">
      <alignment horizontal="center" vertical="top"/>
    </xf>
    <xf numFmtId="0" fontId="9" fillId="0" borderId="2" applyAlignment="1" pivotButton="0" quotePrefix="0" xfId="0">
      <alignment vertical="top" wrapText="1"/>
    </xf>
    <xf numFmtId="0" fontId="27" fillId="0" borderId="2" applyAlignment="1" pivotButton="0" quotePrefix="0" xfId="0">
      <alignment horizontal="center" vertical="top"/>
    </xf>
    <xf numFmtId="0" fontId="8" fillId="0" borderId="2" applyAlignment="1" pivotButton="0" quotePrefix="0" xfId="0">
      <alignment vertical="top" wrapText="1"/>
    </xf>
    <xf numFmtId="0" fontId="10" fillId="0" borderId="2" applyAlignment="1" pivotButton="0" quotePrefix="0" xfId="0">
      <alignment horizontal="center" vertical="top"/>
    </xf>
    <xf numFmtId="0" fontId="12" fillId="0" borderId="2" applyAlignment="1" pivotButton="0" quotePrefix="0" xfId="0">
      <alignment vertical="top" wrapText="1"/>
    </xf>
    <xf numFmtId="166" fontId="12" fillId="0" borderId="2" applyAlignment="1" pivotButton="0" quotePrefix="0" xfId="0">
      <alignment horizontal="center" vertical="top"/>
    </xf>
    <xf numFmtId="0" fontId="26" fillId="12" borderId="0" applyAlignment="1" pivotButton="0" quotePrefix="0" xfId="0">
      <alignment vertical="center" indent="1"/>
    </xf>
    <xf numFmtId="0" fontId="0" fillId="12" borderId="0" pivotButton="0" quotePrefix="0" xfId="0"/>
    <xf numFmtId="0" fontId="15" fillId="13" borderId="3" applyAlignment="1" pivotButton="0" quotePrefix="0" xfId="0">
      <alignment horizontal="center" vertical="center"/>
    </xf>
    <xf numFmtId="0" fontId="15" fillId="13" borderId="3" applyAlignment="1" pivotButton="0" quotePrefix="0" xfId="0">
      <alignment horizontal="left" vertical="center"/>
    </xf>
    <xf numFmtId="0" fontId="16" fillId="0" borderId="2" applyAlignment="1" pivotButton="0" quotePrefix="0" xfId="0">
      <alignment vertical="top" wrapText="1"/>
    </xf>
    <xf numFmtId="0" fontId="17" fillId="0" borderId="2" applyAlignment="1" pivotButton="0" quotePrefix="0" xfId="0">
      <alignment vertical="top" wrapText="1"/>
    </xf>
    <xf numFmtId="0" fontId="18" fillId="0" borderId="2" applyAlignment="1" pivotButton="0" quotePrefix="0" xfId="0">
      <alignment vertical="top" wrapText="1"/>
    </xf>
    <xf numFmtId="0" fontId="20" fillId="0" borderId="2" applyAlignment="1" pivotButton="0" quotePrefix="0" xfId="0">
      <alignment vertical="top" wrapText="1"/>
    </xf>
    <xf numFmtId="0" fontId="26" fillId="14" borderId="0" applyAlignment="1" pivotButton="0" quotePrefix="0" xfId="0">
      <alignment vertical="center" indent="1"/>
    </xf>
    <xf numFmtId="0" fontId="0" fillId="14" borderId="0" pivotButton="0" quotePrefix="0" xfId="0"/>
    <xf numFmtId="0" fontId="17" fillId="15" borderId="4" applyAlignment="1" pivotButton="0" quotePrefix="0" xfId="0">
      <alignment horizontal="center" vertical="center"/>
    </xf>
    <xf numFmtId="0" fontId="17" fillId="15" borderId="4" applyAlignment="1" pivotButton="0" quotePrefix="0" xfId="0">
      <alignment horizontal="left" vertical="center"/>
    </xf>
    <xf numFmtId="0" fontId="26" fillId="16" borderId="0" applyAlignment="1" pivotButton="0" quotePrefix="0" xfId="0">
      <alignment vertical="center" indent="1"/>
    </xf>
    <xf numFmtId="0" fontId="0" fillId="16" borderId="0" pivotButton="0" quotePrefix="0" xfId="0"/>
    <xf numFmtId="0" fontId="19" fillId="17" borderId="5" applyAlignment="1" pivotButton="0" quotePrefix="0" xfId="0">
      <alignment horizontal="center" vertical="center"/>
    </xf>
    <xf numFmtId="0" fontId="19" fillId="17" borderId="5" applyAlignment="1" pivotButton="0" quotePrefix="0" xfId="0">
      <alignment horizontal="left" vertical="center"/>
    </xf>
    <xf numFmtId="0" fontId="26" fillId="18" borderId="0" applyAlignment="1" pivotButton="0" quotePrefix="0" xfId="0">
      <alignment vertical="center" indent="1"/>
    </xf>
    <xf numFmtId="0" fontId="0" fillId="18" borderId="0" pivotButton="0" quotePrefix="0" xfId="0"/>
    <xf numFmtId="0" fontId="21" fillId="19" borderId="6" applyAlignment="1" pivotButton="0" quotePrefix="0" xfId="0">
      <alignment horizontal="center" vertical="center"/>
    </xf>
    <xf numFmtId="0" fontId="21" fillId="19" borderId="6" applyAlignment="1" pivotButton="0" quotePrefix="0" xfId="0">
      <alignment horizontal="left" vertical="center"/>
    </xf>
    <xf numFmtId="0" fontId="9" fillId="0" borderId="0" applyAlignment="1" pivotButton="0" quotePrefix="0" xfId="0">
      <alignment vertical="top" wrapText="1"/>
    </xf>
    <xf numFmtId="0" fontId="10" fillId="0" borderId="0" applyAlignment="1" pivotButton="0" quotePrefix="0" xfId="0">
      <alignment horizontal="center" vertical="top"/>
    </xf>
    <xf numFmtId="0" fontId="5" fillId="0" borderId="0" applyAlignment="1" pivotButton="0" quotePrefix="0" xfId="0">
      <alignment horizontal="center" vertical="top"/>
    </xf>
    <xf numFmtId="168" fontId="10" fillId="0" borderId="0" applyAlignment="1" pivotButton="0" quotePrefix="0" xfId="0">
      <alignment horizontal="center" vertical="top"/>
    </xf>
    <xf numFmtId="0" fontId="22" fillId="0" borderId="0" applyAlignment="1" pivotButton="0" quotePrefix="0" xfId="0">
      <alignment vertical="top" wrapText="1"/>
    </xf>
    <xf numFmtId="166" fontId="10" fillId="0" borderId="0" applyAlignment="1" pivotButton="0" quotePrefix="0" xfId="0">
      <alignment horizontal="center" vertical="top"/>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9" fillId="0" borderId="0" pivotButton="0" quotePrefix="0" xfId="0"/>
    <xf numFmtId="0" fontId="10" fillId="0" borderId="0" pivotButton="0" quotePrefix="0" xfId="0"/>
    <xf numFmtId="165" fontId="10" fillId="0" borderId="0" pivotButton="0" quotePrefix="0" xfId="0"/>
    <xf numFmtId="1" fontId="10" fillId="0" borderId="0" pivotButton="0" quotePrefix="0" xfId="0"/>
  </cellXfs>
  <cellStyles count="1">
    <cellStyle name="Normal" xfId="0" builtinId="0" hidden="0"/>
  </cellStyles>
  <dxfs count="21">
    <dxf>
      <font>
        <b val="1"/>
        <color rgb="001F9D63"/>
      </font>
      <fill>
        <patternFill patternType="solid">
          <fgColor rgb="00DDF0E8"/>
          <bgColor rgb="00DDF0E8"/>
        </patternFill>
      </fill>
    </dxf>
    <dxf>
      <font>
        <b val="1"/>
        <color rgb="006B4FD6"/>
      </font>
      <fill>
        <patternFill patternType="solid">
          <fgColor rgb="00E9E5F9"/>
          <bgColor rgb="00E9E5F9"/>
        </patternFill>
      </fill>
    </dxf>
    <dxf>
      <font>
        <b val="1"/>
        <color rgb="00E04F2C"/>
      </font>
      <fill>
        <patternFill patternType="solid">
          <fgColor rgb="00FAE5DF"/>
          <bgColor rgb="00FAE5DF"/>
        </patternFill>
      </fill>
    </dxf>
    <dxf>
      <font>
        <b val="1"/>
        <color rgb="00D38B00"/>
      </font>
      <fill>
        <patternFill patternType="solid">
          <fgColor rgb="00F8EED9"/>
          <bgColor rgb="00F8EED9"/>
        </patternFill>
      </fill>
    </dxf>
    <dxf>
      <font>
        <b val="1"/>
        <color rgb="002563D6"/>
      </font>
      <fill>
        <patternFill patternType="solid">
          <fgColor rgb="00DEE8F9"/>
          <bgColor rgb="00DEE8F9"/>
        </patternFill>
      </fill>
    </dxf>
    <dxf>
      <font>
        <b val="1"/>
        <color rgb="000B97A5"/>
      </font>
      <fill>
        <patternFill patternType="solid">
          <fgColor rgb="00DAEFF2"/>
          <bgColor rgb="00DAEFF2"/>
        </patternFill>
      </fill>
    </dxf>
    <dxf>
      <font>
        <b val="1"/>
        <color rgb="00C23D7B"/>
      </font>
      <fill>
        <patternFill patternType="solid">
          <fgColor rgb="00F6E2EB"/>
          <bgColor rgb="00F6E2EB"/>
        </patternFill>
      </fill>
    </dxf>
    <dxf>
      <font>
        <b val="1"/>
        <color rgb="008A5A2B"/>
      </font>
      <fill>
        <patternFill patternType="solid">
          <fgColor rgb="00EDE6DF"/>
          <bgColor rgb="00EDE6DF"/>
        </patternFill>
      </fill>
    </dxf>
    <dxf>
      <font>
        <b val="1"/>
        <color rgb="0064748B"/>
      </font>
      <fill>
        <patternFill patternType="solid">
          <fgColor rgb="00E8EAEE"/>
          <bgColor rgb="00E8EAEE"/>
        </patternFill>
      </fill>
    </dxf>
    <dxf>
      <font>
        <b val="1"/>
        <color rgb="001D5A8A"/>
        <u val="single"/>
      </font>
    </dxf>
    <dxf>
      <font>
        <b val="1"/>
        <color rgb="00FFFFFF"/>
      </font>
      <fill>
        <patternFill patternType="solid">
          <fgColor rgb="001E7B4F"/>
          <bgColor rgb="001E7B4F"/>
        </patternFill>
      </fill>
    </dxf>
    <dxf>
      <font>
        <b val="1"/>
        <color rgb="00FFFFFF"/>
      </font>
      <fill>
        <patternFill patternType="solid">
          <fgColor rgb="004DA06E"/>
          <bgColor rgb="004DA06E"/>
        </patternFill>
      </fill>
    </dxf>
    <dxf>
      <font>
        <b val="1"/>
        <color rgb="00FFFFFF"/>
      </font>
      <fill>
        <patternFill patternType="solid">
          <fgColor rgb="00D9A21B"/>
          <bgColor rgb="00D9A21B"/>
        </patternFill>
      </fill>
    </dxf>
    <dxf>
      <font>
        <b val="1"/>
        <color rgb="001B2430"/>
      </font>
      <fill>
        <patternFill patternType="solid">
          <fgColor rgb="00A3ADB8"/>
          <bgColor rgb="00A3ADB8"/>
        </patternFill>
      </fill>
    </dxf>
    <dxf>
      <font>
        <b val="1"/>
        <color rgb="001B2430"/>
      </font>
      <fill>
        <patternFill patternType="solid">
          <fgColor rgb="00C9CED6"/>
          <bgColor rgb="00C9CED6"/>
        </patternFill>
      </fill>
    </dxf>
    <dxf>
      <font>
        <color rgb="009AA3AE"/>
      </font>
    </dxf>
    <dxf>
      <font>
        <b val="1"/>
        <color rgb="004A5563"/>
      </font>
      <fill>
        <patternFill patternType="solid">
          <fgColor rgb="00ECEFF3"/>
          <bgColor rgb="00ECEFF3"/>
        </patternFill>
      </fill>
    </dxf>
    <dxf>
      <font>
        <b val="1"/>
        <color rgb="001D4FB8"/>
      </font>
      <fill>
        <patternFill patternType="solid">
          <fgColor rgb="00DCE7FB"/>
          <bgColor rgb="00DCE7FB"/>
        </patternFill>
      </fill>
    </dxf>
    <dxf>
      <font>
        <b val="1"/>
        <color rgb="008A5300"/>
      </font>
      <fill>
        <patternFill patternType="solid">
          <fgColor rgb="00FBE6C2"/>
          <bgColor rgb="00FBE6C2"/>
        </patternFill>
      </fill>
    </dxf>
    <dxf>
      <font>
        <b val="1"/>
        <color rgb="0017663F"/>
      </font>
      <fill>
        <patternFill patternType="solid">
          <fgColor rgb="00D3EDDF"/>
          <bgColor rgb="00D3EDDF"/>
        </patternFill>
      </fill>
    </dxf>
    <dxf>
      <font>
        <b val="1"/>
        <color rgb="007A8491"/>
      </font>
      <fill>
        <patternFill patternType="solid">
          <fgColor rgb="00F1F2F4"/>
          <bgColor rgb="00F1F2F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Stories by theme (this selection)</a:t>
            </a:r>
          </a:p>
        </rich>
      </tx>
      <overlay val="0"/>
    </title>
    <plotArea>
      <barChart>
        <barDir val="bar"/>
        <grouping val="clustered"/>
        <ser>
          <idx val="0"/>
          <order val="0"/>
          <tx>
            <strRef>
              <f>'Dashboard'!F27</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1F9D63"/>
              </a:solidFill>
              <a:ln xmlns:a="http://schemas.openxmlformats.org/drawingml/2006/main">
                <a:solidFill>
                  <a:srgbClr val="1F9D63"/>
                </a:solidFill>
                <a:prstDash val="solid"/>
              </a:ln>
            </spPr>
          </dPt>
          <dPt>
            <idx val="1"/>
            <spPr>
              <a:solidFill xmlns:a="http://schemas.openxmlformats.org/drawingml/2006/main">
                <a:srgbClr val="6B4FD6"/>
              </a:solidFill>
              <a:ln xmlns:a="http://schemas.openxmlformats.org/drawingml/2006/main">
                <a:solidFill>
                  <a:srgbClr val="6B4FD6"/>
                </a:solidFill>
                <a:prstDash val="solid"/>
              </a:ln>
            </spPr>
          </dPt>
          <dPt>
            <idx val="2"/>
            <spPr>
              <a:solidFill xmlns:a="http://schemas.openxmlformats.org/drawingml/2006/main">
                <a:srgbClr val="E04F2C"/>
              </a:solidFill>
              <a:ln xmlns:a="http://schemas.openxmlformats.org/drawingml/2006/main">
                <a:solidFill>
                  <a:srgbClr val="E04F2C"/>
                </a:solidFill>
                <a:prstDash val="solid"/>
              </a:ln>
            </spPr>
          </dPt>
          <dPt>
            <idx val="3"/>
            <spPr>
              <a:solidFill xmlns:a="http://schemas.openxmlformats.org/drawingml/2006/main">
                <a:srgbClr val="D38B00"/>
              </a:solidFill>
              <a:ln xmlns:a="http://schemas.openxmlformats.org/drawingml/2006/main">
                <a:solidFill>
                  <a:srgbClr val="D38B00"/>
                </a:solidFill>
                <a:prstDash val="solid"/>
              </a:ln>
            </spPr>
          </dPt>
          <dPt>
            <idx val="4"/>
            <spPr>
              <a:solidFill xmlns:a="http://schemas.openxmlformats.org/drawingml/2006/main">
                <a:srgbClr val="2563D6"/>
              </a:solidFill>
              <a:ln xmlns:a="http://schemas.openxmlformats.org/drawingml/2006/main">
                <a:solidFill>
                  <a:srgbClr val="2563D6"/>
                </a:solidFill>
                <a:prstDash val="solid"/>
              </a:ln>
            </spPr>
          </dPt>
          <dPt>
            <idx val="5"/>
            <spPr>
              <a:solidFill xmlns:a="http://schemas.openxmlformats.org/drawingml/2006/main">
                <a:srgbClr val="0B97A5"/>
              </a:solidFill>
              <a:ln xmlns:a="http://schemas.openxmlformats.org/drawingml/2006/main">
                <a:solidFill>
                  <a:srgbClr val="0B97A5"/>
                </a:solidFill>
                <a:prstDash val="solid"/>
              </a:ln>
            </spPr>
          </dPt>
          <dPt>
            <idx val="6"/>
            <spPr>
              <a:solidFill xmlns:a="http://schemas.openxmlformats.org/drawingml/2006/main">
                <a:srgbClr val="C23D7B"/>
              </a:solidFill>
              <a:ln xmlns:a="http://schemas.openxmlformats.org/drawingml/2006/main">
                <a:solidFill>
                  <a:srgbClr val="C23D7B"/>
                </a:solidFill>
                <a:prstDash val="solid"/>
              </a:ln>
            </spPr>
          </dPt>
          <dPt>
            <idx val="7"/>
            <spPr>
              <a:solidFill xmlns:a="http://schemas.openxmlformats.org/drawingml/2006/main">
                <a:srgbClr val="8A5A2B"/>
              </a:solidFill>
              <a:ln xmlns:a="http://schemas.openxmlformats.org/drawingml/2006/main">
                <a:solidFill>
                  <a:srgbClr val="8A5A2B"/>
                </a:solidFill>
                <a:prstDash val="solid"/>
              </a:ln>
            </spPr>
          </dPt>
          <dPt>
            <idx val="8"/>
            <spPr>
              <a:solidFill xmlns:a="http://schemas.openxmlformats.org/drawingml/2006/main">
                <a:srgbClr val="64748B"/>
              </a:solidFill>
              <a:ln xmlns:a="http://schemas.openxmlformats.org/drawingml/2006/main">
                <a:solidFill>
                  <a:srgbClr val="64748B"/>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'Dashboard'!$B$28:$B$36</f>
            </numRef>
          </cat>
          <val>
            <numRef>
              <f>'Dashboard'!$F$28:$F$36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Suggested editorial use</a:t>
            </a:r>
          </a:p>
        </rich>
      </tx>
      <overlay val="0"/>
    </title>
    <plotArea>
      <barChart>
        <barDir val="bar"/>
        <grouping val="clustered"/>
        <ser>
          <idx val="0"/>
          <order val="0"/>
          <tx>
            <strRef>
              <f>'Dashboard'!E39</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D38B00"/>
              </a:solidFill>
              <a:ln xmlns:a="http://schemas.openxmlformats.org/drawingml/2006/main">
                <a:solidFill>
                  <a:srgbClr val="D38B00"/>
                </a:solidFill>
                <a:prstDash val="solid"/>
              </a:ln>
            </spPr>
          </dPt>
          <dPt>
            <idx val="1"/>
            <spPr>
              <a:solidFill xmlns:a="http://schemas.openxmlformats.org/drawingml/2006/main">
                <a:srgbClr val="2563D6"/>
              </a:solidFill>
              <a:ln xmlns:a="http://schemas.openxmlformats.org/drawingml/2006/main">
                <a:solidFill>
                  <a:srgbClr val="2563D6"/>
                </a:solidFill>
                <a:prstDash val="solid"/>
              </a:ln>
            </spPr>
          </dPt>
          <dPt>
            <idx val="2"/>
            <spPr>
              <a:solidFill xmlns:a="http://schemas.openxmlformats.org/drawingml/2006/main">
                <a:srgbClr val="6B4FD6"/>
              </a:solidFill>
              <a:ln xmlns:a="http://schemas.openxmlformats.org/drawingml/2006/main">
                <a:solidFill>
                  <a:srgbClr val="6B4FD6"/>
                </a:solidFill>
                <a:prstDash val="solid"/>
              </a:ln>
            </spPr>
          </dPt>
          <dPt>
            <idx val="3"/>
            <spPr>
              <a:solidFill xmlns:a="http://schemas.openxmlformats.org/drawingml/2006/main">
                <a:srgbClr val="1F9D63"/>
              </a:solidFill>
              <a:ln xmlns:a="http://schemas.openxmlformats.org/drawingml/2006/main">
                <a:solidFill>
                  <a:srgbClr val="1F9D63"/>
                </a:solidFill>
                <a:prstDash val="solid"/>
              </a:ln>
            </spPr>
          </dPt>
          <dPt>
            <idx val="4"/>
            <spPr>
              <a:solidFill xmlns:a="http://schemas.openxmlformats.org/drawingml/2006/main">
                <a:srgbClr val="8A94A3"/>
              </a:solidFill>
              <a:ln xmlns:a="http://schemas.openxmlformats.org/drawingml/2006/main">
                <a:solidFill>
                  <a:srgbClr val="8A94A3"/>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'Dashboard'!$B$40:$B$44</f>
            </numRef>
          </cat>
          <val>
            <numRef>
              <f>'Dashboard'!$E$40:$E$44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Geotechnical relevance</a:t>
            </a:r>
          </a:p>
        </rich>
      </tx>
      <overlay val="0"/>
    </title>
    <plotArea>
      <barChart>
        <barDir val="col"/>
        <grouping val="clustered"/>
        <ser>
          <idx val="0"/>
          <order val="0"/>
          <tx>
            <strRef>
              <f>'Dashboard'!K39</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1E7B4F"/>
              </a:solidFill>
              <a:ln xmlns:a="http://schemas.openxmlformats.org/drawingml/2006/main">
                <a:solidFill>
                  <a:srgbClr val="1E7B4F"/>
                </a:solidFill>
                <a:prstDash val="solid"/>
              </a:ln>
            </spPr>
          </dPt>
          <dPt>
            <idx val="1"/>
            <spPr>
              <a:solidFill xmlns:a="http://schemas.openxmlformats.org/drawingml/2006/main">
                <a:srgbClr val="4DA06E"/>
              </a:solidFill>
              <a:ln xmlns:a="http://schemas.openxmlformats.org/drawingml/2006/main">
                <a:solidFill>
                  <a:srgbClr val="4DA06E"/>
                </a:solidFill>
                <a:prstDash val="solid"/>
              </a:ln>
            </spPr>
          </dPt>
          <dPt>
            <idx val="2"/>
            <spPr>
              <a:solidFill xmlns:a="http://schemas.openxmlformats.org/drawingml/2006/main">
                <a:srgbClr val="D9A21B"/>
              </a:solidFill>
              <a:ln xmlns:a="http://schemas.openxmlformats.org/drawingml/2006/main">
                <a:solidFill>
                  <a:srgbClr val="D9A21B"/>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'Dashboard'!$H$40:$H$42</f>
            </numRef>
          </cat>
          <val>
            <numRef>
              <f>'Dashboard'!$K$40:$K$42</f>
            </numRef>
          </val>
        </ser>
        <gapWidth val="55"/>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Planning status</a:t>
            </a:r>
          </a:p>
        </rich>
      </tx>
      <overlay val="0"/>
    </title>
    <plotArea>
      <barChart>
        <barDir val="col"/>
        <grouping val="clustered"/>
        <ser>
          <idx val="0"/>
          <order val="0"/>
          <tx>
            <strRef>
              <f>'Dashboard'!Q39</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A3ADB8"/>
              </a:solidFill>
              <a:ln xmlns:a="http://schemas.openxmlformats.org/drawingml/2006/main">
                <a:solidFill>
                  <a:srgbClr val="A3ADB8"/>
                </a:solidFill>
                <a:prstDash val="solid"/>
              </a:ln>
            </spPr>
          </dPt>
          <dPt>
            <idx val="1"/>
            <spPr>
              <a:solidFill xmlns:a="http://schemas.openxmlformats.org/drawingml/2006/main">
                <a:srgbClr val="2563D6"/>
              </a:solidFill>
              <a:ln xmlns:a="http://schemas.openxmlformats.org/drawingml/2006/main">
                <a:solidFill>
                  <a:srgbClr val="2563D6"/>
                </a:solidFill>
                <a:prstDash val="solid"/>
              </a:ln>
            </spPr>
          </dPt>
          <dPt>
            <idx val="2"/>
            <spPr>
              <a:solidFill xmlns:a="http://schemas.openxmlformats.org/drawingml/2006/main">
                <a:srgbClr val="D38B00"/>
              </a:solidFill>
              <a:ln xmlns:a="http://schemas.openxmlformats.org/drawingml/2006/main">
                <a:solidFill>
                  <a:srgbClr val="D38B00"/>
                </a:solidFill>
                <a:prstDash val="solid"/>
              </a:ln>
            </spPr>
          </dPt>
          <dPt>
            <idx val="3"/>
            <spPr>
              <a:solidFill xmlns:a="http://schemas.openxmlformats.org/drawingml/2006/main">
                <a:srgbClr val="1E7B4F"/>
              </a:solidFill>
              <a:ln xmlns:a="http://schemas.openxmlformats.org/drawingml/2006/main">
                <a:solidFill>
                  <a:srgbClr val="1E7B4F"/>
                </a:solidFill>
                <a:prstDash val="solid"/>
              </a:ln>
            </spPr>
          </dPt>
          <dPt>
            <idx val="4"/>
            <spPr>
              <a:solidFill xmlns:a="http://schemas.openxmlformats.org/drawingml/2006/main">
                <a:srgbClr val="D5DAE0"/>
              </a:solidFill>
              <a:ln xmlns:a="http://schemas.openxmlformats.org/drawingml/2006/main">
                <a:solidFill>
                  <a:srgbClr val="D5DAE0"/>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'Dashboard'!$N$40:$N$44</f>
            </numRef>
          </cat>
          <val>
            <numRef>
              <f>'Dashboard'!$Q$40:$Q$44</f>
            </numRef>
          </val>
        </ser>
        <gapWidth val="55"/>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Stories per issue window</a:t>
            </a:r>
          </a:p>
        </rich>
      </tx>
      <overlay val="0"/>
    </title>
    <plotArea>
      <barChart>
        <barDir val="col"/>
        <grouping val="clustered"/>
        <ser>
          <idx val="0"/>
          <order val="0"/>
          <tx>
            <strRef>
              <f>'Dashboard'!F73</f>
            </strRef>
          </tx>
          <spPr>
            <a:solidFill xmlns:a="http://schemas.openxmlformats.org/drawingml/2006/main">
              <a:srgbClr val="D9DEE3"/>
            </a:solidFill>
            <a:ln xmlns:a="http://schemas.openxmlformats.org/drawingml/2006/main">
              <a:solidFill>
                <a:srgbClr val="D9DEE3"/>
              </a:solidFill>
              <a:prstDash val="solid"/>
            </a:ln>
          </spPr>
          <invertIfNegative val="0"/>
          <cat>
            <numRef>
              <f>'Dashboard'!$B$74</f>
            </numRef>
          </cat>
          <val>
            <numRef>
              <f>'Dashboard'!$F$74</f>
            </numRef>
          </val>
        </ser>
        <ser>
          <idx val="1"/>
          <order val="1"/>
          <tx>
            <strRef>
              <f>'Dashboard'!G73</f>
            </strRef>
          </tx>
          <spPr>
            <a:solidFill xmlns:a="http://schemas.openxmlformats.org/drawingml/2006/main">
              <a:srgbClr val="C9A227"/>
            </a:solidFill>
            <a:ln xmlns:a="http://schemas.openxmlformats.org/drawingml/2006/main">
              <a:solidFill>
                <a:srgbClr val="C9A227"/>
              </a:solidFill>
              <a:prstDash val="solid"/>
            </a:ln>
          </spPr>
          <invertIfNegative val="0"/>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'Dashboard'!$B$74</f>
            </numRef>
          </cat>
          <val>
            <numRef>
              <f>'Dashboard'!$G$74</f>
            </numRef>
          </val>
        </ser>
        <gapWidth val="40"/>
        <overlap val="10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legend>
      <legendPos val="t"/>
      <overlay val="0"/>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11</col>
      <colOff>0</colOff>
      <row>25</row>
      <rowOff>0</rowOff>
    </from>
    <ext cx="6048000" cy="2692063"/>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45</row>
      <rowOff>0</rowOff>
    </from>
    <ext cx="4031999" cy="223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45</row>
      <rowOff>0</rowOff>
    </from>
    <ext cx="4031999" cy="223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45</row>
      <rowOff>0</rowOff>
    </from>
    <ext cx="4031999" cy="223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72</row>
      <rowOff>0</rowOff>
    </from>
    <ext cx="7416000" cy="23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StoriesTable" displayName="StoriesTable" ref="A3:U33" headerRowCount="1">
  <autoFilter ref="A3:U33"/>
  <tableColumns count="21">
    <tableColumn id="1" name="No."/>
    <tableColumn id="2" name="Headline (English)"/>
    <tableColumn id="3" name="Theme"/>
    <tableColumn id="4" name="Relevance"/>
    <tableColumn id="5" name="Suggested use"/>
    <tableColumn id="6" name="Status"/>
    <tableColumn id="7" name="Assigned to"/>
    <tableColumn id="8" name="Editor notes"/>
    <tableColumn id="9" name="Magazine angle"/>
    <tableColumn id="10" name="Source"/>
    <tableColumn id="11" name="Digest date"/>
    <tableColumn id="12" name="Original headline"/>
    <tableColumn id="13" name="Summary"/>
    <tableColumn id="14" name="Google News edition"/>
    <tableColumn id="15" name="Published"/>
    <tableColumn id="16" name="Issue window"/>
    <tableColumn id="17" name="Keywords"/>
    <tableColumn id="18" name="Keyword score"/>
    <tableColumn id="19" name="Article URL"/>
    <tableColumn id="20" name="In Dashboard selection"/>
    <tableColumn id="21" name="Top-10 key (helper)"/>
  </tableColumns>
  <tableStyleInfo name="TableStyleLight1" showRowStripes="1"/>
</table>
</file>

<file path=xl/tables/table2.xml><?xml version="1.0" encoding="utf-8"?>
<table xmlns="http://schemas.openxmlformats.org/spreadsheetml/2006/main" id="2" name="SourcesTable" displayName="SourcesTable" ref="A3:I26" headerRowCount="1">
  <autoFilter ref="A3:I26"/>
  <tableColumns count="9">
    <tableColumn id="1" name="Source"/>
    <tableColumn id="2" name="Stories"/>
    <tableColumn id="3" name="In current selection"/>
    <tableColumn id="4" name="Average relevance"/>
    <tableColumn id="5" name="Rated 4 or 5"/>
    <tableColumn id="6" name="Most frequent theme"/>
    <tableColumn id="7" name="Themes covered"/>
    <tableColumn id="8" name="Google News editions"/>
    <tableColumn id="9" name="Latest digest"/>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news.google.com/rss/articles/CBMibkFVX3lxTE8wdVhYVXYyQ3RwMHAtOTNnUkh5TnhCcEtVem9XenhDMFo2UVFHbWtIaGIzVHhLb1BFQmd2akRLZkFMd1pQNWJDRElESUY1SUdvLWFfd1ZaUW5tZ0ZFcmIxckZxbXg1Z1RrbXI5V0Zn?oc=5" TargetMode="External" Id="rId1"/><Relationship Type="http://schemas.openxmlformats.org/officeDocument/2006/relationships/hyperlink" Target="https://news.google.com/rss/articles/CBMia0FVX3lxTE45UVhrbTdIV2NXaVloOTBleGdWeThGbHNoSTJtMTE3cFlfalpoYVBnUEFoUVRJQUp5Z2pVOEZvaGZzRUtjRWtOMzY3Wll0RHJOUTB6c0JYdGEzOXk2VXltZUFkc3RURDBUYUg4?oc=5" TargetMode="External" Id="rId2"/><Relationship Type="http://schemas.openxmlformats.org/officeDocument/2006/relationships/hyperlink" Target="https://news.google.com/rss/articles/CBMi7gFBVV95cUxQTGNab2ZBb3hvUXZRVXBCeDFRX2NqU0ZfeVdFZXgtbm5WZDl4aFd0eUdSYXdjNmotcS1ReUZhM1BBc2hITEpkQlpBTmlabzRycmN1ZkQwLVlDa3NzZWJuZXhnNC1jRXlkV1EybVFoQld3VlRaZ241ZkVMazRlZHB1NWplMjVpaWJtMHA3SHBZaEhhMHU0RE01Mk0taFU1OTBaTmg0U1lFYnI5cjhwaEZPUmd2ZTdTVHpxVjBfNk9mRFREOXNWNXJTM29OTnY3NHd0dGJYNVJoaHc4LWQxaUVOajhsaTdWU3dFbVd0ZUt3?oc=5" TargetMode="External" Id="rId3"/><Relationship Type="http://schemas.openxmlformats.org/officeDocument/2006/relationships/hyperlink" Target="https://news.google.com/rss/articles/CBMiogFBVV95cUxQNGhpZmtjSDF5eDFZZEJXaTdIZWo2QVZTRDVlc3E0T2pvQ2tRaURBcHpRUk5hSmFDNjNuaGV5X1pHeVdqc2RjR1dOQVhPc2tUUVRmb2RiWnB0dWNDcU96QUxGcVg1dmNxRlpfdTNmT0Z5ZG4wSXNTSmR5OUY4ZmRZcW9kNmRHS0ZaVUxyMW9ySU5TSWJlNzJCWWJaZGlrRHd1a2c?oc=5" TargetMode="External" Id="rId4"/><Relationship Type="http://schemas.openxmlformats.org/officeDocument/2006/relationships/hyperlink" Target="https://news.google.com/rss/articles/CBMizAFBVV95cUxOX19SY3ozdEtSRFpyZlE3a3o4LWtuMTdJeXVsZkVtZVJIaXJzbndtWVd2T21uQncydzJ1bmZONW1yVU9DVExhUFI5VmI3RkVHbjJqTjZWSXpjd1NLeDViOHZnLWo5ZV9oYVRNZi1KN3E3OERXVC1pdzlDVlBvY3pHZE1WRm9vR0E5VnNNdXN3SU9xbFVGRzY4UkstZUpkYTlMYjJobWoxTDRDNWVqYWdlR2taRV94RG9yaFJuUExrN1VCT2ZpTkFNQllycXo?oc=5" TargetMode="External" Id="rId5"/><Relationship Type="http://schemas.openxmlformats.org/officeDocument/2006/relationships/hyperlink" Target="https://news.google.com/rss/articles/CBMipwFBVV95cUxQM0JfTHl5bmwxRmJ6Y3lLZ2l6XzB1c0lkclVfRzJ2clZEV29YU25kOWNsX1hXNjFuUnJnVGNjRXBFa0V2RWlYVllQOVEzV1ZCY3VYNENpdk9wSGVNNlUtNGVwdGZhZDY5UUVTYW1OZHQ1TkFoUURUTFMwSWdoLU90QTU2VE5Md1NKOU1Rd041aXFxNUJ1OGc3QTAxLUpGbndSWXh0czMzSQ?oc=5" TargetMode="External" Id="rId6"/><Relationship Type="http://schemas.openxmlformats.org/officeDocument/2006/relationships/hyperlink" Target="https://news.google.com/rss/articles/CBMirwFBVV95cUxPRkxsbl9ZdlM1cmloa1JxT3ZENFdkYUI5U3pIZy1UM005NU9SVVFIVjVmZ1ZvTDNybGJkMHAtc3Ewd3RldnRYWHlrSnQ2R1hXN2xpR1BNREFxTlRlb2tFMnFJZ01VSEZqN0ZheUtlbWJEd3h2SURJb3ppVWl6dTU2Y21zZGJGR1hpMWdNUmNfdWluZDJQYzZkeC1QTHhEUFNmcVhTVWtnWWxiUDczMmtr?oc=5" TargetMode="External" Id="rId7"/><Relationship Type="http://schemas.openxmlformats.org/officeDocument/2006/relationships/hyperlink" Target="https://news.google.com/rss/articles/CBMiogFBVV95cUxOYkthemxCdGdtc1c3TnBBbGY4MVZlMDFvWnZiX3E4UERSQ1lsX2g4R0x5VHVaVndQdnJHQTBZSy02bV8wT1d4RVZ6WHRVN2w0UUx1MFRMbDhINzgtWlJJLXFKOHIzWFRZa1VmZUVFNUNCM3hRdE9GUGZpdVNQQnd3ZmxRTWZFOGU5REFvOTg4cG40YkU1bDhlZ2pQSkR5Ti04Q1E?oc=5" TargetMode="External" Id="rId8"/><Relationship Type="http://schemas.openxmlformats.org/officeDocument/2006/relationships/hyperlink" Target="https://news.google.com/rss/articles/CBMitANBVV95cUxNUUlBdHRnYnNzb3ZOX1BlZ1VIbWl3ZzdvbEhqenMtbHpwbVd5VHoyTTdwWklBOUFGMWxtd1RLY2tMcnZ4TWZWSUVXZHJYOFVKV3dxcjcwSFJqeUtTbS0tMm1FSFpmWk16WkhMOGU4OGRyZ0kwY0Z4cl9PZ2s3blFCZHljWXdXVzJtUmprT2VmWDY2U2dndVpfcEJmTDc0SXlhd0hyLWU0VE1VeVMtalJ4cUFGTU1CdnhoYW5KeXE4bEh4R2prb1dmWHdpNmZJMm1TMk4zWmJxM1BUUFdXNHZYSDczTFk4cjZOTll3Si1kNVB6MzdqNkd6VEdSeUM0aDJHY05HRW9QR0htUS1pdHRTdmFnZC1kcV84eklxcHlZeTVJd3A4NEpvTU9DT19IQXVZUVhhTEE2OFIwMGttaEIxODJ0ZWhQR1UwcGVLNVg1TlVDaHUzaU5ZTmhsMkdTeGFORm9Hd3hDUlNESy1maG5ZY2g3T0NFOVgwRGxoTXJ4d2FEV3p6bm83cllHTV9QLW90VW14WlZOWkJvblJ2S0E4VlBrbUhLaVRJbnY3R1AzVzFDN2xy0gGEBEFVX3lxTFBBQTVYY2h4THQwaTRndVVTeE55dFdQd3Z6MG5PMzJOU3FSakNBM25YYzhQZGtfRkx5bnNzUWRRZFN5UkJqR2xaNXQ5RjFXWWtnMlAwdTBZVS1oTmxuWmt5TnRTX0YxbHVVWTlEMHNrRUNkNVNzejk1SGdOVm9rTjRUTXZuY0VsX1lzZENuXzB6UmRPOEczTHg4NmJfYUQzUTJVNXJTem1BWU1KUFZmMnl6eUVKT09HN05CcjBUQmFrOVRpZjNnLWU0WGM1Qll1a2pqdWx4VUVSaUdfMjJlNEh4dlgwMWZ2YXY0RW52ZE9WZWRKS1kwYXhyeTYydV9CQVRtVGhpeUtsTlVTeHAxSngtb0NhMVR3bkhKLVlVZ3N3VUk1QU1SWFFYcWdWNkJwcGg1bFBoVm5KYmc5NEdQX3I5QWM3OW9HbF85czRBUXd6eXpaTWpnZkY0RDBIVzVTbnV4QUItNXdNaW1DZXpDQTNtNG9Od3BveDNTMnB2RmpEN1ZQb2NUNmN1cC1mSW1sWWs1NEswWU5mUWV3LWI3a3hBRTVuYkJaaDdObDczd0ZfWUw1SXRRVXM4ZWs2bm9lNk5hYWNkU3F2bktWNUl1bXByUTRzMGVOa2VwdzVibE9Za2xvQmJqRUY0T09va2NmczZTTlZfMlN6eFZMN1owYUpVOFZrSw?oc=5" TargetMode="External" Id="rId9"/><Relationship Type="http://schemas.openxmlformats.org/officeDocument/2006/relationships/hyperlink" Target="https://news.google.com/rss/articles/CBMi0gFBVV95cUxOVW5ENnJ6RnYwS3VyQ3dPQW9qS0NBcjZxeGNNcHBlVWttczllOUhhLVNuT2ljMkN3NFZodHJISlRZUG1GTTNaTVN6SF90ZE1kMl9teDFSWmsza2hpR1BLM3ZtbkV2cWg2NWk2TW9ac0JRNnl5WEFlWS1NWG5UNEVXMlVzNEdNaThBRVgtSlJVc0x5WDBHbmFqTW1LUFJTN3hDZXZIU3VKeFM4VV9faHd2cU1zUXFFdHJOaWhGdnZiel91TjBRMFFoc2FwSFZPMUJjbGfSAdcBQVVfeXFMT3BsOGJPRzNGNTBnZFJNbWVldVNXaGtQRG5oRlZEaHAzTUt2cml2TXRHdDUyWE5MMEdSdXdhdS05NWJlSXRhV3NXamRkcFk0WXR1TmxkNFNIWFlqUGRMWTY1Wm52QmUtU0lsVlF1aUt3NUtJNHJsRW9GSzNtTXN4d1BhdGQyWGh3WUVoWGJKYkhXejlCM2NQRWZkbFFmQ3EtSlZLYWI1dG45OXA1R3E5c0dtNTZBTVZVNjZLRDAwUEJQT3dpTDl5SDJObTYxbFBETVFFb1c4Z0E?oc=5" TargetMode="External" Id="rId10"/><Relationship Type="http://schemas.openxmlformats.org/officeDocument/2006/relationships/hyperlink" Target="https://news.google.com/rss/articles/CBMibEFVX3lxTE9qd0p2T2p3a1lzbEg5TnFXNDZ2VXRhLWIzbGk1U0pnQlFCUk1RU2tqdFFXeEt4RkM3bThuVUUyelBfNHJMdlFmMThyZG9UakhLLTFqTGJBTDBKVmN1bXlqQmYyX1U3eHIyWTNfTw?oc=5" TargetMode="External" Id="rId11"/><Relationship Type="http://schemas.openxmlformats.org/officeDocument/2006/relationships/hyperlink" Target="https://news.google.com/rss/articles/CBMizAFBVV95cUxNd2dFendqYTRDcVVfLTVONjFFenlXV3pwTHVkVEJhb2ZfYzdKbF9XTDgxVXJqY1d4QWo3bi1CR250aUV6Y2FmQTktNUtTbU1FRnA2WUVzdFRiU2lRa3M1VzdwRUxzbWF0eUJmMER5Y2Yxb1V2aVdta0M4OGpjWmV6VGFnUVFLNjlQand3S3hSaTBFTUJZQ0JfNVBvZmF6NVpLSkdEMVlBLWt5VW5wYlhSOHBrdHVjU1FVMm41cW4tN0MwbTZ2Z2dULUZJemk?oc=5" TargetMode="External" Id="rId12"/><Relationship Type="http://schemas.openxmlformats.org/officeDocument/2006/relationships/hyperlink" Target="https://news.google.com/rss/articles/CBMi_AJBVV95cUxQQ3p2THhYWmNjejMwUW5mdmI0RzhkWWxJQ2F6aEIxd0pCLUNsSExLWDB3MHBlMGMwT1l2MlpfYWEzQmZxbHkyc0Mwc2xkLWJMMGRuZ2NkeEtmNlpJUF9YZllSZU42elZTRG5wYzhrSUo2NWxZV3J3UEkwbWZ2bmVEczJTeWFNbzhqbnZ5UlMyM3NnZ25MalJwY3Q2UDRCR0FXWFNXcTRaWURzXzZhcTVjWW85SERYeE1RelFwdF9sa1dkUVF5dldKcTVncy1VZzZhc19PQlYtbU5KRFphYmt1a2JFT0lFTURCNTBxM1J6bWhsY2hwdjJXaktBWGVsYkFkMzVEbHZSQ0lVRjRVX2NHVUFlS0Y4SzU5V05DNWRlTWxhVThGSnFKQ2l1SnJ5LXRCZmJfTHBJSzZTQUV3QkVyRjVISUpkSm0weHBSSUo3RjB6QUJOSkUtdG5mMGZQWlhzekZZVC0wb25qOHA5eVQ3b3lCWU5oT21rN1JsR9IB_AJBVV95cUxQQ3p2THhYWmNjejMwUW5mdmI0RzhkWWxJQ2F6aEIxd0pCLUNsSExLWDB3MHBlMGMwT1l2MlpfYWEzQmZxbHkyc0Mwc2xkLWJMMGRuZ2NkeEtmNlpJUF9YZllSZU42elZTRG5wYzhrSUo2NWxZV3J3UEkwbWZ2bmVEczJTeWFNbzhqbnZ5UlMyM3NnZ25MalJwY3Q2UDRCR0FXWFNXcTRaWURzXzZhcTVjWW85SERYeE1RelFwdF9sa1dkUVF5dldKcTVncy1VZzZhc19PQlYtbU5KRFphYmt1a2JFT0lFTURCNTBxM1J6bWhsY2hwdjJXaktBWGVsYkFkMzVEbHZSQ0lVRjRVX2NHVUFlS0Y4SzU5V05DNWRlTWxhVThGSnFKQ2l1SnJ5LXRCZmJfTHBJSzZTQUV3QkVyRjVISUpkSm0weHBSSUo3RjB6QUJOSkUtdG5mMGZQWlhzekZZVC0wb25qOHA5eVQ3b3lCWU5oT21rN1JsRw?oc=5" TargetMode="External" Id="rId13"/><Relationship Type="http://schemas.openxmlformats.org/officeDocument/2006/relationships/hyperlink" Target="https://news.google.com/rss/articles/CBMinwFBVV95cUxQbmljanByeFhpYlNScnE2RHN0UUVIMy1oenIwbzdmbFBTeHUxMXZjT2xhY3dnbm5UdW42ZTNhTk5LMWNWTlg0eFBvTnE2Q1ZqY2JlNElKTVdqd0x1M0liaTlFRzVBUkFiUXdfY29PUUJsU2M3TEVaVHpkeUtiSkdqV0lPN3Y1dV9ZR1B5bk5OalNJNGZPMVlRZUd5RHJtOUU?oc=5" TargetMode="External" Id="rId14"/><Relationship Type="http://schemas.openxmlformats.org/officeDocument/2006/relationships/hyperlink" Target="https://news.google.com/rss/articles/CBMif0FVX3lxTE9paXItcTdLR3g0R0hhZGZwQVFjNHJEOWJJRF84Rzdfa0tRQ0taaTVxd19rWFBLOHNuUkU2N081UDJIWVZNQ09NUDJBQ0p2V0FwS1lNV213UnNvV0xvcU1zTUpWWG1iTnFMclFRVjh4SUNoREdra2loMWh0ZGVIN0E?oc=5" TargetMode="External" Id="rId15"/><Relationship Type="http://schemas.openxmlformats.org/officeDocument/2006/relationships/hyperlink" Target="https://news.google.com/rss/articles/CBMikwFBVV95cUxOYkdTUURQN0hOX2VUcUZ1Rk5ZS1R4alNNVkRLOFJoMHpqUlFxLS1HQ3U5clQtcG9UeWNmd3dYRHFNYnJmSjBHR25QWlZjRUM0Z0RVWnMwbUdsTmZKRE5iZ3NzNGgxbkY5cnFzam9Ub05aYlRKb292ODJEX284ZmdsLXFIVzNZcTdIakNIVjJUR1ZvMEE?oc=5" TargetMode="External" Id="rId16"/><Relationship Type="http://schemas.openxmlformats.org/officeDocument/2006/relationships/hyperlink" Target="https://news.google.com/rss/articles/CBMivwFBVV95cUxOdTlOSzlWSmNZWUlrbUJCNEsxMzNVOFd2NWFGRThtXzZjRHR1V2gxZDFvREd5ckoyQ0NZVzdYWldycGN2SUhDYVZfRHF0UjdWaU9wdUZRbTJMdVhWektCZl9HTHMxdF9rcTdTSk1PMnhJcmFGZ0t1SFFlZzlFdVFXejVkZ3ppbnN5cEJtMldLUjZNOTRHVUtzUW1jb3pTWmtLa0dNS1daaXBRRnRKajlObjZtUGVzSlAwTkhId0Y3RdIBxgFBVV95cUxNYXR2aFZPcUlLdkRSRE9pLU1TdW9IbTFXZklLRVBjTWJjMURUTFNCVERtSXdrLUNnRnBBNXJpNEFiQ3l3bFZfNm96d3N3TW56eUVscDZ1S2NTdmFqWWdxN0ZxSVBwSUk1OFI5TEx4MjB5ZWVfQnNvZ1FWbDFZa3lDck5FVW9nZ1QtZ2RTTGtNZ21pUWxyYjd3c3RUVnhwRUhncnp3cGhMaS02RzBNeUJtQWtaWng4UUQ0cG1pbkFGclZEMW5IU1E?oc=5" TargetMode="External" Id="rId17"/><Relationship Type="http://schemas.openxmlformats.org/officeDocument/2006/relationships/hyperlink" Target="https://news.google.com/rss/articles/CBMiuwFBVV95cUxQbU93M0hrSW4zTW1qTEQtSGtzZmRYcEJVMlc1UDQ1ZVRrRGhCYXcxaEpuTFNRLXZHdlozOXFvUzJzdzBWNVZFQW1xdXpOcThIVGN3T204N1JrOTcxOGQyT1VRRHBPSlZsWUREOXZXbTRJV29wWmtZUFhlZFFtWkRhRHRnYmRnMDQ2RTJ5VDVWUG9DaW04b0xoOGxhQTVnV2kwVkQyckVuYlVsaGdNenM0OHdGN2N6Tkw2azRR?oc=5" TargetMode="External" Id="rId18"/><Relationship Type="http://schemas.openxmlformats.org/officeDocument/2006/relationships/hyperlink" Target="https://news.google.com/rss/articles/CBMimwFBVV95cUxOd3VEcWZ4d01oX25TMUhmNDFtX1QtRktKMmhoOWM5Z3BQVGV3TFE5elhLYkhPaWtCUkJTU3paUkRqQjNGdnFYbW1sNWRzRzAyaVFiYlJEWWRaZjY4ckppMTBSTWFlVUpaMHpHLVdMRU11NnFNQUp4Ymtac3UtYk03RndxbVp6V3Exc3p3RFRyTWxyYlkyTDVhcUxWSQ?oc=5" TargetMode="External" Id="rId19"/><Relationship Type="http://schemas.openxmlformats.org/officeDocument/2006/relationships/hyperlink" Target="https://news.google.com/rss/articles/CBMiYEFVX3lxTE9wT0pNRFh5RUpiWk5oQnFGVUlNaGRvbE00QWtoWnQyd2RnWmxDX1JfcTFDRGdZV3R4NV8wM3JnQlhqQlpBdXZOVkQ1SkN1cGpCbEdxQWlyTGVEU3FtOWgzLdIBZkFVX3lxTE43YnlEYmJuNUtFaV9Wblc4S1VBbE5vbFRXSGNlaXhIcjlxYTRtYllySjdLSVUxNk1RTGVmZXRSbXkzUWxsWHR5djNic00yTWw1cVBUQXc2bG9PcUJ3NVlOMGFGQkI0UQ?oc=5" TargetMode="External" Id="rId20"/><Relationship Type="http://schemas.openxmlformats.org/officeDocument/2006/relationships/hyperlink" Target="https://news.google.com/rss/articles/CBMijgFBVV95cUxOUnpVR19vMWtXdWRZRlhOcXE4MTNMakhRWnhFZTVUd3lPYWh6NFJjejFkcS1mbENUSDQtMmdxaVlDNDlLdjBrNktTOEJLR3ZyWXBCbFhjVzk5NVA3b2puWXozVWhYWHlkQXZIYkdkanZYanZ6aVNNSXFiZUR6SnZKcFVGT0ZrbjFLMkt3a3F3?oc=5" TargetMode="External" Id="rId21"/><Relationship Type="http://schemas.openxmlformats.org/officeDocument/2006/relationships/hyperlink" Target="https://news.google.com/rss/articles/CBMibkFVX3lxTE5PclBzMHZTYkNxbkRYVWFacWgzMjRTdE1JdmNYSi1xbTlBaVZLRTVjTHpCTlQ4c2lEQ2xoMk9kcEdROGxBOFI4Zk9YV3JGSXdUZDg1blVlelJzbU54VjkzTkUySEV5Z2x2aHY5R0xB?oc=5" TargetMode="External" Id="rId22"/><Relationship Type="http://schemas.openxmlformats.org/officeDocument/2006/relationships/hyperlink" Target="https://news.google.com/rss/articles/CBMi7gFBVV95cUxPTThpMkFRUmE3cEhvQ3NuWmhJRnd5UTJ2eFpxUDN1NTJUTmQ0RWhOTlc5M2MyNzVJeUd4TUtzb1BaaUdmdVpRYjN6LXBtdUxubGx4WHVTQ1NQNzU0QVI3N29nNkdWRGdtWTFGYjg2LWU2M0pXY3phYktYM3JVVm9fbjlTdGZRV0I3ZE40eVAxMkJMVlYxRlQzVnpVdFlETlh6a1NKSXNocTU0ZE0zX09tSHhwbXZGa3VZdzJDMTBNMHhoWGwwM2JNbk1BbE94QjhNQW5oY2QwY3RudmhSX2FlcWlxWURMNk04TVNFMU5R0gHuAUFVX3lxTE9NOGkyQVFSYTdwSG9Dc25aaElGd3lRMnZ4WnFQM3U1MlROZDRFaE5OVzkzYzI3NUl5R3hNS3NvUFppR2Z1WlFiM3otcG11TG5sbHhYdVNDU1A3NTRBUjc3b2c2R1ZEZ21ZMUZiODYtZTYzSldjemFiS1gzclVWb19uOVN0ZlFXQjdkTjR5UDEyQkxWVjFGVDNWelV0WUROWHprU0pJc2hxNTRkTTNfT21IeHBtdkZrdVl3MkMxME0weGhYbDAzYk1uTUFsT3hCOE1BbmhjZDBjdG52aFJfYWVxaXFZREw2TThNU0UxTlE?oc=5" TargetMode="External" Id="rId23"/><Relationship Type="http://schemas.openxmlformats.org/officeDocument/2006/relationships/hyperlink" Target="https://news.google.com/rss/articles/CBMiTEFVX3lxTE5jQUtRMEZxbjBPU3kxaVdvdjhRc09sV2NnalVMYklmVHFZQmwybkFHUjRLMVYtdzlvS3laVGlFMGw4aXhtdTduc1o4c3U?oc=5" TargetMode="External" Id="rId24"/><Relationship Type="http://schemas.openxmlformats.org/officeDocument/2006/relationships/hyperlink" Target="https://news.google.com/rss/articles/CBMilgFBVV95cUxPbVV1NmdrOGFidElfXzZzV1ppbDBCOEc5V0luUWxOSTAwMXNGdmhVMkoxMjUwSUpmbU5lQlBuNkFVTXZGMk5IRzd5Y0taREt0ckRUT3VqSjBfbGFPTmRjUTZFS18wLTQ5Wi1ZdnFtYWd1QmN0U0Nsekx4ZzR0YVk0dmhhTXVpTW1rdEpCbGlKLTZNVXVzMEE?oc=5" TargetMode="External" Id="rId25"/><Relationship Type="http://schemas.openxmlformats.org/officeDocument/2006/relationships/hyperlink" Target="https://news.google.com/rss/articles/CBMihgFBVV95cUxPWEJjZzVNcHVub2RyNTNCN3huS0djNHpyQnA4YVJGdEtQSG9jTzdtMkRoR2lveGlsSmlZcmE0UGZsMVdnYThVT2phYU0zdjBoeDM1VkJlUUlGOUNQSmVoOFYyLVBRSF9manVQWW5jdUZsQThDUm5fU0J0NDBHT3VfV0lYNEwwdw?oc=5" TargetMode="External" Id="rId26"/><Relationship Type="http://schemas.openxmlformats.org/officeDocument/2006/relationships/hyperlink" Target="https://news.google.com/rss/articles/CBMihwFBVV95cUxQTm9rZVd2Tm9uUHpadkRIeXVwdkhhLTIyVjNESDJYOFBRWS1oUVlQaHRVVkE2cDJ6ekVwQ2pNRVZma25ySjJHQjU5ZHJMT0UtOHVCMnN5dlpJR2p2dUpzVXY5R2hkdFhFX2xBUlhQb1VCN3BxUEozeVJlek1pcWpDbkpheUxxcm8?oc=5" TargetMode="External" Id="rId27"/><Relationship Type="http://schemas.openxmlformats.org/officeDocument/2006/relationships/hyperlink" Target="https://news.google.com/rss/articles/CBMiygFBVV95cUxPanNzOTkybjgybXo3ZDZ4R2psV2Zkd0VaTi05MWJOSFRkU1BQc29aZEpPQmtEMWUxNUgyUUlfbUt1XzZqa2swd2dESjVuU2lXUG1IVnk3VGIyM05LMzZHTjRyZmdlT0pYb3NGRDVLUXEyMkFrSF8ydWkwZG13ZlV6TGYzSFl4ZUZwQnVqajFPc3Rtc3VRYm1MUHhUUWVtUEJpOFFRVm1XeVV2bVlGMDBVTy1hNVlPTTRjQzd1bnJKUld3QVJRQlRwWVBn0gHKAUFVX3lxTE9qc3M5OTJuODJtejdkNnhHamxXZmR3RVpOLTkxYk5IVGRTUFBzb1pkSk9Ca0QxZTE1SDJRSV9tS3VfNmprazB3Z0RKNW5TaVdQbUhWeTdUYjIzTkszNkdONHJmZ2VPSlhvc0ZENUtRcTIyQWtIXzJ1aTBkbXdmVXpMZjNIWXhlRnBCdWpqMU9zdG1zdVFibUxQeFRRZW1QQmk4UVFWbVd5VXZtWUYwMFVPLWE1WU9NNGNDN3VuckpSV3dBUlFCVHBZUGc?oc=5" TargetMode="External" Id="rId28"/><Relationship Type="http://schemas.openxmlformats.org/officeDocument/2006/relationships/hyperlink" Target="https://news.google.com/rss/articles/CBMijgFBVV95cUxNdzRhVnVlVUVUU1k4S3pUQVo2RFJENXlEM1V6Z2FrVzRMQ2cxb0pZNkJpWUY5UWFHd1ZIUEZmU2x4SGtydEtXN3k2bTBIYWQ3VmZNZkNTRkhfRFctd3JZdThkRW1HTWIxYmVXRDZsazFZVTJsUzVjTWk0R2FIUElZRG5lLUpaeXpHRlZSdFBn?oc=5" TargetMode="External" Id="rId29"/><Relationship Type="http://schemas.openxmlformats.org/officeDocument/2006/relationships/hyperlink" Target="https://news.google.com/rss/articles/CBMilgFBVV95cUxNS29sd2RXaDlmWXJYMzNQSnJKZGpCWmJpOE9kVEdWQ2RFcUd0UHBGdHdRczJLbFRwTHFDb0ZPY1lHOHNsRGtTLXhTb081eGdyWF9YcmcxZkFrc2VNNzBJOUxNU1ppYnZtWlZBTTlZcXNfa2xNVUZWRTUyMkRlTHRUMmJ4Nk95a1kybUNTTmVPaklQSHktWUE?oc=5" TargetMode="External" Id="rId30"/><Relationship Type="http://schemas.openxmlformats.org/officeDocument/2006/relationships/table" Target="/xl/tables/table1.xml" Id="rId31"/></Relationships>
</file>

<file path=xl/worksheets/_rels/sheet4.xml.rels><Relationships xmlns="http://schemas.openxmlformats.org/package/2006/relationships"><Relationship Type="http://schemas.openxmlformats.org/officeDocument/2006/relationships/hyperlink" Target="https://news.google.com/rss/articles/CBMibkFVX3lxTE8wdVhYVXYyQ3RwMHAtOTNnUkh5TnhCcEtVem9XenhDMFo2UVFHbWtIaGIzVHhLb1BFQmd2akRLZkFMd1pQNWJDRElESUY1SUdvLWFfd1ZaUW5tZ0ZFcmIxckZxbXg1Z1RrbXI5V0Zn?oc=5" TargetMode="External" Id="rId1"/><Relationship Type="http://schemas.openxmlformats.org/officeDocument/2006/relationships/hyperlink" Target="https://news.google.com/rss/articles/CBMia0FVX3lxTE45UVhrbTdIV2NXaVloOTBleGdWeThGbHNoSTJtMTE3cFlfalpoYVBnUEFoUVRJQUp5Z2pVOEZvaGZzRUtjRWtOMzY3Wll0RHJOUTB6c0JYdGEzOXk2VXltZUFkc3RURDBUYUg4?oc=5" TargetMode="External" Id="rId2"/><Relationship Type="http://schemas.openxmlformats.org/officeDocument/2006/relationships/hyperlink" Target="https://news.google.com/rss/articles/CBMi7gFBVV95cUxQTGNab2ZBb3hvUXZRVXBCeDFRX2NqU0ZfeVdFZXgtbm5WZDl4aFd0eUdSYXdjNmotcS1ReUZhM1BBc2hITEpkQlpBTmlabzRycmN1ZkQwLVlDa3NzZWJuZXhnNC1jRXlkV1EybVFoQld3VlRaZ241ZkVMazRlZHB1NWplMjVpaWJtMHA3SHBZaEhhMHU0RE01Mk0taFU1OTBaTmg0U1lFYnI5cjhwaEZPUmd2ZTdTVHpxVjBfNk9mRFREOXNWNXJTM29OTnY3NHd0dGJYNVJoaHc4LWQxaUVOajhsaTdWU3dFbVd0ZUt3?oc=5" TargetMode="External" Id="rId3"/><Relationship Type="http://schemas.openxmlformats.org/officeDocument/2006/relationships/hyperlink" Target="https://news.google.com/rss/articles/CBMiogFBVV95cUxQNGhpZmtjSDF5eDFZZEJXaTdIZWo2QVZTRDVlc3E0T2pvQ2tRaURBcHpRUk5hSmFDNjNuaGV5X1pHeVdqc2RjR1dOQVhPc2tUUVRmb2RiWnB0dWNDcU96QUxGcVg1dmNxRlpfdTNmT0Z5ZG4wSXNTSmR5OUY4ZmRZcW9kNmRHS0ZaVUxyMW9ySU5TSWJlNzJCWWJaZGlrRHd1a2c?oc=5" TargetMode="External" Id="rId4"/><Relationship Type="http://schemas.openxmlformats.org/officeDocument/2006/relationships/hyperlink" Target="https://news.google.com/rss/articles/CBMizAFBVV95cUxOX19SY3ozdEtSRFpyZlE3a3o4LWtuMTdJeXVsZkVtZVJIaXJzbndtWVd2T21uQncydzJ1bmZONW1yVU9DVExhUFI5VmI3RkVHbjJqTjZWSXpjd1NLeDViOHZnLWo5ZV9oYVRNZi1KN3E3OERXVC1pdzlDVlBvY3pHZE1WRm9vR0E5VnNNdXN3SU9xbFVGRzY4UkstZUpkYTlMYjJobWoxTDRDNWVqYWdlR2taRV94RG9yaFJuUExrN1VCT2ZpTkFNQllycXo?oc=5" TargetMode="External" Id="rId5"/><Relationship Type="http://schemas.openxmlformats.org/officeDocument/2006/relationships/hyperlink" Target="https://news.google.com/rss/articles/CBMipwFBVV95cUxQM0JfTHl5bmwxRmJ6Y3lLZ2l6XzB1c0lkclVfRzJ2clZEV29YU25kOWNsX1hXNjFuUnJnVGNjRXBFa0V2RWlYVllQOVEzV1ZCY3VYNENpdk9wSGVNNlUtNGVwdGZhZDY5UUVTYW1OZHQ1TkFoUURUTFMwSWdoLU90QTU2VE5Md1NKOU1Rd041aXFxNUJ1OGc3QTAxLUpGbndSWXh0czMzSQ?oc=5" TargetMode="External" Id="rId6"/><Relationship Type="http://schemas.openxmlformats.org/officeDocument/2006/relationships/hyperlink" Target="https://news.google.com/rss/articles/CBMirwFBVV95cUxPRkxsbl9ZdlM1cmloa1JxT3ZENFdkYUI5U3pIZy1UM005NU9SVVFIVjVmZ1ZvTDNybGJkMHAtc3Ewd3RldnRYWHlrSnQ2R1hXN2xpR1BNREFxTlRlb2tFMnFJZ01VSEZqN0ZheUtlbWJEd3h2SURJb3ppVWl6dTU2Y21zZGJGR1hpMWdNUmNfdWluZDJQYzZkeC1QTHhEUFNmcVhTVWtnWWxiUDczMmtr?oc=5" TargetMode="External" Id="rId7"/><Relationship Type="http://schemas.openxmlformats.org/officeDocument/2006/relationships/hyperlink" Target="https://news.google.com/rss/articles/CBMiogFBVV95cUxOYkthemxCdGdtc1c3TnBBbGY4MVZlMDFvWnZiX3E4UERSQ1lsX2g4R0x5VHVaVndQdnJHQTBZSy02bV8wT1d4RVZ6WHRVN2w0UUx1MFRMbDhINzgtWlJJLXFKOHIzWFRZa1VmZUVFNUNCM3hRdE9GUGZpdVNQQnd3ZmxRTWZFOGU5REFvOTg4cG40YkU1bDhlZ2pQSkR5Ti04Q1E?oc=5" TargetMode="External" Id="rId8"/><Relationship Type="http://schemas.openxmlformats.org/officeDocument/2006/relationships/hyperlink" Target="https://news.google.com/rss/articles/CBMitANBVV95cUxNUUlBdHRnYnNzb3ZOX1BlZ1VIbWl3ZzdvbEhqenMtbHpwbVd5VHoyTTdwWklBOUFGMWxtd1RLY2tMcnZ4TWZWSUVXZHJYOFVKV3dxcjcwSFJqeUtTbS0tMm1FSFpmWk16WkhMOGU4OGRyZ0kwY0Z4cl9PZ2s3blFCZHljWXdXVzJtUmprT2VmWDY2U2dndVpfcEJmTDc0SXlhd0hyLWU0VE1VeVMtalJ4cUFGTU1CdnhoYW5KeXE4bEh4R2prb1dmWHdpNmZJMm1TMk4zWmJxM1BUUFdXNHZYSDczTFk4cjZOTll3Si1kNVB6MzdqNkd6VEdSeUM0aDJHY05HRW9QR0htUS1pdHRTdmFnZC1kcV84eklxcHlZeTVJd3A4NEpvTU9DT19IQXVZUVhhTEE2OFIwMGttaEIxODJ0ZWhQR1UwcGVLNVg1TlVDaHUzaU5ZTmhsMkdTeGFORm9Hd3hDUlNESy1maG5ZY2g3T0NFOVgwRGxoTXJ4d2FEV3p6bm83cllHTV9QLW90VW14WlZOWkJvblJ2S0E4VlBrbUhLaVRJbnY3R1AzVzFDN2xy0gGEBEFVX3lxTFBBQTVYY2h4THQwaTRndVVTeE55dFdQd3Z6MG5PMzJOU3FSakNBM25YYzhQZGtfRkx5bnNzUWRRZFN5UkJqR2xaNXQ5RjFXWWtnMlAwdTBZVS1oTmxuWmt5TnRTX0YxbHVVWTlEMHNrRUNkNVNzejk1SGdOVm9rTjRUTXZuY0VsX1lzZENuXzB6UmRPOEczTHg4NmJfYUQzUTJVNXJTem1BWU1KUFZmMnl6eUVKT09HN05CcjBUQmFrOVRpZjNnLWU0WGM1Qll1a2pqdWx4VUVSaUdfMjJlNEh4dlgwMWZ2YXY0RW52ZE9WZWRKS1kwYXhyeTYydV9CQVRtVGhpeUtsTlVTeHAxSngtb0NhMVR3bkhKLVlVZ3N3VUk1QU1SWFFYcWdWNkJwcGg1bFBoVm5KYmc5NEdQX3I5QWM3OW9HbF85czRBUXd6eXpaTWpnZkY0RDBIVzVTbnV4QUItNXdNaW1DZXpDQTNtNG9Od3BveDNTMnB2RmpEN1ZQb2NUNmN1cC1mSW1sWWs1NEswWU5mUWV3LWI3a3hBRTVuYkJaaDdObDczd0ZfWUw1SXRRVXM4ZWs2bm9lNk5hYWNkU3F2bktWNUl1bXByUTRzMGVOa2VwdzVibE9Za2xvQmJqRUY0T09va2NmczZTTlZfMlN6eFZMN1owYUpVOFZrSw?oc=5" TargetMode="External" Id="rId9"/><Relationship Type="http://schemas.openxmlformats.org/officeDocument/2006/relationships/hyperlink" Target="https://news.google.com/rss/articles/CBMi0gFBVV95cUxOVW5ENnJ6RnYwS3VyQ3dPQW9qS0NBcjZxeGNNcHBlVWttczllOUhhLVNuT2ljMkN3NFZodHJISlRZUG1GTTNaTVN6SF90ZE1kMl9teDFSWmsza2hpR1BLM3ZtbkV2cWg2NWk2TW9ac0JRNnl5WEFlWS1NWG5UNEVXMlVzNEdNaThBRVgtSlJVc0x5WDBHbmFqTW1LUFJTN3hDZXZIU3VKeFM4VV9faHd2cU1zUXFFdHJOaWhGdnZiel91TjBRMFFoc2FwSFZPMUJjbGfSAdcBQVVfeXFMT3BsOGJPRzNGNTBnZFJNbWVldVNXaGtQRG5oRlZEaHAzTUt2cml2TXRHdDUyWE5MMEdSdXdhdS05NWJlSXRhV3NXamRkcFk0WXR1TmxkNFNIWFlqUGRMWTY1Wm52QmUtU0lsVlF1aUt3NUtJNHJsRW9GSzNtTXN4d1BhdGQyWGh3WUVoWGJKYkhXejlCM2NQRWZkbFFmQ3EtSlZLYWI1dG45OXA1R3E5c0dtNTZBTVZVNjZLRDAwUEJQT3dpTDl5SDJObTYxbFBETVFFb1c4Z0E?oc=5" TargetMode="External" Id="rId10"/><Relationship Type="http://schemas.openxmlformats.org/officeDocument/2006/relationships/hyperlink" Target="https://news.google.com/rss/articles/CBMif0FVX3lxTE9paXItcTdLR3g0R0hhZGZwQVFjNHJEOWJJRF84Rzdfa0tRQ0taaTVxd19rWFBLOHNuUkU2N081UDJIWVZNQ09NUDJBQ0p2V0FwS1lNV213UnNvV0xvcU1zTUpWWG1iTnFMclFRVjh4SUNoREdra2loMWh0ZGVIN0E?oc=5" TargetMode="External" Id="rId11"/><Relationship Type="http://schemas.openxmlformats.org/officeDocument/2006/relationships/hyperlink" Target="https://news.google.com/rss/articles/CBMikwFBVV95cUxOYkdTUURQN0hOX2VUcUZ1Rk5ZS1R4alNNVkRLOFJoMHpqUlFxLS1HQ3U5clQtcG9UeWNmd3dYRHFNYnJmSjBHR25QWlZjRUM0Z0RVWnMwbUdsTmZKRE5iZ3NzNGgxbkY5cnFzam9Ub05aYlRKb292ODJEX284ZmdsLXFIVzNZcTdIakNIVjJUR1ZvMEE?oc=5" TargetMode="External" Id="rId12"/><Relationship Type="http://schemas.openxmlformats.org/officeDocument/2006/relationships/hyperlink" Target="https://news.google.com/rss/articles/CBMivwFBVV95cUxOdTlOSzlWSmNZWUlrbUJCNEsxMzNVOFd2NWFGRThtXzZjRHR1V2gxZDFvREd5ckoyQ0NZVzdYWldycGN2SUhDYVZfRHF0UjdWaU9wdUZRbTJMdVhWektCZl9HTHMxdF9rcTdTSk1PMnhJcmFGZ0t1SFFlZzlFdVFXejVkZ3ppbnN5cEJtMldLUjZNOTRHVUtzUW1jb3pTWmtLa0dNS1daaXBRRnRKajlObjZtUGVzSlAwTkhId0Y3RdIBxgFBVV95cUxNYXR2aFZPcUlLdkRSRE9pLU1TdW9IbTFXZklLRVBjTWJjMURUTFNCVERtSXdrLUNnRnBBNXJpNEFiQ3l3bFZfNm96d3N3TW56eUVscDZ1S2NTdmFqWWdxN0ZxSVBwSUk1OFI5TEx4MjB5ZWVfQnNvZ1FWbDFZa3lDck5FVW9nZ1QtZ2RTTGtNZ21pUWxyYjd3c3RUVnhwRUhncnp3cGhMaS02RzBNeUJtQWtaWng4UUQ0cG1pbkFGclZEMW5IU1E?oc=5" TargetMode="External" Id="rId13"/><Relationship Type="http://schemas.openxmlformats.org/officeDocument/2006/relationships/hyperlink" Target="https://news.google.com/rss/articles/CBMiuwFBVV95cUxQbU93M0hrSW4zTW1qTEQtSGtzZmRYcEJVMlc1UDQ1ZVRrRGhCYXcxaEpuTFNRLXZHdlozOXFvUzJzdzBWNVZFQW1xdXpOcThIVGN3T204N1JrOTcxOGQyT1VRRHBPSlZsWUREOXZXbTRJV29wWmtZUFhlZFFtWkRhRHRnYmRnMDQ2RTJ5VDVWUG9DaW04b0xoOGxhQTVnV2kwVkQyckVuYlVsaGdNenM0OHdGN2N6Tkw2azRR?oc=5" TargetMode="External" Id="rId14"/><Relationship Type="http://schemas.openxmlformats.org/officeDocument/2006/relationships/hyperlink" Target="https://news.google.com/rss/articles/CBMimwFBVV95cUxOd3VEcWZ4d01oX25TMUhmNDFtX1QtRktKMmhoOWM5Z3BQVGV3TFE5elhLYkhPaWtCUkJTU3paUkRqQjNGdnFYbW1sNWRzRzAyaVFiYlJEWWRaZjY4ckppMTBSTWFlVUpaMHpHLVdMRU11NnFNQUp4Ymtac3UtYk03RndxbVp6V3Exc3p3RFRyTWxyYlkyTDVhcUxWSQ?oc=5" TargetMode="External" Id="rId15"/><Relationship Type="http://schemas.openxmlformats.org/officeDocument/2006/relationships/hyperlink" Target="https://news.google.com/rss/articles/CBMiYEFVX3lxTE9wT0pNRFh5RUpiWk5oQnFGVUlNaGRvbE00QWtoWnQyd2RnWmxDX1JfcTFDRGdZV3R4NV8wM3JnQlhqQlpBdXZOVkQ1SkN1cGpCbEdxQWlyTGVEU3FtOWgzLdIBZkFVX3lxTE43YnlEYmJuNUtFaV9Wblc4S1VBbE5vbFRXSGNlaXhIcjlxYTRtYllySjdLSVUxNk1RTGVmZXRSbXkzUWxsWHR5djNic00yTWw1cVBUQXc2bG9PcUJ3NVlOMGFGQkI0UQ?oc=5" TargetMode="External" Id="rId16"/><Relationship Type="http://schemas.openxmlformats.org/officeDocument/2006/relationships/hyperlink" Target="https://news.google.com/rss/articles/CBMi7gFBVV95cUxPTThpMkFRUmE3cEhvQ3NuWmhJRnd5UTJ2eFpxUDN1NTJUTmQ0RWhOTlc5M2MyNzVJeUd4TUtzb1BaaUdmdVpRYjN6LXBtdUxubGx4WHVTQ1NQNzU0QVI3N29nNkdWRGdtWTFGYjg2LWU2M0pXY3phYktYM3JVVm9fbjlTdGZRV0I3ZE40eVAxMkJMVlYxRlQzVnpVdFlETlh6a1NKSXNocTU0ZE0zX09tSHhwbXZGa3VZdzJDMTBNMHhoWGwwM2JNbk1BbE94QjhNQW5oY2QwY3RudmhSX2FlcWlxWURMNk04TVNFMU5R0gHuAUFVX3lxTE9NOGkyQVFSYTdwSG9Dc25aaElGd3lRMnZ4WnFQM3U1MlROZDRFaE5OVzkzYzI3NUl5R3hNS3NvUFppR2Z1WlFiM3otcG11TG5sbHhYdVNDU1A3NTRBUjc3b2c2R1ZEZ21ZMUZiODYtZTYzSldjemFiS1gzclVWb19uOVN0ZlFXQjdkTjR5UDEyQkxWVjFGVDNWelV0WUROWHprU0pJc2hxNTRkTTNfT21IeHBtdkZrdVl3MkMxME0weGhYbDAzYk1uTUFsT3hCOE1BbmhjZDBjdG52aFJfYWVxaXFZREw2TThNU0UxTlE?oc=5" TargetMode="External" Id="rId17"/><Relationship Type="http://schemas.openxmlformats.org/officeDocument/2006/relationships/hyperlink" Target="https://news.google.com/rss/articles/CBMiTEFVX3lxTE5jQUtRMEZxbjBPU3kxaVdvdjhRc09sV2NnalVMYklmVHFZQmwybkFHUjRLMVYtdzlvS3laVGlFMGw4aXhtdTduc1o4c3U?oc=5" TargetMode="External" Id="rId18"/><Relationship Type="http://schemas.openxmlformats.org/officeDocument/2006/relationships/hyperlink" Target="https://news.google.com/rss/articles/CBMihgFBVV95cUxPWEJjZzVNcHVub2RyNTNCN3huS0djNHpyQnA4YVJGdEtQSG9jTzdtMkRoR2lveGlsSmlZcmE0UGZsMVdnYThVT2phYU0zdjBoeDM1VkJlUUlGOUNQSmVoOFYyLVBRSF9manVQWW5jdUZsQThDUm5fU0J0NDBHT3VfV0lYNEwwdw?oc=5" TargetMode="External" Id="rId19"/><Relationship Type="http://schemas.openxmlformats.org/officeDocument/2006/relationships/hyperlink" Target="https://news.google.com/rss/articles/CBMibEFVX3lxTE9qd0p2T2p3a1lzbEg5TnFXNDZ2VXRhLWIzbGk1U0pnQlFCUk1RU2tqdFFXeEt4RkM3bThuVUUyelBfNHJMdlFmMThyZG9UakhLLTFqTGJBTDBKVmN1bXlqQmYyX1U3eHIyWTNfTw?oc=5" TargetMode="External" Id="rId20"/><Relationship Type="http://schemas.openxmlformats.org/officeDocument/2006/relationships/hyperlink" Target="https://news.google.com/rss/articles/CBMi_AJBVV95cUxQQ3p2THhYWmNjejMwUW5mdmI0RzhkWWxJQ2F6aEIxd0pCLUNsSExLWDB3MHBlMGMwT1l2MlpfYWEzQmZxbHkyc0Mwc2xkLWJMMGRuZ2NkeEtmNlpJUF9YZllSZU42elZTRG5wYzhrSUo2NWxZV3J3UEkwbWZ2bmVEczJTeWFNbzhqbnZ5UlMyM3NnZ25MalJwY3Q2UDRCR0FXWFNXcTRaWURzXzZhcTVjWW85SERYeE1RelFwdF9sa1dkUVF5dldKcTVncy1VZzZhc19PQlYtbU5KRFphYmt1a2JFT0lFTURCNTBxM1J6bWhsY2hwdjJXaktBWGVsYkFkMzVEbHZSQ0lVRjRVX2NHVUFlS0Y4SzU5V05DNWRlTWxhVThGSnFKQ2l1SnJ5LXRCZmJfTHBJSzZTQUV3QkVyRjVISUpkSm0weHBSSUo3RjB6QUJOSkUtdG5mMGZQWlhzekZZVC0wb25qOHA5eVQ3b3lCWU5oT21rN1JsR9IB_AJBVV95cUxQQ3p2THhYWmNjejMwUW5mdmI0RzhkWWxJQ2F6aEIxd0pCLUNsSExLWDB3MHBlMGMwT1l2MlpfYWEzQmZxbHkyc0Mwc2xkLWJMMGRuZ2NkeEtmNlpJUF9YZllSZU42elZTRG5wYzhrSUo2NWxZV3J3UEkwbWZ2bmVEczJTeWFNbzhqbnZ5UlMyM3NnZ25MalJwY3Q2UDRCR0FXWFNXcTRaWURzXzZhcTVjWW85SERYeE1RelFwdF9sa1dkUVF5dldKcTVncy1VZzZhc19PQlYtbU5KRFphYmt1a2JFT0lFTURCNTBxM1J6bWhsY2hwdjJXaktBWGVsYkFkMzVEbHZSQ0lVRjRVX2NHVUFlS0Y4SzU5V05DNWRlTWxhVThGSnFKQ2l1SnJ5LXRCZmJfTHBJSzZTQUV3QkVyRjVISUpkSm0weHBSSUo3RjB6QUJOSkUtdG5mMGZQWlhzekZZVC0wb25qOHA5eVQ3b3lCWU5oT21rN1JsRw?oc=5" TargetMode="External" Id="rId21"/><Relationship Type="http://schemas.openxmlformats.org/officeDocument/2006/relationships/hyperlink" Target="https://news.google.com/rss/articles/CBMilgFBVV95cUxPbVV1NmdrOGFidElfXzZzV1ppbDBCOEc5V0luUWxOSTAwMXNGdmhVMkoxMjUwSUpmbU5lQlBuNkFVTXZGMk5IRzd5Y0taREt0ckRUT3VqSjBfbGFPTmRjUTZFS18wLTQ5Wi1ZdnFtYWd1QmN0U0Nsekx4ZzR0YVk0dmhhTXVpTW1rdEpCbGlKLTZNVXVzMEE?oc=5" TargetMode="External" Id="rId22"/><Relationship Type="http://schemas.openxmlformats.org/officeDocument/2006/relationships/hyperlink" Target="https://news.google.com/rss/articles/CBMihwFBVV95cUxQTm9rZVd2Tm9uUHpadkRIeXVwdkhhLTIyVjNESDJYOFBRWS1oUVlQaHRVVkE2cDJ6ekVwQ2pNRVZma25ySjJHQjU5ZHJMT0UtOHVCMnN5dlpJR2p2dUpzVXY5R2hkdFhFX2xBUlhQb1VCN3BxUEozeVJlek1pcWpDbkpheUxxcm8?oc=5" TargetMode="External" Id="rId23"/><Relationship Type="http://schemas.openxmlformats.org/officeDocument/2006/relationships/hyperlink" Target="https://news.google.com/rss/articles/CBMiygFBVV95cUxPanNzOTkybjgybXo3ZDZ4R2psV2Zkd0VaTi05MWJOSFRkU1BQc29aZEpPQmtEMWUxNUgyUUlfbUt1XzZqa2swd2dESjVuU2lXUG1IVnk3VGIyM05LMzZHTjRyZmdlT0pYb3NGRDVLUXEyMkFrSF8ydWkwZG13ZlV6TGYzSFl4ZUZwQnVqajFPc3Rtc3VRYm1MUHhUUWVtUEJpOFFRVm1XeVV2bVlGMDBVTy1hNVlPTTRjQzd1bnJKUld3QVJRQlRwWVBn0gHKAUFVX3lxTE9qc3M5OTJuODJtejdkNnhHamxXZmR3RVpOLTkxYk5IVGRTUFBzb1pkSk9Ca0QxZTE1SDJRSV9tS3VfNmprazB3Z0RKNW5TaVdQbUhWeTdUYjIzTkszNkdONHJmZ2VPSlhvc0ZENUtRcTIyQWtIXzJ1aTBkbXdmVXpMZjNIWXhlRnBCdWpqMU9zdG1zdVFibUxQeFRRZW1QQmk4UVFWbVd5VXZtWUYwMFVPLWE1WU9NNGNDN3VuckpSV3dBUlFCVHBZUGc?oc=5" TargetMode="External" Id="rId24"/><Relationship Type="http://schemas.openxmlformats.org/officeDocument/2006/relationships/hyperlink" Target="https://news.google.com/rss/articles/CBMizAFBVV95cUxNd2dFendqYTRDcVVfLTVONjFFenlXV3pwTHVkVEJhb2ZfYzdKbF9XTDgxVXJqY1d4QWo3bi1CR250aUV6Y2FmQTktNUtTbU1FRnA2WUVzdFRiU2lRa3M1VzdwRUxzbWF0eUJmMER5Y2Yxb1V2aVdta0M4OGpjWmV6VGFnUVFLNjlQand3S3hSaTBFTUJZQ0JfNVBvZmF6NVpLSkdEMVlBLWt5VW5wYlhSOHBrdHVjU1FVMm41cW4tN0MwbTZ2Z2dULUZJemk?oc=5" TargetMode="External" Id="rId25"/><Relationship Type="http://schemas.openxmlformats.org/officeDocument/2006/relationships/hyperlink" Target="https://news.google.com/rss/articles/CBMinwFBVV95cUxQbmljanByeFhpYlNScnE2RHN0UUVIMy1oenIwbzdmbFBTeHUxMXZjT2xhY3dnbm5UdW42ZTNhTk5LMWNWTlg0eFBvTnE2Q1ZqY2JlNElKTVdqd0x1M0liaTlFRzVBUkFiUXdfY29PUUJsU2M3TEVaVHpkeUtiSkdqV0lPN3Y1dV9ZR1B5bk5OalNJNGZPMVlRZUd5RHJtOUU?oc=5" TargetMode="External" Id="rId26"/><Relationship Type="http://schemas.openxmlformats.org/officeDocument/2006/relationships/hyperlink" Target="https://news.google.com/rss/articles/CBMijgFBVV95cUxOUnpVR19vMWtXdWRZRlhOcXE4MTNMakhRWnhFZTVUd3lPYWh6NFJjejFkcS1mbENUSDQtMmdxaVlDNDlLdjBrNktTOEJLR3ZyWXBCbFhjVzk5NVA3b2puWXozVWhYWHlkQXZIYkdkanZYanZ6aVNNSXFiZUR6SnZKcFVGT0ZrbjFLMkt3a3F3?oc=5" TargetMode="External" Id="rId27"/><Relationship Type="http://schemas.openxmlformats.org/officeDocument/2006/relationships/hyperlink" Target="https://news.google.com/rss/articles/CBMibkFVX3lxTE5PclBzMHZTYkNxbkRYVWFacWgzMjRTdE1JdmNYSi1xbTlBaVZLRTVjTHpCTlQ4c2lEQ2xoMk9kcEdROGxBOFI4Zk9YV3JGSXdUZDg1blVlelJzbU54VjkzTkUySEV5Z2x2aHY5R0xB?oc=5" TargetMode="External" Id="rId28"/><Relationship Type="http://schemas.openxmlformats.org/officeDocument/2006/relationships/hyperlink" Target="https://news.google.com/rss/articles/CBMijgFBVV95cUxNdzRhVnVlVUVUU1k4S3pUQVo2RFJENXlEM1V6Z2FrVzRMQ2cxb0pZNkJpWUY5UWFHd1ZIUEZmU2x4SGtydEtXN3k2bTBIYWQ3VmZNZkNTRkhfRFctd3JZdThkRW1HTWIxYmVXRDZsazFZVTJsUzVjTWk0R2FIUElZRG5lLUpaeXpHRlZSdFBn?oc=5" TargetMode="External" Id="rId29"/><Relationship Type="http://schemas.openxmlformats.org/officeDocument/2006/relationships/hyperlink" Target="https://news.google.com/rss/articles/CBMilgFBVV95cUxNS29sd2RXaDlmWXJYMzNQSnJKZGpCWmJpOE9kVEdWQ2RFcUd0UHBGdHdRczJLbFRwTHFDb0ZPY1lHOHNsRGtTLXhTb081eGdyWF9YcmcxZkFrc2VNNzBJOUxNU1ppYnZtWlZBTTlZcXNfa2xNVUZWRTUyMkRlTHRUMmJ4Nk95a1kybUNTTmVPaklQSHktWUE?oc=5" TargetMode="External" Id="rId30"/></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C9A227"/>
    <outlinePr summaryBelow="1" summaryRight="1"/>
    <pageSetUpPr fitToPage="1"/>
  </sheetPr>
  <dimension ref="A1:E46"/>
  <sheetViews>
    <sheetView showGridLines="0" tabSelected="1" workbookViewId="0">
      <selection activeCell="A1" sqref="A1"/>
    </sheetView>
  </sheetViews>
  <sheetFormatPr baseColWidth="8" defaultRowHeight="15"/>
  <cols>
    <col width="2" customWidth="1" min="1" max="1"/>
    <col width="38" customWidth="1" min="2" max="2"/>
    <col width="70" customWidth="1" min="3" max="3"/>
    <col width="24" customWidth="1" min="4" max="4"/>
    <col width="2" customWidth="1" min="5" max="5"/>
  </cols>
  <sheetData>
    <row r="1" ht="34" customHeight="1">
      <c r="A1" s="1" t="n"/>
      <c r="B1" s="2" t="inlineStr">
        <is>
          <t>Geotechnical News · Whole archive</t>
        </is>
      </c>
      <c r="C1" s="1" t="n"/>
      <c r="D1" s="1" t="n"/>
      <c r="E1" s="1" t="n"/>
    </row>
    <row r="2" ht="20" customHeight="1">
      <c r="A2" s="3" t="n"/>
      <c r="B2" s="4" t="inlineStr">
        <is>
          <t>All 1 issue windows · generated 24 Oct 2026</t>
        </is>
      </c>
      <c r="C2" s="3" t="n"/>
      <c r="D2" s="3" t="n"/>
      <c r="E2" s="3" t="n"/>
    </row>
    <row r="3" ht="4" customHeight="1">
      <c r="A3" s="5" t="n"/>
      <c r="B3" s="5" t="n"/>
      <c r="C3" s="5" t="n"/>
      <c r="D3" s="5" t="n"/>
      <c r="E3" s="5" t="n"/>
    </row>
    <row r="5" ht="30" customHeight="1">
      <c r="B5" s="6" t="inlineStr">
        <is>
          <t>This workbook holds 30 stories from 1 daily digest, 24 Oct 2026 to 24 Oct 2026, in 5 themes and from 23 sources.</t>
        </is>
      </c>
    </row>
    <row r="7" ht="22" customHeight="1">
      <c r="B7" s="7" t="inlineStr">
        <is>
          <t>What is in this workbook</t>
        </is>
      </c>
      <c r="C7" s="8" t="n"/>
      <c r="D7" s="8" t="n"/>
    </row>
    <row r="8" ht="31" customHeight="1">
      <c r="B8" s="9" t="inlineStr">
        <is>
          <t>Dashboard →</t>
        </is>
      </c>
      <c r="C8" s="10" t="inlineStr">
        <is>
          <t>Key figures, the Top 10 stories, charts by theme, use, relevance and planning status, a theme × use heat map and a timeline. Choose what it shows with the yellow selectors at the top.</t>
        </is>
      </c>
      <c r="D8" s="11" t="n"/>
    </row>
    <row r="9" ht="31" customHeight="1">
      <c r="B9" s="9" t="inlineStr">
        <is>
          <t>Stories →</t>
        </is>
      </c>
      <c r="C9" s="10" t="inlineStr">
        <is>
          <t>Every story as a filterable Excel table, newest digest first; click a headline to open the article. The gold columns – Status, Assigned to and Editor notes – are for you to fill in.</t>
        </is>
      </c>
      <c r="D9" s="11" t="n"/>
    </row>
    <row r="10" ht="31" customHeight="1">
      <c r="B10" s="9" t="inlineStr">
        <is>
          <t>By theme →</t>
        </is>
      </c>
      <c r="C10" s="10" t="inlineStr">
        <is>
          <t>A read-only reading view: one section per theme, best stories first. Collapse or expand sections with the − / + buttons in the left margin.</t>
        </is>
      </c>
      <c r="D10" s="11" t="n"/>
    </row>
    <row r="11" ht="31" customHeight="1">
      <c r="B11" s="9" t="inlineStr">
        <is>
          <t>Sources →</t>
        </is>
      </c>
      <c r="C11" s="10" t="inlineStr">
        <is>
          <t>The outlets that supplied stories: how many, average relevance, main theme and how many match the current Dashboard selection.</t>
        </is>
      </c>
      <c r="D11" s="11" t="n"/>
    </row>
    <row r="13" ht="22" customHeight="1">
      <c r="B13" s="7" t="inlineStr">
        <is>
          <t>How to use the Dashboard selectors</t>
        </is>
      </c>
      <c r="C13" s="8" t="n"/>
      <c r="D13" s="8" t="n"/>
    </row>
    <row r="14" ht="31" customHeight="1">
      <c r="B14" s="12" t="inlineStr">
        <is>
          <t>1</t>
        </is>
      </c>
      <c r="C14" s="10" t="inlineStr">
        <is>
          <t>Open the Dashboard. The yellow boxes at the top are selectors: Theme, Suggested use, Minimum relevance and Issue window.</t>
        </is>
      </c>
      <c r="D14" s="11" t="n"/>
    </row>
    <row r="15" ht="31" customHeight="1">
      <c r="B15" s="12" t="inlineStr">
        <is>
          <t>2</t>
        </is>
      </c>
      <c r="C15" s="10" t="inlineStr">
        <is>
          <t>Click a yellow box, then the ▼ arrow that appears beside it, and pick a value. Choose “All …” or “Any” to clear that selector.</t>
        </is>
      </c>
      <c r="D15" s="11" t="n"/>
    </row>
    <row r="16" ht="31" customHeight="1">
      <c r="B16" s="12" t="inlineStr">
        <is>
          <t>3</t>
        </is>
      </c>
      <c r="C16" s="10" t="inlineStr">
        <is>
          <t>The key figures, tables, charts, heat map and the Top 10 list recalculate at once. Headlines in the Top 10 open the article.</t>
        </is>
      </c>
      <c r="D16" s="11" t="n"/>
    </row>
    <row r="17" ht="31" customHeight="1">
      <c r="B17" s="12" t="inlineStr">
        <is>
          <t>4</t>
        </is>
      </c>
      <c r="C17" s="10" t="inlineStr">
        <is>
          <t>In Stories, set each story’s Status as you plan the issue. The Dashboard’s Planning status table and chart, and the PLANNED figure, count them straight away.</t>
        </is>
      </c>
      <c r="D17" s="11" t="n"/>
    </row>
    <row r="18" ht="31" customHeight="1">
      <c r="B18" s="12" t="inlineStr">
        <is>
          <t>5</t>
        </is>
      </c>
      <c r="C18" s="10" t="inlineStr">
        <is>
          <t>Filters in the Stories table (▼ in its header) only hide rows; the Dashboard follows the selectors. To list exactly what the Dashboard shows, filter the ‘In Dashboard selection’ column of Stories to ✓.</t>
        </is>
      </c>
      <c r="D18" s="11" t="n"/>
    </row>
    <row r="20" ht="22" customHeight="1">
      <c r="B20" s="7" t="inlineStr">
        <is>
          <t>Planning status (Stories › Status)</t>
        </is>
      </c>
      <c r="C20" s="8" t="n"/>
      <c r="D20" s="8" t="n"/>
    </row>
    <row r="21" ht="18" customHeight="1">
      <c r="B21" s="13" t="inlineStr">
        <is>
          <t>To review</t>
        </is>
      </c>
      <c r="C21" s="10" t="inlineStr">
        <is>
          <t>New from the scan, not looked at yet (every story starts here)</t>
        </is>
      </c>
      <c r="D21" s="11" t="n"/>
    </row>
    <row r="22" ht="18" customHeight="1">
      <c r="B22" s="14" t="inlineStr">
        <is>
          <t>Shortlisted</t>
        </is>
      </c>
      <c r="C22" s="10" t="inlineStr">
        <is>
          <t>Worth considering for the issue</t>
        </is>
      </c>
      <c r="D22" s="11" t="n"/>
    </row>
    <row r="23" ht="18" customHeight="1">
      <c r="B23" s="15" t="inlineStr">
        <is>
          <t>Commissioned</t>
        </is>
      </c>
      <c r="C23" s="10" t="inlineStr">
        <is>
          <t>A writer or contributor has been asked to cover it</t>
        </is>
      </c>
      <c r="D23" s="11" t="n"/>
    </row>
    <row r="24" ht="18" customHeight="1">
      <c r="B24" s="16" t="inlineStr">
        <is>
          <t>Published</t>
        </is>
      </c>
      <c r="C24" s="10" t="inlineStr">
        <is>
          <t>Used in a published issue or newsletter</t>
        </is>
      </c>
      <c r="D24" s="11" t="n"/>
    </row>
    <row r="25" ht="18" customHeight="1">
      <c r="B25" s="17" t="inlineStr">
        <is>
          <t>Not used</t>
        </is>
      </c>
      <c r="C25" s="10" t="inlineStr">
        <is>
          <t>Reviewed and set aside</t>
        </is>
      </c>
      <c r="D25" s="11" t="n"/>
    </row>
    <row r="27" ht="22" customHeight="1">
      <c r="B27" s="7" t="inlineStr">
        <is>
          <t>Relevance scale (AI triage)</t>
        </is>
      </c>
      <c r="C27" s="8" t="n"/>
      <c r="D27" s="8" t="n"/>
    </row>
    <row r="28" ht="18" customHeight="1">
      <c r="B28" s="18" t="inlineStr">
        <is>
          <t>5 / 5</t>
        </is>
      </c>
      <c r="C28" s="10" t="inlineStr">
        <is>
          <t>Rich geotechnical lesson or a major ground-related event</t>
        </is>
      </c>
      <c r="D28" s="11" t="n"/>
    </row>
    <row r="29" ht="18" customHeight="1">
      <c r="B29" s="19" t="inlineStr">
        <is>
          <t>4 / 5</t>
        </is>
      </c>
      <c r="C29" s="10" t="inlineStr">
        <is>
          <t>Strong ground-engineering content</t>
        </is>
      </c>
      <c r="D29" s="11" t="n"/>
    </row>
    <row r="30" ht="18" customHeight="1">
      <c r="B30" s="20" t="inlineStr">
        <is>
          <t>3 / 5</t>
        </is>
      </c>
      <c r="C30" s="10" t="inlineStr">
        <is>
          <t>Clear ground-engineering element, worth a brief</t>
        </is>
      </c>
      <c r="D30" s="11" t="n"/>
    </row>
    <row r="31" ht="18" customHeight="1">
      <c r="B31" s="21" t="inlineStr">
        <is>
          <t>2 / 5</t>
        </is>
      </c>
      <c r="C31" s="10" t="inlineStr">
        <is>
          <t>Weak link to geotechnics</t>
        </is>
      </c>
      <c r="D31" s="11" t="n"/>
    </row>
    <row r="32" ht="18" customHeight="1">
      <c r="B32" s="22" t="inlineStr">
        <is>
          <t>1 / 5</t>
        </is>
      </c>
      <c r="C32" s="10" t="inlineStr">
        <is>
          <t>Not really geotechnical</t>
        </is>
      </c>
      <c r="D32" s="11" t="n"/>
    </row>
    <row r="33" ht="18" customHeight="1">
      <c r="B33" s="23" t="inlineStr">
        <is>
          <t>–</t>
        </is>
      </c>
      <c r="C33" s="10" t="inlineStr">
        <is>
          <t>Shown as –. Not rated by AI: ranked on keyword matches only</t>
        </is>
      </c>
      <c r="D33" s="11" t="n"/>
    </row>
    <row r="35" ht="22" customHeight="1">
      <c r="B35" s="7" t="inlineStr">
        <is>
          <t>Jump to a theme (opens its section in By theme)</t>
        </is>
      </c>
      <c r="C35" s="8" t="n"/>
      <c r="D35" s="8" t="n"/>
    </row>
    <row r="36" ht="18" customHeight="1">
      <c r="B36" s="24" t="inlineStr">
        <is>
          <t>Digital Geotechnics</t>
        </is>
      </c>
      <c r="C36" s="10" t="inlineStr">
        <is>
          <t>1 story · 1 rated 5 / 5 · 0 feature leads</t>
        </is>
      </c>
      <c r="D36" s="11" t="n"/>
    </row>
    <row r="37" ht="18" customHeight="1">
      <c r="B37" s="25" t="inlineStr">
        <is>
          <t>Hazards &amp; Resilience</t>
        </is>
      </c>
      <c r="C37" s="10" t="inlineStr">
        <is>
          <t>18 stories · 0 rated 5 / 5 · 6 feature leads</t>
        </is>
      </c>
      <c r="D37" s="11" t="n"/>
    </row>
    <row r="38" ht="18" customHeight="1">
      <c r="B38" s="26" t="inlineStr">
        <is>
          <t>Infrastructure &amp; the Underground City</t>
        </is>
      </c>
      <c r="C38" s="10" t="inlineStr">
        <is>
          <t>5 stories · 0 rated 5 / 5 · 2 feature leads</t>
        </is>
      </c>
      <c r="D38" s="11" t="n"/>
    </row>
    <row r="39" ht="18" customHeight="1">
      <c r="B39" s="27" t="inlineStr">
        <is>
          <t>Characterisation &amp; Modelling</t>
        </is>
      </c>
      <c r="C39" s="10" t="inlineStr">
        <is>
          <t>4 stories · 0 rated 5 / 5 · 3 feature leads</t>
        </is>
      </c>
      <c r="D39" s="11" t="n"/>
    </row>
    <row r="40" ht="18" customHeight="1">
      <c r="B40" s="28" t="inlineStr">
        <is>
          <t>Geotechnics &amp; Society</t>
        </is>
      </c>
      <c r="C40" s="10" t="inlineStr">
        <is>
          <t>2 stories · 0 rated 5 / 5 · 0 feature leads</t>
        </is>
      </c>
      <c r="D40" s="11" t="n"/>
    </row>
    <row r="41" ht="31" customHeight="1">
      <c r="B41" s="29" t="inlineStr">
        <is>
          <t>No stories yet</t>
        </is>
      </c>
      <c r="C41" s="10" t="inlineStr">
        <is>
          <t>Sustainability &amp; the Energy Transition, Ground Improvement &amp; Innovation, Offshore, Coasts &amp; Water, General</t>
        </is>
      </c>
      <c r="D41" s="11" t="n"/>
    </row>
    <row r="43" ht="22" customHeight="1">
      <c r="B43" s="7" t="inlineStr">
        <is>
          <t>Good to know</t>
        </is>
      </c>
      <c r="C43" s="8" t="n"/>
      <c r="D43" s="8" t="n"/>
    </row>
    <row r="44" ht="44" customHeight="1">
      <c r="B44" s="30" t="inlineStr">
        <is>
          <t>Blank figures?</t>
        </is>
      </c>
      <c r="C44" s="10" t="inlineStr">
        <is>
          <t>The Dashboard is calculated when the file opens. If it shows blanks or zeros in Excel, click Enable Editing in the yellow bar at the top (files from the internet open in Protected View); in LibreOffice press Ctrl+Shift+F9.</t>
        </is>
      </c>
      <c r="D44" s="11" t="n"/>
    </row>
    <row r="45" ht="31" customHeight="1">
      <c r="B45" s="30" t="inlineStr">
        <is>
          <t>Your edits</t>
        </is>
      </c>
      <c r="C45" s="10" t="inlineStr">
        <is>
          <t>This file is generated again after every scan. Status, Assigned to and Editor notes are kept only in the copy you save, so keep one working copy per issue.</t>
        </is>
      </c>
      <c r="D45" s="11" t="n"/>
    </row>
    <row r="46" ht="31" customHeight="1">
      <c r="B46" s="30" t="inlineStr">
        <is>
          <t>Lists sheet</t>
        </is>
      </c>
      <c r="C46" s="10" t="inlineStr">
        <is>
          <t>A hidden sheet holds the values offered by the dropdowns and some helper cells. There is no need to change it.</t>
        </is>
      </c>
      <c r="D46" s="11" t="n"/>
    </row>
  </sheetData>
  <mergeCells count="32">
    <mergeCell ref="C24:D24"/>
    <mergeCell ref="C30:D30"/>
    <mergeCell ref="C15:D15"/>
    <mergeCell ref="C33:D33"/>
    <mergeCell ref="B1:D1"/>
    <mergeCell ref="C14:D14"/>
    <mergeCell ref="C45:D45"/>
    <mergeCell ref="C29:D29"/>
    <mergeCell ref="C10:D10"/>
    <mergeCell ref="C16:D16"/>
    <mergeCell ref="C25:D25"/>
    <mergeCell ref="C41:D41"/>
    <mergeCell ref="C44:D44"/>
    <mergeCell ref="C22:D22"/>
    <mergeCell ref="C40:D40"/>
    <mergeCell ref="C9:D9"/>
    <mergeCell ref="C31:D31"/>
    <mergeCell ref="B5:D5"/>
    <mergeCell ref="C46:D46"/>
    <mergeCell ref="C21:D21"/>
    <mergeCell ref="C11:D11"/>
    <mergeCell ref="C36:D36"/>
    <mergeCell ref="C23:D23"/>
    <mergeCell ref="C17:D17"/>
    <mergeCell ref="C39:D39"/>
    <mergeCell ref="C8:D8"/>
    <mergeCell ref="C32:D32"/>
    <mergeCell ref="C38:D38"/>
    <mergeCell ref="C37:D37"/>
    <mergeCell ref="C28:D28"/>
    <mergeCell ref="C18:D18"/>
    <mergeCell ref="B2:D2"/>
  </mergeCells>
  <hyperlinks>
    <hyperlink ref="B8" location="'Dashboard'!A1" display="Dashboard →"/>
    <hyperlink ref="B9" location="'Stories'!A1" display="Stories →"/>
    <hyperlink ref="B10" location="'By theme'!A1" display="By theme →"/>
    <hyperlink ref="B11" location="'Sources'!A1" display="Sources →"/>
    <hyperlink ref="B36" location="'By theme'!A4" display="Digital Geotechnics"/>
    <hyperlink ref="B37" location="'By theme'!A8" display="Hazards &amp; Resilience"/>
    <hyperlink ref="B38" location="'By theme'!A29" display="Infrastructure &amp; the Underground City"/>
    <hyperlink ref="B39" location="'By theme'!A37" display="Characterisation &amp; Modelling"/>
    <hyperlink ref="B40" location="'By theme'!A44" display="Geotechnics &amp; Society"/>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xl/worksheets/sheet2.xml><?xml version="1.0" encoding="utf-8"?>
<worksheet xmlns="http://schemas.openxmlformats.org/spreadsheetml/2006/main">
  <sheetPr>
    <tabColor rgb="0016324F"/>
    <outlinePr summaryBelow="1" summaryRight="1"/>
    <pageSetUpPr fitToPage="1"/>
  </sheetPr>
  <dimension ref="A1:T74"/>
  <sheetViews>
    <sheetView showGridLines="0" tabSelected="0" workbookViewId="0">
      <pane ySplit="6" topLeftCell="A7" activePane="bottomLeft" state="frozen"/>
      <selection pane="bottomLeft" activeCell="A1" sqref="A1"/>
    </sheetView>
  </sheetViews>
  <sheetFormatPr baseColWidth="8" defaultRowHeight="15"/>
  <cols>
    <col width="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2" customWidth="1" min="20" max="20"/>
  </cols>
  <sheetData>
    <row r="1" ht="34" customHeight="1">
      <c r="A1" s="1" t="n"/>
      <c r="B1" s="2" t="inlineStr">
        <is>
          <t>Geotechnical News · Whole archive</t>
        </is>
      </c>
      <c r="C1" s="1" t="n"/>
      <c r="D1" s="1" t="n"/>
      <c r="E1" s="1" t="n"/>
      <c r="F1" s="1" t="n"/>
      <c r="G1" s="1" t="n"/>
      <c r="H1" s="1" t="n"/>
      <c r="I1" s="1" t="n"/>
      <c r="J1" s="1" t="n"/>
      <c r="K1" s="1" t="n"/>
      <c r="L1" s="1" t="n"/>
      <c r="M1" s="1" t="n"/>
      <c r="N1" s="1" t="n"/>
      <c r="O1" s="1" t="n"/>
      <c r="P1" s="1" t="n"/>
      <c r="Q1" s="1" t="n"/>
      <c r="R1" s="1" t="n"/>
      <c r="S1" s="1" t="n"/>
      <c r="T1" s="1" t="n"/>
    </row>
    <row r="2" ht="20" customHeight="1">
      <c r="A2" s="3" t="n"/>
      <c r="B2" s="4" t="inlineStr">
        <is>
          <t>All 1 issue windows · generated 24 Oct 2026</t>
        </is>
      </c>
      <c r="C2" s="3" t="n"/>
      <c r="D2" s="3" t="n"/>
      <c r="E2" s="3" t="n"/>
      <c r="F2" s="3" t="n"/>
      <c r="G2" s="3" t="n"/>
      <c r="H2" s="3" t="n"/>
      <c r="I2" s="3" t="n"/>
      <c r="J2" s="3" t="n"/>
      <c r="K2" s="3" t="n"/>
      <c r="L2" s="3" t="n"/>
      <c r="M2" s="3" t="n"/>
      <c r="N2" s="3" t="n"/>
      <c r="O2" s="3" t="n"/>
      <c r="P2" s="3" t="n"/>
      <c r="Q2" s="3" t="n"/>
      <c r="R2" s="3" t="n"/>
      <c r="S2" s="3" t="n"/>
      <c r="T2" s="3" t="n"/>
    </row>
    <row r="3" ht="4" customHeight="1">
      <c r="A3" s="5" t="n"/>
      <c r="B3" s="5" t="n"/>
      <c r="C3" s="5" t="n"/>
      <c r="D3" s="5" t="n"/>
      <c r="E3" s="5" t="n"/>
      <c r="F3" s="5" t="n"/>
      <c r="G3" s="5" t="n"/>
      <c r="H3" s="5" t="n"/>
      <c r="I3" s="5" t="n"/>
      <c r="J3" s="5" t="n"/>
      <c r="K3" s="5" t="n"/>
      <c r="L3" s="5" t="n"/>
      <c r="M3" s="5" t="n"/>
      <c r="N3" s="5" t="n"/>
      <c r="O3" s="5" t="n"/>
      <c r="P3" s="5" t="n"/>
      <c r="Q3" s="5" t="n"/>
      <c r="R3" s="5" t="n"/>
      <c r="S3" s="5" t="n"/>
      <c r="T3" s="5" t="n"/>
    </row>
    <row r="4" ht="16" customHeight="1">
      <c r="B4" s="31" t="inlineStr">
        <is>
          <t>THEME</t>
        </is>
      </c>
      <c r="G4" s="31" t="inlineStr">
        <is>
          <t>SUGGESTED USE</t>
        </is>
      </c>
      <c r="K4" s="31" t="inlineStr">
        <is>
          <t>MINIMUM RELEVANCE (OUT OF 5)</t>
        </is>
      </c>
      <c r="N4" s="31" t="inlineStr">
        <is>
          <t>ISSUE WINDOW</t>
        </is>
      </c>
      <c r="Q4" s="32" t="inlineStr">
        <is>
          <t>Tip: click a yellow box, then its ▼ arrow, to choose. Pick “All …” or “Any” to clear it. Everything below updates.</t>
        </is>
      </c>
      <c r="R4" s="33" t="n"/>
      <c r="S4" s="33" t="n"/>
    </row>
    <row r="5" ht="26" customHeight="1">
      <c r="B5" s="34" t="inlineStr">
        <is>
          <t>All themes</t>
        </is>
      </c>
      <c r="C5" s="35" t="n"/>
      <c r="D5" s="35" t="n"/>
      <c r="E5" s="35" t="n"/>
      <c r="F5" s="36" t="n"/>
      <c r="G5" s="34" t="inlineStr">
        <is>
          <t>All uses</t>
        </is>
      </c>
      <c r="H5" s="35" t="n"/>
      <c r="I5" s="35" t="n"/>
      <c r="J5" s="36" t="n"/>
      <c r="K5" s="34" t="inlineStr">
        <is>
          <t>Any</t>
        </is>
      </c>
      <c r="L5" s="35" t="n"/>
      <c r="M5" s="36" t="n"/>
      <c r="N5" s="34" t="inlineStr">
        <is>
          <t>All windows</t>
        </is>
      </c>
      <c r="O5" s="35" t="n"/>
      <c r="P5" s="36" t="n"/>
      <c r="Q5" s="33" t="n"/>
      <c r="R5" s="33" t="n"/>
      <c r="S5" s="33" t="n"/>
    </row>
    <row r="6" ht="18" customHeight="1">
      <c r="B6" s="37">
        <f>"Showing "&amp;Lists!$H$6&amp;" of "&amp;Lists!$H$4&amp;" stories"&amp;IF(Lists!$H$5," – no selector set."," for the selection above. Set every box back to All / Any to see everything.")</f>
        <v/>
      </c>
    </row>
    <row r="7" ht="8" customHeight="1"/>
    <row r="8" ht="36" customHeight="1">
      <c r="B8" s="38">
        <f>Lists!$H$6</f>
        <v/>
      </c>
      <c r="C8" s="39" t="n"/>
      <c r="D8" s="39" t="n"/>
      <c r="E8" s="40">
        <f>IF(Lists!$H$5,Lists!$H$3,COUNTIF(Lists!$K$2:$K$2,"&gt;0"))</f>
        <v/>
      </c>
      <c r="F8" s="41" t="n"/>
      <c r="G8" s="41" t="n"/>
      <c r="H8" s="42">
        <f>COUNTIFS(Stories!$T$4:$T$33,1,Stories!$D$4:$D$33,5)</f>
        <v/>
      </c>
      <c r="I8" s="43" t="n"/>
      <c r="J8" s="43" t="n"/>
      <c r="K8" s="44">
        <f>COUNTIFS(Stories!$T$4:$T$33,1,Stories!$E$4:$E$33,"Feature lead")</f>
        <v/>
      </c>
      <c r="L8" s="45" t="n"/>
      <c r="M8" s="45" t="n"/>
      <c r="N8" s="46">
        <f>COUNTIFS(Stories!$T$4:$T$33,1,Stories!$F$4:$F$33,"Shortlisted")+COUNTIFS(Stories!$T$4:$T$33,1,Stories!$F$4:$F$33,"Commissioned")+COUNTIFS(Stories!$T$4:$T$33,1,Stories!$F$4:$F$33,"Published")</f>
        <v/>
      </c>
      <c r="O8" s="47" t="n"/>
      <c r="P8" s="47" t="n"/>
      <c r="Q8" s="48">
        <f>COUNTIF(Sources!$C$4:$C$26,"&gt;0")</f>
        <v/>
      </c>
      <c r="R8" s="49" t="n"/>
      <c r="S8" s="49" t="n"/>
    </row>
    <row r="9" ht="15" customHeight="1">
      <c r="B9" s="50" t="inlineStr">
        <is>
          <t>STORIES</t>
        </is>
      </c>
      <c r="C9" s="51" t="n"/>
      <c r="D9" s="51" t="n"/>
      <c r="E9" s="52">
        <f>IF(Lists!$H$5,"DAILY DIGESTS","DIGESTS WITH MATCHES")</f>
        <v/>
      </c>
      <c r="F9" s="53" t="n"/>
      <c r="G9" s="53" t="n"/>
      <c r="H9" s="54" t="inlineStr">
        <is>
          <t>RATED 5 / 5</t>
        </is>
      </c>
      <c r="I9" s="55" t="n"/>
      <c r="J9" s="55" t="n"/>
      <c r="K9" s="56" t="inlineStr">
        <is>
          <t>FEATURE LEADS</t>
        </is>
      </c>
      <c r="L9" s="57" t="n"/>
      <c r="M9" s="57" t="n"/>
      <c r="N9" s="58" t="inlineStr">
        <is>
          <t>PLANNED</t>
        </is>
      </c>
      <c r="O9" s="59" t="n"/>
      <c r="P9" s="59" t="n"/>
      <c r="Q9" s="60" t="inlineStr">
        <is>
          <t>SOURCES</t>
        </is>
      </c>
      <c r="R9" s="61" t="n"/>
      <c r="S9" s="61" t="n"/>
    </row>
    <row r="10" ht="15" customHeight="1">
      <c r="B10" s="62">
        <f>"of "&amp;Lists!$H$4&amp;" in this workbook"</f>
        <v/>
      </c>
      <c r="C10" s="51" t="n"/>
      <c r="D10" s="51" t="n"/>
      <c r="E10" s="63">
        <f>IF(Lists!$H$5,"scans in this period","of "&amp;Lists!$H$3&amp;" scans in this period")</f>
        <v/>
      </c>
      <c r="F10" s="53" t="n"/>
      <c r="G10" s="53" t="n"/>
      <c r="H10" s="64">
        <f>"rated 4 / 5: "&amp;COUNTIFS(Stories!$T$4:$T$33,1,Stories!$D$4:$D$33,4)</f>
        <v/>
      </c>
      <c r="I10" s="55" t="n"/>
      <c r="J10" s="55" t="n"/>
      <c r="K10" s="65">
        <f>"news briefs: "&amp;COUNTIFS(Stories!$T$4:$T$33,1,Stories!$E$4:$E$33,"News brief")</f>
        <v/>
      </c>
      <c r="L10" s="57" t="n"/>
      <c r="M10" s="57" t="n"/>
      <c r="N10" s="66">
        <f>"shortlisted or later · to review: "&amp;COUNTIFS(Stories!$T$4:$T$33,1,Stories!$F$4:$F$33,"To review")</f>
        <v/>
      </c>
      <c r="O10" s="59" t="n"/>
      <c r="P10" s="59" t="n"/>
      <c r="Q10" s="67">
        <f>"of 23 outlets in this workbook"</f>
        <v/>
      </c>
      <c r="R10" s="61" t="n"/>
      <c r="S10" s="61" t="n"/>
    </row>
    <row r="11" ht="12" customHeight="1"/>
    <row r="12" ht="22" customHeight="1">
      <c r="B12" s="7" t="inlineStr">
        <is>
          <t>Top 10 stories for this selection</t>
        </is>
      </c>
      <c r="C12" s="8" t="n"/>
      <c r="D12" s="8" t="n"/>
      <c r="E12" s="8" t="n"/>
      <c r="F12" s="8" t="n"/>
      <c r="G12" s="8" t="n"/>
      <c r="H12" s="8" t="n"/>
      <c r="I12" s="8" t="n"/>
      <c r="J12" s="8" t="n"/>
      <c r="K12" s="8" t="n"/>
      <c r="L12" s="8" t="n"/>
      <c r="M12" s="8" t="n"/>
      <c r="N12" s="8" t="n"/>
      <c r="O12" s="8" t="n"/>
      <c r="P12" s="8" t="n"/>
      <c r="Q12" s="8" t="n"/>
      <c r="R12" s="8" t="n"/>
      <c r="S12" s="8" t="n"/>
    </row>
    <row r="13" ht="20" customHeight="1">
      <c r="B13" s="68" t="inlineStr">
        <is>
          <t>#</t>
        </is>
      </c>
      <c r="C13" s="69" t="inlineStr">
        <is>
          <t>Headline (click to open the article)</t>
        </is>
      </c>
      <c r="D13" s="1" t="n"/>
      <c r="E13" s="1" t="n"/>
      <c r="F13" s="1" t="n"/>
      <c r="G13" s="1" t="n"/>
      <c r="H13" s="1" t="n"/>
      <c r="I13" s="68" t="inlineStr">
        <is>
          <t>Digest</t>
        </is>
      </c>
      <c r="J13" s="69" t="inlineStr">
        <is>
          <t>Theme</t>
        </is>
      </c>
      <c r="K13" s="1" t="n"/>
      <c r="L13" s="1" t="n"/>
      <c r="M13" s="68" t="inlineStr">
        <is>
          <t>Relevance</t>
        </is>
      </c>
      <c r="N13" s="69" t="inlineStr">
        <is>
          <t>Suggested use</t>
        </is>
      </c>
      <c r="O13" s="1" t="n"/>
      <c r="P13" s="69" t="inlineStr">
        <is>
          <t>Source</t>
        </is>
      </c>
      <c r="Q13" s="1" t="n"/>
      <c r="R13" s="68" t="inlineStr">
        <is>
          <t>Story No.</t>
        </is>
      </c>
      <c r="S13" s="68" t="inlineStr">
        <is>
          <t>Status</t>
        </is>
      </c>
    </row>
    <row r="14" ht="30" customHeight="1">
      <c r="B14" s="70">
        <f>IF(Lists!$O$2="","",1)</f>
        <v/>
      </c>
      <c r="C14" s="71">
        <f>IF(Lists!$O$2="","No stories match this selection – choose “All …” or “Any” in a box above.",IF(AND(Lists!$P$2&lt;&gt;"",LEN(Lists!$P$2)&lt;=255),HYPERLINK(Lists!$P$2,Lists!$Q$2),HYPERLINK("#'Stories'!B"&amp;(Lists!$O$2+3),Lists!$Q$2)))</f>
        <v/>
      </c>
      <c r="D14" s="72" t="n"/>
      <c r="E14" s="72" t="n"/>
      <c r="F14" s="72" t="n"/>
      <c r="G14" s="72" t="n"/>
      <c r="H14" s="72" t="n"/>
      <c r="I14" s="73">
        <f>IF(Lists!$O$2="","",INDEX(Stories!$K$4:$K$33,Lists!$O$2))</f>
        <v/>
      </c>
      <c r="J14" s="74">
        <f>IF(Lists!$O$2="","",INDEX(Stories!$C$4:$C$33,Lists!$O$2)&amp;"")</f>
        <v/>
      </c>
      <c r="K14" s="72" t="n"/>
      <c r="L14" s="72" t="n"/>
      <c r="M14" s="75">
        <f>IF(Lists!$O$2="","",INDEX(Stories!$D$4:$D$33,Lists!$O$2))</f>
        <v/>
      </c>
      <c r="N14" s="76">
        <f>IF(Lists!$O$2="","",INDEX(Stories!$E$4:$E$33,Lists!$O$2)&amp;"")</f>
        <v/>
      </c>
      <c r="O14" s="72" t="n"/>
      <c r="P14" s="76">
        <f>IF(Lists!$O$2="","",INDEX(Stories!$J$4:$J$33,Lists!$O$2)&amp;"")</f>
        <v/>
      </c>
      <c r="Q14" s="72" t="n"/>
      <c r="R14" s="77">
        <f>IF(Lists!$O$2="","",INDEX(Stories!$A$4:$A$33,Lists!$O$2))</f>
        <v/>
      </c>
      <c r="S14" s="78">
        <f>IF(Lists!$O$2="","",INDEX(Stories!$F$4:$F$33,Lists!$O$2)&amp;"")</f>
        <v/>
      </c>
    </row>
    <row r="15" ht="30" customHeight="1">
      <c r="B15" s="79">
        <f>IF(Lists!$O$3="","",2)</f>
        <v/>
      </c>
      <c r="C15" s="80">
        <f>IF(Lists!$O$3="","",IF(AND(Lists!$P$3&lt;&gt;"",LEN(Lists!$P$3)&lt;=255),HYPERLINK(Lists!$P$3,Lists!$Q$3),HYPERLINK("#'Stories'!B"&amp;(Lists!$O$3+3),Lists!$Q$3)))</f>
        <v/>
      </c>
      <c r="D15" s="81" t="n"/>
      <c r="E15" s="81" t="n"/>
      <c r="F15" s="81" t="n"/>
      <c r="G15" s="81" t="n"/>
      <c r="H15" s="81" t="n"/>
      <c r="I15" s="82">
        <f>IF(Lists!$O$3="","",INDEX(Stories!$K$4:$K$33,Lists!$O$3))</f>
        <v/>
      </c>
      <c r="J15" s="83">
        <f>IF(Lists!$O$3="","",INDEX(Stories!$C$4:$C$33,Lists!$O$3)&amp;"")</f>
        <v/>
      </c>
      <c r="K15" s="81" t="n"/>
      <c r="L15" s="81" t="n"/>
      <c r="M15" s="84">
        <f>IF(Lists!$O$3="","",INDEX(Stories!$D$4:$D$33,Lists!$O$3))</f>
        <v/>
      </c>
      <c r="N15" s="85">
        <f>IF(Lists!$O$3="","",INDEX(Stories!$E$4:$E$33,Lists!$O$3)&amp;"")</f>
        <v/>
      </c>
      <c r="O15" s="81" t="n"/>
      <c r="P15" s="85">
        <f>IF(Lists!$O$3="","",INDEX(Stories!$J$4:$J$33,Lists!$O$3)&amp;"")</f>
        <v/>
      </c>
      <c r="Q15" s="81" t="n"/>
      <c r="R15" s="86">
        <f>IF(Lists!$O$3="","",INDEX(Stories!$A$4:$A$33,Lists!$O$3))</f>
        <v/>
      </c>
      <c r="S15" s="87">
        <f>IF(Lists!$O$3="","",INDEX(Stories!$F$4:$F$33,Lists!$O$3)&amp;"")</f>
        <v/>
      </c>
    </row>
    <row r="16" ht="30" customHeight="1">
      <c r="B16" s="70">
        <f>IF(Lists!$O$4="","",3)</f>
        <v/>
      </c>
      <c r="C16" s="71">
        <f>IF(Lists!$O$4="","",IF(AND(Lists!$P$4&lt;&gt;"",LEN(Lists!$P$4)&lt;=255),HYPERLINK(Lists!$P$4,Lists!$Q$4),HYPERLINK("#'Stories'!B"&amp;(Lists!$O$4+3),Lists!$Q$4)))</f>
        <v/>
      </c>
      <c r="D16" s="72" t="n"/>
      <c r="E16" s="72" t="n"/>
      <c r="F16" s="72" t="n"/>
      <c r="G16" s="72" t="n"/>
      <c r="H16" s="72" t="n"/>
      <c r="I16" s="73">
        <f>IF(Lists!$O$4="","",INDEX(Stories!$K$4:$K$33,Lists!$O$4))</f>
        <v/>
      </c>
      <c r="J16" s="74">
        <f>IF(Lists!$O$4="","",INDEX(Stories!$C$4:$C$33,Lists!$O$4)&amp;"")</f>
        <v/>
      </c>
      <c r="K16" s="72" t="n"/>
      <c r="L16" s="72" t="n"/>
      <c r="M16" s="75">
        <f>IF(Lists!$O$4="","",INDEX(Stories!$D$4:$D$33,Lists!$O$4))</f>
        <v/>
      </c>
      <c r="N16" s="76">
        <f>IF(Lists!$O$4="","",INDEX(Stories!$E$4:$E$33,Lists!$O$4)&amp;"")</f>
        <v/>
      </c>
      <c r="O16" s="72" t="n"/>
      <c r="P16" s="76">
        <f>IF(Lists!$O$4="","",INDEX(Stories!$J$4:$J$33,Lists!$O$4)&amp;"")</f>
        <v/>
      </c>
      <c r="Q16" s="72" t="n"/>
      <c r="R16" s="77">
        <f>IF(Lists!$O$4="","",INDEX(Stories!$A$4:$A$33,Lists!$O$4))</f>
        <v/>
      </c>
      <c r="S16" s="78">
        <f>IF(Lists!$O$4="","",INDEX(Stories!$F$4:$F$33,Lists!$O$4)&amp;"")</f>
        <v/>
      </c>
    </row>
    <row r="17" ht="30" customHeight="1">
      <c r="B17" s="79">
        <f>IF(Lists!$O$5="","",4)</f>
        <v/>
      </c>
      <c r="C17" s="80">
        <f>IF(Lists!$O$5="","",IF(AND(Lists!$P$5&lt;&gt;"",LEN(Lists!$P$5)&lt;=255),HYPERLINK(Lists!$P$5,Lists!$Q$5),HYPERLINK("#'Stories'!B"&amp;(Lists!$O$5+3),Lists!$Q$5)))</f>
        <v/>
      </c>
      <c r="D17" s="81" t="n"/>
      <c r="E17" s="81" t="n"/>
      <c r="F17" s="81" t="n"/>
      <c r="G17" s="81" t="n"/>
      <c r="H17" s="81" t="n"/>
      <c r="I17" s="82">
        <f>IF(Lists!$O$5="","",INDEX(Stories!$K$4:$K$33,Lists!$O$5))</f>
        <v/>
      </c>
      <c r="J17" s="83">
        <f>IF(Lists!$O$5="","",INDEX(Stories!$C$4:$C$33,Lists!$O$5)&amp;"")</f>
        <v/>
      </c>
      <c r="K17" s="81" t="n"/>
      <c r="L17" s="81" t="n"/>
      <c r="M17" s="84">
        <f>IF(Lists!$O$5="","",INDEX(Stories!$D$4:$D$33,Lists!$O$5))</f>
        <v/>
      </c>
      <c r="N17" s="85">
        <f>IF(Lists!$O$5="","",INDEX(Stories!$E$4:$E$33,Lists!$O$5)&amp;"")</f>
        <v/>
      </c>
      <c r="O17" s="81" t="n"/>
      <c r="P17" s="85">
        <f>IF(Lists!$O$5="","",INDEX(Stories!$J$4:$J$33,Lists!$O$5)&amp;"")</f>
        <v/>
      </c>
      <c r="Q17" s="81" t="n"/>
      <c r="R17" s="86">
        <f>IF(Lists!$O$5="","",INDEX(Stories!$A$4:$A$33,Lists!$O$5))</f>
        <v/>
      </c>
      <c r="S17" s="87">
        <f>IF(Lists!$O$5="","",INDEX(Stories!$F$4:$F$33,Lists!$O$5)&amp;"")</f>
        <v/>
      </c>
    </row>
    <row r="18" ht="30" customHeight="1">
      <c r="B18" s="70">
        <f>IF(Lists!$O$6="","",5)</f>
        <v/>
      </c>
      <c r="C18" s="71">
        <f>IF(Lists!$O$6="","",IF(AND(Lists!$P$6&lt;&gt;"",LEN(Lists!$P$6)&lt;=255),HYPERLINK(Lists!$P$6,Lists!$Q$6),HYPERLINK("#'Stories'!B"&amp;(Lists!$O$6+3),Lists!$Q$6)))</f>
        <v/>
      </c>
      <c r="D18" s="72" t="n"/>
      <c r="E18" s="72" t="n"/>
      <c r="F18" s="72" t="n"/>
      <c r="G18" s="72" t="n"/>
      <c r="H18" s="72" t="n"/>
      <c r="I18" s="73">
        <f>IF(Lists!$O$6="","",INDEX(Stories!$K$4:$K$33,Lists!$O$6))</f>
        <v/>
      </c>
      <c r="J18" s="74">
        <f>IF(Lists!$O$6="","",INDEX(Stories!$C$4:$C$33,Lists!$O$6)&amp;"")</f>
        <v/>
      </c>
      <c r="K18" s="72" t="n"/>
      <c r="L18" s="72" t="n"/>
      <c r="M18" s="75">
        <f>IF(Lists!$O$6="","",INDEX(Stories!$D$4:$D$33,Lists!$O$6))</f>
        <v/>
      </c>
      <c r="N18" s="76">
        <f>IF(Lists!$O$6="","",INDEX(Stories!$E$4:$E$33,Lists!$O$6)&amp;"")</f>
        <v/>
      </c>
      <c r="O18" s="72" t="n"/>
      <c r="P18" s="76">
        <f>IF(Lists!$O$6="","",INDEX(Stories!$J$4:$J$33,Lists!$O$6)&amp;"")</f>
        <v/>
      </c>
      <c r="Q18" s="72" t="n"/>
      <c r="R18" s="77">
        <f>IF(Lists!$O$6="","",INDEX(Stories!$A$4:$A$33,Lists!$O$6))</f>
        <v/>
      </c>
      <c r="S18" s="78">
        <f>IF(Lists!$O$6="","",INDEX(Stories!$F$4:$F$33,Lists!$O$6)&amp;"")</f>
        <v/>
      </c>
    </row>
    <row r="19" ht="30" customHeight="1">
      <c r="B19" s="79">
        <f>IF(Lists!$O$7="","",6)</f>
        <v/>
      </c>
      <c r="C19" s="80">
        <f>IF(Lists!$O$7="","",IF(AND(Lists!$P$7&lt;&gt;"",LEN(Lists!$P$7)&lt;=255),HYPERLINK(Lists!$P$7,Lists!$Q$7),HYPERLINK("#'Stories'!B"&amp;(Lists!$O$7+3),Lists!$Q$7)))</f>
        <v/>
      </c>
      <c r="D19" s="81" t="n"/>
      <c r="E19" s="81" t="n"/>
      <c r="F19" s="81" t="n"/>
      <c r="G19" s="81" t="n"/>
      <c r="H19" s="81" t="n"/>
      <c r="I19" s="82">
        <f>IF(Lists!$O$7="","",INDEX(Stories!$K$4:$K$33,Lists!$O$7))</f>
        <v/>
      </c>
      <c r="J19" s="83">
        <f>IF(Lists!$O$7="","",INDEX(Stories!$C$4:$C$33,Lists!$O$7)&amp;"")</f>
        <v/>
      </c>
      <c r="K19" s="81" t="n"/>
      <c r="L19" s="81" t="n"/>
      <c r="M19" s="84">
        <f>IF(Lists!$O$7="","",INDEX(Stories!$D$4:$D$33,Lists!$O$7))</f>
        <v/>
      </c>
      <c r="N19" s="85">
        <f>IF(Lists!$O$7="","",INDEX(Stories!$E$4:$E$33,Lists!$O$7)&amp;"")</f>
        <v/>
      </c>
      <c r="O19" s="81" t="n"/>
      <c r="P19" s="85">
        <f>IF(Lists!$O$7="","",INDEX(Stories!$J$4:$J$33,Lists!$O$7)&amp;"")</f>
        <v/>
      </c>
      <c r="Q19" s="81" t="n"/>
      <c r="R19" s="86">
        <f>IF(Lists!$O$7="","",INDEX(Stories!$A$4:$A$33,Lists!$O$7))</f>
        <v/>
      </c>
      <c r="S19" s="87">
        <f>IF(Lists!$O$7="","",INDEX(Stories!$F$4:$F$33,Lists!$O$7)&amp;"")</f>
        <v/>
      </c>
    </row>
    <row r="20" ht="30" customHeight="1">
      <c r="B20" s="70">
        <f>IF(Lists!$O$8="","",7)</f>
        <v/>
      </c>
      <c r="C20" s="71">
        <f>IF(Lists!$O$8="","",IF(AND(Lists!$P$8&lt;&gt;"",LEN(Lists!$P$8)&lt;=255),HYPERLINK(Lists!$P$8,Lists!$Q$8),HYPERLINK("#'Stories'!B"&amp;(Lists!$O$8+3),Lists!$Q$8)))</f>
        <v/>
      </c>
      <c r="D20" s="72" t="n"/>
      <c r="E20" s="72" t="n"/>
      <c r="F20" s="72" t="n"/>
      <c r="G20" s="72" t="n"/>
      <c r="H20" s="72" t="n"/>
      <c r="I20" s="73">
        <f>IF(Lists!$O$8="","",INDEX(Stories!$K$4:$K$33,Lists!$O$8))</f>
        <v/>
      </c>
      <c r="J20" s="74">
        <f>IF(Lists!$O$8="","",INDEX(Stories!$C$4:$C$33,Lists!$O$8)&amp;"")</f>
        <v/>
      </c>
      <c r="K20" s="72" t="n"/>
      <c r="L20" s="72" t="n"/>
      <c r="M20" s="75">
        <f>IF(Lists!$O$8="","",INDEX(Stories!$D$4:$D$33,Lists!$O$8))</f>
        <v/>
      </c>
      <c r="N20" s="76">
        <f>IF(Lists!$O$8="","",INDEX(Stories!$E$4:$E$33,Lists!$O$8)&amp;"")</f>
        <v/>
      </c>
      <c r="O20" s="72" t="n"/>
      <c r="P20" s="76">
        <f>IF(Lists!$O$8="","",INDEX(Stories!$J$4:$J$33,Lists!$O$8)&amp;"")</f>
        <v/>
      </c>
      <c r="Q20" s="72" t="n"/>
      <c r="R20" s="77">
        <f>IF(Lists!$O$8="","",INDEX(Stories!$A$4:$A$33,Lists!$O$8))</f>
        <v/>
      </c>
      <c r="S20" s="78">
        <f>IF(Lists!$O$8="","",INDEX(Stories!$F$4:$F$33,Lists!$O$8)&amp;"")</f>
        <v/>
      </c>
    </row>
    <row r="21" ht="30" customHeight="1">
      <c r="B21" s="79">
        <f>IF(Lists!$O$9="","",8)</f>
        <v/>
      </c>
      <c r="C21" s="80">
        <f>IF(Lists!$O$9="","",IF(AND(Lists!$P$9&lt;&gt;"",LEN(Lists!$P$9)&lt;=255),HYPERLINK(Lists!$P$9,Lists!$Q$9),HYPERLINK("#'Stories'!B"&amp;(Lists!$O$9+3),Lists!$Q$9)))</f>
        <v/>
      </c>
      <c r="D21" s="81" t="n"/>
      <c r="E21" s="81" t="n"/>
      <c r="F21" s="81" t="n"/>
      <c r="G21" s="81" t="n"/>
      <c r="H21" s="81" t="n"/>
      <c r="I21" s="82">
        <f>IF(Lists!$O$9="","",INDEX(Stories!$K$4:$K$33,Lists!$O$9))</f>
        <v/>
      </c>
      <c r="J21" s="83">
        <f>IF(Lists!$O$9="","",INDEX(Stories!$C$4:$C$33,Lists!$O$9)&amp;"")</f>
        <v/>
      </c>
      <c r="K21" s="81" t="n"/>
      <c r="L21" s="81" t="n"/>
      <c r="M21" s="84">
        <f>IF(Lists!$O$9="","",INDEX(Stories!$D$4:$D$33,Lists!$O$9))</f>
        <v/>
      </c>
      <c r="N21" s="85">
        <f>IF(Lists!$O$9="","",INDEX(Stories!$E$4:$E$33,Lists!$O$9)&amp;"")</f>
        <v/>
      </c>
      <c r="O21" s="81" t="n"/>
      <c r="P21" s="85">
        <f>IF(Lists!$O$9="","",INDEX(Stories!$J$4:$J$33,Lists!$O$9)&amp;"")</f>
        <v/>
      </c>
      <c r="Q21" s="81" t="n"/>
      <c r="R21" s="86">
        <f>IF(Lists!$O$9="","",INDEX(Stories!$A$4:$A$33,Lists!$O$9))</f>
        <v/>
      </c>
      <c r="S21" s="87">
        <f>IF(Lists!$O$9="","",INDEX(Stories!$F$4:$F$33,Lists!$O$9)&amp;"")</f>
        <v/>
      </c>
    </row>
    <row r="22" ht="30" customHeight="1">
      <c r="B22" s="70">
        <f>IF(Lists!$O$10="","",9)</f>
        <v/>
      </c>
      <c r="C22" s="71">
        <f>IF(Lists!$O$10="","",IF(AND(Lists!$P$10&lt;&gt;"",LEN(Lists!$P$10)&lt;=255),HYPERLINK(Lists!$P$10,Lists!$Q$10),HYPERLINK("#'Stories'!B"&amp;(Lists!$O$10+3),Lists!$Q$10)))</f>
        <v/>
      </c>
      <c r="D22" s="72" t="n"/>
      <c r="E22" s="72" t="n"/>
      <c r="F22" s="72" t="n"/>
      <c r="G22" s="72" t="n"/>
      <c r="H22" s="72" t="n"/>
      <c r="I22" s="73">
        <f>IF(Lists!$O$10="","",INDEX(Stories!$K$4:$K$33,Lists!$O$10))</f>
        <v/>
      </c>
      <c r="J22" s="74">
        <f>IF(Lists!$O$10="","",INDEX(Stories!$C$4:$C$33,Lists!$O$10)&amp;"")</f>
        <v/>
      </c>
      <c r="K22" s="72" t="n"/>
      <c r="L22" s="72" t="n"/>
      <c r="M22" s="75">
        <f>IF(Lists!$O$10="","",INDEX(Stories!$D$4:$D$33,Lists!$O$10))</f>
        <v/>
      </c>
      <c r="N22" s="76">
        <f>IF(Lists!$O$10="","",INDEX(Stories!$E$4:$E$33,Lists!$O$10)&amp;"")</f>
        <v/>
      </c>
      <c r="O22" s="72" t="n"/>
      <c r="P22" s="76">
        <f>IF(Lists!$O$10="","",INDEX(Stories!$J$4:$J$33,Lists!$O$10)&amp;"")</f>
        <v/>
      </c>
      <c r="Q22" s="72" t="n"/>
      <c r="R22" s="77">
        <f>IF(Lists!$O$10="","",INDEX(Stories!$A$4:$A$33,Lists!$O$10))</f>
        <v/>
      </c>
      <c r="S22" s="78">
        <f>IF(Lists!$O$10="","",INDEX(Stories!$F$4:$F$33,Lists!$O$10)&amp;"")</f>
        <v/>
      </c>
    </row>
    <row r="23" ht="30" customHeight="1">
      <c r="B23" s="79">
        <f>IF(Lists!$O$11="","",10)</f>
        <v/>
      </c>
      <c r="C23" s="80">
        <f>IF(Lists!$O$11="","",IF(AND(Lists!$P$11&lt;&gt;"",LEN(Lists!$P$11)&lt;=255),HYPERLINK(Lists!$P$11,Lists!$Q$11),HYPERLINK("#'Stories'!B"&amp;(Lists!$O$11+3),Lists!$Q$11)))</f>
        <v/>
      </c>
      <c r="D23" s="81" t="n"/>
      <c r="E23" s="81" t="n"/>
      <c r="F23" s="81" t="n"/>
      <c r="G23" s="81" t="n"/>
      <c r="H23" s="81" t="n"/>
      <c r="I23" s="82">
        <f>IF(Lists!$O$11="","",INDEX(Stories!$K$4:$K$33,Lists!$O$11))</f>
        <v/>
      </c>
      <c r="J23" s="83">
        <f>IF(Lists!$O$11="","",INDEX(Stories!$C$4:$C$33,Lists!$O$11)&amp;"")</f>
        <v/>
      </c>
      <c r="K23" s="81" t="n"/>
      <c r="L23" s="81" t="n"/>
      <c r="M23" s="84">
        <f>IF(Lists!$O$11="","",INDEX(Stories!$D$4:$D$33,Lists!$O$11))</f>
        <v/>
      </c>
      <c r="N23" s="85">
        <f>IF(Lists!$O$11="","",INDEX(Stories!$E$4:$E$33,Lists!$O$11)&amp;"")</f>
        <v/>
      </c>
      <c r="O23" s="81" t="n"/>
      <c r="P23" s="85">
        <f>IF(Lists!$O$11="","",INDEX(Stories!$J$4:$J$33,Lists!$O$11)&amp;"")</f>
        <v/>
      </c>
      <c r="Q23" s="81" t="n"/>
      <c r="R23" s="86">
        <f>IF(Lists!$O$11="","",INDEX(Stories!$A$4:$A$33,Lists!$O$11))</f>
        <v/>
      </c>
      <c r="S23" s="87">
        <f>IF(Lists!$O$11="","",INDEX(Stories!$F$4:$F$33,Lists!$O$11)&amp;"")</f>
        <v/>
      </c>
    </row>
    <row r="24">
      <c r="C24" s="88" t="inlineStr">
        <is>
          <t>Ranked by relevance, then keyword score, then newest digest. Find a story in the Stories sheet by its Story No.</t>
        </is>
      </c>
    </row>
    <row r="25"/>
    <row r="26" ht="22" customHeight="1">
      <c r="B26" s="7" t="inlineStr">
        <is>
          <t>Stories by theme</t>
        </is>
      </c>
      <c r="C26" s="8" t="n"/>
      <c r="D26" s="8" t="n"/>
      <c r="E26" s="8" t="n"/>
      <c r="F26" s="8" t="n"/>
      <c r="G26" s="8" t="n"/>
      <c r="H26" s="8" t="n"/>
      <c r="I26" s="8" t="n"/>
      <c r="J26" s="8" t="n"/>
    </row>
    <row r="27" ht="28" customHeight="1">
      <c r="B27" s="69" t="inlineStr">
        <is>
          <t>Theme</t>
        </is>
      </c>
      <c r="C27" s="1" t="n"/>
      <c r="D27" s="1" t="n"/>
      <c r="E27" s="1" t="n"/>
      <c r="F27" s="68" t="inlineStr">
        <is>
          <t>Stories</t>
        </is>
      </c>
      <c r="G27" s="68" t="inlineStr">
        <is>
          <t>Rated 5</t>
        </is>
      </c>
      <c r="H27" s="68" t="inlineStr">
        <is>
          <t>Rated 4</t>
        </is>
      </c>
      <c r="I27" s="68" t="inlineStr">
        <is>
          <t>Feature leads</t>
        </is>
      </c>
      <c r="J27" s="68" t="inlineStr">
        <is>
          <t>Share</t>
        </is>
      </c>
    </row>
    <row r="28" ht="18" customHeight="1">
      <c r="B28" s="89" t="inlineStr">
        <is>
          <t>Sustainability &amp; the Energy Transition</t>
        </is>
      </c>
      <c r="C28" s="90" t="n"/>
      <c r="D28" s="90" t="n"/>
      <c r="E28" s="90" t="n"/>
      <c r="F28" s="91">
        <f>SUMPRODUCT(Stories!$T$4:$T$33,--(Stories!$C$4:$C$33=$B28))</f>
        <v/>
      </c>
      <c r="G28" s="92">
        <f>SUMPRODUCT(Stories!$T$4:$T$33,--(Stories!$C$4:$C$33=$B28),--(Stories!$D$4:$D$33=5))</f>
        <v/>
      </c>
      <c r="H28" s="92">
        <f>SUMPRODUCT(Stories!$T$4:$T$33,--(Stories!$C$4:$C$33=$B28),--(Stories!$D$4:$D$33=4))</f>
        <v/>
      </c>
      <c r="I28" s="92">
        <f>SUMPRODUCT(Stories!$T$4:$T$33,--(Stories!$C$4:$C$33=$B28),--(Stories!$E$4:$E$33="Feature lead"))</f>
        <v/>
      </c>
      <c r="J28" s="93">
        <f>IF(Lists!$H$6=0,0,F28/Lists!$H$6)</f>
        <v/>
      </c>
    </row>
    <row r="29" ht="18" customHeight="1">
      <c r="B29" s="94" t="inlineStr">
        <is>
          <t>Digital Geotechnics</t>
        </is>
      </c>
      <c r="C29" s="95" t="n"/>
      <c r="D29" s="95" t="n"/>
      <c r="E29" s="95" t="n"/>
      <c r="F29" s="91">
        <f>SUMPRODUCT(Stories!$T$4:$T$33,--(Stories!$C$4:$C$33=$B29))</f>
        <v/>
      </c>
      <c r="G29" s="92">
        <f>SUMPRODUCT(Stories!$T$4:$T$33,--(Stories!$C$4:$C$33=$B29),--(Stories!$D$4:$D$33=5))</f>
        <v/>
      </c>
      <c r="H29" s="92">
        <f>SUMPRODUCT(Stories!$T$4:$T$33,--(Stories!$C$4:$C$33=$B29),--(Stories!$D$4:$D$33=4))</f>
        <v/>
      </c>
      <c r="I29" s="92">
        <f>SUMPRODUCT(Stories!$T$4:$T$33,--(Stories!$C$4:$C$33=$B29),--(Stories!$E$4:$E$33="Feature lead"))</f>
        <v/>
      </c>
      <c r="J29" s="93">
        <f>IF(Lists!$H$6=0,0,F29/Lists!$H$6)</f>
        <v/>
      </c>
    </row>
    <row r="30" ht="18" customHeight="1">
      <c r="B30" s="96" t="inlineStr">
        <is>
          <t>Hazards &amp; Resilience</t>
        </is>
      </c>
      <c r="C30" s="97" t="n"/>
      <c r="D30" s="97" t="n"/>
      <c r="E30" s="97" t="n"/>
      <c r="F30" s="91">
        <f>SUMPRODUCT(Stories!$T$4:$T$33,--(Stories!$C$4:$C$33=$B30))</f>
        <v/>
      </c>
      <c r="G30" s="92">
        <f>SUMPRODUCT(Stories!$T$4:$T$33,--(Stories!$C$4:$C$33=$B30),--(Stories!$D$4:$D$33=5))</f>
        <v/>
      </c>
      <c r="H30" s="92">
        <f>SUMPRODUCT(Stories!$T$4:$T$33,--(Stories!$C$4:$C$33=$B30),--(Stories!$D$4:$D$33=4))</f>
        <v/>
      </c>
      <c r="I30" s="92">
        <f>SUMPRODUCT(Stories!$T$4:$T$33,--(Stories!$C$4:$C$33=$B30),--(Stories!$E$4:$E$33="Feature lead"))</f>
        <v/>
      </c>
      <c r="J30" s="93">
        <f>IF(Lists!$H$6=0,0,F30/Lists!$H$6)</f>
        <v/>
      </c>
    </row>
    <row r="31" ht="18" customHeight="1">
      <c r="B31" s="98" t="inlineStr">
        <is>
          <t>Ground Improvement &amp; Innovation</t>
        </is>
      </c>
      <c r="C31" s="99" t="n"/>
      <c r="D31" s="99" t="n"/>
      <c r="E31" s="99" t="n"/>
      <c r="F31" s="91">
        <f>SUMPRODUCT(Stories!$T$4:$T$33,--(Stories!$C$4:$C$33=$B31))</f>
        <v/>
      </c>
      <c r="G31" s="92">
        <f>SUMPRODUCT(Stories!$T$4:$T$33,--(Stories!$C$4:$C$33=$B31),--(Stories!$D$4:$D$33=5))</f>
        <v/>
      </c>
      <c r="H31" s="92">
        <f>SUMPRODUCT(Stories!$T$4:$T$33,--(Stories!$C$4:$C$33=$B31),--(Stories!$D$4:$D$33=4))</f>
        <v/>
      </c>
      <c r="I31" s="92">
        <f>SUMPRODUCT(Stories!$T$4:$T$33,--(Stories!$C$4:$C$33=$B31),--(Stories!$E$4:$E$33="Feature lead"))</f>
        <v/>
      </c>
      <c r="J31" s="93">
        <f>IF(Lists!$H$6=0,0,F31/Lists!$H$6)</f>
        <v/>
      </c>
    </row>
    <row r="32" ht="18" customHeight="1">
      <c r="B32" s="100" t="inlineStr">
        <is>
          <t>Infrastructure &amp; the Underground City</t>
        </is>
      </c>
      <c r="C32" s="101" t="n"/>
      <c r="D32" s="101" t="n"/>
      <c r="E32" s="101" t="n"/>
      <c r="F32" s="91">
        <f>SUMPRODUCT(Stories!$T$4:$T$33,--(Stories!$C$4:$C$33=$B32))</f>
        <v/>
      </c>
      <c r="G32" s="92">
        <f>SUMPRODUCT(Stories!$T$4:$T$33,--(Stories!$C$4:$C$33=$B32),--(Stories!$D$4:$D$33=5))</f>
        <v/>
      </c>
      <c r="H32" s="92">
        <f>SUMPRODUCT(Stories!$T$4:$T$33,--(Stories!$C$4:$C$33=$B32),--(Stories!$D$4:$D$33=4))</f>
        <v/>
      </c>
      <c r="I32" s="92">
        <f>SUMPRODUCT(Stories!$T$4:$T$33,--(Stories!$C$4:$C$33=$B32),--(Stories!$E$4:$E$33="Feature lead"))</f>
        <v/>
      </c>
      <c r="J32" s="93">
        <f>IF(Lists!$H$6=0,0,F32/Lists!$H$6)</f>
        <v/>
      </c>
    </row>
    <row r="33" ht="18" customHeight="1">
      <c r="B33" s="102" t="inlineStr">
        <is>
          <t>Offshore, Coasts &amp; Water</t>
        </is>
      </c>
      <c r="C33" s="103" t="n"/>
      <c r="D33" s="103" t="n"/>
      <c r="E33" s="103" t="n"/>
      <c r="F33" s="91">
        <f>SUMPRODUCT(Stories!$T$4:$T$33,--(Stories!$C$4:$C$33=$B33))</f>
        <v/>
      </c>
      <c r="G33" s="92">
        <f>SUMPRODUCT(Stories!$T$4:$T$33,--(Stories!$C$4:$C$33=$B33),--(Stories!$D$4:$D$33=5))</f>
        <v/>
      </c>
      <c r="H33" s="92">
        <f>SUMPRODUCT(Stories!$T$4:$T$33,--(Stories!$C$4:$C$33=$B33),--(Stories!$D$4:$D$33=4))</f>
        <v/>
      </c>
      <c r="I33" s="92">
        <f>SUMPRODUCT(Stories!$T$4:$T$33,--(Stories!$C$4:$C$33=$B33),--(Stories!$E$4:$E$33="Feature lead"))</f>
        <v/>
      </c>
      <c r="J33" s="93">
        <f>IF(Lists!$H$6=0,0,F33/Lists!$H$6)</f>
        <v/>
      </c>
    </row>
    <row r="34" ht="18" customHeight="1">
      <c r="B34" s="104" t="inlineStr">
        <is>
          <t>Characterisation &amp; Modelling</t>
        </is>
      </c>
      <c r="C34" s="105" t="n"/>
      <c r="D34" s="105" t="n"/>
      <c r="E34" s="105" t="n"/>
      <c r="F34" s="91">
        <f>SUMPRODUCT(Stories!$T$4:$T$33,--(Stories!$C$4:$C$33=$B34))</f>
        <v/>
      </c>
      <c r="G34" s="92">
        <f>SUMPRODUCT(Stories!$T$4:$T$33,--(Stories!$C$4:$C$33=$B34),--(Stories!$D$4:$D$33=5))</f>
        <v/>
      </c>
      <c r="H34" s="92">
        <f>SUMPRODUCT(Stories!$T$4:$T$33,--(Stories!$C$4:$C$33=$B34),--(Stories!$D$4:$D$33=4))</f>
        <v/>
      </c>
      <c r="I34" s="92">
        <f>SUMPRODUCT(Stories!$T$4:$T$33,--(Stories!$C$4:$C$33=$B34),--(Stories!$E$4:$E$33="Feature lead"))</f>
        <v/>
      </c>
      <c r="J34" s="93">
        <f>IF(Lists!$H$6=0,0,F34/Lists!$H$6)</f>
        <v/>
      </c>
    </row>
    <row r="35" ht="18" customHeight="1">
      <c r="B35" s="106" t="inlineStr">
        <is>
          <t>Geotechnics &amp; Society</t>
        </is>
      </c>
      <c r="C35" s="107" t="n"/>
      <c r="D35" s="107" t="n"/>
      <c r="E35" s="107" t="n"/>
      <c r="F35" s="91">
        <f>SUMPRODUCT(Stories!$T$4:$T$33,--(Stories!$C$4:$C$33=$B35))</f>
        <v/>
      </c>
      <c r="G35" s="92">
        <f>SUMPRODUCT(Stories!$T$4:$T$33,--(Stories!$C$4:$C$33=$B35),--(Stories!$D$4:$D$33=5))</f>
        <v/>
      </c>
      <c r="H35" s="92">
        <f>SUMPRODUCT(Stories!$T$4:$T$33,--(Stories!$C$4:$C$33=$B35),--(Stories!$D$4:$D$33=4))</f>
        <v/>
      </c>
      <c r="I35" s="92">
        <f>SUMPRODUCT(Stories!$T$4:$T$33,--(Stories!$C$4:$C$33=$B35),--(Stories!$E$4:$E$33="Feature lead"))</f>
        <v/>
      </c>
      <c r="J35" s="93">
        <f>IF(Lists!$H$6=0,0,F35/Lists!$H$6)</f>
        <v/>
      </c>
    </row>
    <row r="36" ht="18" customHeight="1">
      <c r="B36" s="108" t="inlineStr">
        <is>
          <t>General</t>
        </is>
      </c>
      <c r="C36" s="109" t="n"/>
      <c r="D36" s="109" t="n"/>
      <c r="E36" s="109" t="n"/>
      <c r="F36" s="91">
        <f>SUMPRODUCT(Stories!$T$4:$T$33,--(Stories!$C$4:$C$33=$B36))</f>
        <v/>
      </c>
      <c r="G36" s="92">
        <f>SUMPRODUCT(Stories!$T$4:$T$33,--(Stories!$C$4:$C$33=$B36),--(Stories!$D$4:$D$33=5))</f>
        <v/>
      </c>
      <c r="H36" s="92">
        <f>SUMPRODUCT(Stories!$T$4:$T$33,--(Stories!$C$4:$C$33=$B36),--(Stories!$D$4:$D$33=4))</f>
        <v/>
      </c>
      <c r="I36" s="92">
        <f>SUMPRODUCT(Stories!$T$4:$T$33,--(Stories!$C$4:$C$33=$B36),--(Stories!$E$4:$E$33="Feature lead"))</f>
        <v/>
      </c>
      <c r="J36" s="93">
        <f>IF(Lists!$H$6=0,0,F36/Lists!$H$6)</f>
        <v/>
      </c>
    </row>
    <row r="37"/>
    <row r="38" ht="22" customHeight="1">
      <c r="B38" s="7" t="inlineStr">
        <is>
          <t>Suggested editorial use</t>
        </is>
      </c>
      <c r="C38" s="8" t="n"/>
      <c r="D38" s="8" t="n"/>
      <c r="E38" s="8" t="n"/>
      <c r="F38" s="8" t="n"/>
      <c r="H38" s="7" t="inlineStr">
        <is>
          <t>Geotechnical relevance</t>
        </is>
      </c>
      <c r="I38" s="8" t="n"/>
      <c r="J38" s="8" t="n"/>
      <c r="K38" s="8" t="n"/>
      <c r="L38" s="8" t="n"/>
      <c r="N38" s="7" t="inlineStr">
        <is>
          <t>Planning status</t>
        </is>
      </c>
      <c r="O38" s="8" t="n"/>
      <c r="P38" s="8" t="n"/>
      <c r="Q38" s="8" t="n"/>
      <c r="R38" s="8" t="n"/>
    </row>
    <row r="39" ht="20" customHeight="1">
      <c r="B39" s="69" t="inlineStr">
        <is>
          <t>Use</t>
        </is>
      </c>
      <c r="C39" s="1" t="n"/>
      <c r="D39" s="1" t="n"/>
      <c r="E39" s="68" t="inlineStr">
        <is>
          <t>Stories</t>
        </is>
      </c>
      <c r="F39" s="68" t="inlineStr">
        <is>
          <t>Share</t>
        </is>
      </c>
      <c r="H39" s="69" t="inlineStr">
        <is>
          <t>Relevance</t>
        </is>
      </c>
      <c r="I39" s="1" t="n"/>
      <c r="J39" s="1" t="n"/>
      <c r="K39" s="68" t="inlineStr">
        <is>
          <t>Stories</t>
        </is>
      </c>
      <c r="L39" s="68" t="inlineStr">
        <is>
          <t>Share</t>
        </is>
      </c>
      <c r="N39" s="69" t="inlineStr">
        <is>
          <t>Status</t>
        </is>
      </c>
      <c r="O39" s="1" t="n"/>
      <c r="P39" s="1" t="n"/>
      <c r="Q39" s="68" t="inlineStr">
        <is>
          <t>Stories</t>
        </is>
      </c>
      <c r="R39" s="68" t="inlineStr">
        <is>
          <t>Share</t>
        </is>
      </c>
    </row>
    <row r="40" ht="18" customHeight="1">
      <c r="B40" s="110" t="inlineStr">
        <is>
          <t>Feature lead</t>
        </is>
      </c>
      <c r="C40" s="11" t="n"/>
      <c r="D40" s="11" t="n"/>
      <c r="E40" s="91">
        <f>SUMPRODUCT(Stories!$T$4:$T$33,--(Stories!$E$4:$E$33=$B40))</f>
        <v/>
      </c>
      <c r="F40" s="93">
        <f>IF(Lists!$H$6=0,0,E40/Lists!$H$6)</f>
        <v/>
      </c>
      <c r="H40" s="111" t="inlineStr">
        <is>
          <t>5 / 5</t>
        </is>
      </c>
      <c r="I40" s="11" t="n"/>
      <c r="J40" s="11" t="n"/>
      <c r="K40" s="91">
        <f>COUNTIFS(Stories!$T$4:$T$33,1,Stories!$D$4:$D$33,5)</f>
        <v/>
      </c>
      <c r="L40" s="93">
        <f>IF(Lists!$H$6=0,0,K40/Lists!$H$6)</f>
        <v/>
      </c>
      <c r="N40" s="112" t="inlineStr">
        <is>
          <t>To review</t>
        </is>
      </c>
      <c r="O40" s="113" t="n"/>
      <c r="P40" s="113" t="n"/>
      <c r="Q40" s="91">
        <f>COUNTIFS(Stories!$T$4:$T$33,1,Stories!$F$4:$F$33,"To review")</f>
        <v/>
      </c>
      <c r="R40" s="93">
        <f>IF(Lists!$H$6=0,0,Q40/Lists!$H$6)</f>
        <v/>
      </c>
    </row>
    <row r="41" ht="18" customHeight="1">
      <c r="B41" s="114" t="inlineStr">
        <is>
          <t>News brief</t>
        </is>
      </c>
      <c r="C41" s="11" t="n"/>
      <c r="D41" s="11" t="n"/>
      <c r="E41" s="91">
        <f>SUMPRODUCT(Stories!$T$4:$T$33,--(Stories!$E$4:$E$33=$B41))</f>
        <v/>
      </c>
      <c r="F41" s="93">
        <f>IF(Lists!$H$6=0,0,E41/Lists!$H$6)</f>
        <v/>
      </c>
      <c r="H41" s="115" t="inlineStr">
        <is>
          <t>4 / 5</t>
        </is>
      </c>
      <c r="I41" s="11" t="n"/>
      <c r="J41" s="11" t="n"/>
      <c r="K41" s="91">
        <f>COUNTIFS(Stories!$T$4:$T$33,1,Stories!$D$4:$D$33,4)</f>
        <v/>
      </c>
      <c r="L41" s="93">
        <f>IF(Lists!$H$6=0,0,K41/Lists!$H$6)</f>
        <v/>
      </c>
      <c r="N41" s="116" t="inlineStr">
        <is>
          <t>Shortlisted</t>
        </is>
      </c>
      <c r="O41" s="117" t="n"/>
      <c r="P41" s="117" t="n"/>
      <c r="Q41" s="91">
        <f>COUNTIFS(Stories!$T$4:$T$33,1,Stories!$F$4:$F$33,"Shortlisted")</f>
        <v/>
      </c>
      <c r="R41" s="93">
        <f>IF(Lists!$H$6=0,0,Q41/Lists!$H$6)</f>
        <v/>
      </c>
    </row>
    <row r="42" ht="18" customHeight="1">
      <c r="B42" s="118" t="inlineStr">
        <is>
          <t>Academia-to-Industry topic</t>
        </is>
      </c>
      <c r="C42" s="11" t="n"/>
      <c r="D42" s="11" t="n"/>
      <c r="E42" s="91">
        <f>SUMPRODUCT(Stories!$T$4:$T$33,--(Stories!$E$4:$E$33=$B42))</f>
        <v/>
      </c>
      <c r="F42" s="93">
        <f>IF(Lists!$H$6=0,0,E42/Lists!$H$6)</f>
        <v/>
      </c>
      <c r="H42" s="119" t="inlineStr">
        <is>
          <t>3 / 5</t>
        </is>
      </c>
      <c r="I42" s="11" t="n"/>
      <c r="J42" s="11" t="n"/>
      <c r="K42" s="91">
        <f>COUNTIFS(Stories!$T$4:$T$33,1,Stories!$D$4:$D$33,3)</f>
        <v/>
      </c>
      <c r="L42" s="93">
        <f>IF(Lists!$H$6=0,0,K42/Lists!$H$6)</f>
        <v/>
      </c>
      <c r="N42" s="120" t="inlineStr">
        <is>
          <t>Commissioned</t>
        </is>
      </c>
      <c r="O42" s="121" t="n"/>
      <c r="P42" s="121" t="n"/>
      <c r="Q42" s="91">
        <f>COUNTIFS(Stories!$T$4:$T$33,1,Stories!$F$4:$F$33,"Commissioned")</f>
        <v/>
      </c>
      <c r="R42" s="93">
        <f>IF(Lists!$H$6=0,0,Q42/Lists!$H$6)</f>
        <v/>
      </c>
    </row>
    <row r="43" ht="18" customHeight="1">
      <c r="B43" s="122" t="inlineStr">
        <is>
          <t>Regional insight</t>
        </is>
      </c>
      <c r="C43" s="11" t="n"/>
      <c r="D43" s="11" t="n"/>
      <c r="E43" s="91">
        <f>SUMPRODUCT(Stories!$T$4:$T$33,--(Stories!$E$4:$E$33=$B43))</f>
        <v/>
      </c>
      <c r="F43" s="93">
        <f>IF(Lists!$H$6=0,0,E43/Lists!$H$6)</f>
        <v/>
      </c>
      <c r="N43" s="123" t="inlineStr">
        <is>
          <t>Published</t>
        </is>
      </c>
      <c r="O43" s="124" t="n"/>
      <c r="P43" s="124" t="n"/>
      <c r="Q43" s="91">
        <f>COUNTIFS(Stories!$T$4:$T$33,1,Stories!$F$4:$F$33,"Published")</f>
        <v/>
      </c>
      <c r="R43" s="93">
        <f>IF(Lists!$H$6=0,0,Q43/Lists!$H$6)</f>
        <v/>
      </c>
    </row>
    <row r="44" ht="18" customHeight="1">
      <c r="B44" s="125" t="inlineStr">
        <is>
          <t>Watch only</t>
        </is>
      </c>
      <c r="C44" s="11" t="n"/>
      <c r="D44" s="11" t="n"/>
      <c r="E44" s="91">
        <f>SUMPRODUCT(Stories!$T$4:$T$33,--(Stories!$E$4:$E$33=$B44))</f>
        <v/>
      </c>
      <c r="F44" s="93">
        <f>IF(Lists!$H$6=0,0,E44/Lists!$H$6)</f>
        <v/>
      </c>
      <c r="N44" s="126" t="inlineStr">
        <is>
          <t>Not used</t>
        </is>
      </c>
      <c r="O44" s="127" t="n"/>
      <c r="P44" s="127" t="n"/>
      <c r="Q44" s="91">
        <f>COUNTIFS(Stories!$T$4:$T$33,1,Stories!$F$4:$F$33,"Not used")</f>
        <v/>
      </c>
      <c r="R44" s="93">
        <f>IF(Lists!$H$6=0,0,Q44/Lists!$H$6)</f>
        <v/>
      </c>
    </row>
    <row r="45"/>
    <row r="46"/>
    <row r="47"/>
    <row r="48"/>
    <row r="49"/>
    <row r="50"/>
    <row r="51"/>
    <row r="52"/>
    <row r="53"/>
    <row r="54"/>
    <row r="55"/>
    <row r="56"/>
    <row r="57"/>
    <row r="58"/>
    <row r="59" ht="22" customHeight="1">
      <c r="B59" s="7" t="inlineStr">
        <is>
          <t>Theme × suggested use (heat map for this selection)</t>
        </is>
      </c>
      <c r="C59" s="8" t="n"/>
      <c r="D59" s="8" t="n"/>
      <c r="E59" s="8" t="n"/>
      <c r="F59" s="8" t="n"/>
      <c r="G59" s="8" t="n"/>
      <c r="H59" s="8" t="n"/>
      <c r="I59" s="8" t="n"/>
      <c r="J59" s="8" t="n"/>
      <c r="K59" s="8" t="n"/>
    </row>
    <row r="60" ht="42" customHeight="1">
      <c r="B60" s="69" t="inlineStr">
        <is>
          <t>Theme</t>
        </is>
      </c>
      <c r="C60" s="1" t="n"/>
      <c r="D60" s="1" t="n"/>
      <c r="E60" s="1" t="n"/>
      <c r="F60" s="68" t="inlineStr">
        <is>
          <t>Feature lead</t>
        </is>
      </c>
      <c r="G60" s="68" t="inlineStr">
        <is>
          <t>News brief</t>
        </is>
      </c>
      <c r="H60" s="68" t="inlineStr">
        <is>
          <t>Academia-to-Industry topic</t>
        </is>
      </c>
      <c r="I60" s="68" t="inlineStr">
        <is>
          <t>Regional insight</t>
        </is>
      </c>
      <c r="J60" s="68" t="inlineStr">
        <is>
          <t>Watch only</t>
        </is>
      </c>
      <c r="K60" s="68" t="inlineStr">
        <is>
          <t>Total</t>
        </is>
      </c>
    </row>
    <row r="61" ht="18" customHeight="1">
      <c r="B61" s="128" t="inlineStr">
        <is>
          <t>Sustainability &amp; the Energy Transition</t>
        </is>
      </c>
      <c r="C61" s="129" t="n"/>
      <c r="D61" s="129" t="n"/>
      <c r="E61" s="129" t="n"/>
      <c r="F61" s="130">
        <f>SUMPRODUCT(Stories!$T$4:$T$33,--(Stories!$C$4:$C$33=$B61),--(Stories!$E$4:$E$33=F$60))</f>
        <v/>
      </c>
      <c r="G61" s="130">
        <f>SUMPRODUCT(Stories!$T$4:$T$33,--(Stories!$C$4:$C$33=$B61),--(Stories!$E$4:$E$33=G$60))</f>
        <v/>
      </c>
      <c r="H61" s="130">
        <f>SUMPRODUCT(Stories!$T$4:$T$33,--(Stories!$C$4:$C$33=$B61),--(Stories!$E$4:$E$33=H$60))</f>
        <v/>
      </c>
      <c r="I61" s="130">
        <f>SUMPRODUCT(Stories!$T$4:$T$33,--(Stories!$C$4:$C$33=$B61),--(Stories!$E$4:$E$33=I$60))</f>
        <v/>
      </c>
      <c r="J61" s="130">
        <f>SUMPRODUCT(Stories!$T$4:$T$33,--(Stories!$C$4:$C$33=$B61),--(Stories!$E$4:$E$33=J$60))</f>
        <v/>
      </c>
      <c r="K61" s="91">
        <f>SUM(F61:J61)</f>
        <v/>
      </c>
    </row>
    <row r="62" ht="18" customHeight="1">
      <c r="B62" s="131" t="inlineStr">
        <is>
          <t>Digital Geotechnics</t>
        </is>
      </c>
      <c r="C62" s="132" t="n"/>
      <c r="D62" s="132" t="n"/>
      <c r="E62" s="132" t="n"/>
      <c r="F62" s="130">
        <f>SUMPRODUCT(Stories!$T$4:$T$33,--(Stories!$C$4:$C$33=$B62),--(Stories!$E$4:$E$33=F$60))</f>
        <v/>
      </c>
      <c r="G62" s="130">
        <f>SUMPRODUCT(Stories!$T$4:$T$33,--(Stories!$C$4:$C$33=$B62),--(Stories!$E$4:$E$33=G$60))</f>
        <v/>
      </c>
      <c r="H62" s="130">
        <f>SUMPRODUCT(Stories!$T$4:$T$33,--(Stories!$C$4:$C$33=$B62),--(Stories!$E$4:$E$33=H$60))</f>
        <v/>
      </c>
      <c r="I62" s="130">
        <f>SUMPRODUCT(Stories!$T$4:$T$33,--(Stories!$C$4:$C$33=$B62),--(Stories!$E$4:$E$33=I$60))</f>
        <v/>
      </c>
      <c r="J62" s="130">
        <f>SUMPRODUCT(Stories!$T$4:$T$33,--(Stories!$C$4:$C$33=$B62),--(Stories!$E$4:$E$33=J$60))</f>
        <v/>
      </c>
      <c r="K62" s="91">
        <f>SUM(F62:J62)</f>
        <v/>
      </c>
    </row>
    <row r="63" ht="18" customHeight="1">
      <c r="B63" s="133" t="inlineStr">
        <is>
          <t>Hazards &amp; Resilience</t>
        </is>
      </c>
      <c r="C63" s="134" t="n"/>
      <c r="D63" s="134" t="n"/>
      <c r="E63" s="134" t="n"/>
      <c r="F63" s="130">
        <f>SUMPRODUCT(Stories!$T$4:$T$33,--(Stories!$C$4:$C$33=$B63),--(Stories!$E$4:$E$33=F$60))</f>
        <v/>
      </c>
      <c r="G63" s="130">
        <f>SUMPRODUCT(Stories!$T$4:$T$33,--(Stories!$C$4:$C$33=$B63),--(Stories!$E$4:$E$33=G$60))</f>
        <v/>
      </c>
      <c r="H63" s="130">
        <f>SUMPRODUCT(Stories!$T$4:$T$33,--(Stories!$C$4:$C$33=$B63),--(Stories!$E$4:$E$33=H$60))</f>
        <v/>
      </c>
      <c r="I63" s="130">
        <f>SUMPRODUCT(Stories!$T$4:$T$33,--(Stories!$C$4:$C$33=$B63),--(Stories!$E$4:$E$33=I$60))</f>
        <v/>
      </c>
      <c r="J63" s="130">
        <f>SUMPRODUCT(Stories!$T$4:$T$33,--(Stories!$C$4:$C$33=$B63),--(Stories!$E$4:$E$33=J$60))</f>
        <v/>
      </c>
      <c r="K63" s="91">
        <f>SUM(F63:J63)</f>
        <v/>
      </c>
    </row>
    <row r="64" ht="18" customHeight="1">
      <c r="B64" s="135" t="inlineStr">
        <is>
          <t>Ground Improvement &amp; Innovation</t>
        </is>
      </c>
      <c r="C64" s="136" t="n"/>
      <c r="D64" s="136" t="n"/>
      <c r="E64" s="136" t="n"/>
      <c r="F64" s="130">
        <f>SUMPRODUCT(Stories!$T$4:$T$33,--(Stories!$C$4:$C$33=$B64),--(Stories!$E$4:$E$33=F$60))</f>
        <v/>
      </c>
      <c r="G64" s="130">
        <f>SUMPRODUCT(Stories!$T$4:$T$33,--(Stories!$C$4:$C$33=$B64),--(Stories!$E$4:$E$33=G$60))</f>
        <v/>
      </c>
      <c r="H64" s="130">
        <f>SUMPRODUCT(Stories!$T$4:$T$33,--(Stories!$C$4:$C$33=$B64),--(Stories!$E$4:$E$33=H$60))</f>
        <v/>
      </c>
      <c r="I64" s="130">
        <f>SUMPRODUCT(Stories!$T$4:$T$33,--(Stories!$C$4:$C$33=$B64),--(Stories!$E$4:$E$33=I$60))</f>
        <v/>
      </c>
      <c r="J64" s="130">
        <f>SUMPRODUCT(Stories!$T$4:$T$33,--(Stories!$C$4:$C$33=$B64),--(Stories!$E$4:$E$33=J$60))</f>
        <v/>
      </c>
      <c r="K64" s="91">
        <f>SUM(F64:J64)</f>
        <v/>
      </c>
    </row>
    <row r="65" ht="18" customHeight="1">
      <c r="B65" s="137" t="inlineStr">
        <is>
          <t>Infrastructure &amp; the Underground City</t>
        </is>
      </c>
      <c r="C65" s="138" t="n"/>
      <c r="D65" s="138" t="n"/>
      <c r="E65" s="138" t="n"/>
      <c r="F65" s="130">
        <f>SUMPRODUCT(Stories!$T$4:$T$33,--(Stories!$C$4:$C$33=$B65),--(Stories!$E$4:$E$33=F$60))</f>
        <v/>
      </c>
      <c r="G65" s="130">
        <f>SUMPRODUCT(Stories!$T$4:$T$33,--(Stories!$C$4:$C$33=$B65),--(Stories!$E$4:$E$33=G$60))</f>
        <v/>
      </c>
      <c r="H65" s="130">
        <f>SUMPRODUCT(Stories!$T$4:$T$33,--(Stories!$C$4:$C$33=$B65),--(Stories!$E$4:$E$33=H$60))</f>
        <v/>
      </c>
      <c r="I65" s="130">
        <f>SUMPRODUCT(Stories!$T$4:$T$33,--(Stories!$C$4:$C$33=$B65),--(Stories!$E$4:$E$33=I$60))</f>
        <v/>
      </c>
      <c r="J65" s="130">
        <f>SUMPRODUCT(Stories!$T$4:$T$33,--(Stories!$C$4:$C$33=$B65),--(Stories!$E$4:$E$33=J$60))</f>
        <v/>
      </c>
      <c r="K65" s="91">
        <f>SUM(F65:J65)</f>
        <v/>
      </c>
    </row>
    <row r="66" ht="18" customHeight="1">
      <c r="B66" s="139" t="inlineStr">
        <is>
          <t>Offshore, Coasts &amp; Water</t>
        </is>
      </c>
      <c r="C66" s="140" t="n"/>
      <c r="D66" s="140" t="n"/>
      <c r="E66" s="140" t="n"/>
      <c r="F66" s="130">
        <f>SUMPRODUCT(Stories!$T$4:$T$33,--(Stories!$C$4:$C$33=$B66),--(Stories!$E$4:$E$33=F$60))</f>
        <v/>
      </c>
      <c r="G66" s="130">
        <f>SUMPRODUCT(Stories!$T$4:$T$33,--(Stories!$C$4:$C$33=$B66),--(Stories!$E$4:$E$33=G$60))</f>
        <v/>
      </c>
      <c r="H66" s="130">
        <f>SUMPRODUCT(Stories!$T$4:$T$33,--(Stories!$C$4:$C$33=$B66),--(Stories!$E$4:$E$33=H$60))</f>
        <v/>
      </c>
      <c r="I66" s="130">
        <f>SUMPRODUCT(Stories!$T$4:$T$33,--(Stories!$C$4:$C$33=$B66),--(Stories!$E$4:$E$33=I$60))</f>
        <v/>
      </c>
      <c r="J66" s="130">
        <f>SUMPRODUCT(Stories!$T$4:$T$33,--(Stories!$C$4:$C$33=$B66),--(Stories!$E$4:$E$33=J$60))</f>
        <v/>
      </c>
      <c r="K66" s="91">
        <f>SUM(F66:J66)</f>
        <v/>
      </c>
    </row>
    <row r="67" ht="18" customHeight="1">
      <c r="B67" s="141" t="inlineStr">
        <is>
          <t>Characterisation &amp; Modelling</t>
        </is>
      </c>
      <c r="C67" s="142" t="n"/>
      <c r="D67" s="142" t="n"/>
      <c r="E67" s="142" t="n"/>
      <c r="F67" s="130">
        <f>SUMPRODUCT(Stories!$T$4:$T$33,--(Stories!$C$4:$C$33=$B67),--(Stories!$E$4:$E$33=F$60))</f>
        <v/>
      </c>
      <c r="G67" s="130">
        <f>SUMPRODUCT(Stories!$T$4:$T$33,--(Stories!$C$4:$C$33=$B67),--(Stories!$E$4:$E$33=G$60))</f>
        <v/>
      </c>
      <c r="H67" s="130">
        <f>SUMPRODUCT(Stories!$T$4:$T$33,--(Stories!$C$4:$C$33=$B67),--(Stories!$E$4:$E$33=H$60))</f>
        <v/>
      </c>
      <c r="I67" s="130">
        <f>SUMPRODUCT(Stories!$T$4:$T$33,--(Stories!$C$4:$C$33=$B67),--(Stories!$E$4:$E$33=I$60))</f>
        <v/>
      </c>
      <c r="J67" s="130">
        <f>SUMPRODUCT(Stories!$T$4:$T$33,--(Stories!$C$4:$C$33=$B67),--(Stories!$E$4:$E$33=J$60))</f>
        <v/>
      </c>
      <c r="K67" s="91">
        <f>SUM(F67:J67)</f>
        <v/>
      </c>
    </row>
    <row r="68" ht="18" customHeight="1">
      <c r="B68" s="143" t="inlineStr">
        <is>
          <t>Geotechnics &amp; Society</t>
        </is>
      </c>
      <c r="C68" s="144" t="n"/>
      <c r="D68" s="144" t="n"/>
      <c r="E68" s="144" t="n"/>
      <c r="F68" s="130">
        <f>SUMPRODUCT(Stories!$T$4:$T$33,--(Stories!$C$4:$C$33=$B68),--(Stories!$E$4:$E$33=F$60))</f>
        <v/>
      </c>
      <c r="G68" s="130">
        <f>SUMPRODUCT(Stories!$T$4:$T$33,--(Stories!$C$4:$C$33=$B68),--(Stories!$E$4:$E$33=G$60))</f>
        <v/>
      </c>
      <c r="H68" s="130">
        <f>SUMPRODUCT(Stories!$T$4:$T$33,--(Stories!$C$4:$C$33=$B68),--(Stories!$E$4:$E$33=H$60))</f>
        <v/>
      </c>
      <c r="I68" s="130">
        <f>SUMPRODUCT(Stories!$T$4:$T$33,--(Stories!$C$4:$C$33=$B68),--(Stories!$E$4:$E$33=I$60))</f>
        <v/>
      </c>
      <c r="J68" s="130">
        <f>SUMPRODUCT(Stories!$T$4:$T$33,--(Stories!$C$4:$C$33=$B68),--(Stories!$E$4:$E$33=J$60))</f>
        <v/>
      </c>
      <c r="K68" s="91">
        <f>SUM(F68:J68)</f>
        <v/>
      </c>
    </row>
    <row r="69" ht="18" customHeight="1">
      <c r="B69" s="145" t="inlineStr">
        <is>
          <t>General</t>
        </is>
      </c>
      <c r="C69" s="146" t="n"/>
      <c r="D69" s="146" t="n"/>
      <c r="E69" s="146" t="n"/>
      <c r="F69" s="130">
        <f>SUMPRODUCT(Stories!$T$4:$T$33,--(Stories!$C$4:$C$33=$B69),--(Stories!$E$4:$E$33=F$60))</f>
        <v/>
      </c>
      <c r="G69" s="130">
        <f>SUMPRODUCT(Stories!$T$4:$T$33,--(Stories!$C$4:$C$33=$B69),--(Stories!$E$4:$E$33=G$60))</f>
        <v/>
      </c>
      <c r="H69" s="130">
        <f>SUMPRODUCT(Stories!$T$4:$T$33,--(Stories!$C$4:$C$33=$B69),--(Stories!$E$4:$E$33=H$60))</f>
        <v/>
      </c>
      <c r="I69" s="130">
        <f>SUMPRODUCT(Stories!$T$4:$T$33,--(Stories!$C$4:$C$33=$B69),--(Stories!$E$4:$E$33=I$60))</f>
        <v/>
      </c>
      <c r="J69" s="130">
        <f>SUMPRODUCT(Stories!$T$4:$T$33,--(Stories!$C$4:$C$33=$B69),--(Stories!$E$4:$E$33=J$60))</f>
        <v/>
      </c>
      <c r="K69" s="91">
        <f>SUM(F69:J69)</f>
        <v/>
      </c>
    </row>
    <row r="70"/>
    <row r="71"/>
    <row r="72" ht="22" customHeight="1">
      <c r="B72" s="7" t="inlineStr">
        <is>
          <t>Stories per issue window</t>
        </is>
      </c>
      <c r="C72" s="8" t="n"/>
      <c r="D72" s="8" t="n"/>
      <c r="E72" s="8" t="n"/>
      <c r="F72" s="8" t="n"/>
      <c r="G72" s="8" t="n"/>
      <c r="H72" s="8" t="n"/>
      <c r="I72" s="8" t="n"/>
      <c r="J72" s="8" t="n"/>
      <c r="K72" s="8" t="n"/>
      <c r="L72" s="8" t="n"/>
      <c r="M72" s="8" t="n"/>
      <c r="N72" s="8" t="n"/>
      <c r="O72" s="8" t="n"/>
      <c r="P72" s="8" t="n"/>
      <c r="Q72" s="8" t="n"/>
      <c r="R72" s="8" t="n"/>
      <c r="S72" s="8" t="n"/>
    </row>
    <row r="73" ht="28" customHeight="1">
      <c r="B73" s="69" t="inlineStr">
        <is>
          <t>Issue window</t>
        </is>
      </c>
      <c r="C73" s="1" t="n"/>
      <c r="D73" s="1" t="n"/>
      <c r="E73" s="1" t="n"/>
      <c r="F73" s="68" t="inlineStr">
        <is>
          <t>All stories</t>
        </is>
      </c>
      <c r="G73" s="68" t="inlineStr">
        <is>
          <t>This selection</t>
        </is>
      </c>
    </row>
    <row r="74" ht="18" customHeight="1">
      <c r="B74" s="147" t="inlineStr">
        <is>
          <t>Q4 2026</t>
        </is>
      </c>
      <c r="C74" s="11" t="n"/>
      <c r="D74" s="11" t="n"/>
      <c r="E74" s="11" t="n"/>
      <c r="F74" s="148" t="n">
        <v>30</v>
      </c>
      <c r="G74" s="91">
        <f>COUNTIFS(Stories!$T$4:$T$33,1,Stories!$P$4:$P$33,"2026-Q4")</f>
        <v/>
      </c>
    </row>
    <row r="75"/>
    <row r="76"/>
    <row r="77"/>
    <row r="78"/>
    <row r="79"/>
    <row r="80"/>
    <row r="81"/>
    <row r="82"/>
    <row r="83"/>
    <row r="84"/>
    <row r="85"/>
  </sheetData>
  <mergeCells count="112">
    <mergeCell ref="B42:D42"/>
    <mergeCell ref="N20:O20"/>
    <mergeCell ref="B65:E65"/>
    <mergeCell ref="P20:Q20"/>
    <mergeCell ref="N42:P42"/>
    <mergeCell ref="G4:J4"/>
    <mergeCell ref="B74:E74"/>
    <mergeCell ref="B68:E68"/>
    <mergeCell ref="B44:D44"/>
    <mergeCell ref="B1:S1"/>
    <mergeCell ref="N22:O22"/>
    <mergeCell ref="B36:E36"/>
    <mergeCell ref="P22:Q22"/>
    <mergeCell ref="N44:P44"/>
    <mergeCell ref="N9:P9"/>
    <mergeCell ref="N14:O14"/>
    <mergeCell ref="B31:E31"/>
    <mergeCell ref="K10:M10"/>
    <mergeCell ref="C13:H13"/>
    <mergeCell ref="N4:P4"/>
    <mergeCell ref="P13:Q13"/>
    <mergeCell ref="C15:H15"/>
    <mergeCell ref="N15:O15"/>
    <mergeCell ref="K9:M9"/>
    <mergeCell ref="K5:M5"/>
    <mergeCell ref="J13:L13"/>
    <mergeCell ref="P15:Q15"/>
    <mergeCell ref="B69:E69"/>
    <mergeCell ref="H40:J40"/>
    <mergeCell ref="B43:D43"/>
    <mergeCell ref="J15:L15"/>
    <mergeCell ref="C16:H16"/>
    <mergeCell ref="B8:D8"/>
    <mergeCell ref="N16:O16"/>
    <mergeCell ref="B64:E64"/>
    <mergeCell ref="B33:E33"/>
    <mergeCell ref="N8:P8"/>
    <mergeCell ref="B32:E32"/>
    <mergeCell ref="B10:D10"/>
    <mergeCell ref="B63:E63"/>
    <mergeCell ref="K8:M8"/>
    <mergeCell ref="J16:L16"/>
    <mergeCell ref="B35:E35"/>
    <mergeCell ref="N10:P10"/>
    <mergeCell ref="B9:D9"/>
    <mergeCell ref="B66:E66"/>
    <mergeCell ref="B6:S6"/>
    <mergeCell ref="B27:E27"/>
    <mergeCell ref="C19:H19"/>
    <mergeCell ref="H42:J42"/>
    <mergeCell ref="K4:M4"/>
    <mergeCell ref="N13:O13"/>
    <mergeCell ref="B67:E67"/>
    <mergeCell ref="B61:E61"/>
    <mergeCell ref="J14:L14"/>
    <mergeCell ref="C14:H14"/>
    <mergeCell ref="E8:G8"/>
    <mergeCell ref="B5:F5"/>
    <mergeCell ref="B29:E29"/>
    <mergeCell ref="P14:Q14"/>
    <mergeCell ref="Q8:S8"/>
    <mergeCell ref="B39:D39"/>
    <mergeCell ref="B4:F4"/>
    <mergeCell ref="E10:G10"/>
    <mergeCell ref="B2:S2"/>
    <mergeCell ref="Q10:S10"/>
    <mergeCell ref="E9:G9"/>
    <mergeCell ref="N40:P40"/>
    <mergeCell ref="N18:O18"/>
    <mergeCell ref="C17:H17"/>
    <mergeCell ref="N17:O17"/>
    <mergeCell ref="P17:Q17"/>
    <mergeCell ref="J18:L18"/>
    <mergeCell ref="B41:D41"/>
    <mergeCell ref="H8:J8"/>
    <mergeCell ref="Q4:S5"/>
    <mergeCell ref="N19:O19"/>
    <mergeCell ref="J17:L17"/>
    <mergeCell ref="P19:Q19"/>
    <mergeCell ref="B60:E60"/>
    <mergeCell ref="H10:J10"/>
    <mergeCell ref="J19:L19"/>
    <mergeCell ref="H9:J9"/>
    <mergeCell ref="C20:H20"/>
    <mergeCell ref="B34:E34"/>
    <mergeCell ref="B28:E28"/>
    <mergeCell ref="H39:J39"/>
    <mergeCell ref="C22:H22"/>
    <mergeCell ref="B30:E30"/>
    <mergeCell ref="N5:P5"/>
    <mergeCell ref="N39:P39"/>
    <mergeCell ref="J20:L20"/>
    <mergeCell ref="C21:H21"/>
    <mergeCell ref="N21:O21"/>
    <mergeCell ref="P21:Q21"/>
    <mergeCell ref="J22:L22"/>
    <mergeCell ref="Q9:S9"/>
    <mergeCell ref="B62:E62"/>
    <mergeCell ref="C23:H23"/>
    <mergeCell ref="B40:D40"/>
    <mergeCell ref="N23:O23"/>
    <mergeCell ref="J21:L21"/>
    <mergeCell ref="P23:Q23"/>
    <mergeCell ref="P16:Q16"/>
    <mergeCell ref="J23:L23"/>
    <mergeCell ref="C18:H18"/>
    <mergeCell ref="P18:Q18"/>
    <mergeCell ref="N41:P41"/>
    <mergeCell ref="B73:E73"/>
    <mergeCell ref="H41:J41"/>
    <mergeCell ref="N43:P43"/>
    <mergeCell ref="G5:J5"/>
  </mergeCells>
  <conditionalFormatting sqref="J14:J23">
    <cfRule type="expression" priority="1" dxfId="0">
      <formula>$J14=Lists!$A$3</formula>
    </cfRule>
    <cfRule type="expression" priority="2" dxfId="1">
      <formula>$J14=Lists!$A$4</formula>
    </cfRule>
    <cfRule type="expression" priority="3" dxfId="2">
      <formula>$J14=Lists!$A$5</formula>
    </cfRule>
    <cfRule type="expression" priority="4" dxfId="3">
      <formula>$J14=Lists!$A$6</formula>
    </cfRule>
    <cfRule type="expression" priority="5" dxfId="4">
      <formula>$J14=Lists!$A$7</formula>
    </cfRule>
    <cfRule type="expression" priority="6" dxfId="5">
      <formula>$J14=Lists!$A$8</formula>
    </cfRule>
    <cfRule type="expression" priority="7" dxfId="6">
      <formula>$J14=Lists!$A$9</formula>
    </cfRule>
    <cfRule type="expression" priority="8" dxfId="7">
      <formula>$J14=Lists!$A$10</formula>
    </cfRule>
    <cfRule type="expression" priority="9" dxfId="8">
      <formula>$J14=Lists!$A$11</formula>
    </cfRule>
  </conditionalFormatting>
  <conditionalFormatting sqref="C14:C23">
    <cfRule type="expression" priority="10" dxfId="9">
      <formula>Lists!$O2&lt;&gt;""</formula>
    </cfRule>
  </conditionalFormatting>
  <conditionalFormatting sqref="M14:M23">
    <cfRule type="cellIs" priority="11" operator="equal" dxfId="10">
      <formula>5</formula>
    </cfRule>
    <cfRule type="cellIs" priority="12" operator="equal" dxfId="11">
      <formula>4</formula>
    </cfRule>
    <cfRule type="cellIs" priority="13" operator="equal" dxfId="12">
      <formula>3</formula>
    </cfRule>
    <cfRule type="cellIs" priority="14" operator="equal" dxfId="13">
      <formula>2</formula>
    </cfRule>
    <cfRule type="cellIs" priority="15" operator="equal" dxfId="14">
      <formula>1</formula>
    </cfRule>
    <cfRule type="cellIs" priority="16" operator="equal" dxfId="15">
      <formula>0</formula>
    </cfRule>
  </conditionalFormatting>
  <conditionalFormatting sqref="S14:S23">
    <cfRule type="cellIs" priority="17" operator="equal" dxfId="16">
      <formula>"To review"</formula>
    </cfRule>
    <cfRule type="cellIs" priority="18" operator="equal" dxfId="17">
      <formula>"Shortlisted"</formula>
    </cfRule>
    <cfRule type="cellIs" priority="19" operator="equal" dxfId="18">
      <formula>"Commissioned"</formula>
    </cfRule>
    <cfRule type="cellIs" priority="20" operator="equal" dxfId="19">
      <formula>"Published"</formula>
    </cfRule>
    <cfRule type="cellIs" priority="21" operator="equal" dxfId="20">
      <formula>"Not used"</formula>
    </cfRule>
  </conditionalFormatting>
  <conditionalFormatting sqref="F61:J69">
    <cfRule type="colorScale" priority="22">
      <colorScale>
        <cfvo type="num" val="0"/>
        <cfvo type="percentile" val="50"/>
        <cfvo type="max"/>
        <color rgb="00FFFFFF"/>
        <color rgb="00F6E3A6"/>
        <color rgb="00D38B00"/>
      </colorScale>
    </cfRule>
  </conditionalFormatting>
  <dataValidations count="4">
    <dataValidation sqref="B5" showDropDown="0" showInputMessage="1" showErrorMessage="1" allowBlank="0" errorTitle="Theme" error="Please pick a value from the list." promptTitle="Theme" prompt="Choose one theme, or All themes." type="list">
      <formula1>Lists!$A$2:$A$11</formula1>
    </dataValidation>
    <dataValidation sqref="G5" showDropDown="0" showInputMessage="1" showErrorMessage="1" allowBlank="0" errorTitle="Suggested use" error="Please pick a value from the list." promptTitle="Suggested use" prompt="Choose an editorial use, or All uses." type="list">
      <formula1>Lists!$B$2:$B$7</formula1>
    </dataValidation>
    <dataValidation sqref="K5" showDropDown="0" showInputMessage="1" showErrorMessage="1" allowBlank="0" errorTitle="Minimum relevance" error="Please pick a value from the list." promptTitle="Minimum relevance" prompt="Show stories rated at least 3, 4 or 5 by the AI triage, or Any." type="list">
      <formula1>Lists!$C$2:$C$5</formula1>
    </dataValidation>
    <dataValidation sqref="N5" showDropDown="0" showInputMessage="1" showErrorMessage="1" allowBlank="0" errorTitle="Issue window" error="Please pick a value from the list." promptTitle="Issue window" prompt="Choose one quarterly issue window, or All windows." type="list">
      <formula1>Lists!$D$2:$D$3</formula1>
    </dataValidation>
  </dataValidation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rowBreaks count="2" manualBreakCount="2">
    <brk id="25" min="0" max="16383" man="1"/>
    <brk id="58" min="0" max="16383" man="1"/>
  </rowBreaks>
  <drawing xmlns:r="http://schemas.openxmlformats.org/officeDocument/2006/relationships" r:id="rId1"/>
</worksheet>
</file>

<file path=xl/worksheets/sheet3.xml><?xml version="1.0" encoding="utf-8"?>
<worksheet xmlns="http://schemas.openxmlformats.org/spreadsheetml/2006/main">
  <sheetPr>
    <tabColor rgb="002563D6"/>
    <outlinePr summaryBelow="1" summaryRight="1"/>
    <pageSetUpPr fitToPage="1"/>
  </sheetPr>
  <dimension ref="A1:U33"/>
  <sheetViews>
    <sheetView tabSelected="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1" customWidth="1" min="3" max="3"/>
    <col width="10" customWidth="1" min="4" max="4"/>
    <col width="16" customWidth="1" min="5" max="5"/>
    <col width="14" customWidth="1" min="6" max="6"/>
    <col width="14" customWidth="1" min="7" max="7"/>
    <col width="28" customWidth="1" min="8" max="8"/>
    <col width="40" customWidth="1" min="9" max="9"/>
    <col width="19" customWidth="1" min="10" max="10"/>
    <col width="12" customWidth="1" min="11" max="11"/>
    <col width="38" customWidth="1" min="12" max="12"/>
    <col width="40" customWidth="1" min="13" max="13"/>
    <col width="15" customWidth="1" min="14" max="14"/>
    <col width="12" customWidth="1" min="15" max="15"/>
    <col width="11" customWidth="1" min="16" max="16"/>
    <col width="26" customWidth="1" min="17" max="17"/>
    <col width="9" customWidth="1" min="18" max="18"/>
    <col width="30" customWidth="1" min="19" max="19"/>
    <col width="12" customWidth="1" min="20" max="20"/>
    <col hidden="1" width="12" customWidth="1" min="21" max="21"/>
  </cols>
  <sheetData>
    <row r="1" ht="26" customHeight="1">
      <c r="A1" s="149" t="inlineStr">
        <is>
          <t>Stories · 30 in this workbook</t>
        </is>
      </c>
      <c r="C1" s="150" t="inlineStr">
        <is>
          <t>← Dashboard</t>
        </is>
      </c>
      <c r="D1" s="150" t="inlineStr">
        <is>
          <t>↑ Start here</t>
        </is>
      </c>
      <c r="E1" s="150" t="inlineStr">
        <is>
          <t>By theme →</t>
        </is>
      </c>
    </row>
    <row r="2" ht="16" customHeight="1">
      <c r="C2" s="151" t="inlineStr">
        <is>
          <t>Gold columns are yours: choose a Status from its dropdown, and fill in Assigned to and Editor notes. Use ▼ in the header to filter or sort. ✓ in ‘In Dashboard selection’ (far right) marks the stories the Dashboard is showing.</t>
        </is>
      </c>
    </row>
    <row r="3" ht="32" customHeight="1">
      <c r="A3" s="152" t="inlineStr">
        <is>
          <t>No.</t>
        </is>
      </c>
      <c r="B3" s="153" t="inlineStr">
        <is>
          <t>Headline (English)</t>
        </is>
      </c>
      <c r="C3" s="153" t="inlineStr">
        <is>
          <t>Theme</t>
        </is>
      </c>
      <c r="D3" s="152" t="inlineStr">
        <is>
          <t>Relevance</t>
        </is>
      </c>
      <c r="E3" s="153" t="inlineStr">
        <is>
          <t>Suggested use</t>
        </is>
      </c>
      <c r="F3" s="154" t="inlineStr">
        <is>
          <t>Status</t>
        </is>
      </c>
      <c r="G3" s="154" t="inlineStr">
        <is>
          <t>Assigned to</t>
        </is>
      </c>
      <c r="H3" s="154" t="inlineStr">
        <is>
          <t>Editor notes</t>
        </is>
      </c>
      <c r="I3" s="153" t="inlineStr">
        <is>
          <t>Magazine angle</t>
        </is>
      </c>
      <c r="J3" s="153" t="inlineStr">
        <is>
          <t>Source</t>
        </is>
      </c>
      <c r="K3" s="152" t="inlineStr">
        <is>
          <t>Digest date</t>
        </is>
      </c>
      <c r="L3" s="153" t="inlineStr">
        <is>
          <t>Original headline</t>
        </is>
      </c>
      <c r="M3" s="153" t="inlineStr">
        <is>
          <t>Summary</t>
        </is>
      </c>
      <c r="N3" s="153" t="inlineStr">
        <is>
          <t>Google News edition</t>
        </is>
      </c>
      <c r="O3" s="152" t="inlineStr">
        <is>
          <t>Published</t>
        </is>
      </c>
      <c r="P3" s="152" t="inlineStr">
        <is>
          <t>Issue window</t>
        </is>
      </c>
      <c r="Q3" s="153" t="inlineStr">
        <is>
          <t>Keywords</t>
        </is>
      </c>
      <c r="R3" s="152" t="inlineStr">
        <is>
          <t>Keyword score</t>
        </is>
      </c>
      <c r="S3" s="153" t="inlineStr">
        <is>
          <t>Article URL</t>
        </is>
      </c>
      <c r="T3" s="152" t="inlineStr">
        <is>
          <t>In Dashboard selection</t>
        </is>
      </c>
      <c r="U3" s="152" t="inlineStr">
        <is>
          <t>Top-10 key (helper)</t>
        </is>
      </c>
    </row>
    <row r="4" ht="53" customHeight="1">
      <c r="A4" s="155" t="n">
        <v>1</v>
      </c>
      <c r="B4" s="156" t="inlineStr">
        <is>
          <t>Automatic segmentation of rock mass fracture networks from UAV imagery using cross-domain transfer learning under scarce labels.</t>
        </is>
      </c>
      <c r="C4" s="157" t="inlineStr">
        <is>
          <t>Digital Geotechnics</t>
        </is>
      </c>
      <c r="D4" s="158" t="n">
        <v>5</v>
      </c>
      <c r="E4" s="159" t="inlineStr">
        <is>
          <t>Academia-to-Industry topic</t>
        </is>
      </c>
      <c r="F4" s="160" t="inlineStr">
        <is>
          <t>To review</t>
        </is>
      </c>
      <c r="G4" s="161" t="n"/>
      <c r="H4" s="162" t="n"/>
      <c r="I4" s="163" t="inlineStr">
        <is>
          <t>Can transfer learning from related image domains reliably segment rock fracture networks in UAV imagery when labelled data are scarce, and how accurate are the results?</t>
        </is>
      </c>
      <c r="J4" s="163" t="inlineStr">
        <is>
          <t>生物通</t>
        </is>
      </c>
      <c r="K4" s="164" t="n">
        <v>46319</v>
      </c>
      <c r="L4" s="163" t="inlineStr">
        <is>
          <t>标签稀缺条件下基于跨域迁移学习的无人机岩体裂隙网络自动分割方法</t>
        </is>
      </c>
      <c r="M4" s="165" t="n"/>
      <c r="N4" s="166" t="inlineStr">
        <is>
          <t>China</t>
        </is>
      </c>
      <c r="O4" s="164" t="n">
        <v>46318</v>
      </c>
      <c r="P4" s="167" t="inlineStr">
        <is>
          <t>2026-Q4</t>
        </is>
      </c>
      <c r="Q4" s="168" t="n"/>
      <c r="R4" s="155" t="n">
        <v>0</v>
      </c>
      <c r="S4" s="169" t="inlineStr">
        <is>
          <t>https://news.google.com/rss/articles/CBMibkFVX3lxTE8wdVhYVXYyQ3RwMHAtOTNnUkh5TnhCcEtVem9XenhDMFo2UVFHbWtIaGIzVHhLb1BFQmd2akRLZkFMd1pQNWJDRElESUY1SUdvLWFfd1ZaUW5tZ0ZFcmIxckZxbXg1Z1RrbXI5V0Zn?oc=5</t>
        </is>
      </c>
      <c r="T4" s="170">
        <f>IF($B4="",0,IF(AND(OR(OR(Dashboard!$B$5="All themes",Dashboard!$B$5=""),$C4=Dashboard!$B$5),OR(OR(Dashboard!$G$5="All uses",Dashboard!$G$5=""),$E4=Dashboard!$G$5),N($D4)&gt;=Lists!$H$2,OR(OR(Dashboard!$N$5="All windows",Dashboard!$N$5=""),$P4=Dashboard!$N$5)),1,0))</f>
        <v/>
      </c>
      <c r="U4" s="171">
        <f>IF($T4=1,N($D4)*1E14+MIN(MAX(N($R4),0),9999)*1E10+MIN(N($K4),99999)*1E5+99999-MIN(ROW(),99999),"")</f>
        <v/>
      </c>
    </row>
    <row r="5" ht="53" customHeight="1">
      <c r="A5" s="155" t="n">
        <v>2</v>
      </c>
      <c r="B5" s="156" t="inlineStr">
        <is>
          <t>Landslide-prevention embankment threatens residential area</t>
        </is>
      </c>
      <c r="C5" s="172" t="inlineStr">
        <is>
          <t>Hazards &amp; Resilience</t>
        </is>
      </c>
      <c r="D5" s="158" t="n">
        <v>4</v>
      </c>
      <c r="E5" s="173" t="inlineStr">
        <is>
          <t>Feature lead</t>
        </is>
      </c>
      <c r="F5" s="160" t="inlineStr">
        <is>
          <t>To review</t>
        </is>
      </c>
      <c r="G5" s="161" t="n"/>
      <c r="H5" s="162" t="n"/>
      <c r="I5" s="163" t="inlineStr">
        <is>
          <t>Can retaining and protective embankments be designed to resist landslide loading from upslope slopes beside settlements, and how should such risk be assessed?</t>
        </is>
      </c>
      <c r="J5" s="163" t="inlineStr">
        <is>
          <t>Vietnam.vn</t>
        </is>
      </c>
      <c r="K5" s="164" t="n">
        <v>46319</v>
      </c>
      <c r="L5" s="163" t="inlineStr">
        <is>
          <t>Tanggul pencegah tanah longsor 'mengancam' kawasan permukiman.</t>
        </is>
      </c>
      <c r="M5" s="165" t="n"/>
      <c r="N5" s="166" t="inlineStr">
        <is>
          <t>Indonesia</t>
        </is>
      </c>
      <c r="O5" s="164" t="n">
        <v>46318</v>
      </c>
      <c r="P5" s="167" t="inlineStr">
        <is>
          <t>2026-Q4</t>
        </is>
      </c>
      <c r="Q5" s="168" t="inlineStr">
        <is>
          <t>landslide, embankment</t>
        </is>
      </c>
      <c r="R5" s="155" t="n">
        <v>13</v>
      </c>
      <c r="S5" s="169" t="inlineStr">
        <is>
          <t>https://news.google.com/rss/articles/CBMia0FVX3lxTE45UVhrbTdIV2NXaVloOTBleGdWeThGbHNoSTJtMTE3cFlfalpoYVBnUEFoUVRJQUp5Z2pVOEZvaGZzRUtjRWtOMzY3Wll0RHJOUTB6c0JYdGEzOXk2VXltZUFkc3RURDBUYUg4?oc=5</t>
        </is>
      </c>
      <c r="T5" s="170">
        <f>IF($B5="",0,IF(AND(OR(OR(Dashboard!$B$5="All themes",Dashboard!$B$5=""),$C5=Dashboard!$B$5),OR(OR(Dashboard!$G$5="All uses",Dashboard!$G$5=""),$E5=Dashboard!$G$5),N($D5)&gt;=Lists!$H$2,OR(OR(Dashboard!$N$5="All windows",Dashboard!$N$5=""),$P5=Dashboard!$N$5)),1,0))</f>
        <v/>
      </c>
      <c r="U5" s="171">
        <f>IF($T5=1,N($D5)*1E14+MIN(MAX(N($R5),0),9999)*1E10+MIN(N($K5),99999)*1E5+99999-MIN(ROW(),99999),"")</f>
        <v/>
      </c>
    </row>
    <row r="6" ht="53" customHeight="1">
      <c r="A6" s="155" t="n">
        <v>3</v>
      </c>
      <c r="B6" s="156" t="inlineStr">
        <is>
          <t>Storms in Liguria, major landslide in Savona: the collapse destroyed a city road</t>
        </is>
      </c>
      <c r="C6" s="172" t="inlineStr">
        <is>
          <t>Hazards &amp; Resilience</t>
        </is>
      </c>
      <c r="D6" s="158" t="n">
        <v>4</v>
      </c>
      <c r="E6" s="174" t="inlineStr">
        <is>
          <t>News brief</t>
        </is>
      </c>
      <c r="F6" s="160" t="inlineStr">
        <is>
          <t>To review</t>
        </is>
      </c>
      <c r="G6" s="161" t="n"/>
      <c r="H6" s="162" t="n"/>
      <c r="I6" s="163" t="inlineStr">
        <is>
          <t>What triggered this large rock or soil slope failure in Savona during heavy rain, and what does the collapse reveal about slope stability in Liguria?</t>
        </is>
      </c>
      <c r="J6" s="163" t="inlineStr">
        <is>
          <t>agenzia giornalistica opinione</t>
        </is>
      </c>
      <c r="K6" s="164" t="n">
        <v>46319</v>
      </c>
      <c r="L6" s="163" t="inlineStr">
        <is>
          <t>RAINEWS * CRONACA: «MALTEMPO IN LIGURIA, GRANDE FRANA A SAVONA: IL CROLLO HA DISTRUTTO UNA STRADA CITTADINA</t>
        </is>
      </c>
      <c r="M6" s="165" t="n"/>
      <c r="N6" s="166" t="inlineStr">
        <is>
          <t>Italy</t>
        </is>
      </c>
      <c r="O6" s="164" t="n">
        <v>46317</v>
      </c>
      <c r="P6" s="167" t="inlineStr">
        <is>
          <t>2026-Q4</t>
        </is>
      </c>
      <c r="Q6" s="168" t="inlineStr">
        <is>
          <t>landslide, collapse</t>
        </is>
      </c>
      <c r="R6" s="155" t="n">
        <v>11</v>
      </c>
      <c r="S6" s="169" t="inlineStr">
        <is>
          <t>https://news.google.com/rss/articles/CBMi7gFBVV95cUxQTGNab2ZBb3hvUXZRVXBCeDFRX2NqU0ZfeVdFZXgtbm5WZDl4aFd0eUdSYXdjNmotcS1ReUZhM1BBc2hITEpkQlpBTmlabzRycmN1ZkQwLVlDa3NzZWJuZXhnNC1jRXlkV1EybVFoQld3VlRaZ241ZkVMazRlZHB1NWplMjVpaWJtMHA3SHBZaEhhMHU0RE01Mk0taFU1OTBaTmg0U1lFYnI5cjhwaEZPUmd2ZTdTVHpxVjBfNk9mRFREOXNWNXJTM29OTnY3NHd0dGJYNVJoaHc4LWQxaUVOajhsaTdWU3dFbVd0ZUt3?oc=5</t>
        </is>
      </c>
      <c r="T6" s="170">
        <f>IF($B6="",0,IF(AND(OR(OR(Dashboard!$B$5="All themes",Dashboard!$B$5=""),$C6=Dashboard!$B$5),OR(OR(Dashboard!$G$5="All uses",Dashboard!$G$5=""),$E6=Dashboard!$G$5),N($D6)&gt;=Lists!$H$2,OR(OR(Dashboard!$N$5="All windows",Dashboard!$N$5=""),$P6=Dashboard!$N$5)),1,0))</f>
        <v/>
      </c>
      <c r="U6" s="171">
        <f>IF($T6=1,N($D6)*1E14+MIN(MAX(N($R6),0),9999)*1E10+MIN(N($K6),99999)*1E5+99999-MIN(ROW(),99999),"")</f>
        <v/>
      </c>
    </row>
    <row r="7" ht="65.5" customHeight="1">
      <c r="A7" s="155" t="n">
        <v>4</v>
      </c>
      <c r="B7" s="156" t="inlineStr">
        <is>
          <t>At Khanh Le pass, traffic will be interrupted at 30-minute intervals to deal with landslides; road users should plan accordingly</t>
        </is>
      </c>
      <c r="C7" s="172" t="inlineStr">
        <is>
          <t>Hazards &amp; Resilience</t>
        </is>
      </c>
      <c r="D7" s="158" t="n">
        <v>4</v>
      </c>
      <c r="E7" s="173" t="inlineStr">
        <is>
          <t>Feature lead</t>
        </is>
      </c>
      <c r="F7" s="160" t="inlineStr">
        <is>
          <t>To review</t>
        </is>
      </c>
      <c r="G7" s="161" t="n"/>
      <c r="H7" s="162" t="n"/>
      <c r="I7" s="163" t="inlineStr">
        <is>
          <t>How should traffic management and monitoring be combined with slope stabilisation on mountain passes subject to recurrent landslides?</t>
        </is>
      </c>
      <c r="J7" s="163" t="inlineStr">
        <is>
          <t>Vietnam.vn</t>
        </is>
      </c>
      <c r="K7" s="164" t="n">
        <v>46319</v>
      </c>
      <c r="L7" s="163" t="inlineStr">
        <is>
          <t>En el paso de Khanh Le, el tráfico se interrumpirá a intervalos de 30 minutos para hacer frente a los deslizamientos de tierra; los usuarios de la carretera deben tenerlo en cuenta.</t>
        </is>
      </c>
      <c r="M7" s="165" t="n"/>
      <c r="N7" s="166" t="inlineStr">
        <is>
          <t>Spain</t>
        </is>
      </c>
      <c r="O7" s="164" t="n">
        <v>46319</v>
      </c>
      <c r="P7" s="167" t="inlineStr">
        <is>
          <t>2026-Q4</t>
        </is>
      </c>
      <c r="Q7" s="168" t="inlineStr">
        <is>
          <t>landslide</t>
        </is>
      </c>
      <c r="R7" s="155" t="n">
        <v>10</v>
      </c>
      <c r="S7" s="169" t="inlineStr">
        <is>
          <t>https://news.google.com/rss/articles/CBMiogFBVV95cUxQNGhpZmtjSDF5eDFZZEJXaTdIZWo2QVZTRDVlc3E0T2pvQ2tRaURBcHpRUk5hSmFDNjNuaGV5X1pHeVdqc2RjR1dOQVhPc2tUUVRmb2RiWnB0dWNDcU96QUxGcVg1dmNxRlpfdTNmT0Z5ZG4wSXNTSmR5OUY4ZmRZcW9kNmRHS0ZaVUxyMW9ySU5TSWJlNzJCWWJaZGlrRHd1a2c?oc=5</t>
        </is>
      </c>
      <c r="T7" s="170">
        <f>IF($B7="",0,IF(AND(OR(OR(Dashboard!$B$5="All themes",Dashboard!$B$5=""),$C7=Dashboard!$B$5),OR(OR(Dashboard!$G$5="All uses",Dashboard!$G$5=""),$E7=Dashboard!$G$5),N($D7)&gt;=Lists!$H$2,OR(OR(Dashboard!$N$5="All windows",Dashboard!$N$5=""),$P7=Dashboard!$N$5)),1,0))</f>
        <v/>
      </c>
      <c r="U7" s="171">
        <f>IF($T7=1,N($D7)*1E14+MIN(MAX(N($R7),0),9999)*1E10+MIN(N($K7),99999)*1E5+99999-MIN(ROW(),99999),"")</f>
        <v/>
      </c>
    </row>
    <row r="8" ht="53" customHeight="1">
      <c r="A8" s="155" t="n">
        <v>5</v>
      </c>
      <c r="B8" s="156" t="inlineStr">
        <is>
          <t>Valmontone, bad weather: tuff slope collapses onto Prenestina road, road partially closed</t>
        </is>
      </c>
      <c r="C8" s="172" t="inlineStr">
        <is>
          <t>Hazards &amp; Resilience</t>
        </is>
      </c>
      <c r="D8" s="158" t="n">
        <v>4</v>
      </c>
      <c r="E8" s="174" t="inlineStr">
        <is>
          <t>News brief</t>
        </is>
      </c>
      <c r="F8" s="160" t="inlineStr">
        <is>
          <t>To review</t>
        </is>
      </c>
      <c r="G8" s="161" t="n"/>
      <c r="H8" s="162" t="n"/>
      <c r="I8" s="163" t="inlineStr">
        <is>
          <t>What causes tuff cliff collapse in volcanic deposits under rainfall, and how can such slopes be assessed and stabilised near roads?</t>
        </is>
      </c>
      <c r="J8" s="163" t="inlineStr">
        <is>
          <t>Il Giornale dei Castelli Romani</t>
        </is>
      </c>
      <c r="K8" s="164" t="n">
        <v>46319</v>
      </c>
      <c r="L8" s="163" t="inlineStr">
        <is>
          <t>Valmontone, maltempo: frana costone di tufo sulla via Prenestina, strada parzialmente chiusa</t>
        </is>
      </c>
      <c r="M8" s="165" t="n"/>
      <c r="N8" s="166" t="inlineStr">
        <is>
          <t>Italy</t>
        </is>
      </c>
      <c r="O8" s="164" t="n">
        <v>46319</v>
      </c>
      <c r="P8" s="167" t="inlineStr">
        <is>
          <t>2026-Q4</t>
        </is>
      </c>
      <c r="Q8" s="168" t="inlineStr">
        <is>
          <t>landslide</t>
        </is>
      </c>
      <c r="R8" s="155" t="n">
        <v>10</v>
      </c>
      <c r="S8" s="169" t="inlineStr">
        <is>
          <t>https://news.google.com/rss/articles/CBMizAFBVV95cUxOX19SY3ozdEtSRFpyZlE3a3o4LWtuMTdJeXVsZkVtZVJIaXJzbndtWVd2T21uQncydzJ1bmZONW1yVU9DVExhUFI5VmI3RkVHbjJqTjZWSXpjd1NLeDViOHZnLWo5ZV9oYVRNZi1KN3E3OERXVC1pdzlDVlBvY3pHZE1WRm9vR0E5VnNNdXN3SU9xbFVGRzY4UkstZUpkYTlMYjJobWoxTDRDNWVqYWdlR2taRV94RG9yaFJuUExrN1VCT2ZpTkFNQllycXo?oc=5</t>
        </is>
      </c>
      <c r="T8" s="170">
        <f>IF($B8="",0,IF(AND(OR(OR(Dashboard!$B$5="All themes",Dashboard!$B$5=""),$C8=Dashboard!$B$5),OR(OR(Dashboard!$G$5="All uses",Dashboard!$G$5=""),$E8=Dashboard!$G$5),N($D8)&gt;=Lists!$H$2,OR(OR(Dashboard!$N$5="All windows",Dashboard!$N$5=""),$P8=Dashboard!$N$5)),1,0))</f>
        <v/>
      </c>
      <c r="U8" s="171">
        <f>IF($T8=1,N($D8)*1E14+MIN(MAX(N($R8),0),9999)*1E10+MIN(N($K8),99999)*1E5+99999-MIN(ROW(),99999),"")</f>
        <v/>
      </c>
    </row>
    <row r="9" ht="53" customHeight="1">
      <c r="A9" s="155" t="n">
        <v>6</v>
      </c>
      <c r="B9" s="156" t="inlineStr">
        <is>
          <t>Bonea, landslide in Capo locality: mayor closes three roads by urgent order</t>
        </is>
      </c>
      <c r="C9" s="172" t="inlineStr">
        <is>
          <t>Hazards &amp; Resilience</t>
        </is>
      </c>
      <c r="D9" s="158" t="n">
        <v>4</v>
      </c>
      <c r="E9" s="174" t="inlineStr">
        <is>
          <t>News brief</t>
        </is>
      </c>
      <c r="F9" s="160" t="inlineStr">
        <is>
          <t>To review</t>
        </is>
      </c>
      <c r="G9" s="161" t="n"/>
      <c r="H9" s="162" t="n"/>
      <c r="I9" s="163" t="inlineStr">
        <is>
          <t>What ground investigation would confirm the landslide mechanism at Capo locality and guide safe reopening of the three closed roads?</t>
        </is>
      </c>
      <c r="J9" s="163" t="inlineStr">
        <is>
          <t>Tv7 Benevento</t>
        </is>
      </c>
      <c r="K9" s="164" t="n">
        <v>46319</v>
      </c>
      <c r="L9" s="163" t="inlineStr">
        <is>
          <t>BONEA, FRANA IN LOCALITÀ CAPO: IL SINDACO CHIUDE TRE STRADE CON ORDINANZA URGENTE</t>
        </is>
      </c>
      <c r="M9" s="165" t="n"/>
      <c r="N9" s="166" t="inlineStr">
        <is>
          <t>Italy</t>
        </is>
      </c>
      <c r="O9" s="164" t="n">
        <v>46319</v>
      </c>
      <c r="P9" s="167" t="inlineStr">
        <is>
          <t>2026-Q4</t>
        </is>
      </c>
      <c r="Q9" s="168" t="inlineStr">
        <is>
          <t>landslide</t>
        </is>
      </c>
      <c r="R9" s="155" t="n">
        <v>10</v>
      </c>
      <c r="S9" s="169" t="inlineStr">
        <is>
          <t>https://news.google.com/rss/articles/CBMipwFBVV95cUxQM0JfTHl5bmwxRmJ6Y3lLZ2l6XzB1c0lkclVfRzJ2clZEV29YU25kOWNsX1hXNjFuUnJnVGNjRXBFa0V2RWlYVllQOVEzV1ZCY3VYNENpdk9wSGVNNlUtNGVwdGZhZDY5UUVTYW1OZHQ1TkFoUURUTFMwSWdoLU90QTU2VE5Md1NKOU1Rd041aXFxNUJ1OGc3QTAxLUpGbndSWXh0czMzSQ?oc=5</t>
        </is>
      </c>
      <c r="T9" s="170">
        <f>IF($B9="",0,IF(AND(OR(OR(Dashboard!$B$5="All themes",Dashboard!$B$5=""),$C9=Dashboard!$B$5),OR(OR(Dashboard!$G$5="All uses",Dashboard!$G$5=""),$E9=Dashboard!$G$5),N($D9)&gt;=Lists!$H$2,OR(OR(Dashboard!$N$5="All windows",Dashboard!$N$5=""),$P9=Dashboard!$N$5)),1,0))</f>
        <v/>
      </c>
      <c r="U9" s="171">
        <f>IF($T9=1,N($D9)*1E14+MIN(MAX(N($R9),0),9999)*1E10+MIN(N($K9),99999)*1E5+99999-MIN(ROW(),99999),"")</f>
        <v/>
      </c>
    </row>
    <row r="10" ht="53" customHeight="1">
      <c r="A10" s="155" t="n">
        <v>7</v>
      </c>
      <c r="B10" s="156" t="inlineStr">
        <is>
          <t>La frana del Cencione Tra fango e polemiche Le ruspe sono al lavoro</t>
        </is>
      </c>
      <c r="C10" s="172" t="inlineStr">
        <is>
          <t>Hazards &amp; Resilience</t>
        </is>
      </c>
      <c r="D10" s="158" t="n">
        <v>4</v>
      </c>
      <c r="E10" s="173" t="inlineStr">
        <is>
          <t>Feature lead</t>
        </is>
      </c>
      <c r="F10" s="160" t="inlineStr">
        <is>
          <t>To review</t>
        </is>
      </c>
      <c r="G10" s="161" t="n"/>
      <c r="H10" s="162" t="n"/>
      <c r="I10" s="163" t="inlineStr">
        <is>
          <t>How should authorities balance urgent earthworks with geotechnical investigation and accountability when a landslide site becomes politically contested?</t>
        </is>
      </c>
      <c r="J10" s="163" t="inlineStr">
        <is>
          <t>Zazoom Social News</t>
        </is>
      </c>
      <c r="K10" s="164" t="n">
        <v>46319</v>
      </c>
      <c r="L10" s="163" t="n"/>
      <c r="M10" s="165" t="n"/>
      <c r="N10" s="166" t="inlineStr">
        <is>
          <t>Italy</t>
        </is>
      </c>
      <c r="O10" s="164" t="n">
        <v>46318</v>
      </c>
      <c r="P10" s="167" t="inlineStr">
        <is>
          <t>2026-Q4</t>
        </is>
      </c>
      <c r="Q10" s="168" t="inlineStr">
        <is>
          <t>landslide</t>
        </is>
      </c>
      <c r="R10" s="155" t="n">
        <v>10</v>
      </c>
      <c r="S10" s="169" t="inlineStr">
        <is>
          <t>https://news.google.com/rss/articles/CBMirwFBVV95cUxPRkxsbl9ZdlM1cmloa1JxT3ZENFdkYUI5U3pIZy1UM005NU9SVVFIVjVmZ1ZvTDNybGJkMHAtc3Ewd3RldnRYWHlrSnQ2R1hXN2xpR1BNREFxTlRlb2tFMnFJZ01VSEZqN0ZheUtlbWJEd3h2SURJb3ppVWl6dTU2Y21zZGJGR1hpMWdNUmNfdWluZDJQYzZkeC1QTHhEUFNmcVhTVWtnWWxiUDczMmtr?oc=5</t>
        </is>
      </c>
      <c r="T10" s="170">
        <f>IF($B10="",0,IF(AND(OR(OR(Dashboard!$B$5="All themes",Dashboard!$B$5=""),$C10=Dashboard!$B$5),OR(OR(Dashboard!$G$5="All uses",Dashboard!$G$5=""),$E10=Dashboard!$G$5),N($D10)&gt;=Lists!$H$2,OR(OR(Dashboard!$N$5="All windows",Dashboard!$N$5=""),$P10=Dashboard!$N$5)),1,0))</f>
        <v/>
      </c>
      <c r="U10" s="171">
        <f>IF($T10=1,N($D10)*1E14+MIN(MAX(N($R10),0),9999)*1E10+MIN(N($K10),99999)*1E5+99999-MIN(ROW(),99999),"")</f>
        <v/>
      </c>
    </row>
    <row r="11" ht="40.5" customHeight="1">
      <c r="A11" s="155" t="n">
        <v>8</v>
      </c>
      <c r="B11" s="156" t="inlineStr">
        <is>
          <t>TNI helps landslide victims in Lae Ikan, Subulussalam</t>
        </is>
      </c>
      <c r="C11" s="172" t="inlineStr">
        <is>
          <t>Hazards &amp; Resilience</t>
        </is>
      </c>
      <c r="D11" s="158" t="n">
        <v>4</v>
      </c>
      <c r="E11" s="174" t="inlineStr">
        <is>
          <t>News brief</t>
        </is>
      </c>
      <c r="F11" s="160" t="inlineStr">
        <is>
          <t>To review</t>
        </is>
      </c>
      <c r="G11" s="161" t="n"/>
      <c r="H11" s="162" t="n"/>
      <c r="I11" s="163" t="inlineStr">
        <is>
          <t>What role can emergency response and rapid geotechnical assessment play after a landslide in a mountainous Indonesian village?</t>
        </is>
      </c>
      <c r="J11" s="163" t="inlineStr">
        <is>
          <t>RRI.co.id</t>
        </is>
      </c>
      <c r="K11" s="164" t="n">
        <v>46319</v>
      </c>
      <c r="L11" s="163" t="inlineStr">
        <is>
          <t>TNI Bantu Korban Longsor di Lae Ikan Subulussalam</t>
        </is>
      </c>
      <c r="M11" s="165" t="n"/>
      <c r="N11" s="166" t="inlineStr">
        <is>
          <t>Indonesia</t>
        </is>
      </c>
      <c r="O11" s="164" t="n">
        <v>46319</v>
      </c>
      <c r="P11" s="167" t="inlineStr">
        <is>
          <t>2026-Q4</t>
        </is>
      </c>
      <c r="Q11" s="168" t="inlineStr">
        <is>
          <t>landslide</t>
        </is>
      </c>
      <c r="R11" s="155" t="n">
        <v>10</v>
      </c>
      <c r="S11" s="169" t="inlineStr">
        <is>
          <t>https://news.google.com/rss/articles/CBMiogFBVV95cUxOYkthemxCdGdtc1c3TnBBbGY4MVZlMDFvWnZiX3E4UERSQ1lsX2g4R0x5VHVaVndQdnJHQTBZSy02bV8wT1d4RVZ6WHRVN2w0UUx1MFRMbDhINzgtWlJJLXFKOHIzWFRZa1VmZUVFNUNCM3hRdE9GUGZpdVNQQnd3ZmxRTWZFOGU5REFvOTg4cG40YkU1bDhlZ2pQSkR5Ti04Q1E?oc=5</t>
        </is>
      </c>
      <c r="T11" s="170">
        <f>IF($B11="",0,IF(AND(OR(OR(Dashboard!$B$5="All themes",Dashboard!$B$5=""),$C11=Dashboard!$B$5),OR(OR(Dashboard!$G$5="All uses",Dashboard!$G$5=""),$E11=Dashboard!$G$5),N($D11)&gt;=Lists!$H$2,OR(OR(Dashboard!$N$5="All windows",Dashboard!$N$5=""),$P11=Dashboard!$N$5)),1,0))</f>
        <v/>
      </c>
      <c r="U11" s="171">
        <f>IF($T11=1,N($D11)*1E14+MIN(MAX(N($R11),0),9999)*1E10+MIN(N($K11),99999)*1E5+99999-MIN(ROW(),99999),"")</f>
        <v/>
      </c>
    </row>
    <row r="12" ht="40.5" customHeight="1">
      <c r="A12" s="155" t="n">
        <v>9</v>
      </c>
      <c r="B12" s="156" t="inlineStr">
        <is>
          <t>Source: no casualties in Tanta building collapse and 4 cars destroyed - video and photos</t>
        </is>
      </c>
      <c r="C12" s="172" t="inlineStr">
        <is>
          <t>Hazards &amp; Resilience</t>
        </is>
      </c>
      <c r="D12" s="158" t="n">
        <v>4</v>
      </c>
      <c r="E12" s="174" t="inlineStr">
        <is>
          <t>News brief</t>
        </is>
      </c>
      <c r="F12" s="160" t="inlineStr">
        <is>
          <t>To review</t>
        </is>
      </c>
      <c r="G12" s="161" t="n"/>
      <c r="H12" s="162" t="n"/>
      <c r="I12" s="163" t="inlineStr">
        <is>
          <t>What caused the collapse of this Tanta building, and what foundation or excavation failure lessons does it offer?</t>
        </is>
      </c>
      <c r="J12" s="163" t="inlineStr">
        <is>
          <t>Masrawy</t>
        </is>
      </c>
      <c r="K12" s="164" t="n">
        <v>46319</v>
      </c>
      <c r="L12" s="163" t="inlineStr">
        <is>
          <t>مصدر: لاضحايا في انهيار عقار طنطا وتحطم 4 سيارات - فيديو وصور</t>
        </is>
      </c>
      <c r="M12" s="165" t="n"/>
      <c r="N12" s="166" t="inlineStr">
        <is>
          <t>Egypt</t>
        </is>
      </c>
      <c r="O12" s="164" t="n">
        <v>46319</v>
      </c>
      <c r="P12" s="167" t="inlineStr">
        <is>
          <t>2026-Q4</t>
        </is>
      </c>
      <c r="Q12" s="168" t="inlineStr">
        <is>
          <t>collapse</t>
        </is>
      </c>
      <c r="R12" s="155" t="n">
        <v>7</v>
      </c>
      <c r="S12" s="169" t="inlineStr">
        <is>
          <t>https://news.google.com/rss/articles/CBMitANBVV95cUxNUUlBdHRnYnNzb3ZOX1BlZ1VIbWl3ZzdvbEhqenMtbHpwbVd5VHoyTTdwWklBOUFGMWxtd1RLY2tMcnZ4TWZWSUVXZHJYOFVKV3dxcjcwSFJqeUtTbS0tMm1FSFpmWk16WkhMOGU4OGRyZ0kwY0Z4cl9PZ2s3blFCZHljWXdXVzJtUmprT2VmWDY2U2dndVpfcEJmTDc0SXlhd0hyLWU0VE1VeVMtalJ4cUFGTU1CdnhoYW5KeXE4bEh4R2prb1dmWHdpNmZJMm1TMk4zWmJxM1BUUFdXNHZYSDczTFk4cjZOTll3Si1kNVB6MzdqNkd6VEdSeUM0aDJHY05HRW9QR0htUS1pdHRTdmFnZC1kcV84eklxcHlZeTVJd3A4NEpvTU9DT19IQXVZUVhhTEE2OFIwMGttaEIxODJ0ZWhQR1UwcGVLNVg1TlVDaHUzaU5ZTmhsMkdTeGFORm9Hd3hDUlNESy1maG5ZY2g3T0NFOVgwRGxoTXJ4d2FEV3p6bm83cllHTV9QLW90VW14WlZOWkJvblJ2S0E4VlBrbUhLaVRJbnY3R1AzVzFDN2xy0gGEBEFVX3lxTFBBQTVYY2h4THQwaTRndVVTeE55dFdQd3Z6MG5PMzJOU3FSakNBM25YYzhQZGtfRkx5bnNzUWRRZFN5UkJqR2xaNXQ5RjFXWWtnMlAwdTBZVS1oTmxuWmt5TnRTX0YxbHVVWTlEMHNrRUNkNVNzejk1SGdOVm9rTjRUTXZuY0VsX1lzZENuXzB6UmRPOEczTHg4NmJfYUQzUTJVNXJTem1BWU1KUFZmMnl6eUVKT09HN05CcjBUQmFrOVRpZjNnLWU0WGM1Qll1a2pqdWx4VUVSaUdfMjJlNEh4dlgwMWZ2YXY0RW52ZE9WZWRKS1kwYXhyeTYydV9CQVRtVGhpeUtsTlVTeHAxSngtb0NhMVR3bkhKLVlVZ3N3VUk1QU1SWFFYcWdWNkJwcGg1bFBoVm5KYmc5NEdQX3I5QWM3OW9HbF85czRBUXd6eXpaTWpnZkY0RDBIVzVTbnV4QUItNXdNaW1DZXpDQTNtNG9Od3BveDNTMnB2RmpEN1ZQb2NUNmN1cC1mSW1sWWs1NEswWU5mUWV3LWI3a3hBRTVuYkJaaDdObDczd0ZfWUw1SXRRVXM4ZWs2bm9lNk5hYWNkU3F2bktWNUl1bXByUTRzMGVOa2VwdzVibE9Za2xvQmJqRUY0T09va2NmczZTTlZfMlN6eFZMN1owYUpVOFZrSw?oc=5</t>
        </is>
      </c>
      <c r="T12" s="170">
        <f>IF($B12="",0,IF(AND(OR(OR(Dashboard!$B$5="All themes",Dashboard!$B$5=""),$C12=Dashboard!$B$5),OR(OR(Dashboard!$G$5="All uses",Dashboard!$G$5=""),$E12=Dashboard!$G$5),N($D12)&gt;=Lists!$H$2,OR(OR(Dashboard!$N$5="All windows",Dashboard!$N$5=""),$P12=Dashboard!$N$5)),1,0))</f>
        <v/>
      </c>
      <c r="U12" s="171">
        <f>IF($T12=1,N($D12)*1E14+MIN(MAX(N($R12),0),9999)*1E10+MIN(N($K12),99999)*1E5+99999-MIN(ROW(),99999),"")</f>
        <v/>
      </c>
    </row>
    <row r="13" ht="53" customHeight="1">
      <c r="A13" s="155" t="n">
        <v>10</v>
      </c>
      <c r="B13" s="156" t="inlineStr">
        <is>
          <t>25 subdistricts in Bandung Regency classified as medium-high landslide potential</t>
        </is>
      </c>
      <c r="C13" s="172" t="inlineStr">
        <is>
          <t>Hazards &amp; Resilience</t>
        </is>
      </c>
      <c r="D13" s="158" t="n">
        <v>4</v>
      </c>
      <c r="E13" s="175" t="inlineStr">
        <is>
          <t>Regional insight</t>
        </is>
      </c>
      <c r="F13" s="160" t="inlineStr">
        <is>
          <t>To review</t>
        </is>
      </c>
      <c r="G13" s="161" t="n"/>
      <c r="H13" s="162" t="n"/>
      <c r="I13" s="163" t="inlineStr">
        <is>
          <t>How are landslide susceptibility maps produced for districts, and how should medium-high hazard classes inform land-use planning?</t>
        </is>
      </c>
      <c r="J13" s="163" t="inlineStr">
        <is>
          <t>Pikiran-Rakyat.com</t>
        </is>
      </c>
      <c r="K13" s="164" t="n">
        <v>46319</v>
      </c>
      <c r="L13" s="163" t="inlineStr">
        <is>
          <t>25 Kecamatan di Kabupaten Bandung Masuk Kategori Potensi Gerakan Tanah Menengah-Tinggi</t>
        </is>
      </c>
      <c r="M13" s="165" t="n"/>
      <c r="N13" s="166" t="inlineStr">
        <is>
          <t>Indonesia</t>
        </is>
      </c>
      <c r="O13" s="164" t="n">
        <v>46319</v>
      </c>
      <c r="P13" s="167" t="inlineStr">
        <is>
          <t>2026-Q4</t>
        </is>
      </c>
      <c r="Q13" s="168" t="n"/>
      <c r="R13" s="155" t="n">
        <v>6</v>
      </c>
      <c r="S13" s="169" t="inlineStr">
        <is>
          <t>https://news.google.com/rss/articles/CBMi0gFBVV95cUxOVW5ENnJ6RnYwS3VyQ3dPQW9qS0NBcjZxeGNNcHBlVWttczllOUhhLVNuT2ljMkN3NFZodHJISlRZUG1GTTNaTVN6SF90ZE1kMl9teDFSWmsza2hpR1BLM3ZtbkV2cWg2NWk2TW9ac0JRNnl5WEFlWS1NWG5UNEVXMlVzNEdNaThBRVgtSlJVc0x5WDBHbmFqTW1LUFJTN3hDZXZIU3VKeFM4VV9faHd2cU1zUXFFdHJOaWhGdnZiel91TjBRMFFoc2FwSFZPMUJjbGfSAdcBQVVfeXFMT3BsOGJPRzNGNTBnZFJNbWVldVNXaGtQRG5oRlZEaHAzTUt2cml2TXRHdDUyWE5MMEdSdXdhdS05NWJlSXRhV3NXamRkcFk0WXR1TmxkNFNIWFlqUGRMWTY1Wm52QmUtU0lsVlF1aUt3NUtJNHJsRW9GSzNtTXN4d1BhdGQyWGh3WUVoWGJKYkhXejlCM2NQRWZkbFFmQ3EtSlZLYWI1dG45OXA1R3E5c0dtNTZBTVZVNjZLRDAwUEJQT3dpTDl5SDJObTYxbFBETVFFb1c4Z0E?oc=5</t>
        </is>
      </c>
      <c r="T13" s="170">
        <f>IF($B13="",0,IF(AND(OR(OR(Dashboard!$B$5="All themes",Dashboard!$B$5=""),$C13=Dashboard!$B$5),OR(OR(Dashboard!$G$5="All uses",Dashboard!$G$5=""),$E13=Dashboard!$G$5),N($D13)&gt;=Lists!$H$2,OR(OR(Dashboard!$N$5="All windows",Dashboard!$N$5=""),$P13=Dashboard!$N$5)),1,0))</f>
        <v/>
      </c>
      <c r="U13" s="171">
        <f>IF($T13=1,N($D13)*1E14+MIN(MAX(N($R13),0),9999)*1E10+MIN(N($K13),99999)*1E5+99999-MIN(ROW(),99999),"")</f>
        <v/>
      </c>
    </row>
    <row r="14" ht="53" customHeight="1">
      <c r="A14" s="155" t="n">
        <v>11</v>
      </c>
      <c r="B14" s="156" t="inlineStr">
        <is>
          <t>Gochang-Buan Noeuldaegyo Enters Geotechnical Survey Phase; Construction Targeted for January 2028</t>
        </is>
      </c>
      <c r="C14" s="176" t="inlineStr">
        <is>
          <t>Infrastructure &amp; the Underground City</t>
        </is>
      </c>
      <c r="D14" s="158" t="n">
        <v>4</v>
      </c>
      <c r="E14" s="174" t="inlineStr">
        <is>
          <t>News brief</t>
        </is>
      </c>
      <c r="F14" s="160" t="inlineStr">
        <is>
          <t>To review</t>
        </is>
      </c>
      <c r="G14" s="161" t="n"/>
      <c r="H14" s="162" t="n"/>
      <c r="I14" s="163" t="inlineStr">
        <is>
          <t>What ground conditions will the geotechnical survey reveal for this Korean nuclear-related or major construction project, and how will they shape the 2028 schedule?</t>
        </is>
      </c>
      <c r="J14" s="163" t="inlineStr">
        <is>
          <t>아시아경제</t>
        </is>
      </c>
      <c r="K14" s="164" t="n">
        <v>46319</v>
      </c>
      <c r="L14" s="163" t="n"/>
      <c r="M14" s="165" t="n"/>
      <c r="N14" s="166" t="inlineStr">
        <is>
          <t>United Kingdom</t>
        </is>
      </c>
      <c r="O14" s="164" t="n">
        <v>46317</v>
      </c>
      <c r="P14" s="167" t="inlineStr">
        <is>
          <t>2026-Q4</t>
        </is>
      </c>
      <c r="Q14" s="168" t="inlineStr">
        <is>
          <t>geotechnical</t>
        </is>
      </c>
      <c r="R14" s="155" t="n">
        <v>5</v>
      </c>
      <c r="S14" s="169" t="inlineStr">
        <is>
          <t>https://news.google.com/rss/articles/CBMibEFVX3lxTE9qd0p2T2p3a1lzbEg5TnFXNDZ2VXRhLWIzbGk1U0pnQlFCUk1RU2tqdFFXeEt4RkM3bThuVUUyelBfNHJMdlFmMThyZG9UakhLLTFqTGJBTDBKVmN1bXlqQmYyX1U3eHIyWTNfTw?oc=5</t>
        </is>
      </c>
      <c r="T14" s="170">
        <f>IF($B14="",0,IF(AND(OR(OR(Dashboard!$B$5="All themes",Dashboard!$B$5=""),$C14=Dashboard!$B$5),OR(OR(Dashboard!$G$5="All uses",Dashboard!$G$5=""),$E14=Dashboard!$G$5),N($D14)&gt;=Lists!$H$2,OR(OR(Dashboard!$N$5="All windows",Dashboard!$N$5=""),$P14=Dashboard!$N$5)),1,0))</f>
        <v/>
      </c>
      <c r="U14" s="171">
        <f>IF($T14=1,N($D14)*1E14+MIN(MAX(N($R14),0),9999)*1E10+MIN(N($K14),99999)*1E5+99999-MIN(ROW(),99999),"")</f>
        <v/>
      </c>
    </row>
    <row r="15" ht="53" customHeight="1">
      <c r="A15" s="155" t="n">
        <v>12</v>
      </c>
      <c r="B15" s="156" t="inlineStr">
        <is>
          <t>Primeval forest grows at bottom of 120-meter-deep sinkhole in central Vietnam</t>
        </is>
      </c>
      <c r="C15" s="177" t="inlineStr">
        <is>
          <t>Characterisation &amp; Modelling</t>
        </is>
      </c>
      <c r="D15" s="158" t="n">
        <v>4</v>
      </c>
      <c r="E15" s="173" t="inlineStr">
        <is>
          <t>Feature lead</t>
        </is>
      </c>
      <c r="F15" s="160" t="inlineStr">
        <is>
          <t>To review</t>
        </is>
      </c>
      <c r="G15" s="161" t="n"/>
      <c r="H15" s="162" t="n"/>
      <c r="I15" s="163" t="inlineStr">
        <is>
          <t>How do karst collapse sinkholes form in limestone terrain, and what do such deep features reveal about cave ground stability and hazard mapping?</t>
        </is>
      </c>
      <c r="J15" s="163" t="inlineStr">
        <is>
          <t>VnExpress International</t>
        </is>
      </c>
      <c r="K15" s="164" t="n">
        <v>46319</v>
      </c>
      <c r="L15" s="163" t="n"/>
      <c r="M15" s="165" t="n"/>
      <c r="N15" s="166" t="inlineStr">
        <is>
          <t>United Kingdom</t>
        </is>
      </c>
      <c r="O15" s="164" t="n">
        <v>46319</v>
      </c>
      <c r="P15" s="167" t="inlineStr">
        <is>
          <t>2026-Q4</t>
        </is>
      </c>
      <c r="Q15" s="168" t="inlineStr">
        <is>
          <t>sinkhole</t>
        </is>
      </c>
      <c r="R15" s="155" t="n">
        <v>4</v>
      </c>
      <c r="S15" s="169" t="inlineStr">
        <is>
          <t>https://news.google.com/rss/articles/CBMizAFBVV95cUxNd2dFendqYTRDcVVfLTVONjFFenlXV3pwTHVkVEJhb2ZfYzdKbF9XTDgxVXJqY1d4QWo3bi1CR250aUV6Y2FmQTktNUtTbU1FRnA2WUVzdFRiU2lRa3M1VzdwRUxzbWF0eUJmMER5Y2Yxb1V2aVdta0M4OGpjWmV6VGFnUVFLNjlQand3S3hSaTBFTUJZQ0JfNVBvZmF6NVpLSkdEMVlBLWt5VW5wYlhSOHBrdHVjU1FVMm41cW4tN0MwbTZ2Z2dULUZJemk?oc=5</t>
        </is>
      </c>
      <c r="T15" s="170">
        <f>IF($B15="",0,IF(AND(OR(OR(Dashboard!$B$5="All themes",Dashboard!$B$5=""),$C15=Dashboard!$B$5),OR(OR(Dashboard!$G$5="All uses",Dashboard!$G$5=""),$E15=Dashboard!$G$5),N($D15)&gt;=Lists!$H$2,OR(OR(Dashboard!$N$5="All windows",Dashboard!$N$5=""),$P15=Dashboard!$N$5)),1,0))</f>
        <v/>
      </c>
      <c r="U15" s="171">
        <f>IF($T15=1,N($D15)*1E14+MIN(MAX(N($R15),0),9999)*1E10+MIN(N($K15),99999)*1E5+99999-MIN(ROW(),99999),"")</f>
        <v/>
      </c>
    </row>
    <row r="16" ht="65.5" customHeight="1">
      <c r="A16" s="155" t="n">
        <v>13</v>
      </c>
      <c r="B16" s="156" t="inlineStr">
        <is>
          <t>More than 300 neighbourhoods at risk from rains; sinkhole on Eloy Alfaro casts doubt on Quito's underground infrastructure</t>
        </is>
      </c>
      <c r="C16" s="176" t="inlineStr">
        <is>
          <t>Infrastructure &amp; the Underground City</t>
        </is>
      </c>
      <c r="D16" s="158" t="n">
        <v>4</v>
      </c>
      <c r="E16" s="173" t="inlineStr">
        <is>
          <t>Feature lead</t>
        </is>
      </c>
      <c r="F16" s="160" t="inlineStr">
        <is>
          <t>To review</t>
        </is>
      </c>
      <c r="G16" s="161" t="n"/>
      <c r="H16" s="162" t="n"/>
      <c r="I16" s="163" t="inlineStr">
        <is>
          <t>How can cities detect and prevent sinkholes caused by leaking pipes and eroded soils in urban ground, and what does Quito's case reveal about underground infrastructure monitoring?</t>
        </is>
      </c>
      <c r="J16" s="163" t="inlineStr">
        <is>
          <t>El Universo</t>
        </is>
      </c>
      <c r="K16" s="164" t="n">
        <v>46319</v>
      </c>
      <c r="L16" s="163" t="inlineStr">
        <is>
          <t>Más de 300 barrios en riesgo por las lluvias, socavón en la Eloy Alfaro pone en duda la infraestructura subterránea de Quito</t>
        </is>
      </c>
      <c r="M16" s="165" t="n"/>
      <c r="N16" s="166" t="inlineStr">
        <is>
          <t>Mexico</t>
        </is>
      </c>
      <c r="O16" s="164" t="n">
        <v>46318</v>
      </c>
      <c r="P16" s="167" t="inlineStr">
        <is>
          <t>2026-Q4</t>
        </is>
      </c>
      <c r="Q16" s="168" t="inlineStr">
        <is>
          <t>sinkhole</t>
        </is>
      </c>
      <c r="R16" s="155" t="n">
        <v>4</v>
      </c>
      <c r="S16" s="169" t="inlineStr">
        <is>
          <t>https://news.google.com/rss/articles/CBMi_AJBVV95cUxQQ3p2THhYWmNjejMwUW5mdmI0RzhkWWxJQ2F6aEIxd0pCLUNsSExLWDB3MHBlMGMwT1l2MlpfYWEzQmZxbHkyc0Mwc2xkLWJMMGRuZ2NkeEtmNlpJUF9YZllSZU42elZTRG5wYzhrSUo2NWxZV3J3UEkwbWZ2bmVEczJTeWFNbzhqbnZ5UlMyM3NnZ25MalJwY3Q2UDRCR0FXWFNXcTRaWURzXzZhcTVjWW85SERYeE1RelFwdF9sa1dkUVF5dldKcTVncy1VZzZhc19PQlYtbU5KRFphYmt1a2JFT0lFTURCNTBxM1J6bWhsY2hwdjJXaktBWGVsYkFkMzVEbHZSQ0lVRjRVX2NHVUFlS0Y4SzU5V05DNWRlTWxhVThGSnFKQ2l1SnJ5LXRCZmJfTHBJSzZTQUV3QkVyRjVISUpkSm0weHBSSUo3RjB6QUJOSkUtdG5mMGZQWlhzekZZVC0wb25qOHA5eVQ3b3lCWU5oT21rN1JsR9IB_AJBVV95cUxQQ3p2THhYWmNjejMwUW5mdmI0RzhkWWxJQ2F6aEIxd0pCLUNsSExLWDB3MHBlMGMwT1l2MlpfYWEzQmZxbHkyc0Mwc2xkLWJMMGRuZ2NkeEtmNlpJUF9YZllSZU42elZTRG5wYzhrSUo2NWxZV3J3UEkwbWZ2bmVEczJTeWFNbzhqbnZ5UlMyM3NnZ25MalJwY3Q2UDRCR0FXWFNXcTRaWURzXzZhcTVjWW85SERYeE1RelFwdF9sa1dkUVF5dldKcTVncy1VZzZhc19PQlYtbU5KRFphYmt1a2JFT0lFTURCNTBxM1J6bWhsY2hwdjJXaktBWGVsYkFkMzVEbHZSQ0lVRjRVX2NHVUFlS0Y4SzU5V05DNWRlTWxhVThGSnFKQ2l1SnJ5LXRCZmJfTHBJSzZTQUV3QkVyRjVISUpkSm0weHBSSUo3RjB6QUJOSkUtdG5mMGZQWlhzekZZVC0wb25qOHA5eVQ3b3lCWU5oT21rN1JsRw?oc=5</t>
        </is>
      </c>
      <c r="T16" s="170">
        <f>IF($B16="",0,IF(AND(OR(OR(Dashboard!$B$5="All themes",Dashboard!$B$5=""),$C16=Dashboard!$B$5),OR(OR(Dashboard!$G$5="All uses",Dashboard!$G$5=""),$E16=Dashboard!$G$5),N($D16)&gt;=Lists!$H$2,OR(OR(Dashboard!$N$5="All windows",Dashboard!$N$5=""),$P16=Dashboard!$N$5)),1,0))</f>
        <v/>
      </c>
      <c r="U16" s="171">
        <f>IF($T16=1,N($D16)*1E14+MIN(MAX(N($R16),0),9999)*1E10+MIN(N($K16),99999)*1E5+99999-MIN(ROW(),99999),"")</f>
        <v/>
      </c>
    </row>
    <row r="17" ht="53" customHeight="1">
      <c r="A17" s="155" t="n">
        <v>14</v>
      </c>
      <c r="B17" s="156" t="inlineStr">
        <is>
          <t>Giant sinkhole discovered in Phong Nha-Ke Bang National Park</t>
        </is>
      </c>
      <c r="C17" s="177" t="inlineStr">
        <is>
          <t>Characterisation &amp; Modelling</t>
        </is>
      </c>
      <c r="D17" s="158" t="n">
        <v>4</v>
      </c>
      <c r="E17" s="173" t="inlineStr">
        <is>
          <t>Feature lead</t>
        </is>
      </c>
      <c r="F17" s="160" t="inlineStr">
        <is>
          <t>To review</t>
        </is>
      </c>
      <c r="G17" s="161" t="n"/>
      <c r="H17" s="162" t="n"/>
      <c r="I17" s="163" t="inlineStr">
        <is>
          <t>How are giant karst sinkholes detected and characterised in limestone terrain, and what hazards do they pose to park access and infrastructure?</t>
        </is>
      </c>
      <c r="J17" s="163" t="inlineStr">
        <is>
          <t>Baolangson.vn</t>
        </is>
      </c>
      <c r="K17" s="164" t="n">
        <v>46319</v>
      </c>
      <c r="L17" s="163" t="inlineStr">
        <is>
          <t>Giant sinkhole discovered in Phong Nha-Ke Bang National Park</t>
        </is>
      </c>
      <c r="M17" s="165" t="n"/>
      <c r="N17" s="166" t="inlineStr">
        <is>
          <t>United Kingdom</t>
        </is>
      </c>
      <c r="O17" s="164" t="n">
        <v>46319</v>
      </c>
      <c r="P17" s="167" t="inlineStr">
        <is>
          <t>2026-Q4</t>
        </is>
      </c>
      <c r="Q17" s="168" t="inlineStr">
        <is>
          <t>sinkhole</t>
        </is>
      </c>
      <c r="R17" s="155" t="n">
        <v>4</v>
      </c>
      <c r="S17" s="169" t="inlineStr">
        <is>
          <t>https://news.google.com/rss/articles/CBMinwFBVV95cUxQbmljanByeFhpYlNScnE2RHN0UUVIMy1oenIwbzdmbFBTeHUxMXZjT2xhY3dnbm5UdW42ZTNhTk5LMWNWTlg0eFBvTnE2Q1ZqY2JlNElKTVdqd0x1M0liaTlFRzVBUkFiUXdfY29PUUJsU2M3TEVaVHpkeUtiSkdqV0lPN3Y1dV9ZR1B5bk5OalNJNGZPMVlRZUd5RHJtOUU?oc=5</t>
        </is>
      </c>
      <c r="T17" s="170">
        <f>IF($B17="",0,IF(AND(OR(OR(Dashboard!$B$5="All themes",Dashboard!$B$5=""),$C17=Dashboard!$B$5),OR(OR(Dashboard!$G$5="All uses",Dashboard!$G$5=""),$E17=Dashboard!$G$5),N($D17)&gt;=Lists!$H$2,OR(OR(Dashboard!$N$5="All windows",Dashboard!$N$5=""),$P17=Dashboard!$N$5)),1,0))</f>
        <v/>
      </c>
      <c r="U17" s="171">
        <f>IF($T17=1,N($D17)*1E14+MIN(MAX(N($R17),0),9999)*1E10+MIN(N($K17),99999)*1E5+99999-MIN(ROW(),99999),"")</f>
        <v/>
      </c>
    </row>
    <row r="18" ht="53" customHeight="1">
      <c r="A18" s="155" t="n">
        <v>15</v>
      </c>
      <c r="B18" s="156" t="inlineStr">
        <is>
          <t>Special feature: Typhoon No. 25 triggers many landslides; dangers hidden in Chiba's Boso Peninsula terrain, 'high valley density'.</t>
        </is>
      </c>
      <c r="C18" s="172" t="inlineStr">
        <is>
          <t>Hazards &amp; Resilience</t>
        </is>
      </c>
      <c r="D18" s="158" t="n">
        <v>4</v>
      </c>
      <c r="E18" s="173" t="inlineStr">
        <is>
          <t>Feature lead</t>
        </is>
      </c>
      <c r="F18" s="160" t="inlineStr">
        <is>
          <t>To review</t>
        </is>
      </c>
      <c r="G18" s="161" t="n"/>
      <c r="H18" s="162" t="n"/>
      <c r="I18" s="163" t="inlineStr">
        <is>
          <t>Why does high valley density amplify landslide susceptibility in the Boso Peninsula, and how do weathered sedimentary slopes respond to intense typhoon rainfall?</t>
        </is>
      </c>
      <c r="J18" s="163" t="inlineStr">
        <is>
          <t>Yahoo!ニュース</t>
        </is>
      </c>
      <c r="K18" s="164" t="n">
        <v>46319</v>
      </c>
      <c r="L18" s="163" t="inlineStr">
        <is>
          <t>【特集】台風25号で土砂崩れ多発 千葉・房総半島の地形に潜む危険 「谷密度が高い」（チバテレ）</t>
        </is>
      </c>
      <c r="M18" s="165" t="n"/>
      <c r="N18" s="166" t="inlineStr">
        <is>
          <t>Japan</t>
        </is>
      </c>
      <c r="O18" s="164" t="n">
        <v>46318</v>
      </c>
      <c r="P18" s="167" t="inlineStr">
        <is>
          <t>2026-Q4</t>
        </is>
      </c>
      <c r="Q18" s="168" t="inlineStr">
        <is>
          <t>landslide</t>
        </is>
      </c>
      <c r="R18" s="155" t="n">
        <v>4</v>
      </c>
      <c r="S18" s="169" t="inlineStr">
        <is>
          <t>https://news.google.com/rss/articles/CBMif0FVX3lxTE9paXItcTdLR3g0R0hhZGZwQVFjNHJEOWJJRF84Rzdfa0tRQ0taaTVxd19rWFBLOHNuUkU2N081UDJIWVZNQ09NUDJBQ0p2V0FwS1lNV213UnNvV0xvcU1zTUpWWG1iTnFMclFRVjh4SUNoREdra2loMWh0ZGVIN0E?oc=5</t>
        </is>
      </c>
      <c r="T18" s="170">
        <f>IF($B18="",0,IF(AND(OR(OR(Dashboard!$B$5="All themes",Dashboard!$B$5=""),$C18=Dashboard!$B$5),OR(OR(Dashboard!$G$5="All uses",Dashboard!$G$5=""),$E18=Dashboard!$G$5),N($D18)&gt;=Lists!$H$2,OR(OR(Dashboard!$N$5="All windows",Dashboard!$N$5=""),$P18=Dashboard!$N$5)),1,0))</f>
        <v/>
      </c>
      <c r="U18" s="171">
        <f>IF($T18=1,N($D18)*1E14+MIN(MAX(N($R18),0),9999)*1E10+MIN(N($K18),99999)*1E5+99999-MIN(ROW(),99999),"")</f>
        <v/>
      </c>
    </row>
    <row r="19" ht="53" customHeight="1">
      <c r="A19" s="155" t="n">
        <v>16</v>
      </c>
      <c r="B19" s="156" t="inlineStr">
        <is>
          <t>M4 to be shut and speed limits put in place after landslide</t>
        </is>
      </c>
      <c r="C19" s="172" t="inlineStr">
        <is>
          <t>Hazards &amp; Resilience</t>
        </is>
      </c>
      <c r="D19" s="158" t="n">
        <v>4</v>
      </c>
      <c r="E19" s="174" t="inlineStr">
        <is>
          <t>News brief</t>
        </is>
      </c>
      <c r="F19" s="160" t="inlineStr">
        <is>
          <t>To review</t>
        </is>
      </c>
      <c r="G19" s="161" t="n"/>
      <c r="H19" s="162" t="n"/>
      <c r="I19" s="163" t="inlineStr">
        <is>
          <t>What likely caused the M4 landslide, and how should highway embankments and cuttings be assessed for failure after heavy rainfall?</t>
        </is>
      </c>
      <c r="J19" s="163" t="inlineStr">
        <is>
          <t>South West Farmer</t>
        </is>
      </c>
      <c r="K19" s="164" t="n">
        <v>46319</v>
      </c>
      <c r="L19" s="163" t="n"/>
      <c r="M19" s="165" t="n"/>
      <c r="N19" s="166" t="inlineStr">
        <is>
          <t>United Kingdom</t>
        </is>
      </c>
      <c r="O19" s="164" t="n">
        <v>46317</v>
      </c>
      <c r="P19" s="167" t="inlineStr">
        <is>
          <t>2026-Q4</t>
        </is>
      </c>
      <c r="Q19" s="168" t="inlineStr">
        <is>
          <t>landslide</t>
        </is>
      </c>
      <c r="R19" s="155" t="n">
        <v>4</v>
      </c>
      <c r="S19" s="169" t="inlineStr">
        <is>
          <t>https://news.google.com/rss/articles/CBMikwFBVV95cUxOYkdTUURQN0hOX2VUcUZ1Rk5ZS1R4alNNVkRLOFJoMHpqUlFxLS1HQ3U5clQtcG9UeWNmd3dYRHFNYnJmSjBHR25QWlZjRUM0Z0RVWnMwbUdsTmZKRE5iZ3NzNGgxbkY5cnFzam9Ub05aYlRKb292ODJEX284ZmdsLXFIVzNZcTdIakNIVjJUR1ZvMEE?oc=5</t>
        </is>
      </c>
      <c r="T19" s="170">
        <f>IF($B19="",0,IF(AND(OR(OR(Dashboard!$B$5="All themes",Dashboard!$B$5=""),$C19=Dashboard!$B$5),OR(OR(Dashboard!$G$5="All uses",Dashboard!$G$5=""),$E19=Dashboard!$G$5),N($D19)&gt;=Lists!$H$2,OR(OR(Dashboard!$N$5="All windows",Dashboard!$N$5=""),$P19=Dashboard!$N$5)),1,0))</f>
        <v/>
      </c>
      <c r="U19" s="171">
        <f>IF($T19=1,N($D19)*1E14+MIN(MAX(N($R19),0),9999)*1E10+MIN(N($K19),99999)*1E5+99999-MIN(ROW(),99999),"")</f>
        <v/>
      </c>
    </row>
    <row r="20" ht="53" customHeight="1">
      <c r="A20" s="155" t="n">
        <v>17</v>
      </c>
      <c r="B20" s="156" t="inlineStr">
        <is>
          <t>Nilgiris Landslides: bus driver killed, Schoolchildren among 300 rescued</t>
        </is>
      </c>
      <c r="C20" s="172" t="inlineStr">
        <is>
          <t>Hazards &amp; Resilience</t>
        </is>
      </c>
      <c r="D20" s="158" t="n">
        <v>4</v>
      </c>
      <c r="E20" s="174" t="inlineStr">
        <is>
          <t>News brief</t>
        </is>
      </c>
      <c r="F20" s="160" t="inlineStr">
        <is>
          <t>To review</t>
        </is>
      </c>
      <c r="G20" s="161" t="n"/>
      <c r="H20" s="162" t="n"/>
      <c r="I20" s="163" t="inlineStr">
        <is>
          <t>What triggered the Nilgiris landslides, and what early-warning and slope-stability measures could reduce fatalities on hill-region roads?</t>
        </is>
      </c>
      <c r="J20" s="163" t="inlineStr">
        <is>
          <t>The Hindu</t>
        </is>
      </c>
      <c r="K20" s="164" t="n">
        <v>46319</v>
      </c>
      <c r="L20" s="163" t="n"/>
      <c r="M20" s="165" t="n"/>
      <c r="N20" s="166" t="inlineStr">
        <is>
          <t>United Kingdom</t>
        </is>
      </c>
      <c r="O20" s="164" t="n">
        <v>46319</v>
      </c>
      <c r="P20" s="167" t="inlineStr">
        <is>
          <t>2026-Q4</t>
        </is>
      </c>
      <c r="Q20" s="168" t="inlineStr">
        <is>
          <t>landslide</t>
        </is>
      </c>
      <c r="R20" s="155" t="n">
        <v>4</v>
      </c>
      <c r="S20" s="169" t="inlineStr">
        <is>
          <t>https://news.google.com/rss/articles/CBMivwFBVV95cUxOdTlOSzlWSmNZWUlrbUJCNEsxMzNVOFd2NWFGRThtXzZjRHR1V2gxZDFvREd5ckoyQ0NZVzdYWldycGN2SUhDYVZfRHF0UjdWaU9wdUZRbTJMdVhWektCZl9HTHMxdF9rcTdTSk1PMnhJcmFGZ0t1SFFlZzlFdVFXejVkZ3ppbnN5cEJtMldLUjZNOTRHVUtzUW1jb3pTWmtLa0dNS1daaXBRRnRKajlObjZtUGVzSlAwTkhId0Y3RdIBxgFBVV95cUxNYXR2aFZPcUlLdkRSRE9pLU1TdW9IbTFXZklLRVBjTWJjMURUTFNCVERtSXdrLUNnRnBBNXJpNEFiQ3l3bFZfNm96d3N3TW56eUVscDZ1S2NTdmFqWWdxN0ZxSVBwSUk1OFI5TEx4MjB5ZWVfQnNvZ1FWbDFZa3lDck5FVW9nZ1QtZ2RTTGtNZ21pUWxyYjd3c3RUVnhwRUhncnp3cGhMaS02RzBNeUJtQWtaWng4UUQ0cG1pbkFGclZEMW5IU1E?oc=5</t>
        </is>
      </c>
      <c r="T20" s="170">
        <f>IF($B20="",0,IF(AND(OR(OR(Dashboard!$B$5="All themes",Dashboard!$B$5=""),$C20=Dashboard!$B$5),OR(OR(Dashboard!$G$5="All uses",Dashboard!$G$5=""),$E20=Dashboard!$G$5),N($D20)&gt;=Lists!$H$2,OR(OR(Dashboard!$N$5="All windows",Dashboard!$N$5=""),$P20=Dashboard!$N$5)),1,0))</f>
        <v/>
      </c>
      <c r="U20" s="171">
        <f>IF($T20=1,N($D20)*1E14+MIN(MAX(N($R20),0),9999)*1E10+MIN(N($K20),99999)*1E5+99999-MIN(ROW(),99999),"")</f>
        <v/>
      </c>
    </row>
    <row r="21" ht="53" customHeight="1">
      <c r="A21" s="155" t="n">
        <v>18</v>
      </c>
      <c r="B21" s="156" t="inlineStr">
        <is>
          <t>Tamil Nadu landslide kills government bus driver after 50 passengers evacuated near Parliyar</t>
        </is>
      </c>
      <c r="C21" s="172" t="inlineStr">
        <is>
          <t>Hazards &amp; Resilience</t>
        </is>
      </c>
      <c r="D21" s="158" t="n">
        <v>4</v>
      </c>
      <c r="E21" s="174" t="inlineStr">
        <is>
          <t>News brief</t>
        </is>
      </c>
      <c r="F21" s="160" t="inlineStr">
        <is>
          <t>To review</t>
        </is>
      </c>
      <c r="G21" s="161" t="n"/>
      <c r="H21" s="162" t="n"/>
      <c r="I21" s="163" t="inlineStr">
        <is>
          <t>What ground and rainfall conditions caused the Parliyar landslide that hit a bus, and how can hill-road slopes be screened for similar risk?</t>
        </is>
      </c>
      <c r="J21" s="163" t="inlineStr">
        <is>
          <t>Telangana Today</t>
        </is>
      </c>
      <c r="K21" s="164" t="n">
        <v>46319</v>
      </c>
      <c r="L21" s="163" t="n"/>
      <c r="M21" s="165" t="n"/>
      <c r="N21" s="166" t="inlineStr">
        <is>
          <t>United States</t>
        </is>
      </c>
      <c r="O21" s="164" t="n">
        <v>46319</v>
      </c>
      <c r="P21" s="167" t="inlineStr">
        <is>
          <t>2026-Q4</t>
        </is>
      </c>
      <c r="Q21" s="168" t="inlineStr">
        <is>
          <t>landslide</t>
        </is>
      </c>
      <c r="R21" s="155" t="n">
        <v>4</v>
      </c>
      <c r="S21" s="169" t="inlineStr">
        <is>
          <t>https://news.google.com/rss/articles/CBMiuwFBVV95cUxQbU93M0hrSW4zTW1qTEQtSGtzZmRYcEJVMlc1UDQ1ZVRrRGhCYXcxaEpuTFNRLXZHdlozOXFvUzJzdzBWNVZFQW1xdXpOcThIVGN3T204N1JrOTcxOGQyT1VRRHBPSlZsWUREOXZXbTRJV29wWmtZUFhlZFFtWkRhRHRnYmRnMDQ2RTJ5VDVWUG9DaW04b0xoOGxhQTVnV2kwVkQyckVuYlVsaGdNenM0OHdGN2N6Tkw2azRR?oc=5</t>
        </is>
      </c>
      <c r="T21" s="170">
        <f>IF($B21="",0,IF(AND(OR(OR(Dashboard!$B$5="All themes",Dashboard!$B$5=""),$C21=Dashboard!$B$5),OR(OR(Dashboard!$G$5="All uses",Dashboard!$G$5=""),$E21=Dashboard!$G$5),N($D21)&gt;=Lists!$H$2,OR(OR(Dashboard!$N$5="All windows",Dashboard!$N$5=""),$P21=Dashboard!$N$5)),1,0))</f>
        <v/>
      </c>
      <c r="U21" s="171">
        <f>IF($T21=1,N($D21)*1E14+MIN(MAX(N($R21),0),9999)*1E10+MIN(N($K21),99999)*1E5+99999-MIN(ROW(),99999),"")</f>
        <v/>
      </c>
    </row>
    <row r="22" ht="53" customHeight="1">
      <c r="A22" s="155" t="n">
        <v>19</v>
      </c>
      <c r="B22" s="156" t="inlineStr">
        <is>
          <t>In Massachusetts, sinkhole questions linger as mill demolition clears way for housing units</t>
        </is>
      </c>
      <c r="C22" s="172" t="inlineStr">
        <is>
          <t>Hazards &amp; Resilience</t>
        </is>
      </c>
      <c r="D22" s="158" t="n">
        <v>4</v>
      </c>
      <c r="E22" s="173" t="inlineStr">
        <is>
          <t>Feature lead</t>
        </is>
      </c>
      <c r="F22" s="160" t="inlineStr">
        <is>
          <t>To review</t>
        </is>
      </c>
      <c r="G22" s="161" t="n"/>
      <c r="H22" s="162" t="n"/>
      <c r="I22" s="163" t="inlineStr">
        <is>
          <t>How should sinkhole origin be investigated beneath a former mill site before redevelopment for housing, and what ground remediation is needed?</t>
        </is>
      </c>
      <c r="J22" s="163" t="inlineStr">
        <is>
          <t>Yahoo</t>
        </is>
      </c>
      <c r="K22" s="164" t="n">
        <v>46319</v>
      </c>
      <c r="L22" s="163" t="n"/>
      <c r="M22" s="165" t="n"/>
      <c r="N22" s="166" t="inlineStr">
        <is>
          <t>United Kingdom</t>
        </is>
      </c>
      <c r="O22" s="164" t="n">
        <v>46318</v>
      </c>
      <c r="P22" s="167" t="inlineStr">
        <is>
          <t>2026-Q4</t>
        </is>
      </c>
      <c r="Q22" s="168" t="inlineStr">
        <is>
          <t>sinkhole</t>
        </is>
      </c>
      <c r="R22" s="155" t="n">
        <v>4</v>
      </c>
      <c r="S22" s="169" t="inlineStr">
        <is>
          <t>https://news.google.com/rss/articles/CBMimwFBVV95cUxOd3VEcWZ4d01oX25TMUhmNDFtX1QtRktKMmhoOWM5Z3BQVGV3TFE5elhLYkhPaWtCUkJTU3paUkRqQjNGdnFYbW1sNWRzRzAyaVFiYlJEWWRaZjY4ckppMTBSTWFlVUpaMHpHLVdMRU11NnFNQUp4Ymtac3UtYk03RndxbVp6V3Exc3p3RFRyTWxyYlkyTDVhcUxWSQ?oc=5</t>
        </is>
      </c>
      <c r="T22" s="170">
        <f>IF($B22="",0,IF(AND(OR(OR(Dashboard!$B$5="All themes",Dashboard!$B$5=""),$C22=Dashboard!$B$5),OR(OR(Dashboard!$G$5="All uses",Dashboard!$G$5=""),$E22=Dashboard!$G$5),N($D22)&gt;=Lists!$H$2,OR(OR(Dashboard!$N$5="All windows",Dashboard!$N$5=""),$P22=Dashboard!$N$5)),1,0))</f>
        <v/>
      </c>
      <c r="U22" s="171">
        <f>IF($T22=1,N($D22)*1E14+MIN(MAX(N($R22),0),9999)*1E10+MIN(N($K22),99999)*1E5+99999-MIN(ROW(),99999),"")</f>
        <v/>
      </c>
    </row>
    <row r="23" ht="53" customHeight="1">
      <c r="A23" s="155" t="n">
        <v>20</v>
      </c>
      <c r="B23" s="156" t="inlineStr">
        <is>
          <t>Magnitude 7 earthquake in Biru County, Nagqu, Tibet; some houses cracked and collapsed.</t>
        </is>
      </c>
      <c r="C23" s="172" t="inlineStr">
        <is>
          <t>Hazards &amp; Resilience</t>
        </is>
      </c>
      <c r="D23" s="158" t="n">
        <v>4</v>
      </c>
      <c r="E23" s="173" t="inlineStr">
        <is>
          <t>Feature lead</t>
        </is>
      </c>
      <c r="F23" s="160" t="inlineStr">
        <is>
          <t>To review</t>
        </is>
      </c>
      <c r="G23" s="161" t="n"/>
      <c r="H23" s="162" t="n"/>
      <c r="I23" s="163" t="inlineStr">
        <is>
          <t>How do high-altitude site conditions and local soils influence seismic damage to rural houses, and what design measures suit such regions?</t>
        </is>
      </c>
      <c r="J23" s="163" t="inlineStr">
        <is>
          <t>新唐人電視台</t>
        </is>
      </c>
      <c r="K23" s="164" t="n">
        <v>46319</v>
      </c>
      <c r="L23" s="163" t="inlineStr">
        <is>
          <t>西藏那曲市巴青縣7級地震 部分房屋裂縫倒塌</t>
        </is>
      </c>
      <c r="M23" s="165" t="n"/>
      <c r="N23" s="166" t="inlineStr">
        <is>
          <t>China</t>
        </is>
      </c>
      <c r="O23" s="164" t="n">
        <v>46318</v>
      </c>
      <c r="P23" s="167" t="inlineStr">
        <is>
          <t>2026-Q4</t>
        </is>
      </c>
      <c r="Q23" s="168" t="inlineStr">
        <is>
          <t>earthquake, collapse</t>
        </is>
      </c>
      <c r="R23" s="155" t="n">
        <v>3</v>
      </c>
      <c r="S23" s="169" t="inlineStr">
        <is>
          <t>https://news.google.com/rss/articles/CBMiYEFVX3lxTE9wT0pNRFh5RUpiWk5oQnFGVUlNaGRvbE00QWtoWnQyd2RnWmxDX1JfcTFDRGdZV3R4NV8wM3JnQlhqQlpBdXZOVkQ1SkN1cGpCbEdxQWlyTGVEU3FtOWgzLdIBZkFVX3lxTE43YnlEYmJuNUtFaV9Wblc4S1VBbE5vbFRXSGNlaXhIcjlxYTRtYllySjdLSVUxNk1RTGVmZXRSbXkzUWxsWHR5djNic00yTWw1cVBUQXc2bG9PcUJ3NVlOMGFGQkI0UQ?oc=5</t>
        </is>
      </c>
      <c r="T23" s="170">
        <f>IF($B23="",0,IF(AND(OR(OR(Dashboard!$B$5="All themes",Dashboard!$B$5=""),$C23=Dashboard!$B$5),OR(OR(Dashboard!$G$5="All uses",Dashboard!$G$5=""),$E23=Dashboard!$G$5),N($D23)&gt;=Lists!$H$2,OR(OR(Dashboard!$N$5="All windows",Dashboard!$N$5=""),$P23=Dashboard!$N$5)),1,0))</f>
        <v/>
      </c>
      <c r="U23" s="171">
        <f>IF($T23=1,N($D23)*1E14+MIN(MAX(N($R23),0),9999)*1E10+MIN(N($K23),99999)*1E5+99999-MIN(ROW(),99999),"")</f>
        <v/>
      </c>
    </row>
    <row r="24" ht="53" customHeight="1">
      <c r="A24" s="155" t="n">
        <v>21</v>
      </c>
      <c r="B24" s="156" t="inlineStr">
        <is>
          <t>Giant hole discovered in Phong Nha-Ke Bang National Park.</t>
        </is>
      </c>
      <c r="C24" s="177" t="inlineStr">
        <is>
          <t>Characterisation &amp; Modelling</t>
        </is>
      </c>
      <c r="D24" s="158" t="n">
        <v>4</v>
      </c>
      <c r="E24" s="173" t="inlineStr">
        <is>
          <t>Feature lead</t>
        </is>
      </c>
      <c r="F24" s="160" t="inlineStr">
        <is>
          <t>To review</t>
        </is>
      </c>
      <c r="G24" s="161" t="n"/>
      <c r="H24" s="162" t="n"/>
      <c r="I24" s="163" t="inlineStr">
        <is>
          <t>What geological processes produced this giant hole in karst terrain, and how should such features be investigated and mapped within protected national parks?</t>
        </is>
      </c>
      <c r="J24" s="163" t="inlineStr">
        <is>
          <t>Vietnam.vn</t>
        </is>
      </c>
      <c r="K24" s="164" t="n">
        <v>46319</v>
      </c>
      <c r="L24" s="163" t="inlineStr">
        <is>
          <t>تم اكتشاف حفرة عملاقة في منتزه فونغ نها-كي بانغ الوطني</t>
        </is>
      </c>
      <c r="M24" s="165" t="n"/>
      <c r="N24" s="166" t="inlineStr">
        <is>
          <t>Egypt</t>
        </is>
      </c>
      <c r="O24" s="164" t="n">
        <v>46318</v>
      </c>
      <c r="P24" s="167" t="inlineStr">
        <is>
          <t>2026-Q4</t>
        </is>
      </c>
      <c r="Q24" s="168" t="n"/>
      <c r="R24" s="155" t="n">
        <v>0</v>
      </c>
      <c r="S24" s="169" t="inlineStr">
        <is>
          <t>https://news.google.com/rss/articles/CBMijgFBVV95cUxOUnpVR19vMWtXdWRZRlhOcXE4MTNMakhRWnhFZTVUd3lPYWh6NFJjejFkcS1mbENUSDQtMmdxaVlDNDlLdjBrNktTOEJLR3ZyWXBCbFhjVzk5NVA3b2puWXozVWhYWHlkQXZIYkdkanZYanZ6aVNNSXFiZUR6SnZKcFVGT0ZrbjFLMkt3a3F3?oc=5</t>
        </is>
      </c>
      <c r="T24" s="170">
        <f>IF($B24="",0,IF(AND(OR(OR(Dashboard!$B$5="All themes",Dashboard!$B$5=""),$C24=Dashboard!$B$5),OR(OR(Dashboard!$G$5="All uses",Dashboard!$G$5=""),$E24=Dashboard!$G$5),N($D24)&gt;=Lists!$H$2,OR(OR(Dashboard!$N$5="All windows",Dashboard!$N$5=""),$P24=Dashboard!$N$5)),1,0))</f>
        <v/>
      </c>
      <c r="U24" s="171">
        <f>IF($T24=1,N($D24)*1E14+MIN(MAX(N($R24),0),9999)*1E10+MIN(N($K24),99999)*1E5+99999-MIN(ROW(),99999),"")</f>
        <v/>
      </c>
    </row>
    <row r="25" ht="53" customHeight="1">
      <c r="A25" s="155" t="n">
        <v>22</v>
      </c>
      <c r="B25" s="156" t="inlineStr">
        <is>
          <t>Analytical study of 3D transient dynamic response of a cylindrical cavity in an elastic medium under triangular pulse load.</t>
        </is>
      </c>
      <c r="C25" s="177" t="inlineStr">
        <is>
          <t>Characterisation &amp; Modelling</t>
        </is>
      </c>
      <c r="D25" s="158" t="n">
        <v>4</v>
      </c>
      <c r="E25" s="159" t="inlineStr">
        <is>
          <t>Academia-to-Industry topic</t>
        </is>
      </c>
      <c r="F25" s="160" t="inlineStr">
        <is>
          <t>To review</t>
        </is>
      </c>
      <c r="G25" s="161" t="n"/>
      <c r="H25" s="162" t="n"/>
      <c r="I25" s="163" t="inlineStr">
        <is>
          <t>How do analytical solutions for a cylindrical cavity under triangular pulse loads inform the validation of numerical models for underground openings under impact?</t>
        </is>
      </c>
      <c r="J25" s="163" t="inlineStr">
        <is>
          <t>生物通</t>
        </is>
      </c>
      <c r="K25" s="164" t="n">
        <v>46319</v>
      </c>
      <c r="L25" s="163" t="inlineStr">
        <is>
          <t>弹性介质中圆柱形空腔受三角形脉冲冲击载荷的三维瞬态动力响应解析研究</t>
        </is>
      </c>
      <c r="M25" s="165" t="n"/>
      <c r="N25" s="166" t="inlineStr">
        <is>
          <t>China</t>
        </is>
      </c>
      <c r="O25" s="164" t="n">
        <v>46318</v>
      </c>
      <c r="P25" s="167" t="inlineStr">
        <is>
          <t>2026-Q4</t>
        </is>
      </c>
      <c r="Q25" s="168" t="n"/>
      <c r="R25" s="155" t="n">
        <v>0</v>
      </c>
      <c r="S25" s="169" t="inlineStr">
        <is>
          <t>https://news.google.com/rss/articles/CBMibkFVX3lxTE5PclBzMHZTYkNxbkRYVWFacWgzMjRTdE1JdmNYSi1xbTlBaVZLRTVjTHpCTlQ4c2lEQ2xoMk9kcEdROGxBOFI4Zk9YV3JGSXdUZDg1blVlelJzbU54VjkzTkUySEV5Z2x2aHY5R0xB?oc=5</t>
        </is>
      </c>
      <c r="T25" s="170">
        <f>IF($B25="",0,IF(AND(OR(OR(Dashboard!$B$5="All themes",Dashboard!$B$5=""),$C25=Dashboard!$B$5),OR(OR(Dashboard!$G$5="All uses",Dashboard!$G$5=""),$E25=Dashboard!$G$5),N($D25)&gt;=Lists!$H$2,OR(OR(Dashboard!$N$5="All windows",Dashboard!$N$5=""),$P25=Dashboard!$N$5)),1,0))</f>
        <v/>
      </c>
      <c r="U25" s="171">
        <f>IF($T25=1,N($D25)*1E14+MIN(MAX(N($R25),0),9999)*1E10+MIN(N($K25),99999)*1E5+99999-MIN(ROW(),99999),"")</f>
        <v/>
      </c>
    </row>
    <row r="26" ht="40.5" customHeight="1">
      <c r="A26" s="155" t="n">
        <v>23</v>
      </c>
      <c r="B26" s="156" t="inlineStr">
        <is>
          <t>Frana tra via Gentile e via Genova: scatta il senso unico alternato con il semaforo</t>
        </is>
      </c>
      <c r="C26" s="172" t="inlineStr">
        <is>
          <t>Hazards &amp; Resilience</t>
        </is>
      </c>
      <c r="D26" s="158" t="n">
        <v>3</v>
      </c>
      <c r="E26" s="178" t="inlineStr">
        <is>
          <t>Watch only</t>
        </is>
      </c>
      <c r="F26" s="160" t="inlineStr">
        <is>
          <t>To review</t>
        </is>
      </c>
      <c r="G26" s="161" t="n"/>
      <c r="H26" s="162" t="n"/>
      <c r="I26" s="163" t="inlineStr">
        <is>
          <t>Does a landslide on an urban road indicate ground instability requiring geotechnical investigation before reopening?</t>
        </is>
      </c>
      <c r="J26" s="163" t="inlineStr">
        <is>
          <t>Savona News</t>
        </is>
      </c>
      <c r="K26" s="164" t="n">
        <v>46319</v>
      </c>
      <c r="L26" s="163" t="n"/>
      <c r="M26" s="165" t="n"/>
      <c r="N26" s="166" t="inlineStr">
        <is>
          <t>Italy</t>
        </is>
      </c>
      <c r="O26" s="164" t="n">
        <v>46319</v>
      </c>
      <c r="P26" s="167" t="inlineStr">
        <is>
          <t>2026-Q4</t>
        </is>
      </c>
      <c r="Q26" s="168" t="inlineStr">
        <is>
          <t>landslide</t>
        </is>
      </c>
      <c r="R26" s="155" t="n">
        <v>10</v>
      </c>
      <c r="S26" s="169" t="inlineStr">
        <is>
          <t>https://news.google.com/rss/articles/CBMi7gFBVV95cUxPTThpMkFRUmE3cEhvQ3NuWmhJRnd5UTJ2eFpxUDN1NTJUTmQ0RWhOTlc5M2MyNzVJeUd4TUtzb1BaaUdmdVpRYjN6LXBtdUxubGx4WHVTQ1NQNzU0QVI3N29nNkdWRGdtWTFGYjg2LWU2M0pXY3phYktYM3JVVm9fbjlTdGZRV0I3ZE40eVAxMkJMVlYxRlQzVnpVdFlETlh6a1NKSXNocTU0ZE0zX09tSHhwbXZGa3VZdzJDMTBNMHhoWGwwM2JNbk1BbE94QjhNQW5oY2QwY3RudmhSX2FlcWlxWURMNk04TVNFMU5R0gHuAUFVX3lxTE9NOGkyQVFSYTdwSG9Dc25aaElGd3lRMnZ4WnFQM3U1MlROZDRFaE5OVzkzYzI3NUl5R3hNS3NvUFppR2Z1WlFiM3otcG11TG5sbHhYdVNDU1A3NTRBUjc3b2c2R1ZEZ21ZMUZiODYtZTYzSldjemFiS1gzclVWb19uOVN0ZlFXQjdkTjR5UDEyQkxWVjFGVDNWelV0WUROWHprU0pJc2hxNTRkTTNfT21IeHBtdkZrdVl3MkMxME0weGhYbDAzYk1uTUFsT3hCOE1BbmhjZDBjdG52aFJfYWVxaXFZREw2TThNU0UxTlE?oc=5</t>
        </is>
      </c>
      <c r="T26" s="170">
        <f>IF($B26="",0,IF(AND(OR(OR(Dashboard!$B$5="All themes",Dashboard!$B$5=""),$C26=Dashboard!$B$5),OR(OR(Dashboard!$G$5="All uses",Dashboard!$G$5=""),$E26=Dashboard!$G$5),N($D26)&gt;=Lists!$H$2,OR(OR(Dashboard!$N$5="All windows",Dashboard!$N$5=""),$P26=Dashboard!$N$5)),1,0))</f>
        <v/>
      </c>
      <c r="U26" s="171">
        <f>IF($T26=1,N($D26)*1E14+MIN(MAX(N($R26),0),9999)*1E10+MIN(N($K26),99999)*1E5+99999-MIN(ROW(),99999),"")</f>
        <v/>
      </c>
    </row>
    <row r="27" ht="40.5" customHeight="1">
      <c r="A27" s="155" t="n">
        <v>24</v>
      </c>
      <c r="B27" s="156" t="inlineStr">
        <is>
          <t>Torrential rain brings hidden hazards: mountain floods and landslides must be strictly prevented; public service advertisement</t>
        </is>
      </c>
      <c r="C27" s="172" t="inlineStr">
        <is>
          <t>Hazards &amp; Resilience</t>
        </is>
      </c>
      <c r="D27" s="158" t="n">
        <v>3</v>
      </c>
      <c r="E27" s="178" t="inlineStr">
        <is>
          <t>Watch only</t>
        </is>
      </c>
      <c r="F27" s="160" t="inlineStr">
        <is>
          <t>To review</t>
        </is>
      </c>
      <c r="G27" s="161" t="n"/>
      <c r="H27" s="162" t="n"/>
      <c r="I27" s="163" t="inlineStr">
        <is>
          <t>How do mountain flood and landslide hazards during intense rainfall get prevented through early warning and slope management?</t>
        </is>
      </c>
      <c r="J27" s="163" t="inlineStr">
        <is>
          <t>凤凰网</t>
        </is>
      </c>
      <c r="K27" s="164" t="n">
        <v>46319</v>
      </c>
      <c r="L27" s="163" t="inlineStr">
        <is>
          <t>暴雨来袭隐患藏 山洪滑坡需严防｜公益广告</t>
        </is>
      </c>
      <c r="M27" s="165" t="n"/>
      <c r="N27" s="166" t="inlineStr">
        <is>
          <t>China</t>
        </is>
      </c>
      <c r="O27" s="164" t="n">
        <v>46318</v>
      </c>
      <c r="P27" s="167" t="inlineStr">
        <is>
          <t>2026-Q4</t>
        </is>
      </c>
      <c r="Q27" s="168" t="inlineStr">
        <is>
          <t>landslide</t>
        </is>
      </c>
      <c r="R27" s="155" t="n">
        <v>10</v>
      </c>
      <c r="S27" s="169" t="inlineStr">
        <is>
          <t>https://news.google.com/rss/articles/CBMiTEFVX3lxTE5jQUtRMEZxbjBPU3kxaVdvdjhRc09sV2NnalVMYklmVHFZQmwybkFHUjRLMVYtdzlvS3laVGlFMGw4aXhtdTduc1o4c3U?oc=5</t>
        </is>
      </c>
      <c r="T27" s="170">
        <f>IF($B27="",0,IF(AND(OR(OR(Dashboard!$B$5="All themes",Dashboard!$B$5=""),$C27=Dashboard!$B$5),OR(OR(Dashboard!$G$5="All uses",Dashboard!$G$5=""),$E27=Dashboard!$G$5),N($D27)&gt;=Lists!$H$2,OR(OR(Dashboard!$N$5="All windows",Dashboard!$N$5=""),$P27=Dashboard!$N$5)),1,0))</f>
        <v/>
      </c>
      <c r="U27" s="171">
        <f>IF($T27=1,N($D27)*1E14+MIN(MAX(N($R27),0),9999)*1E10+MIN(N($K27),99999)*1E5+99999-MIN(ROW(),99999),"")</f>
        <v/>
      </c>
    </row>
    <row r="28" ht="53" customHeight="1">
      <c r="A28" s="155" t="n">
        <v>25</v>
      </c>
      <c r="B28" s="156" t="inlineStr">
        <is>
          <t>What options exist for Mot Mountain in Quy Nhon: levelling it or preserving the historic site?</t>
        </is>
      </c>
      <c r="C28" s="176" t="inlineStr">
        <is>
          <t>Infrastructure &amp; the Underground City</t>
        </is>
      </c>
      <c r="D28" s="158" t="n">
        <v>3</v>
      </c>
      <c r="E28" s="173" t="inlineStr">
        <is>
          <t>Feature lead</t>
        </is>
      </c>
      <c r="F28" s="160" t="inlineStr">
        <is>
          <t>To review</t>
        </is>
      </c>
      <c r="G28" s="161" t="n"/>
      <c r="H28" s="162" t="n"/>
      <c r="I28" s="163" t="inlineStr">
        <is>
          <t>What geotechnical and heritage considerations should guide levelling versus preserving a rocky hill site in an urban coastal city?</t>
        </is>
      </c>
      <c r="J28" s="163" t="inlineStr">
        <is>
          <t>Vietnam.vn</t>
        </is>
      </c>
      <c r="K28" s="164" t="n">
        <v>46319</v>
      </c>
      <c r="L28" s="163" t="inlineStr">
        <is>
          <t>Apa saja pilihan yang tersedia untuk Gunung Mot di Quy Nhon: meratakannya atau melestarikan situs bersejarah tersebut?</t>
        </is>
      </c>
      <c r="M28" s="165" t="n"/>
      <c r="N28" s="166" t="inlineStr">
        <is>
          <t>Indonesia</t>
        </is>
      </c>
      <c r="O28" s="164" t="n">
        <v>46319</v>
      </c>
      <c r="P28" s="167" t="inlineStr">
        <is>
          <t>2026-Q4</t>
        </is>
      </c>
      <c r="Q28" s="168" t="n"/>
      <c r="R28" s="155" t="n">
        <v>6</v>
      </c>
      <c r="S28" s="169" t="inlineStr">
        <is>
          <t>https://news.google.com/rss/articles/CBMilgFBVV95cUxPbVV1NmdrOGFidElfXzZzV1ppbDBCOEc5V0luUWxOSTAwMXNGdmhVMkoxMjUwSUpmbU5lQlBuNkFVTXZGMk5IRzd5Y0taREt0ckRUT3VqSjBfbGFPTmRjUTZFS18wLTQ5Wi1ZdnFtYWd1QmN0U0Nsekx4ZzR0YVk0dmhhTXVpTW1rdEpCbGlKLTZNVXVzMEE?oc=5</t>
        </is>
      </c>
      <c r="T28" s="170">
        <f>IF($B28="",0,IF(AND(OR(OR(Dashboard!$B$5="All themes",Dashboard!$B$5=""),$C28=Dashboard!$B$5),OR(OR(Dashboard!$G$5="All uses",Dashboard!$G$5=""),$E28=Dashboard!$G$5),N($D28)&gt;=Lists!$H$2,OR(OR(Dashboard!$N$5="All windows",Dashboard!$N$5=""),$P28=Dashboard!$N$5)),1,0))</f>
        <v/>
      </c>
      <c r="U28" s="171">
        <f>IF($T28=1,N($D28)*1E14+MIN(MAX(N($R28),0),9999)*1E10+MIN(N($K28),99999)*1E5+99999-MIN(ROW(),99999),"")</f>
        <v/>
      </c>
    </row>
    <row r="29" ht="53" customHeight="1">
      <c r="A29" s="155" t="n">
        <v>26</v>
      </c>
      <c r="B29" s="156" t="inlineStr">
        <is>
          <t>At Khanh Le pass, vehicles are stopped in groups to face rockfall risk</t>
        </is>
      </c>
      <c r="C29" s="172" t="inlineStr">
        <is>
          <t>Hazards &amp; Resilience</t>
        </is>
      </c>
      <c r="D29" s="158" t="n">
        <v>3</v>
      </c>
      <c r="E29" s="175" t="inlineStr">
        <is>
          <t>Regional insight</t>
        </is>
      </c>
      <c r="F29" s="160" t="inlineStr">
        <is>
          <t>To review</t>
        </is>
      </c>
      <c r="G29" s="161" t="n"/>
      <c r="H29" s="162" t="n"/>
      <c r="I29" s="163" t="inlineStr">
        <is>
          <t>How should rockfall risk on mountain roads be assessed and mitigated, and when is traffic control sufficient versus slope engineering?</t>
        </is>
      </c>
      <c r="J29" s="163" t="inlineStr">
        <is>
          <t>Vietnam.vn</t>
        </is>
      </c>
      <c r="K29" s="164" t="n">
        <v>46319</v>
      </c>
      <c r="L29" s="163" t="inlineStr">
        <is>
          <t>Au col de Khanh Le, les véhicules sont arrêtés par groupes pour faire face au risque de chutes de pierres.</t>
        </is>
      </c>
      <c r="M29" s="165" t="n"/>
      <c r="N29" s="166" t="inlineStr">
        <is>
          <t>France</t>
        </is>
      </c>
      <c r="O29" s="164" t="n">
        <v>46317</v>
      </c>
      <c r="P29" s="167" t="inlineStr">
        <is>
          <t>2026-Q4</t>
        </is>
      </c>
      <c r="Q29" s="168" t="n"/>
      <c r="R29" s="155" t="n">
        <v>6</v>
      </c>
      <c r="S29" s="169" t="inlineStr">
        <is>
          <t>https://news.google.com/rss/articles/CBMihgFBVV95cUxPWEJjZzVNcHVub2RyNTNCN3huS0djNHpyQnA4YVJGdEtQSG9jTzdtMkRoR2lveGlsSmlZcmE0UGZsMVdnYThVT2phYU0zdjBoeDM1VkJlUUlGOUNQSmVoOFYyLVBRSF9manVQWW5jdUZsQThDUm5fU0J0NDBHT3VfV0lYNEwwdw?oc=5</t>
        </is>
      </c>
      <c r="T29" s="170">
        <f>IF($B29="",0,IF(AND(OR(OR(Dashboard!$B$5="All themes",Dashboard!$B$5=""),$C29=Dashboard!$B$5),OR(OR(Dashboard!$G$5="All uses",Dashboard!$G$5=""),$E29=Dashboard!$G$5),N($D29)&gt;=Lists!$H$2,OR(OR(Dashboard!$N$5="All windows",Dashboard!$N$5=""),$P29=Dashboard!$N$5)),1,0))</f>
        <v/>
      </c>
      <c r="U29" s="171">
        <f>IF($T29=1,N($D29)*1E14+MIN(MAX(N($R29),0),9999)*1E10+MIN(N($K29),99999)*1E5+99999-MIN(ROW(),99999),"")</f>
        <v/>
      </c>
    </row>
    <row r="30" ht="53" customHeight="1">
      <c r="A30" s="155" t="n">
        <v>27</v>
      </c>
      <c r="B30" s="156" t="inlineStr">
        <is>
          <t>Benjamin Banneker Middle School open following water main break, sinkhole repairs</t>
        </is>
      </c>
      <c r="C30" s="176" t="inlineStr">
        <is>
          <t>Infrastructure &amp; the Underground City</t>
        </is>
      </c>
      <c r="D30" s="158" t="n">
        <v>3</v>
      </c>
      <c r="E30" s="174" t="inlineStr">
        <is>
          <t>News brief</t>
        </is>
      </c>
      <c r="F30" s="160" t="inlineStr">
        <is>
          <t>To review</t>
        </is>
      </c>
      <c r="G30" s="161" t="n"/>
      <c r="H30" s="162" t="n"/>
      <c r="I30" s="163" t="inlineStr">
        <is>
          <t>How do water main breaks undermine shallow soils and cause sinkholes, and what ground investigation would prevent school-site reopening delays?</t>
        </is>
      </c>
      <c r="J30" s="163" t="inlineStr">
        <is>
          <t>AOL.com</t>
        </is>
      </c>
      <c r="K30" s="164" t="n">
        <v>46319</v>
      </c>
      <c r="L30" s="163" t="n"/>
      <c r="M30" s="165" t="n"/>
      <c r="N30" s="166" t="inlineStr">
        <is>
          <t>United Kingdom</t>
        </is>
      </c>
      <c r="O30" s="164" t="n">
        <v>46317</v>
      </c>
      <c r="P30" s="167" t="inlineStr">
        <is>
          <t>2026-Q4</t>
        </is>
      </c>
      <c r="Q30" s="168" t="inlineStr">
        <is>
          <t>sinkhole</t>
        </is>
      </c>
      <c r="R30" s="155" t="n">
        <v>4</v>
      </c>
      <c r="S30" s="169" t="inlineStr">
        <is>
          <t>https://news.google.com/rss/articles/CBMihwFBVV95cUxQTm9rZVd2Tm9uUHpadkRIeXVwdkhhLTIyVjNESDJYOFBRWS1oUVlQaHRVVkE2cDJ6ekVwQ2pNRVZma25ySjJHQjU5ZHJMT0UtOHVCMnN5dlpJR2p2dUpzVXY5R2hkdFhFX2xBUlhQb1VCN3BxUEozeVJlek1pcWpDbkpheUxxcm8?oc=5</t>
        </is>
      </c>
      <c r="T30" s="170">
        <f>IF($B30="",0,IF(AND(OR(OR(Dashboard!$B$5="All themes",Dashboard!$B$5=""),$C30=Dashboard!$B$5),OR(OR(Dashboard!$G$5="All uses",Dashboard!$G$5=""),$E30=Dashboard!$G$5),N($D30)&gt;=Lists!$H$2,OR(OR(Dashboard!$N$5="All windows",Dashboard!$N$5=""),$P30=Dashboard!$N$5)),1,0))</f>
        <v/>
      </c>
      <c r="U30" s="171">
        <f>IF($T30=1,N($D30)*1E14+MIN(MAX(N($R30),0),9999)*1E10+MIN(N($K30),99999)*1E5+99999-MIN(ROW(),99999),"")</f>
        <v/>
      </c>
    </row>
    <row r="31" ht="53" customHeight="1">
      <c r="A31" s="155" t="n">
        <v>28</v>
      </c>
      <c r="B31" s="156" t="inlineStr">
        <is>
          <t>Landslide Derails Locomotive in Keralam, Train Services Restored</t>
        </is>
      </c>
      <c r="C31" s="176" t="inlineStr">
        <is>
          <t>Infrastructure &amp; the Underground City</t>
        </is>
      </c>
      <c r="D31" s="158" t="n">
        <v>3</v>
      </c>
      <c r="E31" s="174" t="inlineStr">
        <is>
          <t>News brief</t>
        </is>
      </c>
      <c r="F31" s="160" t="inlineStr">
        <is>
          <t>To review</t>
        </is>
      </c>
      <c r="G31" s="161" t="n"/>
      <c r="H31" s="162" t="n"/>
      <c r="I31" s="163" t="inlineStr">
        <is>
          <t>What slope or embankment failure caused the locomotive derailment, and how should rail corridors be assessed for landslide risk?</t>
        </is>
      </c>
      <c r="J31" s="163" t="inlineStr">
        <is>
          <t>Deccan Chronicle</t>
        </is>
      </c>
      <c r="K31" s="164" t="n">
        <v>46319</v>
      </c>
      <c r="L31" s="163" t="n"/>
      <c r="M31" s="165" t="n"/>
      <c r="N31" s="166" t="inlineStr">
        <is>
          <t>Singapore</t>
        </is>
      </c>
      <c r="O31" s="164" t="n">
        <v>46317</v>
      </c>
      <c r="P31" s="167" t="inlineStr">
        <is>
          <t>2026-Q4</t>
        </is>
      </c>
      <c r="Q31" s="168" t="inlineStr">
        <is>
          <t>landslide</t>
        </is>
      </c>
      <c r="R31" s="155" t="n">
        <v>4</v>
      </c>
      <c r="S31" s="169" t="inlineStr">
        <is>
          <t>https://news.google.com/rss/articles/CBMiygFBVV95cUxPanNzOTkybjgybXo3ZDZ4R2psV2Zkd0VaTi05MWJOSFRkU1BQc29aZEpPQmtEMWUxNUgyUUlfbUt1XzZqa2swd2dESjVuU2lXUG1IVnk3VGIyM05LMzZHTjRyZmdlT0pYb3NGRDVLUXEyMkFrSF8ydWkwZG13ZlV6TGYzSFl4ZUZwQnVqajFPc3Rtc3VRYm1MUHhUUWVtUEJpOFFRVm1XeVV2bVlGMDBVTy1hNVlPTTRjQzd1bnJKUld3QVJRQlRwWVBn0gHKAUFVX3lxTE9qc3M5OTJuODJtejdkNnhHamxXZmR3RVpOLTkxYk5IVGRTUFBzb1pkSk9Ca0QxZTE1SDJRSV9tS3VfNmprazB3Z0RKNW5TaVdQbUhWeTdUYjIzTkszNkdONHJmZ2VPSlhvc0ZENUtRcTIyQWtIXzJ1aTBkbXdmVXpMZjNIWXhlRnBCdWpqMU9zdG1zdVFibUxQeFRRZW1QQmk4UVFWbVd5VXZtWUYwMFVPLWE1WU9NNGNDN3VuckpSV3dBUlFCVHBZUGc?oc=5</t>
        </is>
      </c>
      <c r="T31" s="170">
        <f>IF($B31="",0,IF(AND(OR(OR(Dashboard!$B$5="All themes",Dashboard!$B$5=""),$C31=Dashboard!$B$5),OR(OR(Dashboard!$G$5="All uses",Dashboard!$G$5=""),$E31=Dashboard!$G$5),N($D31)&gt;=Lists!$H$2,OR(OR(Dashboard!$N$5="All windows",Dashboard!$N$5=""),$P31=Dashboard!$N$5)),1,0))</f>
        <v/>
      </c>
      <c r="U31" s="171">
        <f>IF($T31=1,N($D31)*1E14+MIN(MAX(N($R31),0),9999)*1E10+MIN(N($K31),99999)*1E5+99999-MIN(ROW(),99999),"")</f>
        <v/>
      </c>
    </row>
    <row r="32" ht="53" customHeight="1">
      <c r="A32" s="155" t="n">
        <v>29</v>
      </c>
      <c r="B32" s="156" t="inlineStr">
        <is>
          <t>Gia Lai province People's Committee chairman discusses proposal to level Mot Mountain.</t>
        </is>
      </c>
      <c r="C32" s="179" t="inlineStr">
        <is>
          <t>Geotechnics &amp; Society</t>
        </is>
      </c>
      <c r="D32" s="158" t="n">
        <v>3</v>
      </c>
      <c r="E32" s="175" t="inlineStr">
        <is>
          <t>Regional insight</t>
        </is>
      </c>
      <c r="F32" s="160" t="inlineStr">
        <is>
          <t>To review</t>
        </is>
      </c>
      <c r="G32" s="161" t="n"/>
      <c r="H32" s="162" t="n"/>
      <c r="I32" s="163" t="inlineStr">
        <is>
          <t>What are the geotechnical feasibility issues of levelling a hill, including rock quality, slope excavation and stability, compared with preservation?</t>
        </is>
      </c>
      <c r="J32" s="163" t="inlineStr">
        <is>
          <t>Vietnam.vn</t>
        </is>
      </c>
      <c r="K32" s="164" t="n">
        <v>46319</v>
      </c>
      <c r="L32" s="163" t="inlineStr">
        <is>
          <t>رئيس اللجنة الشعبية لمقاطعة جيا لاي يتحدث عن اقتراح تسوية جبل موت.</t>
        </is>
      </c>
      <c r="M32" s="165" t="n"/>
      <c r="N32" s="166" t="inlineStr">
        <is>
          <t>Egypt</t>
        </is>
      </c>
      <c r="O32" s="164" t="n">
        <v>46318</v>
      </c>
      <c r="P32" s="167" t="inlineStr">
        <is>
          <t>2026-Q4</t>
        </is>
      </c>
      <c r="Q32" s="168" t="n"/>
      <c r="R32" s="155" t="n">
        <v>0</v>
      </c>
      <c r="S32" s="169" t="inlineStr">
        <is>
          <t>https://news.google.com/rss/articles/CBMijgFBVV95cUxNdzRhVnVlVUVUU1k4S3pUQVo2RFJENXlEM1V6Z2FrVzRMQ2cxb0pZNkJpWUY5UWFHd1ZIUEZmU2x4SGtydEtXN3k2bTBIYWQ3VmZNZkNTRkhfRFctd3JZdThkRW1HTWIxYmVXRDZsazFZVTJsUzVjTWk0R2FIUElZRG5lLUpaeXpHRlZSdFBn?oc=5</t>
        </is>
      </c>
      <c r="T32" s="170">
        <f>IF($B32="",0,IF(AND(OR(OR(Dashboard!$B$5="All themes",Dashboard!$B$5=""),$C32=Dashboard!$B$5),OR(OR(Dashboard!$G$5="All uses",Dashboard!$G$5=""),$E32=Dashboard!$G$5),N($D32)&gt;=Lists!$H$2,OR(OR(Dashboard!$N$5="All windows",Dashboard!$N$5=""),$P32=Dashboard!$N$5)),1,0))</f>
        <v/>
      </c>
      <c r="U32" s="171">
        <f>IF($T32=1,N($D32)*1E14+MIN(MAX(N($R32),0),9999)*1E10+MIN(N($K32),99999)*1E5+99999-MIN(ROW(),99999),"")</f>
        <v/>
      </c>
    </row>
    <row r="33" ht="53" customHeight="1">
      <c r="A33" s="155" t="n">
        <v>30</v>
      </c>
      <c r="B33" s="156" t="inlineStr">
        <is>
          <t>What are the options for Mot Mountain in Quy Nhon: level it or preserve the historic site?</t>
        </is>
      </c>
      <c r="C33" s="179" t="inlineStr">
        <is>
          <t>Geotechnics &amp; Society</t>
        </is>
      </c>
      <c r="D33" s="158" t="n">
        <v>3</v>
      </c>
      <c r="E33" s="175" t="inlineStr">
        <is>
          <t>Regional insight</t>
        </is>
      </c>
      <c r="F33" s="160" t="inlineStr">
        <is>
          <t>To review</t>
        </is>
      </c>
      <c r="G33" s="161" t="n"/>
      <c r="H33" s="162" t="n"/>
      <c r="I33" s="163" t="inlineStr">
        <is>
          <t>What geotechnical assessments would be needed to compare levelling Mot Mountain with conserving its historic site, including rock stability and foundation implications?</t>
        </is>
      </c>
      <c r="J33" s="163" t="inlineStr">
        <is>
          <t>Vietnam.vn</t>
        </is>
      </c>
      <c r="K33" s="164" t="n">
        <v>46319</v>
      </c>
      <c r="L33" s="163" t="inlineStr">
        <is>
          <t>Quais são as opções para o Monte Mot em Quy Nhon: nivelá-lo ou preservar o sítio histórico?</t>
        </is>
      </c>
      <c r="M33" s="165" t="n"/>
      <c r="N33" s="166" t="inlineStr">
        <is>
          <t>Brazil</t>
        </is>
      </c>
      <c r="O33" s="164" t="n">
        <v>46319</v>
      </c>
      <c r="P33" s="167" t="inlineStr">
        <is>
          <t>2026-Q4</t>
        </is>
      </c>
      <c r="Q33" s="168" t="n"/>
      <c r="R33" s="155" t="n">
        <v>0</v>
      </c>
      <c r="S33" s="169" t="inlineStr">
        <is>
          <t>https://news.google.com/rss/articles/CBMilgFBVV95cUxNS29sd2RXaDlmWXJYMzNQSnJKZGpCWmJpOE9kVEdWQ2RFcUd0UHBGdHdRczJLbFRwTHFDb0ZPY1lHOHNsRGtTLXhTb081eGdyWF9YcmcxZkFrc2VNNzBJOUxNU1ppYnZtWlZBTTlZcXNfa2xNVUZWRTUyMkRlTHRUMmJ4Nk95a1kybUNTTmVPaklQSHktWUE?oc=5</t>
        </is>
      </c>
      <c r="T33" s="170">
        <f>IF($B33="",0,IF(AND(OR(OR(Dashboard!$B$5="All themes",Dashboard!$B$5=""),$C33=Dashboard!$B$5),OR(OR(Dashboard!$G$5="All uses",Dashboard!$G$5=""),$E33=Dashboard!$G$5),N($D33)&gt;=Lists!$H$2,OR(OR(Dashboard!$N$5="All windows",Dashboard!$N$5=""),$P33=Dashboard!$N$5)),1,0))</f>
        <v/>
      </c>
      <c r="U33" s="171">
        <f>IF($T33=1,N($D33)*1E14+MIN(MAX(N($R33),0),9999)*1E10+MIN(N($K33),99999)*1E5+99999-MIN(ROW(),99999),"")</f>
        <v/>
      </c>
    </row>
  </sheetData>
  <conditionalFormatting sqref="F4:F33">
    <cfRule type="cellIs" priority="1" operator="equal" dxfId="16">
      <formula>"To review"</formula>
    </cfRule>
    <cfRule type="cellIs" priority="2" operator="equal" dxfId="17">
      <formula>"Shortlisted"</formula>
    </cfRule>
    <cfRule type="cellIs" priority="3" operator="equal" dxfId="18">
      <formula>"Commissioned"</formula>
    </cfRule>
    <cfRule type="cellIs" priority="4" operator="equal" dxfId="19">
      <formula>"Published"</formula>
    </cfRule>
    <cfRule type="cellIs" priority="5" operator="equal" dxfId="20">
      <formula>"Not used"</formula>
    </cfRule>
  </conditionalFormatting>
  <conditionalFormatting sqref="A4:S33">
    <cfRule type="expression" priority="6" dxfId="15">
      <formula>$F4="Not used"</formula>
    </cfRule>
  </conditionalFormatting>
  <conditionalFormatting sqref="D4:D33">
    <cfRule type="cellIs" priority="7" operator="equal" dxfId="10">
      <formula>5</formula>
    </cfRule>
    <cfRule type="cellIs" priority="8" operator="equal" dxfId="11">
      <formula>4</formula>
    </cfRule>
    <cfRule type="cellIs" priority="9" operator="equal" dxfId="12">
      <formula>3</formula>
    </cfRule>
    <cfRule type="cellIs" priority="10" operator="equal" dxfId="13">
      <formula>2</formula>
    </cfRule>
    <cfRule type="cellIs" priority="11" operator="equal" dxfId="14">
      <formula>1</formula>
    </cfRule>
    <cfRule type="cellIs" priority="12" operator="equal" dxfId="15">
      <formula>0</formula>
    </cfRule>
  </conditionalFormatting>
  <dataValidations count="1">
    <dataValidation sqref="F4:F33" showDropDown="0" showInputMessage="1" showErrorMessage="1" allowBlank="1" errorTitle="Status" error="Choose a status from the list." promptTitle="Status" prompt="Pick: To review, Shortlisted, Commissioned, Published or Not used." type="list">
      <formula1>Lists!$E$2:$E$6</formula1>
    </dataValidation>
  </dataValidations>
  <hyperlinks>
    <hyperlink ref="C1" location="'Dashboard'!A1" display="← Dashboard"/>
    <hyperlink ref="D1" location="'Start here'!A1" display="↑ Start here"/>
    <hyperlink ref="E1" location="'By theme'!A1" display="By theme →"/>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31"/>
  </tableParts>
</worksheet>
</file>

<file path=xl/worksheets/sheet4.xml><?xml version="1.0" encoding="utf-8"?>
<worksheet xmlns="http://schemas.openxmlformats.org/spreadsheetml/2006/main">
  <sheetPr>
    <tabColor rgb="001F9D63"/>
    <outlinePr applyStyles="0" summaryBelow="0" summaryRight="1"/>
    <pageSetUpPr fitToPage="1"/>
  </sheetPr>
  <dimension ref="A1:I47"/>
  <sheetViews>
    <sheetView showGridLines="0" tabSelected="0" workbookViewId="0">
      <pane ySplit="2" topLeftCell="A3" activePane="bottomLeft" state="frozen"/>
      <selection pane="bottomLeft" activeCell="A1" sqref="A1"/>
    </sheetView>
  </sheetViews>
  <sheetFormatPr baseColWidth="8" defaultRowHeight="15" outlineLevelRow="1"/>
  <cols>
    <col width="6" customWidth="1" min="1" max="1"/>
    <col width="10" customWidth="1" min="2" max="2"/>
    <col width="56" customWidth="1" min="3" max="3"/>
    <col width="12" customWidth="1" min="4" max="4"/>
    <col width="17" customWidth="1" min="5" max="5"/>
    <col width="14" customWidth="1" min="6" max="6"/>
    <col width="20" customWidth="1" min="7" max="7"/>
    <col width="12" customWidth="1" min="8" max="8"/>
    <col width="50" customWidth="1" min="9" max="9"/>
  </cols>
  <sheetData>
    <row r="1" ht="26" customHeight="1">
      <c r="A1" s="149" t="inlineStr">
        <is>
          <t>Stories by theme</t>
        </is>
      </c>
      <c r="D1" s="150" t="inlineStr">
        <is>
          <t>← Dashboard</t>
        </is>
      </c>
      <c r="E1" s="150" t="inlineStr">
        <is>
          <t>↑ Start here</t>
        </is>
      </c>
      <c r="F1" s="150" t="inlineStr">
        <is>
          <t>Stories →</t>
        </is>
      </c>
    </row>
    <row r="2" ht="16" customHeight="1">
      <c r="A2" s="151" t="inlineStr">
        <is>
          <t>Read-only view, best stories first. Click − / + in the margin on the left to collapse or expand a theme (or the 1 / 2 buttons for all). Status comes from the Stories sheet.</t>
        </is>
      </c>
    </row>
    <row r="4" ht="26" customHeight="1">
      <c r="A4" s="180" t="inlineStr">
        <is>
          <t>Digital Geotechnics   ·   1 story   ·   1 rated 5 / 5   ·   0 feature leads</t>
        </is>
      </c>
      <c r="B4" s="181" t="n"/>
      <c r="C4" s="181" t="n"/>
      <c r="D4" s="181" t="n"/>
      <c r="E4" s="181" t="n"/>
      <c r="F4" s="181" t="n"/>
      <c r="G4" s="181" t="n"/>
      <c r="H4" s="181" t="n"/>
      <c r="I4" s="181" t="n"/>
    </row>
    <row r="5" outlineLevel="1">
      <c r="A5" s="182" t="inlineStr">
        <is>
          <t>No.</t>
        </is>
      </c>
      <c r="B5" s="182" t="inlineStr">
        <is>
          <t>Relevance</t>
        </is>
      </c>
      <c r="C5" s="183" t="inlineStr">
        <is>
          <t>Headline</t>
        </is>
      </c>
      <c r="D5" s="182" t="inlineStr">
        <is>
          <t>Link</t>
        </is>
      </c>
      <c r="E5" s="183" t="inlineStr">
        <is>
          <t>Suggested use</t>
        </is>
      </c>
      <c r="F5" s="182" t="inlineStr">
        <is>
          <t>Status</t>
        </is>
      </c>
      <c r="G5" s="183" t="inlineStr">
        <is>
          <t>Source</t>
        </is>
      </c>
      <c r="H5" s="182" t="inlineStr">
        <is>
          <t>Digest</t>
        </is>
      </c>
      <c r="I5" s="183" t="inlineStr">
        <is>
          <t>Magazine angle / summary</t>
        </is>
      </c>
    </row>
    <row r="6" outlineLevel="1" ht="54" customHeight="1">
      <c r="A6" s="184" t="n">
        <v>1</v>
      </c>
      <c r="B6" s="185" t="n">
        <v>5</v>
      </c>
      <c r="C6" s="186" t="inlineStr">
        <is>
          <t>Automatic segmentation of rock mass fracture networks from UAV imagery using cross-domain transfer learning under scarce labels.</t>
        </is>
      </c>
      <c r="D6" s="187" t="inlineStr">
        <is>
          <t>Open article</t>
        </is>
      </c>
      <c r="E6" s="188" t="inlineStr">
        <is>
          <t>Academia-to-Industry topic</t>
        </is>
      </c>
      <c r="F6" s="189">
        <f>IFERROR(INDEX(Stories!$F$4:$F$33,MATCH($A6,Stories!$A$4:$A$33,0))&amp;"","")</f>
        <v/>
      </c>
      <c r="G6" s="190" t="inlineStr">
        <is>
          <t>生物通</t>
        </is>
      </c>
      <c r="H6" s="191" t="n">
        <v>46319</v>
      </c>
      <c r="I6" s="190" t="inlineStr">
        <is>
          <t>Can transfer learning from related image domains reliably segment rock fracture networks in UAV imagery when labelled data are scarce, and how accurate are the results?</t>
        </is>
      </c>
    </row>
    <row r="7" outlineLevel="1" ht="10" customHeight="1"/>
    <row r="8" ht="26" customHeight="1">
      <c r="A8" s="192" t="inlineStr">
        <is>
          <t>Hazards &amp; Resilience   ·   18 stories   ·   0 rated 5 / 5   ·   6 feature leads</t>
        </is>
      </c>
      <c r="B8" s="193" t="n"/>
      <c r="C8" s="193" t="n"/>
      <c r="D8" s="193" t="n"/>
      <c r="E8" s="193" t="n"/>
      <c r="F8" s="193" t="n"/>
      <c r="G8" s="193" t="n"/>
      <c r="H8" s="193" t="n"/>
      <c r="I8" s="193" t="n"/>
    </row>
    <row r="9" outlineLevel="1">
      <c r="A9" s="194" t="inlineStr">
        <is>
          <t>No.</t>
        </is>
      </c>
      <c r="B9" s="194" t="inlineStr">
        <is>
          <t>Relevance</t>
        </is>
      </c>
      <c r="C9" s="195" t="inlineStr">
        <is>
          <t>Headline</t>
        </is>
      </c>
      <c r="D9" s="194" t="inlineStr">
        <is>
          <t>Link</t>
        </is>
      </c>
      <c r="E9" s="195" t="inlineStr">
        <is>
          <t>Suggested use</t>
        </is>
      </c>
      <c r="F9" s="194" t="inlineStr">
        <is>
          <t>Status</t>
        </is>
      </c>
      <c r="G9" s="195" t="inlineStr">
        <is>
          <t>Source</t>
        </is>
      </c>
      <c r="H9" s="194" t="inlineStr">
        <is>
          <t>Digest</t>
        </is>
      </c>
      <c r="I9" s="195" t="inlineStr">
        <is>
          <t>Magazine angle / summary</t>
        </is>
      </c>
    </row>
    <row r="10" outlineLevel="1" ht="54" customHeight="1">
      <c r="A10" s="184" t="n">
        <v>2</v>
      </c>
      <c r="B10" s="185" t="n">
        <v>4</v>
      </c>
      <c r="C10" s="186" t="inlineStr">
        <is>
          <t>Landslide-prevention embankment threatens residential area</t>
        </is>
      </c>
      <c r="D10" s="187" t="inlineStr">
        <is>
          <t>Open article</t>
        </is>
      </c>
      <c r="E10" s="196" t="inlineStr">
        <is>
          <t>Feature lead</t>
        </is>
      </c>
      <c r="F10" s="189">
        <f>IFERROR(INDEX(Stories!$F$4:$F$33,MATCH($A10,Stories!$A$4:$A$33,0))&amp;"","")</f>
        <v/>
      </c>
      <c r="G10" s="190" t="inlineStr">
        <is>
          <t>Vietnam.vn</t>
        </is>
      </c>
      <c r="H10" s="191" t="n">
        <v>46319</v>
      </c>
      <c r="I10" s="190" t="inlineStr">
        <is>
          <t>Can retaining and protective embankments be designed to resist landslide loading from upslope slopes beside settlements, and how should such risk be assessed?</t>
        </is>
      </c>
    </row>
    <row r="11" outlineLevel="1" ht="41.5" customHeight="1">
      <c r="A11" s="184" t="n">
        <v>3</v>
      </c>
      <c r="B11" s="185" t="n">
        <v>4</v>
      </c>
      <c r="C11" s="186" t="inlineStr">
        <is>
          <t>Storms in Liguria, major landslide in Savona: the collapse destroyed a city road</t>
        </is>
      </c>
      <c r="D11" s="187" t="inlineStr">
        <is>
          <t>Open article</t>
        </is>
      </c>
      <c r="E11" s="197" t="inlineStr">
        <is>
          <t>News brief</t>
        </is>
      </c>
      <c r="F11" s="189">
        <f>IFERROR(INDEX(Stories!$F$4:$F$33,MATCH($A11,Stories!$A$4:$A$33,0))&amp;"","")</f>
        <v/>
      </c>
      <c r="G11" s="190" t="inlineStr">
        <is>
          <t>agenzia giornalistica opinione</t>
        </is>
      </c>
      <c r="H11" s="191" t="n">
        <v>46319</v>
      </c>
      <c r="I11" s="190" t="inlineStr">
        <is>
          <t>What triggered this large rock or soil slope failure in Savona during heavy rain, and what does the collapse reveal about slope stability in Liguria?</t>
        </is>
      </c>
    </row>
    <row r="12" outlineLevel="1" ht="41.5" customHeight="1">
      <c r="A12" s="184" t="n">
        <v>4</v>
      </c>
      <c r="B12" s="185" t="n">
        <v>4</v>
      </c>
      <c r="C12" s="186" t="inlineStr">
        <is>
          <t>At Khanh Le pass, traffic will be interrupted at 30-minute intervals to deal with landslides; road users should plan accordingly</t>
        </is>
      </c>
      <c r="D12" s="187" t="inlineStr">
        <is>
          <t>Open article</t>
        </is>
      </c>
      <c r="E12" s="196" t="inlineStr">
        <is>
          <t>Feature lead</t>
        </is>
      </c>
      <c r="F12" s="189">
        <f>IFERROR(INDEX(Stories!$F$4:$F$33,MATCH($A12,Stories!$A$4:$A$33,0))&amp;"","")</f>
        <v/>
      </c>
      <c r="G12" s="190" t="inlineStr">
        <is>
          <t>Vietnam.vn</t>
        </is>
      </c>
      <c r="H12" s="191" t="n">
        <v>46319</v>
      </c>
      <c r="I12" s="190" t="inlineStr">
        <is>
          <t>How should traffic management and monitoring be combined with slope stabilisation on mountain passes subject to recurrent landslides?</t>
        </is>
      </c>
    </row>
    <row r="13" outlineLevel="1" ht="41.5" customHeight="1">
      <c r="A13" s="184" t="n">
        <v>5</v>
      </c>
      <c r="B13" s="185" t="n">
        <v>4</v>
      </c>
      <c r="C13" s="186" t="inlineStr">
        <is>
          <t>Valmontone, bad weather: tuff slope collapses onto Prenestina road, road partially closed</t>
        </is>
      </c>
      <c r="D13" s="187" t="inlineStr">
        <is>
          <t>Open article</t>
        </is>
      </c>
      <c r="E13" s="197" t="inlineStr">
        <is>
          <t>News brief</t>
        </is>
      </c>
      <c r="F13" s="189">
        <f>IFERROR(INDEX(Stories!$F$4:$F$33,MATCH($A13,Stories!$A$4:$A$33,0))&amp;"","")</f>
        <v/>
      </c>
      <c r="G13" s="190" t="inlineStr">
        <is>
          <t>Il Giornale dei Castelli Romani</t>
        </is>
      </c>
      <c r="H13" s="191" t="n">
        <v>46319</v>
      </c>
      <c r="I13" s="190" t="inlineStr">
        <is>
          <t>What causes tuff cliff collapse in volcanic deposits under rainfall, and how can such slopes be assessed and stabilised near roads?</t>
        </is>
      </c>
    </row>
    <row r="14" outlineLevel="1" ht="41.5" customHeight="1">
      <c r="A14" s="184" t="n">
        <v>6</v>
      </c>
      <c r="B14" s="185" t="n">
        <v>4</v>
      </c>
      <c r="C14" s="186" t="inlineStr">
        <is>
          <t>Bonea, landslide in Capo locality: mayor closes three roads by urgent order</t>
        </is>
      </c>
      <c r="D14" s="187" t="inlineStr">
        <is>
          <t>Open article</t>
        </is>
      </c>
      <c r="E14" s="197" t="inlineStr">
        <is>
          <t>News brief</t>
        </is>
      </c>
      <c r="F14" s="189">
        <f>IFERROR(INDEX(Stories!$F$4:$F$33,MATCH($A14,Stories!$A$4:$A$33,0))&amp;"","")</f>
        <v/>
      </c>
      <c r="G14" s="190" t="inlineStr">
        <is>
          <t>Tv7 Benevento</t>
        </is>
      </c>
      <c r="H14" s="191" t="n">
        <v>46319</v>
      </c>
      <c r="I14" s="190" t="inlineStr">
        <is>
          <t>What ground investigation would confirm the landslide mechanism at Capo locality and guide safe reopening of the three closed roads?</t>
        </is>
      </c>
    </row>
    <row r="15" outlineLevel="1" ht="41.5" customHeight="1">
      <c r="A15" s="184" t="n">
        <v>7</v>
      </c>
      <c r="B15" s="185" t="n">
        <v>4</v>
      </c>
      <c r="C15" s="186" t="inlineStr">
        <is>
          <t>La frana del Cencione Tra fango e polemiche Le ruspe sono al lavoro</t>
        </is>
      </c>
      <c r="D15" s="187" t="inlineStr">
        <is>
          <t>Open article</t>
        </is>
      </c>
      <c r="E15" s="196" t="inlineStr">
        <is>
          <t>Feature lead</t>
        </is>
      </c>
      <c r="F15" s="189">
        <f>IFERROR(INDEX(Stories!$F$4:$F$33,MATCH($A15,Stories!$A$4:$A$33,0))&amp;"","")</f>
        <v/>
      </c>
      <c r="G15" s="190" t="inlineStr">
        <is>
          <t>Zazoom Social News</t>
        </is>
      </c>
      <c r="H15" s="191" t="n">
        <v>46319</v>
      </c>
      <c r="I15" s="190" t="inlineStr">
        <is>
          <t>How should authorities balance urgent earthworks with geotechnical investigation and accountability when a landslide site becomes politically contested?</t>
        </is>
      </c>
    </row>
    <row r="16" outlineLevel="1" ht="41.5" customHeight="1">
      <c r="A16" s="184" t="n">
        <v>8</v>
      </c>
      <c r="B16" s="185" t="n">
        <v>4</v>
      </c>
      <c r="C16" s="186" t="inlineStr">
        <is>
          <t>TNI helps landslide victims in Lae Ikan, Subulussalam</t>
        </is>
      </c>
      <c r="D16" s="187" t="inlineStr">
        <is>
          <t>Open article</t>
        </is>
      </c>
      <c r="E16" s="197" t="inlineStr">
        <is>
          <t>News brief</t>
        </is>
      </c>
      <c r="F16" s="189">
        <f>IFERROR(INDEX(Stories!$F$4:$F$33,MATCH($A16,Stories!$A$4:$A$33,0))&amp;"","")</f>
        <v/>
      </c>
      <c r="G16" s="190" t="inlineStr">
        <is>
          <t>RRI.co.id</t>
        </is>
      </c>
      <c r="H16" s="191" t="n">
        <v>46319</v>
      </c>
      <c r="I16" s="190" t="inlineStr">
        <is>
          <t>What role can emergency response and rapid geotechnical assessment play after a landslide in a mountainous Indonesian village?</t>
        </is>
      </c>
    </row>
    <row r="17" outlineLevel="1" ht="41.5" customHeight="1">
      <c r="A17" s="184" t="n">
        <v>9</v>
      </c>
      <c r="B17" s="185" t="n">
        <v>4</v>
      </c>
      <c r="C17" s="186" t="inlineStr">
        <is>
          <t>Source: no casualties in Tanta building collapse and 4 cars destroyed - video and photos</t>
        </is>
      </c>
      <c r="D17" s="187" t="inlineStr">
        <is>
          <t>Open article</t>
        </is>
      </c>
      <c r="E17" s="197" t="inlineStr">
        <is>
          <t>News brief</t>
        </is>
      </c>
      <c r="F17" s="189">
        <f>IFERROR(INDEX(Stories!$F$4:$F$33,MATCH($A17,Stories!$A$4:$A$33,0))&amp;"","")</f>
        <v/>
      </c>
      <c r="G17" s="190" t="inlineStr">
        <is>
          <t>Masrawy</t>
        </is>
      </c>
      <c r="H17" s="191" t="n">
        <v>46319</v>
      </c>
      <c r="I17" s="190" t="inlineStr">
        <is>
          <t>What caused the collapse of this Tanta building, and what foundation or excavation failure lessons does it offer?</t>
        </is>
      </c>
    </row>
    <row r="18" outlineLevel="1" ht="41.5" customHeight="1">
      <c r="A18" s="184" t="n">
        <v>10</v>
      </c>
      <c r="B18" s="185" t="n">
        <v>4</v>
      </c>
      <c r="C18" s="186" t="inlineStr">
        <is>
          <t>25 subdistricts in Bandung Regency classified as medium-high landslide potential</t>
        </is>
      </c>
      <c r="D18" s="187" t="inlineStr">
        <is>
          <t>Open article</t>
        </is>
      </c>
      <c r="E18" s="198" t="inlineStr">
        <is>
          <t>Regional insight</t>
        </is>
      </c>
      <c r="F18" s="189">
        <f>IFERROR(INDEX(Stories!$F$4:$F$33,MATCH($A18,Stories!$A$4:$A$33,0))&amp;"","")</f>
        <v/>
      </c>
      <c r="G18" s="190" t="inlineStr">
        <is>
          <t>Pikiran-Rakyat.com</t>
        </is>
      </c>
      <c r="H18" s="191" t="n">
        <v>46319</v>
      </c>
      <c r="I18" s="190" t="inlineStr">
        <is>
          <t>How are landslide susceptibility maps produced for districts, and how should medium-high hazard classes inform land-use planning?</t>
        </is>
      </c>
    </row>
    <row r="19" outlineLevel="1" ht="54" customHeight="1">
      <c r="A19" s="184" t="n">
        <v>15</v>
      </c>
      <c r="B19" s="185" t="n">
        <v>4</v>
      </c>
      <c r="C19" s="186" t="inlineStr">
        <is>
          <t>Special feature: Typhoon No. 25 triggers many landslides; dangers hidden in Chiba's Boso Peninsula terrain, 'high valley density'.</t>
        </is>
      </c>
      <c r="D19" s="187" t="inlineStr">
        <is>
          <t>Open article</t>
        </is>
      </c>
      <c r="E19" s="196" t="inlineStr">
        <is>
          <t>Feature lead</t>
        </is>
      </c>
      <c r="F19" s="189">
        <f>IFERROR(INDEX(Stories!$F$4:$F$33,MATCH($A19,Stories!$A$4:$A$33,0))&amp;"","")</f>
        <v/>
      </c>
      <c r="G19" s="190" t="inlineStr">
        <is>
          <t>Yahoo!ニュース</t>
        </is>
      </c>
      <c r="H19" s="191" t="n">
        <v>46319</v>
      </c>
      <c r="I19" s="190" t="inlineStr">
        <is>
          <t>Why does high valley density amplify landslide susceptibility in the Boso Peninsula, and how do weathered sedimentary slopes respond to intense typhoon rainfall?</t>
        </is>
      </c>
    </row>
    <row r="20" outlineLevel="1" ht="41.5" customHeight="1">
      <c r="A20" s="184" t="n">
        <v>16</v>
      </c>
      <c r="B20" s="185" t="n">
        <v>4</v>
      </c>
      <c r="C20" s="186" t="inlineStr">
        <is>
          <t>M4 to be shut and speed limits put in place after landslide</t>
        </is>
      </c>
      <c r="D20" s="187" t="inlineStr">
        <is>
          <t>Open article</t>
        </is>
      </c>
      <c r="E20" s="197" t="inlineStr">
        <is>
          <t>News brief</t>
        </is>
      </c>
      <c r="F20" s="189">
        <f>IFERROR(INDEX(Stories!$F$4:$F$33,MATCH($A20,Stories!$A$4:$A$33,0))&amp;"","")</f>
        <v/>
      </c>
      <c r="G20" s="190" t="inlineStr">
        <is>
          <t>South West Farmer</t>
        </is>
      </c>
      <c r="H20" s="191" t="n">
        <v>46319</v>
      </c>
      <c r="I20" s="190" t="inlineStr">
        <is>
          <t>What likely caused the M4 landslide, and how should highway embankments and cuttings be assessed for failure after heavy rainfall?</t>
        </is>
      </c>
    </row>
    <row r="21" outlineLevel="1" ht="41.5" customHeight="1">
      <c r="A21" s="184" t="n">
        <v>17</v>
      </c>
      <c r="B21" s="185" t="n">
        <v>4</v>
      </c>
      <c r="C21" s="186" t="inlineStr">
        <is>
          <t>Nilgiris Landslides: bus driver killed, Schoolchildren among 300 rescued</t>
        </is>
      </c>
      <c r="D21" s="187" t="inlineStr">
        <is>
          <t>Open article</t>
        </is>
      </c>
      <c r="E21" s="197" t="inlineStr">
        <is>
          <t>News brief</t>
        </is>
      </c>
      <c r="F21" s="189">
        <f>IFERROR(INDEX(Stories!$F$4:$F$33,MATCH($A21,Stories!$A$4:$A$33,0))&amp;"","")</f>
        <v/>
      </c>
      <c r="G21" s="190" t="inlineStr">
        <is>
          <t>The Hindu</t>
        </is>
      </c>
      <c r="H21" s="191" t="n">
        <v>46319</v>
      </c>
      <c r="I21" s="190" t="inlineStr">
        <is>
          <t>What triggered the Nilgiris landslides, and what early-warning and slope-stability measures could reduce fatalities on hill-region roads?</t>
        </is>
      </c>
    </row>
    <row r="22" outlineLevel="1" ht="41.5" customHeight="1">
      <c r="A22" s="184" t="n">
        <v>18</v>
      </c>
      <c r="B22" s="185" t="n">
        <v>4</v>
      </c>
      <c r="C22" s="186" t="inlineStr">
        <is>
          <t>Tamil Nadu landslide kills government bus driver after 50 passengers evacuated near Parliyar</t>
        </is>
      </c>
      <c r="D22" s="187" t="inlineStr">
        <is>
          <t>Open article</t>
        </is>
      </c>
      <c r="E22" s="197" t="inlineStr">
        <is>
          <t>News brief</t>
        </is>
      </c>
      <c r="F22" s="189">
        <f>IFERROR(INDEX(Stories!$F$4:$F$33,MATCH($A22,Stories!$A$4:$A$33,0))&amp;"","")</f>
        <v/>
      </c>
      <c r="G22" s="190" t="inlineStr">
        <is>
          <t>Telangana Today</t>
        </is>
      </c>
      <c r="H22" s="191" t="n">
        <v>46319</v>
      </c>
      <c r="I22" s="190" t="inlineStr">
        <is>
          <t>What ground and rainfall conditions caused the Parliyar landslide that hit a bus, and how can hill-road slopes be screened for similar risk?</t>
        </is>
      </c>
    </row>
    <row r="23" outlineLevel="1" ht="41.5" customHeight="1">
      <c r="A23" s="184" t="n">
        <v>19</v>
      </c>
      <c r="B23" s="185" t="n">
        <v>4</v>
      </c>
      <c r="C23" s="186" t="inlineStr">
        <is>
          <t>In Massachusetts, sinkhole questions linger as mill demolition clears way for housing units</t>
        </is>
      </c>
      <c r="D23" s="187" t="inlineStr">
        <is>
          <t>Open article</t>
        </is>
      </c>
      <c r="E23" s="196" t="inlineStr">
        <is>
          <t>Feature lead</t>
        </is>
      </c>
      <c r="F23" s="189">
        <f>IFERROR(INDEX(Stories!$F$4:$F$33,MATCH($A23,Stories!$A$4:$A$33,0))&amp;"","")</f>
        <v/>
      </c>
      <c r="G23" s="190" t="inlineStr">
        <is>
          <t>Yahoo</t>
        </is>
      </c>
      <c r="H23" s="191" t="n">
        <v>46319</v>
      </c>
      <c r="I23" s="190" t="inlineStr">
        <is>
          <t>How should sinkhole origin be investigated beneath a former mill site before redevelopment for housing, and what ground remediation is needed?</t>
        </is>
      </c>
    </row>
    <row r="24" outlineLevel="1" ht="41.5" customHeight="1">
      <c r="A24" s="184" t="n">
        <v>20</v>
      </c>
      <c r="B24" s="185" t="n">
        <v>4</v>
      </c>
      <c r="C24" s="186" t="inlineStr">
        <is>
          <t>Magnitude 7 earthquake in Biru County, Nagqu, Tibet; some houses cracked and collapsed.</t>
        </is>
      </c>
      <c r="D24" s="187" t="inlineStr">
        <is>
          <t>Open article</t>
        </is>
      </c>
      <c r="E24" s="196" t="inlineStr">
        <is>
          <t>Feature lead</t>
        </is>
      </c>
      <c r="F24" s="189">
        <f>IFERROR(INDEX(Stories!$F$4:$F$33,MATCH($A24,Stories!$A$4:$A$33,0))&amp;"","")</f>
        <v/>
      </c>
      <c r="G24" s="190" t="inlineStr">
        <is>
          <t>新唐人電視台</t>
        </is>
      </c>
      <c r="H24" s="191" t="n">
        <v>46319</v>
      </c>
      <c r="I24" s="190" t="inlineStr">
        <is>
          <t>How do high-altitude site conditions and local soils influence seismic damage to rural houses, and what design measures suit such regions?</t>
        </is>
      </c>
    </row>
    <row r="25" outlineLevel="1" ht="41.5" customHeight="1">
      <c r="A25" s="184" t="n">
        <v>23</v>
      </c>
      <c r="B25" s="185" t="n">
        <v>3</v>
      </c>
      <c r="C25" s="186" t="inlineStr">
        <is>
          <t>Frana tra via Gentile e via Genova: scatta il senso unico alternato con il semaforo</t>
        </is>
      </c>
      <c r="D25" s="187" t="inlineStr">
        <is>
          <t>Open article</t>
        </is>
      </c>
      <c r="E25" s="199" t="inlineStr">
        <is>
          <t>Watch only</t>
        </is>
      </c>
      <c r="F25" s="189">
        <f>IFERROR(INDEX(Stories!$F$4:$F$33,MATCH($A25,Stories!$A$4:$A$33,0))&amp;"","")</f>
        <v/>
      </c>
      <c r="G25" s="190" t="inlineStr">
        <is>
          <t>Savona News</t>
        </is>
      </c>
      <c r="H25" s="191" t="n">
        <v>46319</v>
      </c>
      <c r="I25" s="190" t="inlineStr">
        <is>
          <t>Does a landslide on an urban road indicate ground instability requiring geotechnical investigation before reopening?</t>
        </is>
      </c>
    </row>
    <row r="26" outlineLevel="1" ht="41.5" customHeight="1">
      <c r="A26" s="184" t="n">
        <v>24</v>
      </c>
      <c r="B26" s="185" t="n">
        <v>3</v>
      </c>
      <c r="C26" s="186" t="inlineStr">
        <is>
          <t>Torrential rain brings hidden hazards: mountain floods and landslides must be strictly prevented; public service advertisement</t>
        </is>
      </c>
      <c r="D26" s="187" t="inlineStr">
        <is>
          <t>Open article</t>
        </is>
      </c>
      <c r="E26" s="199" t="inlineStr">
        <is>
          <t>Watch only</t>
        </is>
      </c>
      <c r="F26" s="189">
        <f>IFERROR(INDEX(Stories!$F$4:$F$33,MATCH($A26,Stories!$A$4:$A$33,0))&amp;"","")</f>
        <v/>
      </c>
      <c r="G26" s="190" t="inlineStr">
        <is>
          <t>凤凰网</t>
        </is>
      </c>
      <c r="H26" s="191" t="n">
        <v>46319</v>
      </c>
      <c r="I26" s="190" t="inlineStr">
        <is>
          <t>How do mountain flood and landslide hazards during intense rainfall get prevented through early warning and slope management?</t>
        </is>
      </c>
    </row>
    <row r="27" outlineLevel="1" ht="41.5" customHeight="1">
      <c r="A27" s="184" t="n">
        <v>26</v>
      </c>
      <c r="B27" s="185" t="n">
        <v>3</v>
      </c>
      <c r="C27" s="186" t="inlineStr">
        <is>
          <t>At Khanh Le pass, vehicles are stopped in groups to face rockfall risk</t>
        </is>
      </c>
      <c r="D27" s="187" t="inlineStr">
        <is>
          <t>Open article</t>
        </is>
      </c>
      <c r="E27" s="198" t="inlineStr">
        <is>
          <t>Regional insight</t>
        </is>
      </c>
      <c r="F27" s="189">
        <f>IFERROR(INDEX(Stories!$F$4:$F$33,MATCH($A27,Stories!$A$4:$A$33,0))&amp;"","")</f>
        <v/>
      </c>
      <c r="G27" s="190" t="inlineStr">
        <is>
          <t>Vietnam.vn</t>
        </is>
      </c>
      <c r="H27" s="191" t="n">
        <v>46319</v>
      </c>
      <c r="I27" s="190" t="inlineStr">
        <is>
          <t>How should rockfall risk on mountain roads be assessed and mitigated, and when is traffic control sufficient versus slope engineering?</t>
        </is>
      </c>
    </row>
    <row r="28" outlineLevel="1" ht="10" customHeight="1"/>
    <row r="29" ht="26" customHeight="1">
      <c r="A29" s="200" t="inlineStr">
        <is>
          <t>Infrastructure &amp; the Underground City   ·   5 stories   ·   0 rated 5 / 5   ·   2 feature leads</t>
        </is>
      </c>
      <c r="B29" s="201" t="n"/>
      <c r="C29" s="201" t="n"/>
      <c r="D29" s="201" t="n"/>
      <c r="E29" s="201" t="n"/>
      <c r="F29" s="201" t="n"/>
      <c r="G29" s="201" t="n"/>
      <c r="H29" s="201" t="n"/>
      <c r="I29" s="201" t="n"/>
    </row>
    <row r="30" outlineLevel="1">
      <c r="A30" s="202" t="inlineStr">
        <is>
          <t>No.</t>
        </is>
      </c>
      <c r="B30" s="202" t="inlineStr">
        <is>
          <t>Relevance</t>
        </is>
      </c>
      <c r="C30" s="203" t="inlineStr">
        <is>
          <t>Headline</t>
        </is>
      </c>
      <c r="D30" s="202" t="inlineStr">
        <is>
          <t>Link</t>
        </is>
      </c>
      <c r="E30" s="203" t="inlineStr">
        <is>
          <t>Suggested use</t>
        </is>
      </c>
      <c r="F30" s="202" t="inlineStr">
        <is>
          <t>Status</t>
        </is>
      </c>
      <c r="G30" s="203" t="inlineStr">
        <is>
          <t>Source</t>
        </is>
      </c>
      <c r="H30" s="202" t="inlineStr">
        <is>
          <t>Digest</t>
        </is>
      </c>
      <c r="I30" s="203" t="inlineStr">
        <is>
          <t>Magazine angle / summary</t>
        </is>
      </c>
    </row>
    <row r="31" outlineLevel="1" ht="54" customHeight="1">
      <c r="A31" s="184" t="n">
        <v>11</v>
      </c>
      <c r="B31" s="185" t="n">
        <v>4</v>
      </c>
      <c r="C31" s="186" t="inlineStr">
        <is>
          <t>Gochang-Buan Noeuldaegyo Enters Geotechnical Survey Phase; Construction Targeted for January 2028</t>
        </is>
      </c>
      <c r="D31" s="187" t="inlineStr">
        <is>
          <t>Open article</t>
        </is>
      </c>
      <c r="E31" s="197" t="inlineStr">
        <is>
          <t>News brief</t>
        </is>
      </c>
      <c r="F31" s="189">
        <f>IFERROR(INDEX(Stories!$F$4:$F$33,MATCH($A31,Stories!$A$4:$A$33,0))&amp;"","")</f>
        <v/>
      </c>
      <c r="G31" s="190" t="inlineStr">
        <is>
          <t>아시아경제</t>
        </is>
      </c>
      <c r="H31" s="191" t="n">
        <v>46319</v>
      </c>
      <c r="I31" s="190" t="inlineStr">
        <is>
          <t>What ground conditions will the geotechnical survey reveal for this Korean nuclear-related or major construction project, and how will they shape the 2028 schedule?</t>
        </is>
      </c>
    </row>
    <row r="32" outlineLevel="1" ht="54" customHeight="1">
      <c r="A32" s="184" t="n">
        <v>13</v>
      </c>
      <c r="B32" s="185" t="n">
        <v>4</v>
      </c>
      <c r="C32" s="186" t="inlineStr">
        <is>
          <t>More than 300 neighbourhoods at risk from rains; sinkhole on Eloy Alfaro casts doubt on Quito's underground infrastructure</t>
        </is>
      </c>
      <c r="D32" s="187" t="inlineStr">
        <is>
          <t>Open article</t>
        </is>
      </c>
      <c r="E32" s="196" t="inlineStr">
        <is>
          <t>Feature lead</t>
        </is>
      </c>
      <c r="F32" s="189">
        <f>IFERROR(INDEX(Stories!$F$4:$F$33,MATCH($A32,Stories!$A$4:$A$33,0))&amp;"","")</f>
        <v/>
      </c>
      <c r="G32" s="190" t="inlineStr">
        <is>
          <t>El Universo</t>
        </is>
      </c>
      <c r="H32" s="191" t="n">
        <v>46319</v>
      </c>
      <c r="I32" s="190" t="inlineStr">
        <is>
          <t>How can cities detect and prevent sinkholes caused by leaking pipes and eroded soils in urban ground, and what does Quito's case reveal about underground infrastructure monitoring?</t>
        </is>
      </c>
    </row>
    <row r="33" outlineLevel="1" ht="41.5" customHeight="1">
      <c r="A33" s="184" t="n">
        <v>25</v>
      </c>
      <c r="B33" s="185" t="n">
        <v>3</v>
      </c>
      <c r="C33" s="186" t="inlineStr">
        <is>
          <t>What options exist for Mot Mountain in Quy Nhon: levelling it or preserving the historic site?</t>
        </is>
      </c>
      <c r="D33" s="187" t="inlineStr">
        <is>
          <t>Open article</t>
        </is>
      </c>
      <c r="E33" s="196" t="inlineStr">
        <is>
          <t>Feature lead</t>
        </is>
      </c>
      <c r="F33" s="189">
        <f>IFERROR(INDEX(Stories!$F$4:$F$33,MATCH($A33,Stories!$A$4:$A$33,0))&amp;"","")</f>
        <v/>
      </c>
      <c r="G33" s="190" t="inlineStr">
        <is>
          <t>Vietnam.vn</t>
        </is>
      </c>
      <c r="H33" s="191" t="n">
        <v>46319</v>
      </c>
      <c r="I33" s="190" t="inlineStr">
        <is>
          <t>What geotechnical and heritage considerations should guide levelling versus preserving a rocky hill site in an urban coastal city?</t>
        </is>
      </c>
    </row>
    <row r="34" outlineLevel="1" ht="41.5" customHeight="1">
      <c r="A34" s="184" t="n">
        <v>27</v>
      </c>
      <c r="B34" s="185" t="n">
        <v>3</v>
      </c>
      <c r="C34" s="186" t="inlineStr">
        <is>
          <t>Benjamin Banneker Middle School open following water main break, sinkhole repairs</t>
        </is>
      </c>
      <c r="D34" s="187" t="inlineStr">
        <is>
          <t>Open article</t>
        </is>
      </c>
      <c r="E34" s="197" t="inlineStr">
        <is>
          <t>News brief</t>
        </is>
      </c>
      <c r="F34" s="189">
        <f>IFERROR(INDEX(Stories!$F$4:$F$33,MATCH($A34,Stories!$A$4:$A$33,0))&amp;"","")</f>
        <v/>
      </c>
      <c r="G34" s="190" t="inlineStr">
        <is>
          <t>AOL.com</t>
        </is>
      </c>
      <c r="H34" s="191" t="n">
        <v>46319</v>
      </c>
      <c r="I34" s="190" t="inlineStr">
        <is>
          <t>How do water main breaks undermine shallow soils and cause sinkholes, and what ground investigation would prevent school-site reopening delays?</t>
        </is>
      </c>
    </row>
    <row r="35" outlineLevel="1" ht="41.5" customHeight="1">
      <c r="A35" s="184" t="n">
        <v>28</v>
      </c>
      <c r="B35" s="185" t="n">
        <v>3</v>
      </c>
      <c r="C35" s="186" t="inlineStr">
        <is>
          <t>Landslide Derails Locomotive in Keralam, Train Services Restored</t>
        </is>
      </c>
      <c r="D35" s="187" t="inlineStr">
        <is>
          <t>Open article</t>
        </is>
      </c>
      <c r="E35" s="197" t="inlineStr">
        <is>
          <t>News brief</t>
        </is>
      </c>
      <c r="F35" s="189">
        <f>IFERROR(INDEX(Stories!$F$4:$F$33,MATCH($A35,Stories!$A$4:$A$33,0))&amp;"","")</f>
        <v/>
      </c>
      <c r="G35" s="190" t="inlineStr">
        <is>
          <t>Deccan Chronicle</t>
        </is>
      </c>
      <c r="H35" s="191" t="n">
        <v>46319</v>
      </c>
      <c r="I35" s="190" t="inlineStr">
        <is>
          <t>What slope or embankment failure caused the locomotive derailment, and how should rail corridors be assessed for landslide risk?</t>
        </is>
      </c>
    </row>
    <row r="36" outlineLevel="1" ht="10" customHeight="1"/>
    <row r="37" ht="26" customHeight="1">
      <c r="A37" s="204" t="inlineStr">
        <is>
          <t>Characterisation &amp; Modelling   ·   4 stories   ·   0 rated 5 / 5   ·   3 feature leads</t>
        </is>
      </c>
      <c r="B37" s="205" t="n"/>
      <c r="C37" s="205" t="n"/>
      <c r="D37" s="205" t="n"/>
      <c r="E37" s="205" t="n"/>
      <c r="F37" s="205" t="n"/>
      <c r="G37" s="205" t="n"/>
      <c r="H37" s="205" t="n"/>
      <c r="I37" s="205" t="n"/>
    </row>
    <row r="38" outlineLevel="1">
      <c r="A38" s="206" t="inlineStr">
        <is>
          <t>No.</t>
        </is>
      </c>
      <c r="B38" s="206" t="inlineStr">
        <is>
          <t>Relevance</t>
        </is>
      </c>
      <c r="C38" s="207" t="inlineStr">
        <is>
          <t>Headline</t>
        </is>
      </c>
      <c r="D38" s="206" t="inlineStr">
        <is>
          <t>Link</t>
        </is>
      </c>
      <c r="E38" s="207" t="inlineStr">
        <is>
          <t>Suggested use</t>
        </is>
      </c>
      <c r="F38" s="206" t="inlineStr">
        <is>
          <t>Status</t>
        </is>
      </c>
      <c r="G38" s="207" t="inlineStr">
        <is>
          <t>Source</t>
        </is>
      </c>
      <c r="H38" s="206" t="inlineStr">
        <is>
          <t>Digest</t>
        </is>
      </c>
      <c r="I38" s="207" t="inlineStr">
        <is>
          <t>Magazine angle / summary</t>
        </is>
      </c>
    </row>
    <row r="39" outlineLevel="1" ht="41.5" customHeight="1">
      <c r="A39" s="184" t="n">
        <v>12</v>
      </c>
      <c r="B39" s="185" t="n">
        <v>4</v>
      </c>
      <c r="C39" s="186" t="inlineStr">
        <is>
          <t>Primeval forest grows at bottom of 120-meter-deep sinkhole in central Vietnam</t>
        </is>
      </c>
      <c r="D39" s="187" t="inlineStr">
        <is>
          <t>Open article</t>
        </is>
      </c>
      <c r="E39" s="196" t="inlineStr">
        <is>
          <t>Feature lead</t>
        </is>
      </c>
      <c r="F39" s="189">
        <f>IFERROR(INDEX(Stories!$F$4:$F$33,MATCH($A39,Stories!$A$4:$A$33,0))&amp;"","")</f>
        <v/>
      </c>
      <c r="G39" s="190" t="inlineStr">
        <is>
          <t>VnExpress International</t>
        </is>
      </c>
      <c r="H39" s="191" t="n">
        <v>46319</v>
      </c>
      <c r="I39" s="190" t="inlineStr">
        <is>
          <t>How do karst collapse sinkholes form in limestone terrain, and what do such deep features reveal about cave ground stability and hazard mapping?</t>
        </is>
      </c>
    </row>
    <row r="40" outlineLevel="1" ht="41.5" customHeight="1">
      <c r="A40" s="184" t="n">
        <v>14</v>
      </c>
      <c r="B40" s="185" t="n">
        <v>4</v>
      </c>
      <c r="C40" s="186" t="inlineStr">
        <is>
          <t>Giant sinkhole discovered in Phong Nha-Ke Bang National Park</t>
        </is>
      </c>
      <c r="D40" s="187" t="inlineStr">
        <is>
          <t>Open article</t>
        </is>
      </c>
      <c r="E40" s="196" t="inlineStr">
        <is>
          <t>Feature lead</t>
        </is>
      </c>
      <c r="F40" s="189">
        <f>IFERROR(INDEX(Stories!$F$4:$F$33,MATCH($A40,Stories!$A$4:$A$33,0))&amp;"","")</f>
        <v/>
      </c>
      <c r="G40" s="190" t="inlineStr">
        <is>
          <t>Baolangson.vn</t>
        </is>
      </c>
      <c r="H40" s="191" t="n">
        <v>46319</v>
      </c>
      <c r="I40" s="190" t="inlineStr">
        <is>
          <t>How are giant karst sinkholes detected and characterised in limestone terrain, and what hazards do they pose to park access and infrastructure?</t>
        </is>
      </c>
    </row>
    <row r="41" outlineLevel="1" ht="54" customHeight="1">
      <c r="A41" s="184" t="n">
        <v>21</v>
      </c>
      <c r="B41" s="185" t="n">
        <v>4</v>
      </c>
      <c r="C41" s="186" t="inlineStr">
        <is>
          <t>Giant hole discovered in Phong Nha-Ke Bang National Park.</t>
        </is>
      </c>
      <c r="D41" s="187" t="inlineStr">
        <is>
          <t>Open article</t>
        </is>
      </c>
      <c r="E41" s="196" t="inlineStr">
        <is>
          <t>Feature lead</t>
        </is>
      </c>
      <c r="F41" s="189">
        <f>IFERROR(INDEX(Stories!$F$4:$F$33,MATCH($A41,Stories!$A$4:$A$33,0))&amp;"","")</f>
        <v/>
      </c>
      <c r="G41" s="190" t="inlineStr">
        <is>
          <t>Vietnam.vn</t>
        </is>
      </c>
      <c r="H41" s="191" t="n">
        <v>46319</v>
      </c>
      <c r="I41" s="190" t="inlineStr">
        <is>
          <t>What geological processes produced this giant hole in karst terrain, and how should such features be investigated and mapped within protected national parks?</t>
        </is>
      </c>
    </row>
    <row r="42" outlineLevel="1" ht="54" customHeight="1">
      <c r="A42" s="184" t="n">
        <v>22</v>
      </c>
      <c r="B42" s="185" t="n">
        <v>4</v>
      </c>
      <c r="C42" s="186" t="inlineStr">
        <is>
          <t>Analytical study of 3D transient dynamic response of a cylindrical cavity in an elastic medium under triangular pulse load.</t>
        </is>
      </c>
      <c r="D42" s="187" t="inlineStr">
        <is>
          <t>Open article</t>
        </is>
      </c>
      <c r="E42" s="188" t="inlineStr">
        <is>
          <t>Academia-to-Industry topic</t>
        </is>
      </c>
      <c r="F42" s="189">
        <f>IFERROR(INDEX(Stories!$F$4:$F$33,MATCH($A42,Stories!$A$4:$A$33,0))&amp;"","")</f>
        <v/>
      </c>
      <c r="G42" s="190" t="inlineStr">
        <is>
          <t>生物通</t>
        </is>
      </c>
      <c r="H42" s="191" t="n">
        <v>46319</v>
      </c>
      <c r="I42" s="190" t="inlineStr">
        <is>
          <t>How do analytical solutions for a cylindrical cavity under triangular pulse loads inform the validation of numerical models for underground openings under impact?</t>
        </is>
      </c>
    </row>
    <row r="43" outlineLevel="1" ht="10" customHeight="1"/>
    <row r="44" ht="26" customHeight="1">
      <c r="A44" s="208" t="inlineStr">
        <is>
          <t>Geotechnics &amp; Society   ·   2 stories   ·   0 rated 5 / 5   ·   0 feature leads</t>
        </is>
      </c>
      <c r="B44" s="209" t="n"/>
      <c r="C44" s="209" t="n"/>
      <c r="D44" s="209" t="n"/>
      <c r="E44" s="209" t="n"/>
      <c r="F44" s="209" t="n"/>
      <c r="G44" s="209" t="n"/>
      <c r="H44" s="209" t="n"/>
      <c r="I44" s="209" t="n"/>
    </row>
    <row r="45" outlineLevel="1">
      <c r="A45" s="210" t="inlineStr">
        <is>
          <t>No.</t>
        </is>
      </c>
      <c r="B45" s="210" t="inlineStr">
        <is>
          <t>Relevance</t>
        </is>
      </c>
      <c r="C45" s="211" t="inlineStr">
        <is>
          <t>Headline</t>
        </is>
      </c>
      <c r="D45" s="210" t="inlineStr">
        <is>
          <t>Link</t>
        </is>
      </c>
      <c r="E45" s="211" t="inlineStr">
        <is>
          <t>Suggested use</t>
        </is>
      </c>
      <c r="F45" s="210" t="inlineStr">
        <is>
          <t>Status</t>
        </is>
      </c>
      <c r="G45" s="211" t="inlineStr">
        <is>
          <t>Source</t>
        </is>
      </c>
      <c r="H45" s="210" t="inlineStr">
        <is>
          <t>Digest</t>
        </is>
      </c>
      <c r="I45" s="211" t="inlineStr">
        <is>
          <t>Magazine angle / summary</t>
        </is>
      </c>
    </row>
    <row r="46" outlineLevel="1" ht="41.5" customHeight="1">
      <c r="A46" s="184" t="n">
        <v>29</v>
      </c>
      <c r="B46" s="185" t="n">
        <v>3</v>
      </c>
      <c r="C46" s="186" t="inlineStr">
        <is>
          <t>Gia Lai province People's Committee chairman discusses proposal to level Mot Mountain.</t>
        </is>
      </c>
      <c r="D46" s="187" t="inlineStr">
        <is>
          <t>Open article</t>
        </is>
      </c>
      <c r="E46" s="198" t="inlineStr">
        <is>
          <t>Regional insight</t>
        </is>
      </c>
      <c r="F46" s="189">
        <f>IFERROR(INDEX(Stories!$F$4:$F$33,MATCH($A46,Stories!$A$4:$A$33,0))&amp;"","")</f>
        <v/>
      </c>
      <c r="G46" s="190" t="inlineStr">
        <is>
          <t>Vietnam.vn</t>
        </is>
      </c>
      <c r="H46" s="191" t="n">
        <v>46319</v>
      </c>
      <c r="I46" s="190" t="inlineStr">
        <is>
          <t>What are the geotechnical feasibility issues of levelling a hill, including rock quality, slope excavation and stability, compared with preservation?</t>
        </is>
      </c>
    </row>
    <row r="47" outlineLevel="1" ht="54" customHeight="1">
      <c r="A47" s="184" t="n">
        <v>30</v>
      </c>
      <c r="B47" s="185" t="n">
        <v>3</v>
      </c>
      <c r="C47" s="186" t="inlineStr">
        <is>
          <t>What are the options for Mot Mountain in Quy Nhon: level it or preserve the historic site?</t>
        </is>
      </c>
      <c r="D47" s="187" t="inlineStr">
        <is>
          <t>Open article</t>
        </is>
      </c>
      <c r="E47" s="198" t="inlineStr">
        <is>
          <t>Regional insight</t>
        </is>
      </c>
      <c r="F47" s="189">
        <f>IFERROR(INDEX(Stories!$F$4:$F$33,MATCH($A47,Stories!$A$4:$A$33,0))&amp;"","")</f>
        <v/>
      </c>
      <c r="G47" s="190" t="inlineStr">
        <is>
          <t>Vietnam.vn</t>
        </is>
      </c>
      <c r="H47" s="191" t="n">
        <v>46319</v>
      </c>
      <c r="I47" s="190" t="inlineStr">
        <is>
          <t>What geotechnical assessments would be needed to compare levelling Mot Mountain with conserving its historic site, including rock stability and foundation implications?</t>
        </is>
      </c>
    </row>
    <row r="48" outlineLevel="1" ht="10" customHeight="1"/>
  </sheetData>
  <mergeCells count="5">
    <mergeCell ref="A29:I29"/>
    <mergeCell ref="A37:I37"/>
    <mergeCell ref="A44:I44"/>
    <mergeCell ref="A8:I8"/>
    <mergeCell ref="A4:I4"/>
  </mergeCells>
  <conditionalFormatting sqref="B6">
    <cfRule type="cellIs" priority="1" operator="equal" dxfId="10">
      <formula>5</formula>
    </cfRule>
    <cfRule type="cellIs" priority="2" operator="equal" dxfId="11">
      <formula>4</formula>
    </cfRule>
    <cfRule type="cellIs" priority="3" operator="equal" dxfId="12">
      <formula>3</formula>
    </cfRule>
    <cfRule type="cellIs" priority="4" operator="equal" dxfId="13">
      <formula>2</formula>
    </cfRule>
    <cfRule type="cellIs" priority="5" operator="equal" dxfId="14">
      <formula>1</formula>
    </cfRule>
    <cfRule type="cellIs" priority="6" operator="equal" dxfId="15">
      <formula>0</formula>
    </cfRule>
  </conditionalFormatting>
  <conditionalFormatting sqref="F6">
    <cfRule type="cellIs" priority="7" operator="equal" dxfId="16">
      <formula>"To review"</formula>
    </cfRule>
    <cfRule type="cellIs" priority="8" operator="equal" dxfId="17">
      <formula>"Shortlisted"</formula>
    </cfRule>
    <cfRule type="cellIs" priority="9" operator="equal" dxfId="18">
      <formula>"Commissioned"</formula>
    </cfRule>
    <cfRule type="cellIs" priority="10" operator="equal" dxfId="19">
      <formula>"Published"</formula>
    </cfRule>
    <cfRule type="cellIs" priority="11" operator="equal" dxfId="20">
      <formula>"Not used"</formula>
    </cfRule>
  </conditionalFormatting>
  <conditionalFormatting sqref="B10:B27">
    <cfRule type="cellIs" priority="12" operator="equal" dxfId="10">
      <formula>5</formula>
    </cfRule>
    <cfRule type="cellIs" priority="13" operator="equal" dxfId="11">
      <formula>4</formula>
    </cfRule>
    <cfRule type="cellIs" priority="14" operator="equal" dxfId="12">
      <formula>3</formula>
    </cfRule>
    <cfRule type="cellIs" priority="15" operator="equal" dxfId="13">
      <formula>2</formula>
    </cfRule>
    <cfRule type="cellIs" priority="16" operator="equal" dxfId="14">
      <formula>1</formula>
    </cfRule>
    <cfRule type="cellIs" priority="17" operator="equal" dxfId="15">
      <formula>0</formula>
    </cfRule>
  </conditionalFormatting>
  <conditionalFormatting sqref="F10:F27">
    <cfRule type="cellIs" priority="18" operator="equal" dxfId="16">
      <formula>"To review"</formula>
    </cfRule>
    <cfRule type="cellIs" priority="19" operator="equal" dxfId="17">
      <formula>"Shortlisted"</formula>
    </cfRule>
    <cfRule type="cellIs" priority="20" operator="equal" dxfId="18">
      <formula>"Commissioned"</formula>
    </cfRule>
    <cfRule type="cellIs" priority="21" operator="equal" dxfId="19">
      <formula>"Published"</formula>
    </cfRule>
    <cfRule type="cellIs" priority="22" operator="equal" dxfId="20">
      <formula>"Not used"</formula>
    </cfRule>
  </conditionalFormatting>
  <conditionalFormatting sqref="B31:B35">
    <cfRule type="cellIs" priority="23" operator="equal" dxfId="10">
      <formula>5</formula>
    </cfRule>
    <cfRule type="cellIs" priority="24" operator="equal" dxfId="11">
      <formula>4</formula>
    </cfRule>
    <cfRule type="cellIs" priority="25" operator="equal" dxfId="12">
      <formula>3</formula>
    </cfRule>
    <cfRule type="cellIs" priority="26" operator="equal" dxfId="13">
      <formula>2</formula>
    </cfRule>
    <cfRule type="cellIs" priority="27" operator="equal" dxfId="14">
      <formula>1</formula>
    </cfRule>
    <cfRule type="cellIs" priority="28" operator="equal" dxfId="15">
      <formula>0</formula>
    </cfRule>
  </conditionalFormatting>
  <conditionalFormatting sqref="F31:F35">
    <cfRule type="cellIs" priority="29" operator="equal" dxfId="16">
      <formula>"To review"</formula>
    </cfRule>
    <cfRule type="cellIs" priority="30" operator="equal" dxfId="17">
      <formula>"Shortlisted"</formula>
    </cfRule>
    <cfRule type="cellIs" priority="31" operator="equal" dxfId="18">
      <formula>"Commissioned"</formula>
    </cfRule>
    <cfRule type="cellIs" priority="32" operator="equal" dxfId="19">
      <formula>"Published"</formula>
    </cfRule>
    <cfRule type="cellIs" priority="33" operator="equal" dxfId="20">
      <formula>"Not used"</formula>
    </cfRule>
  </conditionalFormatting>
  <conditionalFormatting sqref="B39:B42">
    <cfRule type="cellIs" priority="34" operator="equal" dxfId="10">
      <formula>5</formula>
    </cfRule>
    <cfRule type="cellIs" priority="35" operator="equal" dxfId="11">
      <formula>4</formula>
    </cfRule>
    <cfRule type="cellIs" priority="36" operator="equal" dxfId="12">
      <formula>3</formula>
    </cfRule>
    <cfRule type="cellIs" priority="37" operator="equal" dxfId="13">
      <formula>2</formula>
    </cfRule>
    <cfRule type="cellIs" priority="38" operator="equal" dxfId="14">
      <formula>1</formula>
    </cfRule>
    <cfRule type="cellIs" priority="39" operator="equal" dxfId="15">
      <formula>0</formula>
    </cfRule>
  </conditionalFormatting>
  <conditionalFormatting sqref="F39:F42">
    <cfRule type="cellIs" priority="40" operator="equal" dxfId="16">
      <formula>"To review"</formula>
    </cfRule>
    <cfRule type="cellIs" priority="41" operator="equal" dxfId="17">
      <formula>"Shortlisted"</formula>
    </cfRule>
    <cfRule type="cellIs" priority="42" operator="equal" dxfId="18">
      <formula>"Commissioned"</formula>
    </cfRule>
    <cfRule type="cellIs" priority="43" operator="equal" dxfId="19">
      <formula>"Published"</formula>
    </cfRule>
    <cfRule type="cellIs" priority="44" operator="equal" dxfId="20">
      <formula>"Not used"</formula>
    </cfRule>
  </conditionalFormatting>
  <conditionalFormatting sqref="B46:B47">
    <cfRule type="cellIs" priority="45" operator="equal" dxfId="10">
      <formula>5</formula>
    </cfRule>
    <cfRule type="cellIs" priority="46" operator="equal" dxfId="11">
      <formula>4</formula>
    </cfRule>
    <cfRule type="cellIs" priority="47" operator="equal" dxfId="12">
      <formula>3</formula>
    </cfRule>
    <cfRule type="cellIs" priority="48" operator="equal" dxfId="13">
      <formula>2</formula>
    </cfRule>
    <cfRule type="cellIs" priority="49" operator="equal" dxfId="14">
      <formula>1</formula>
    </cfRule>
    <cfRule type="cellIs" priority="50" operator="equal" dxfId="15">
      <formula>0</formula>
    </cfRule>
  </conditionalFormatting>
  <conditionalFormatting sqref="F46:F47">
    <cfRule type="cellIs" priority="51" operator="equal" dxfId="16">
      <formula>"To review"</formula>
    </cfRule>
    <cfRule type="cellIs" priority="52" operator="equal" dxfId="17">
      <formula>"Shortlisted"</formula>
    </cfRule>
    <cfRule type="cellIs" priority="53" operator="equal" dxfId="18">
      <formula>"Commissioned"</formula>
    </cfRule>
    <cfRule type="cellIs" priority="54" operator="equal" dxfId="19">
      <formula>"Published"</formula>
    </cfRule>
    <cfRule type="cellIs" priority="55" operator="equal" dxfId="20">
      <formula>"Not used"</formula>
    </cfRule>
  </conditionalFormatting>
  <hyperlinks>
    <hyperlink ref="D1" location="'Dashboard'!A1" display="← Dashboard"/>
    <hyperlink ref="E1" location="'Start here'!A1" display="↑ Start here"/>
    <hyperlink ref="F1" location="'Stories'!A1" display="Stories →"/>
    <hyperlink xmlns:r="http://schemas.openxmlformats.org/officeDocument/2006/relationships" ref="D6" r:id="rId1"/>
    <hyperlink xmlns:r="http://schemas.openxmlformats.org/officeDocument/2006/relationships" ref="D10" r:id="rId2"/>
    <hyperlink xmlns:r="http://schemas.openxmlformats.org/officeDocument/2006/relationships" ref="D11" r:id="rId3"/>
    <hyperlink xmlns:r="http://schemas.openxmlformats.org/officeDocument/2006/relationships" ref="D12" r:id="rId4"/>
    <hyperlink xmlns:r="http://schemas.openxmlformats.org/officeDocument/2006/relationships" ref="D13" r:id="rId5"/>
    <hyperlink xmlns:r="http://schemas.openxmlformats.org/officeDocument/2006/relationships" ref="D14" r:id="rId6"/>
    <hyperlink xmlns:r="http://schemas.openxmlformats.org/officeDocument/2006/relationships" ref="D15" r:id="rId7"/>
    <hyperlink xmlns:r="http://schemas.openxmlformats.org/officeDocument/2006/relationships" ref="D16" r:id="rId8"/>
    <hyperlink xmlns:r="http://schemas.openxmlformats.org/officeDocument/2006/relationships" ref="D17" r:id="rId9"/>
    <hyperlink xmlns:r="http://schemas.openxmlformats.org/officeDocument/2006/relationships" ref="D18" r:id="rId10"/>
    <hyperlink xmlns:r="http://schemas.openxmlformats.org/officeDocument/2006/relationships" ref="D19" r:id="rId11"/>
    <hyperlink xmlns:r="http://schemas.openxmlformats.org/officeDocument/2006/relationships" ref="D20" r:id="rId12"/>
    <hyperlink xmlns:r="http://schemas.openxmlformats.org/officeDocument/2006/relationships" ref="D21" r:id="rId13"/>
    <hyperlink xmlns:r="http://schemas.openxmlformats.org/officeDocument/2006/relationships" ref="D22" r:id="rId14"/>
    <hyperlink xmlns:r="http://schemas.openxmlformats.org/officeDocument/2006/relationships" ref="D23" r:id="rId15"/>
    <hyperlink xmlns:r="http://schemas.openxmlformats.org/officeDocument/2006/relationships" ref="D24"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31" r:id="rId20"/>
    <hyperlink xmlns:r="http://schemas.openxmlformats.org/officeDocument/2006/relationships" ref="D32"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 xmlns:r="http://schemas.openxmlformats.org/officeDocument/2006/relationships" ref="D39" r:id="rId25"/>
    <hyperlink xmlns:r="http://schemas.openxmlformats.org/officeDocument/2006/relationships" ref="D40" r:id="rId26"/>
    <hyperlink xmlns:r="http://schemas.openxmlformats.org/officeDocument/2006/relationships" ref="D41" r:id="rId27"/>
    <hyperlink xmlns:r="http://schemas.openxmlformats.org/officeDocument/2006/relationships" ref="D42" r:id="rId28"/>
    <hyperlink xmlns:r="http://schemas.openxmlformats.org/officeDocument/2006/relationships" ref="D46" r:id="rId29"/>
    <hyperlink xmlns:r="http://schemas.openxmlformats.org/officeDocument/2006/relationships" ref="D47" r:id="rId30"/>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xl/worksheets/sheet5.xml><?xml version="1.0" encoding="utf-8"?>
<worksheet xmlns="http://schemas.openxmlformats.org/spreadsheetml/2006/main">
  <sheetPr>
    <tabColor rgb="000B97A5"/>
    <outlinePr summaryBelow="1" summaryRight="1"/>
    <pageSetUpPr fitToPage="1"/>
  </sheetPr>
  <dimension ref="A1:I26"/>
  <sheetViews>
    <sheetView showGridLines="0" tabSelected="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3" customWidth="1" min="3" max="3"/>
    <col width="12" customWidth="1" min="4" max="4"/>
    <col width="10" customWidth="1" min="5" max="5"/>
    <col width="34" customWidth="1" min="6" max="6"/>
    <col width="10" customWidth="1" min="7" max="7"/>
    <col width="28" customWidth="1" min="8" max="8"/>
    <col width="13" customWidth="1" min="9" max="9"/>
  </cols>
  <sheetData>
    <row r="1" ht="26" customHeight="1">
      <c r="A1" s="149" t="inlineStr">
        <is>
          <t>Sources · 23 outlets</t>
        </is>
      </c>
      <c r="C1" s="150" t="inlineStr">
        <is>
          <t>← Dashboard</t>
        </is>
      </c>
      <c r="D1" s="150" t="inlineStr">
        <is>
          <t>↑ Start here</t>
        </is>
      </c>
    </row>
    <row r="2" ht="16" customHeight="1">
      <c r="A2" s="151" t="inlineStr">
        <is>
          <t>One row per outlet, most stories first. ‘In current selection’ follows the Dashboard selectors; average relevance counts AI-rated stories only.</t>
        </is>
      </c>
    </row>
    <row r="3" ht="30" customHeight="1">
      <c r="A3" s="153" t="inlineStr">
        <is>
          <t>Source</t>
        </is>
      </c>
      <c r="B3" s="152" t="inlineStr">
        <is>
          <t>Stories</t>
        </is>
      </c>
      <c r="C3" s="152" t="inlineStr">
        <is>
          <t>In current selection</t>
        </is>
      </c>
      <c r="D3" s="152" t="inlineStr">
        <is>
          <t>Average relevance</t>
        </is>
      </c>
      <c r="E3" s="152" t="inlineStr">
        <is>
          <t>Rated 4 or 5</t>
        </is>
      </c>
      <c r="F3" s="153" t="inlineStr">
        <is>
          <t>Most frequent theme</t>
        </is>
      </c>
      <c r="G3" s="152" t="inlineStr">
        <is>
          <t>Themes covered</t>
        </is>
      </c>
      <c r="H3" s="153" t="inlineStr">
        <is>
          <t>Google News editions</t>
        </is>
      </c>
      <c r="I3" s="152" t="inlineStr">
        <is>
          <t>Latest digest</t>
        </is>
      </c>
    </row>
    <row r="4" ht="28" customHeight="1">
      <c r="A4" s="212" t="inlineStr">
        <is>
          <t>Vietnam.vn</t>
        </is>
      </c>
      <c r="B4" s="213" t="n">
        <v>7</v>
      </c>
      <c r="C4" s="214">
        <f>SUMPRODUCT(Stories!$T$4:$T$33,--(Stories!$J$4:$J$33=$A4))</f>
        <v/>
      </c>
      <c r="D4" s="215" t="n">
        <v>3.4</v>
      </c>
      <c r="E4" s="213" t="n">
        <v>3</v>
      </c>
      <c r="F4" s="216" t="inlineStr">
        <is>
          <t>Hazards &amp; Resilience</t>
        </is>
      </c>
      <c r="G4" s="213" t="n">
        <v>4</v>
      </c>
      <c r="H4" s="168" t="inlineStr">
        <is>
          <t>Indonesia, Egypt, Spain, France, Brazil</t>
        </is>
      </c>
      <c r="I4" s="217" t="n">
        <v>46319</v>
      </c>
    </row>
    <row r="5" ht="15.5" customHeight="1">
      <c r="A5" s="212" t="inlineStr">
        <is>
          <t>生物通</t>
        </is>
      </c>
      <c r="B5" s="213" t="n">
        <v>2</v>
      </c>
      <c r="C5" s="214">
        <f>SUMPRODUCT(Stories!$T$4:$T$33,--(Stories!$J$4:$J$33=$A5))</f>
        <v/>
      </c>
      <c r="D5" s="215" t="n">
        <v>4.5</v>
      </c>
      <c r="E5" s="213" t="n">
        <v>2</v>
      </c>
      <c r="F5" s="218" t="inlineStr">
        <is>
          <t>Digital Geotechnics</t>
        </is>
      </c>
      <c r="G5" s="213" t="n">
        <v>2</v>
      </c>
      <c r="H5" s="168" t="inlineStr">
        <is>
          <t>China</t>
        </is>
      </c>
      <c r="I5" s="217" t="n">
        <v>46319</v>
      </c>
    </row>
    <row r="6" ht="15.5" customHeight="1">
      <c r="A6" s="212" t="inlineStr">
        <is>
          <t>agenzia giornalistica opinione</t>
        </is>
      </c>
      <c r="B6" s="213" t="n">
        <v>1</v>
      </c>
      <c r="C6" s="214">
        <f>SUMPRODUCT(Stories!$T$4:$T$33,--(Stories!$J$4:$J$33=$A6))</f>
        <v/>
      </c>
      <c r="D6" s="215" t="n">
        <v>4</v>
      </c>
      <c r="E6" s="213" t="n">
        <v>1</v>
      </c>
      <c r="F6" s="216" t="inlineStr">
        <is>
          <t>Hazards &amp; Resilience</t>
        </is>
      </c>
      <c r="G6" s="213" t="n">
        <v>1</v>
      </c>
      <c r="H6" s="168" t="inlineStr">
        <is>
          <t>Italy</t>
        </is>
      </c>
      <c r="I6" s="217" t="n">
        <v>46319</v>
      </c>
    </row>
    <row r="7" ht="28" customHeight="1">
      <c r="A7" s="212" t="inlineStr">
        <is>
          <t>AOL.com</t>
        </is>
      </c>
      <c r="B7" s="213" t="n">
        <v>1</v>
      </c>
      <c r="C7" s="214">
        <f>SUMPRODUCT(Stories!$T$4:$T$33,--(Stories!$J$4:$J$33=$A7))</f>
        <v/>
      </c>
      <c r="D7" s="215" t="n">
        <v>3</v>
      </c>
      <c r="E7" s="213" t="n">
        <v>0</v>
      </c>
      <c r="F7" s="219" t="inlineStr">
        <is>
          <t>Infrastructure &amp; the Underground City</t>
        </is>
      </c>
      <c r="G7" s="213" t="n">
        <v>1</v>
      </c>
      <c r="H7" s="168" t="inlineStr">
        <is>
          <t>United Kingdom</t>
        </is>
      </c>
      <c r="I7" s="217" t="n">
        <v>46319</v>
      </c>
    </row>
    <row r="8" ht="15.5" customHeight="1">
      <c r="A8" s="212" t="inlineStr">
        <is>
          <t>Baolangson.vn</t>
        </is>
      </c>
      <c r="B8" s="213" t="n">
        <v>1</v>
      </c>
      <c r="C8" s="214">
        <f>SUMPRODUCT(Stories!$T$4:$T$33,--(Stories!$J$4:$J$33=$A8))</f>
        <v/>
      </c>
      <c r="D8" s="215" t="n">
        <v>4</v>
      </c>
      <c r="E8" s="213" t="n">
        <v>1</v>
      </c>
      <c r="F8" s="220" t="inlineStr">
        <is>
          <t>Characterisation &amp; Modelling</t>
        </is>
      </c>
      <c r="G8" s="213" t="n">
        <v>1</v>
      </c>
      <c r="H8" s="168" t="inlineStr">
        <is>
          <t>United Kingdom</t>
        </is>
      </c>
      <c r="I8" s="217" t="n">
        <v>46319</v>
      </c>
    </row>
    <row r="9" ht="28" customHeight="1">
      <c r="A9" s="212" t="inlineStr">
        <is>
          <t>Deccan Chronicle</t>
        </is>
      </c>
      <c r="B9" s="213" t="n">
        <v>1</v>
      </c>
      <c r="C9" s="214">
        <f>SUMPRODUCT(Stories!$T$4:$T$33,--(Stories!$J$4:$J$33=$A9))</f>
        <v/>
      </c>
      <c r="D9" s="215" t="n">
        <v>3</v>
      </c>
      <c r="E9" s="213" t="n">
        <v>0</v>
      </c>
      <c r="F9" s="219" t="inlineStr">
        <is>
          <t>Infrastructure &amp; the Underground City</t>
        </is>
      </c>
      <c r="G9" s="213" t="n">
        <v>1</v>
      </c>
      <c r="H9" s="168" t="inlineStr">
        <is>
          <t>Singapore</t>
        </is>
      </c>
      <c r="I9" s="217" t="n">
        <v>46319</v>
      </c>
    </row>
    <row r="10" ht="28" customHeight="1">
      <c r="A10" s="212" t="inlineStr">
        <is>
          <t>El Universo</t>
        </is>
      </c>
      <c r="B10" s="213" t="n">
        <v>1</v>
      </c>
      <c r="C10" s="214">
        <f>SUMPRODUCT(Stories!$T$4:$T$33,--(Stories!$J$4:$J$33=$A10))</f>
        <v/>
      </c>
      <c r="D10" s="215" t="n">
        <v>4</v>
      </c>
      <c r="E10" s="213" t="n">
        <v>1</v>
      </c>
      <c r="F10" s="219" t="inlineStr">
        <is>
          <t>Infrastructure &amp; the Underground City</t>
        </is>
      </c>
      <c r="G10" s="213" t="n">
        <v>1</v>
      </c>
      <c r="H10" s="168" t="inlineStr">
        <is>
          <t>Mexico</t>
        </is>
      </c>
      <c r="I10" s="217" t="n">
        <v>46319</v>
      </c>
    </row>
    <row r="11" ht="15.5" customHeight="1">
      <c r="A11" s="212" t="inlineStr">
        <is>
          <t>Il Giornale dei Castelli Romani</t>
        </is>
      </c>
      <c r="B11" s="213" t="n">
        <v>1</v>
      </c>
      <c r="C11" s="214">
        <f>SUMPRODUCT(Stories!$T$4:$T$33,--(Stories!$J$4:$J$33=$A11))</f>
        <v/>
      </c>
      <c r="D11" s="215" t="n">
        <v>4</v>
      </c>
      <c r="E11" s="213" t="n">
        <v>1</v>
      </c>
      <c r="F11" s="216" t="inlineStr">
        <is>
          <t>Hazards &amp; Resilience</t>
        </is>
      </c>
      <c r="G11" s="213" t="n">
        <v>1</v>
      </c>
      <c r="H11" s="168" t="inlineStr">
        <is>
          <t>Italy</t>
        </is>
      </c>
      <c r="I11" s="217" t="n">
        <v>46319</v>
      </c>
    </row>
    <row r="12" ht="15.5" customHeight="1">
      <c r="A12" s="212" t="inlineStr">
        <is>
          <t>Masrawy</t>
        </is>
      </c>
      <c r="B12" s="213" t="n">
        <v>1</v>
      </c>
      <c r="C12" s="214">
        <f>SUMPRODUCT(Stories!$T$4:$T$33,--(Stories!$J$4:$J$33=$A12))</f>
        <v/>
      </c>
      <c r="D12" s="215" t="n">
        <v>4</v>
      </c>
      <c r="E12" s="213" t="n">
        <v>1</v>
      </c>
      <c r="F12" s="216" t="inlineStr">
        <is>
          <t>Hazards &amp; Resilience</t>
        </is>
      </c>
      <c r="G12" s="213" t="n">
        <v>1</v>
      </c>
      <c r="H12" s="168" t="inlineStr">
        <is>
          <t>Egypt</t>
        </is>
      </c>
      <c r="I12" s="217" t="n">
        <v>46319</v>
      </c>
    </row>
    <row r="13" ht="15.5" customHeight="1">
      <c r="A13" s="212" t="inlineStr">
        <is>
          <t>Pikiran-Rakyat.com</t>
        </is>
      </c>
      <c r="B13" s="213" t="n">
        <v>1</v>
      </c>
      <c r="C13" s="214">
        <f>SUMPRODUCT(Stories!$T$4:$T$33,--(Stories!$J$4:$J$33=$A13))</f>
        <v/>
      </c>
      <c r="D13" s="215" t="n">
        <v>4</v>
      </c>
      <c r="E13" s="213" t="n">
        <v>1</v>
      </c>
      <c r="F13" s="216" t="inlineStr">
        <is>
          <t>Hazards &amp; Resilience</t>
        </is>
      </c>
      <c r="G13" s="213" t="n">
        <v>1</v>
      </c>
      <c r="H13" s="168" t="inlineStr">
        <is>
          <t>Indonesia</t>
        </is>
      </c>
      <c r="I13" s="217" t="n">
        <v>46319</v>
      </c>
    </row>
    <row r="14" ht="15.5" customHeight="1">
      <c r="A14" s="212" t="inlineStr">
        <is>
          <t>RRI.co.id</t>
        </is>
      </c>
      <c r="B14" s="213" t="n">
        <v>1</v>
      </c>
      <c r="C14" s="214">
        <f>SUMPRODUCT(Stories!$T$4:$T$33,--(Stories!$J$4:$J$33=$A14))</f>
        <v/>
      </c>
      <c r="D14" s="215" t="n">
        <v>4</v>
      </c>
      <c r="E14" s="213" t="n">
        <v>1</v>
      </c>
      <c r="F14" s="216" t="inlineStr">
        <is>
          <t>Hazards &amp; Resilience</t>
        </is>
      </c>
      <c r="G14" s="213" t="n">
        <v>1</v>
      </c>
      <c r="H14" s="168" t="inlineStr">
        <is>
          <t>Indonesia</t>
        </is>
      </c>
      <c r="I14" s="217" t="n">
        <v>46319</v>
      </c>
    </row>
    <row r="15" ht="15.5" customHeight="1">
      <c r="A15" s="212" t="inlineStr">
        <is>
          <t>Savona News</t>
        </is>
      </c>
      <c r="B15" s="213" t="n">
        <v>1</v>
      </c>
      <c r="C15" s="214">
        <f>SUMPRODUCT(Stories!$T$4:$T$33,--(Stories!$J$4:$J$33=$A15))</f>
        <v/>
      </c>
      <c r="D15" s="215" t="n">
        <v>3</v>
      </c>
      <c r="E15" s="213" t="n">
        <v>0</v>
      </c>
      <c r="F15" s="216" t="inlineStr">
        <is>
          <t>Hazards &amp; Resilience</t>
        </is>
      </c>
      <c r="G15" s="213" t="n">
        <v>1</v>
      </c>
      <c r="H15" s="168" t="inlineStr">
        <is>
          <t>Italy</t>
        </is>
      </c>
      <c r="I15" s="217" t="n">
        <v>46319</v>
      </c>
    </row>
    <row r="16" ht="15.5" customHeight="1">
      <c r="A16" s="212" t="inlineStr">
        <is>
          <t>South West Farmer</t>
        </is>
      </c>
      <c r="B16" s="213" t="n">
        <v>1</v>
      </c>
      <c r="C16" s="214">
        <f>SUMPRODUCT(Stories!$T$4:$T$33,--(Stories!$J$4:$J$33=$A16))</f>
        <v/>
      </c>
      <c r="D16" s="215" t="n">
        <v>4</v>
      </c>
      <c r="E16" s="213" t="n">
        <v>1</v>
      </c>
      <c r="F16" s="216" t="inlineStr">
        <is>
          <t>Hazards &amp; Resilience</t>
        </is>
      </c>
      <c r="G16" s="213" t="n">
        <v>1</v>
      </c>
      <c r="H16" s="168" t="inlineStr">
        <is>
          <t>United Kingdom</t>
        </is>
      </c>
      <c r="I16" s="217" t="n">
        <v>46319</v>
      </c>
    </row>
    <row r="17" ht="15.5" customHeight="1">
      <c r="A17" s="212" t="inlineStr">
        <is>
          <t>Telangana Today</t>
        </is>
      </c>
      <c r="B17" s="213" t="n">
        <v>1</v>
      </c>
      <c r="C17" s="214">
        <f>SUMPRODUCT(Stories!$T$4:$T$33,--(Stories!$J$4:$J$33=$A17))</f>
        <v/>
      </c>
      <c r="D17" s="215" t="n">
        <v>4</v>
      </c>
      <c r="E17" s="213" t="n">
        <v>1</v>
      </c>
      <c r="F17" s="216" t="inlineStr">
        <is>
          <t>Hazards &amp; Resilience</t>
        </is>
      </c>
      <c r="G17" s="213" t="n">
        <v>1</v>
      </c>
      <c r="H17" s="168" t="inlineStr">
        <is>
          <t>United States</t>
        </is>
      </c>
      <c r="I17" s="217" t="n">
        <v>46319</v>
      </c>
    </row>
    <row r="18" ht="15.5" customHeight="1">
      <c r="A18" s="212" t="inlineStr">
        <is>
          <t>The Hindu</t>
        </is>
      </c>
      <c r="B18" s="213" t="n">
        <v>1</v>
      </c>
      <c r="C18" s="214">
        <f>SUMPRODUCT(Stories!$T$4:$T$33,--(Stories!$J$4:$J$33=$A18))</f>
        <v/>
      </c>
      <c r="D18" s="215" t="n">
        <v>4</v>
      </c>
      <c r="E18" s="213" t="n">
        <v>1</v>
      </c>
      <c r="F18" s="216" t="inlineStr">
        <is>
          <t>Hazards &amp; Resilience</t>
        </is>
      </c>
      <c r="G18" s="213" t="n">
        <v>1</v>
      </c>
      <c r="H18" s="168" t="inlineStr">
        <is>
          <t>United Kingdom</t>
        </is>
      </c>
      <c r="I18" s="217" t="n">
        <v>46319</v>
      </c>
    </row>
    <row r="19" ht="15.5" customHeight="1">
      <c r="A19" s="212" t="inlineStr">
        <is>
          <t>Tv7 Benevento</t>
        </is>
      </c>
      <c r="B19" s="213" t="n">
        <v>1</v>
      </c>
      <c r="C19" s="214">
        <f>SUMPRODUCT(Stories!$T$4:$T$33,--(Stories!$J$4:$J$33=$A19))</f>
        <v/>
      </c>
      <c r="D19" s="215" t="n">
        <v>4</v>
      </c>
      <c r="E19" s="213" t="n">
        <v>1</v>
      </c>
      <c r="F19" s="216" t="inlineStr">
        <is>
          <t>Hazards &amp; Resilience</t>
        </is>
      </c>
      <c r="G19" s="213" t="n">
        <v>1</v>
      </c>
      <c r="H19" s="168" t="inlineStr">
        <is>
          <t>Italy</t>
        </is>
      </c>
      <c r="I19" s="217" t="n">
        <v>46319</v>
      </c>
    </row>
    <row r="20" ht="15.5" customHeight="1">
      <c r="A20" s="212" t="inlineStr">
        <is>
          <t>VnExpress International</t>
        </is>
      </c>
      <c r="B20" s="213" t="n">
        <v>1</v>
      </c>
      <c r="C20" s="214">
        <f>SUMPRODUCT(Stories!$T$4:$T$33,--(Stories!$J$4:$J$33=$A20))</f>
        <v/>
      </c>
      <c r="D20" s="215" t="n">
        <v>4</v>
      </c>
      <c r="E20" s="213" t="n">
        <v>1</v>
      </c>
      <c r="F20" s="220" t="inlineStr">
        <is>
          <t>Characterisation &amp; Modelling</t>
        </is>
      </c>
      <c r="G20" s="213" t="n">
        <v>1</v>
      </c>
      <c r="H20" s="168" t="inlineStr">
        <is>
          <t>United Kingdom</t>
        </is>
      </c>
      <c r="I20" s="217" t="n">
        <v>46319</v>
      </c>
    </row>
    <row r="21" ht="15.5" customHeight="1">
      <c r="A21" s="212" t="inlineStr">
        <is>
          <t>Yahoo</t>
        </is>
      </c>
      <c r="B21" s="213" t="n">
        <v>1</v>
      </c>
      <c r="C21" s="214">
        <f>SUMPRODUCT(Stories!$T$4:$T$33,--(Stories!$J$4:$J$33=$A21))</f>
        <v/>
      </c>
      <c r="D21" s="215" t="n">
        <v>4</v>
      </c>
      <c r="E21" s="213" t="n">
        <v>1</v>
      </c>
      <c r="F21" s="216" t="inlineStr">
        <is>
          <t>Hazards &amp; Resilience</t>
        </is>
      </c>
      <c r="G21" s="213" t="n">
        <v>1</v>
      </c>
      <c r="H21" s="168" t="inlineStr">
        <is>
          <t>United Kingdom</t>
        </is>
      </c>
      <c r="I21" s="217" t="n">
        <v>46319</v>
      </c>
    </row>
    <row r="22" ht="15.5" customHeight="1">
      <c r="A22" s="212" t="inlineStr">
        <is>
          <t>Yahoo!ニュース</t>
        </is>
      </c>
      <c r="B22" s="213" t="n">
        <v>1</v>
      </c>
      <c r="C22" s="214">
        <f>SUMPRODUCT(Stories!$T$4:$T$33,--(Stories!$J$4:$J$33=$A22))</f>
        <v/>
      </c>
      <c r="D22" s="215" t="n">
        <v>4</v>
      </c>
      <c r="E22" s="213" t="n">
        <v>1</v>
      </c>
      <c r="F22" s="216" t="inlineStr">
        <is>
          <t>Hazards &amp; Resilience</t>
        </is>
      </c>
      <c r="G22" s="213" t="n">
        <v>1</v>
      </c>
      <c r="H22" s="168" t="inlineStr">
        <is>
          <t>Japan</t>
        </is>
      </c>
      <c r="I22" s="217" t="n">
        <v>46319</v>
      </c>
    </row>
    <row r="23" ht="15.5" customHeight="1">
      <c r="A23" s="212" t="inlineStr">
        <is>
          <t>Zazoom Social News</t>
        </is>
      </c>
      <c r="B23" s="213" t="n">
        <v>1</v>
      </c>
      <c r="C23" s="214">
        <f>SUMPRODUCT(Stories!$T$4:$T$33,--(Stories!$J$4:$J$33=$A23))</f>
        <v/>
      </c>
      <c r="D23" s="215" t="n">
        <v>4</v>
      </c>
      <c r="E23" s="213" t="n">
        <v>1</v>
      </c>
      <c r="F23" s="216" t="inlineStr">
        <is>
          <t>Hazards &amp; Resilience</t>
        </is>
      </c>
      <c r="G23" s="213" t="n">
        <v>1</v>
      </c>
      <c r="H23" s="168" t="inlineStr">
        <is>
          <t>Italy</t>
        </is>
      </c>
      <c r="I23" s="217" t="n">
        <v>46319</v>
      </c>
    </row>
    <row r="24" ht="15.5" customHeight="1">
      <c r="A24" s="212" t="inlineStr">
        <is>
          <t>凤凰网</t>
        </is>
      </c>
      <c r="B24" s="213" t="n">
        <v>1</v>
      </c>
      <c r="C24" s="214">
        <f>SUMPRODUCT(Stories!$T$4:$T$33,--(Stories!$J$4:$J$33=$A24))</f>
        <v/>
      </c>
      <c r="D24" s="215" t="n">
        <v>3</v>
      </c>
      <c r="E24" s="213" t="n">
        <v>0</v>
      </c>
      <c r="F24" s="216" t="inlineStr">
        <is>
          <t>Hazards &amp; Resilience</t>
        </is>
      </c>
      <c r="G24" s="213" t="n">
        <v>1</v>
      </c>
      <c r="H24" s="168" t="inlineStr">
        <is>
          <t>China</t>
        </is>
      </c>
      <c r="I24" s="217" t="n">
        <v>46319</v>
      </c>
    </row>
    <row r="25" ht="15.5" customHeight="1">
      <c r="A25" s="212" t="inlineStr">
        <is>
          <t>新唐人電視台</t>
        </is>
      </c>
      <c r="B25" s="213" t="n">
        <v>1</v>
      </c>
      <c r="C25" s="214">
        <f>SUMPRODUCT(Stories!$T$4:$T$33,--(Stories!$J$4:$J$33=$A25))</f>
        <v/>
      </c>
      <c r="D25" s="215" t="n">
        <v>4</v>
      </c>
      <c r="E25" s="213" t="n">
        <v>1</v>
      </c>
      <c r="F25" s="216" t="inlineStr">
        <is>
          <t>Hazards &amp; Resilience</t>
        </is>
      </c>
      <c r="G25" s="213" t="n">
        <v>1</v>
      </c>
      <c r="H25" s="168" t="inlineStr">
        <is>
          <t>China</t>
        </is>
      </c>
      <c r="I25" s="217" t="n">
        <v>46319</v>
      </c>
    </row>
    <row r="26" ht="28" customHeight="1">
      <c r="A26" s="212" t="inlineStr">
        <is>
          <t>아시아경제</t>
        </is>
      </c>
      <c r="B26" s="213" t="n">
        <v>1</v>
      </c>
      <c r="C26" s="214">
        <f>SUMPRODUCT(Stories!$T$4:$T$33,--(Stories!$J$4:$J$33=$A26))</f>
        <v/>
      </c>
      <c r="D26" s="215" t="n">
        <v>4</v>
      </c>
      <c r="E26" s="213" t="n">
        <v>1</v>
      </c>
      <c r="F26" s="219" t="inlineStr">
        <is>
          <t>Infrastructure &amp; the Underground City</t>
        </is>
      </c>
      <c r="G26" s="213" t="n">
        <v>1</v>
      </c>
      <c r="H26" s="168" t="inlineStr">
        <is>
          <t>United Kingdom</t>
        </is>
      </c>
      <c r="I26" s="217" t="n">
        <v>46319</v>
      </c>
    </row>
  </sheetData>
  <conditionalFormatting sqref="B4:B26">
    <cfRule type="dataBar" priority="1">
      <dataBar showValue="1">
        <cfvo type="num" val="0"/>
        <cfvo type="max"/>
        <color rgb="007FB3E6"/>
      </dataBar>
    </cfRule>
  </conditionalFormatting>
  <hyperlinks>
    <hyperlink ref="C1" location="'Dashboard'!A1" display="← Dashboard"/>
    <hyperlink ref="D1" location="'Start here'!A1" display="↑ Start here"/>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B8C0CA"/>
    <outlinePr summaryBelow="1" summaryRight="1"/>
    <pageSetUpPr fitToPage="1"/>
  </sheetPr>
  <dimension ref="A1:Q11"/>
  <sheetViews>
    <sheetView tabSelected="0"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7" max="7"/>
    <col width="14" customWidth="1" min="10" max="10"/>
    <col width="40" customWidth="1" min="16" max="16"/>
    <col width="40" customWidth="1" min="17" max="17"/>
  </cols>
  <sheetData>
    <row r="1">
      <c r="A1" s="221" t="inlineStr">
        <is>
          <t>Theme selector</t>
        </is>
      </c>
      <c r="B1" s="221" t="inlineStr">
        <is>
          <t>Use selector</t>
        </is>
      </c>
      <c r="C1" s="221" t="inlineStr">
        <is>
          <t>Relevance selector</t>
        </is>
      </c>
      <c r="D1" s="221" t="inlineStr">
        <is>
          <t>Window selector</t>
        </is>
      </c>
      <c r="E1" s="221" t="inlineStr">
        <is>
          <t>Status</t>
        </is>
      </c>
      <c r="G1" s="221" t="inlineStr">
        <is>
          <t>Setting</t>
        </is>
      </c>
      <c r="H1" s="221" t="inlineStr">
        <is>
          <t>Value</t>
        </is>
      </c>
      <c r="J1" s="221" t="inlineStr">
        <is>
          <t>Digest date</t>
        </is>
      </c>
      <c r="K1" s="221" t="inlineStr">
        <is>
          <t>Stories in the selection</t>
        </is>
      </c>
      <c r="M1" s="221" t="inlineStr">
        <is>
          <t>Rank</t>
        </is>
      </c>
      <c r="N1" s="221" t="inlineStr">
        <is>
          <t>Key</t>
        </is>
      </c>
      <c r="O1" s="221" t="inlineStr">
        <is>
          <t>Row in Stories</t>
        </is>
      </c>
      <c r="P1" s="221" t="inlineStr">
        <is>
          <t>Article URL</t>
        </is>
      </c>
      <c r="Q1" s="221" t="inlineStr">
        <is>
          <t>Headline shown</t>
        </is>
      </c>
    </row>
    <row r="2">
      <c r="A2" s="222" t="inlineStr">
        <is>
          <t>All themes</t>
        </is>
      </c>
      <c r="B2" s="222" t="inlineStr">
        <is>
          <t>All uses</t>
        </is>
      </c>
      <c r="C2" s="222" t="inlineStr">
        <is>
          <t>Any</t>
        </is>
      </c>
      <c r="D2" s="222" t="inlineStr">
        <is>
          <t>All windows</t>
        </is>
      </c>
      <c r="E2" s="222" t="inlineStr">
        <is>
          <t>To review</t>
        </is>
      </c>
      <c r="G2" s="222" t="inlineStr">
        <is>
          <t>Minimum relevance (number)</t>
        </is>
      </c>
      <c r="H2" s="222">
        <f>IF(ISNUMBER(Dashboard!$K$5),Dashboard!$K$5,IFERROR(VALUE(Dashboard!$K$5),0))</f>
        <v/>
      </c>
      <c r="J2" s="223" t="n">
        <v>46319</v>
      </c>
      <c r="K2" s="222">
        <f>COUNTIFS(Stories!$T$4:$T$33,1,Stories!$K$4:$K$33,J2)</f>
        <v/>
      </c>
      <c r="M2" s="222" t="n">
        <v>1</v>
      </c>
      <c r="N2" s="224">
        <f>IFERROR(LARGE(Stories!$U$4:$U$33,M2),"")</f>
        <v/>
      </c>
      <c r="O2" s="222">
        <f>IF(N2="","",MATCH(N2,Stories!$U$4:$U$33,0))</f>
        <v/>
      </c>
      <c r="P2" s="222">
        <f>IF(O2="","",INDEX(Stories!$S$4:$S$33,O2)&amp;"")</f>
        <v/>
      </c>
      <c r="Q2" s="222">
        <f>IF(O2="","",IF(LEN(INDEX(Stories!$B$4:$B$33,O2))&gt;120,LEFT(INDEX(Stories!$B$4:$B$33,O2),118)&amp;"…",INDEX(Stories!$B$4:$B$33,O2)&amp;""))</f>
        <v/>
      </c>
    </row>
    <row r="3">
      <c r="A3" s="222" t="inlineStr">
        <is>
          <t>Sustainability &amp; the Energy Transition</t>
        </is>
      </c>
      <c r="B3" s="222" t="inlineStr">
        <is>
          <t>Feature lead</t>
        </is>
      </c>
      <c r="C3" s="222" t="n">
        <v>3</v>
      </c>
      <c r="D3" s="222" t="inlineStr">
        <is>
          <t>2026-Q4</t>
        </is>
      </c>
      <c r="E3" s="222" t="inlineStr">
        <is>
          <t>Shortlisted</t>
        </is>
      </c>
      <c r="G3" s="222" t="inlineStr">
        <is>
          <t>Daily digests in this workbook</t>
        </is>
      </c>
      <c r="H3" s="222" t="n">
        <v>1</v>
      </c>
      <c r="M3" s="222" t="n">
        <v>2</v>
      </c>
      <c r="N3" s="224">
        <f>IFERROR(LARGE(Stories!$U$4:$U$33,M3),"")</f>
        <v/>
      </c>
      <c r="O3" s="222">
        <f>IF(N3="","",MATCH(N3,Stories!$U$4:$U$33,0))</f>
        <v/>
      </c>
      <c r="P3" s="222">
        <f>IF(O3="","",INDEX(Stories!$S$4:$S$33,O3)&amp;"")</f>
        <v/>
      </c>
      <c r="Q3" s="222">
        <f>IF(O3="","",IF(LEN(INDEX(Stories!$B$4:$B$33,O3))&gt;120,LEFT(INDEX(Stories!$B$4:$B$33,O3),118)&amp;"…",INDEX(Stories!$B$4:$B$33,O3)&amp;""))</f>
        <v/>
      </c>
    </row>
    <row r="4">
      <c r="A4" s="222" t="inlineStr">
        <is>
          <t>Digital Geotechnics</t>
        </is>
      </c>
      <c r="B4" s="222" t="inlineStr">
        <is>
          <t>News brief</t>
        </is>
      </c>
      <c r="C4" s="222" t="n">
        <v>4</v>
      </c>
      <c r="E4" s="222" t="inlineStr">
        <is>
          <t>Commissioned</t>
        </is>
      </c>
      <c r="G4" s="222" t="inlineStr">
        <is>
          <t>Stories in this workbook</t>
        </is>
      </c>
      <c r="H4" s="222" t="n">
        <v>30</v>
      </c>
      <c r="M4" s="222" t="n">
        <v>3</v>
      </c>
      <c r="N4" s="224">
        <f>IFERROR(LARGE(Stories!$U$4:$U$33,M4),"")</f>
        <v/>
      </c>
      <c r="O4" s="222">
        <f>IF(N4="","",MATCH(N4,Stories!$U$4:$U$33,0))</f>
        <v/>
      </c>
      <c r="P4" s="222">
        <f>IF(O4="","",INDEX(Stories!$S$4:$S$33,O4)&amp;"")</f>
        <v/>
      </c>
      <c r="Q4" s="222">
        <f>IF(O4="","",IF(LEN(INDEX(Stories!$B$4:$B$33,O4))&gt;120,LEFT(INDEX(Stories!$B$4:$B$33,O4),118)&amp;"…",INDEX(Stories!$B$4:$B$33,O4)&amp;""))</f>
        <v/>
      </c>
    </row>
    <row r="5">
      <c r="A5" s="222" t="inlineStr">
        <is>
          <t>Hazards &amp; Resilience</t>
        </is>
      </c>
      <c r="B5" s="222" t="inlineStr">
        <is>
          <t>Academia-to-Industry topic</t>
        </is>
      </c>
      <c r="C5" s="222" t="n">
        <v>5</v>
      </c>
      <c r="E5" s="222" t="inlineStr">
        <is>
          <t>Published</t>
        </is>
      </c>
      <c r="G5" s="222" t="inlineStr">
        <is>
          <t>No selector set</t>
        </is>
      </c>
      <c r="H5" s="222">
        <f>AND(OR(Dashboard!$B$5="All themes",Dashboard!$B$5=""),OR(Dashboard!$G$5="All uses",Dashboard!$G$5=""),$H$2=0,OR(Dashboard!$N$5="All windows",Dashboard!$N$5=""))</f>
        <v/>
      </c>
      <c r="M5" s="222" t="n">
        <v>4</v>
      </c>
      <c r="N5" s="224">
        <f>IFERROR(LARGE(Stories!$U$4:$U$33,M5),"")</f>
        <v/>
      </c>
      <c r="O5" s="222">
        <f>IF(N5="","",MATCH(N5,Stories!$U$4:$U$33,0))</f>
        <v/>
      </c>
      <c r="P5" s="222">
        <f>IF(O5="","",INDEX(Stories!$S$4:$S$33,O5)&amp;"")</f>
        <v/>
      </c>
      <c r="Q5" s="222">
        <f>IF(O5="","",IF(LEN(INDEX(Stories!$B$4:$B$33,O5))&gt;120,LEFT(INDEX(Stories!$B$4:$B$33,O5),118)&amp;"…",INDEX(Stories!$B$4:$B$33,O5)&amp;""))</f>
        <v/>
      </c>
    </row>
    <row r="6">
      <c r="A6" s="222" t="inlineStr">
        <is>
          <t>Ground Improvement &amp; Innovation</t>
        </is>
      </c>
      <c r="B6" s="222" t="inlineStr">
        <is>
          <t>Regional insight</t>
        </is>
      </c>
      <c r="E6" s="222" t="inlineStr">
        <is>
          <t>Not used</t>
        </is>
      </c>
      <c r="G6" s="222" t="inlineStr">
        <is>
          <t>Stories in the selection</t>
        </is>
      </c>
      <c r="H6" s="222">
        <f>COUNTIF(Stories!$T$4:$T$33,1)</f>
        <v/>
      </c>
      <c r="M6" s="222" t="n">
        <v>5</v>
      </c>
      <c r="N6" s="224">
        <f>IFERROR(LARGE(Stories!$U$4:$U$33,M6),"")</f>
        <v/>
      </c>
      <c r="O6" s="222">
        <f>IF(N6="","",MATCH(N6,Stories!$U$4:$U$33,0))</f>
        <v/>
      </c>
      <c r="P6" s="222">
        <f>IF(O6="","",INDEX(Stories!$S$4:$S$33,O6)&amp;"")</f>
        <v/>
      </c>
      <c r="Q6" s="222">
        <f>IF(O6="","",IF(LEN(INDEX(Stories!$B$4:$B$33,O6))&gt;120,LEFT(INDEX(Stories!$B$4:$B$33,O6),118)&amp;"…",INDEX(Stories!$B$4:$B$33,O6)&amp;""))</f>
        <v/>
      </c>
    </row>
    <row r="7">
      <c r="A7" s="222" t="inlineStr">
        <is>
          <t>Infrastructure &amp; the Underground City</t>
        </is>
      </c>
      <c r="B7" s="222" t="inlineStr">
        <is>
          <t>Watch only</t>
        </is>
      </c>
      <c r="M7" s="222" t="n">
        <v>6</v>
      </c>
      <c r="N7" s="224">
        <f>IFERROR(LARGE(Stories!$U$4:$U$33,M7),"")</f>
        <v/>
      </c>
      <c r="O7" s="222">
        <f>IF(N7="","",MATCH(N7,Stories!$U$4:$U$33,0))</f>
        <v/>
      </c>
      <c r="P7" s="222">
        <f>IF(O7="","",INDEX(Stories!$S$4:$S$33,O7)&amp;"")</f>
        <v/>
      </c>
      <c r="Q7" s="222">
        <f>IF(O7="","",IF(LEN(INDEX(Stories!$B$4:$B$33,O7))&gt;120,LEFT(INDEX(Stories!$B$4:$B$33,O7),118)&amp;"…",INDEX(Stories!$B$4:$B$33,O7)&amp;""))</f>
        <v/>
      </c>
    </row>
    <row r="8">
      <c r="A8" s="222" t="inlineStr">
        <is>
          <t>Offshore, Coasts &amp; Water</t>
        </is>
      </c>
      <c r="M8" s="222" t="n">
        <v>7</v>
      </c>
      <c r="N8" s="224">
        <f>IFERROR(LARGE(Stories!$U$4:$U$33,M8),"")</f>
        <v/>
      </c>
      <c r="O8" s="222">
        <f>IF(N8="","",MATCH(N8,Stories!$U$4:$U$33,0))</f>
        <v/>
      </c>
      <c r="P8" s="222">
        <f>IF(O8="","",INDEX(Stories!$S$4:$S$33,O8)&amp;"")</f>
        <v/>
      </c>
      <c r="Q8" s="222">
        <f>IF(O8="","",IF(LEN(INDEX(Stories!$B$4:$B$33,O8))&gt;120,LEFT(INDEX(Stories!$B$4:$B$33,O8),118)&amp;"…",INDEX(Stories!$B$4:$B$33,O8)&amp;""))</f>
        <v/>
      </c>
    </row>
    <row r="9">
      <c r="A9" s="222" t="inlineStr">
        <is>
          <t>Characterisation &amp; Modelling</t>
        </is>
      </c>
      <c r="M9" s="222" t="n">
        <v>8</v>
      </c>
      <c r="N9" s="224">
        <f>IFERROR(LARGE(Stories!$U$4:$U$33,M9),"")</f>
        <v/>
      </c>
      <c r="O9" s="222">
        <f>IF(N9="","",MATCH(N9,Stories!$U$4:$U$33,0))</f>
        <v/>
      </c>
      <c r="P9" s="222">
        <f>IF(O9="","",INDEX(Stories!$S$4:$S$33,O9)&amp;"")</f>
        <v/>
      </c>
      <c r="Q9" s="222">
        <f>IF(O9="","",IF(LEN(INDEX(Stories!$B$4:$B$33,O9))&gt;120,LEFT(INDEX(Stories!$B$4:$B$33,O9),118)&amp;"…",INDEX(Stories!$B$4:$B$33,O9)&amp;""))</f>
        <v/>
      </c>
    </row>
    <row r="10">
      <c r="A10" s="222" t="inlineStr">
        <is>
          <t>Geotechnics &amp; Society</t>
        </is>
      </c>
      <c r="M10" s="222" t="n">
        <v>9</v>
      </c>
      <c r="N10" s="224">
        <f>IFERROR(LARGE(Stories!$U$4:$U$33,M10),"")</f>
        <v/>
      </c>
      <c r="O10" s="222">
        <f>IF(N10="","",MATCH(N10,Stories!$U$4:$U$33,0))</f>
        <v/>
      </c>
      <c r="P10" s="222">
        <f>IF(O10="","",INDEX(Stories!$S$4:$S$33,O10)&amp;"")</f>
        <v/>
      </c>
      <c r="Q10" s="222">
        <f>IF(O10="","",IF(LEN(INDEX(Stories!$B$4:$B$33,O10))&gt;120,LEFT(INDEX(Stories!$B$4:$B$33,O10),118)&amp;"…",INDEX(Stories!$B$4:$B$33,O10)&amp;""))</f>
        <v/>
      </c>
    </row>
    <row r="11">
      <c r="A11" s="222" t="inlineStr">
        <is>
          <t>General</t>
        </is>
      </c>
      <c r="M11" s="222" t="n">
        <v>10</v>
      </c>
      <c r="N11" s="224">
        <f>IFERROR(LARGE(Stories!$U$4:$U$33,M11),"")</f>
        <v/>
      </c>
      <c r="O11" s="222">
        <f>IF(N11="","",MATCH(N11,Stories!$U$4:$U$33,0))</f>
        <v/>
      </c>
      <c r="P11" s="222">
        <f>IF(O11="","",INDEX(Stories!$S$4:$S$33,O11)&amp;"")</f>
        <v/>
      </c>
      <c r="Q11" s="222">
        <f>IF(O11="","",IF(LEN(INDEX(Stories!$B$4:$B$33,O11))&gt;120,LEFT(INDEX(Stories!$B$4:$B$33,O11),118)&amp;"…",INDEX(Stories!$B$4:$B$33,O11)&amp;""))</f>
        <v/>
      </c>
    </row>
  </sheetData>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2026-10-24T13:48:54Z</dcterms:created>
  <dcterms:modified xmlns:dcterms="http://purl.org/dc/terms/" xmlns:xsi="http://www.w3.org/2001/XMLSchema-instance" xsi:type="dcterms:W3CDTF">2026-10-24T13:48:54Z</dcterms:modified>
</cp:coreProperties>
</file>