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'Stories'!$A$1:$K$96</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8">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B8C0CA"/>
      <sz val="9"/>
    </font>
    <font>
      <name val="Arial"/>
      <b val="1"/>
      <color rgb="00E04F2C"/>
      <sz val="10"/>
    </font>
    <font>
      <name val="Arial"/>
      <b val="1"/>
      <color rgb="002563D6"/>
      <sz val="10"/>
    </font>
    <font>
      <name val="Arial"/>
      <b val="1"/>
      <color rgb="006B4F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9">
    <xf numFmtId="0" fontId="0" fillId="0" borderId="0" pivotButton="0" quotePrefix="0" xfId="0"/>
    <xf numFmtId="0" fontId="0" fillId="2" borderId="0" pivotButton="0" quotePrefix="0" xfId="0"/>
    <xf numFmtId="0" fontId="29" fillId="2" borderId="0" applyAlignment="1" pivotButton="0" quotePrefix="0" xfId="0">
      <alignment vertical="center"/>
    </xf>
    <xf numFmtId="0" fontId="0" fillId="20" borderId="0" pivotButton="0" quotePrefix="0" xfId="0"/>
    <xf numFmtId="0" fontId="30" fillId="20" borderId="0" applyAlignment="1" pivotButton="0" quotePrefix="0" xfId="0">
      <alignment vertical="center"/>
    </xf>
    <xf numFmtId="0" fontId="0" fillId="3" borderId="0" pivotButton="0" quotePrefix="0" xfId="0"/>
    <xf numFmtId="0" fontId="62" fillId="0" borderId="0" applyAlignment="1" pivotButton="0" quotePrefix="0" xfId="0">
      <alignment vertical="center" wrapText="1"/>
    </xf>
    <xf numFmtId="0" fontId="41"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6" fillId="33" borderId="2" applyAlignment="1" pivotButton="0" quotePrefix="0" xfId="0">
      <alignment horizontal="center" vertical="top"/>
    </xf>
    <xf numFmtId="0" fontId="57" fillId="34" borderId="2" applyAlignment="1" pivotButton="0" quotePrefix="0" xfId="0">
      <alignment horizontal="center" vertical="top"/>
    </xf>
    <xf numFmtId="0" fontId="58" fillId="35" borderId="2" applyAlignment="1" pivotButton="0" quotePrefix="0" xfId="0">
      <alignment horizontal="center" vertical="top"/>
    </xf>
    <xf numFmtId="0" fontId="59" fillId="36" borderId="2" applyAlignment="1" pivotButton="0" quotePrefix="0" xfId="0">
      <alignment horizontal="center" vertical="top"/>
    </xf>
    <xf numFmtId="0" fontId="60"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65" fillId="15" borderId="2" applyAlignment="1" pivotButton="0" quotePrefix="0" xfId="0">
      <alignment horizontal="left" vertical="top" indent="1"/>
    </xf>
    <xf numFmtId="0" fontId="66" fillId="17" borderId="2" applyAlignment="1" pivotButton="0" quotePrefix="0" xfId="0">
      <alignment horizontal="left" vertical="top" indent="1"/>
    </xf>
    <xf numFmtId="0" fontId="67" fillId="19" borderId="2" applyAlignment="1" pivotButton="0" quotePrefix="0" xfId="0">
      <alignment horizontal="left" vertical="top" indent="1"/>
    </xf>
    <xf numFmtId="0" fontId="44" fillId="0" borderId="2" applyAlignment="1" pivotButton="0" quotePrefix="0" xfId="0">
      <alignment horizontal="left" vertical="top"/>
    </xf>
    <xf numFmtId="0" fontId="9" fillId="0" borderId="2" applyAlignment="1" pivotButton="0" quotePrefix="0" xfId="0">
      <alignment horizontal="left" vertical="top"/>
    </xf>
    <xf numFmtId="0" fontId="31" fillId="0" borderId="0" applyAlignment="1" pivotButton="0" quotePrefix="0" xfId="0">
      <alignment vertical="bottom"/>
    </xf>
    <xf numFmtId="0" fontId="33" fillId="22" borderId="0" applyAlignment="1" pivotButton="0" quotePrefix="0" xfId="0">
      <alignment vertical="center" wrapText="1" indent="1"/>
    </xf>
    <xf numFmtId="0" fontId="0" fillId="22" borderId="0" pivotButton="0" quotePrefix="0" xfId="0"/>
    <xf numFmtId="0" fontId="32"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4" fillId="2" borderId="10" applyAlignment="1" pivotButton="0" quotePrefix="0" xfId="0">
      <alignment horizontal="center" vertical="center"/>
    </xf>
    <xf numFmtId="0" fontId="0" fillId="2" borderId="10" pivotButton="0" quotePrefix="0" xfId="0"/>
    <xf numFmtId="3" fontId="34" fillId="24" borderId="10" applyAlignment="1" pivotButton="0" quotePrefix="0" xfId="0">
      <alignment horizontal="center" vertical="center"/>
    </xf>
    <xf numFmtId="0" fontId="0" fillId="24" borderId="10" pivotButton="0" quotePrefix="0" xfId="0"/>
    <xf numFmtId="3" fontId="34" fillId="26" borderId="10" applyAlignment="1" pivotButton="0" quotePrefix="0" xfId="0">
      <alignment horizontal="center" vertical="center"/>
    </xf>
    <xf numFmtId="0" fontId="0" fillId="26" borderId="10" pivotButton="0" quotePrefix="0" xfId="0"/>
    <xf numFmtId="3" fontId="34" fillId="28" borderId="10" applyAlignment="1" pivotButton="0" quotePrefix="0" xfId="0">
      <alignment horizontal="center" vertical="center"/>
    </xf>
    <xf numFmtId="0" fontId="0" fillId="28" borderId="10" pivotButton="0" quotePrefix="0" xfId="0"/>
    <xf numFmtId="3" fontId="34" fillId="10" borderId="10" applyAlignment="1" pivotButton="0" quotePrefix="0" xfId="0">
      <alignment horizontal="center" vertical="center"/>
    </xf>
    <xf numFmtId="0" fontId="0" fillId="10" borderId="10" pivotButton="0" quotePrefix="0" xfId="0"/>
    <xf numFmtId="3" fontId="34" fillId="14" borderId="10" applyAlignment="1" pivotButton="0" quotePrefix="0" xfId="0">
      <alignment horizontal="center" vertical="center"/>
    </xf>
    <xf numFmtId="0" fontId="0" fillId="14" borderId="10" pivotButton="0" quotePrefix="0" xfId="0"/>
    <xf numFmtId="0" fontId="35" fillId="23" borderId="10" applyAlignment="1" pivotButton="0" quotePrefix="0" xfId="0">
      <alignment horizontal="center" vertical="center"/>
    </xf>
    <xf numFmtId="0" fontId="0" fillId="23" borderId="10" pivotButton="0" quotePrefix="0" xfId="0"/>
    <xf numFmtId="0" fontId="36" fillId="25" borderId="10" applyAlignment="1" pivotButton="0" quotePrefix="0" xfId="0">
      <alignment horizontal="center" vertical="center"/>
    </xf>
    <xf numFmtId="0" fontId="0" fillId="25" borderId="10" pivotButton="0" quotePrefix="0" xfId="0"/>
    <xf numFmtId="0" fontId="37" fillId="27" borderId="10" applyAlignment="1" pivotButton="0" quotePrefix="0" xfId="0">
      <alignment horizontal="center" vertical="center"/>
    </xf>
    <xf numFmtId="0" fontId="0" fillId="27" borderId="10" pivotButton="0" quotePrefix="0" xfId="0"/>
    <xf numFmtId="0" fontId="38" fillId="29" borderId="10" applyAlignment="1" pivotButton="0" quotePrefix="0" xfId="0">
      <alignment horizontal="center" vertical="center"/>
    </xf>
    <xf numFmtId="0" fontId="0" fillId="29" borderId="10" pivotButton="0" quotePrefix="0" xfId="0"/>
    <xf numFmtId="0" fontId="39" fillId="11" borderId="10" applyAlignment="1" pivotButton="0" quotePrefix="0" xfId="0">
      <alignment horizontal="center" vertical="center"/>
    </xf>
    <xf numFmtId="0" fontId="0" fillId="11" borderId="10" pivotButton="0" quotePrefix="0" xfId="0"/>
    <xf numFmtId="0" fontId="40"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2" fillId="2" borderId="0" applyAlignment="1" pivotButton="0" quotePrefix="0" xfId="0">
      <alignment horizontal="center" vertical="center" wrapText="1"/>
    </xf>
    <xf numFmtId="0" fontId="42" fillId="2" borderId="0" applyAlignment="1" pivotButton="0" quotePrefix="0" xfId="0">
      <alignment horizontal="left" vertical="center" wrapText="1" indent="1"/>
    </xf>
    <xf numFmtId="0" fontId="43" fillId="30" borderId="2" applyAlignment="1" pivotButton="0" quotePrefix="0" xfId="0">
      <alignment horizontal="center" vertical="center"/>
    </xf>
    <xf numFmtId="0" fontId="44"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5"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6" fillId="30" borderId="2" applyAlignment="1" pivotButton="0" quotePrefix="0" xfId="0">
      <alignment horizontal="center" vertical="center"/>
    </xf>
    <xf numFmtId="0" fontId="43" fillId="22" borderId="2" applyAlignment="1" pivotButton="0" quotePrefix="0" xfId="0">
      <alignment horizontal="center" vertical="center"/>
    </xf>
    <xf numFmtId="0" fontId="44"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5"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6" fillId="22" borderId="2" applyAlignment="1" pivotButton="0" quotePrefix="0" xfId="0">
      <alignment horizontal="center" vertical="center"/>
    </xf>
    <xf numFmtId="0" fontId="33" fillId="0" borderId="0" applyAlignment="1" pivotButton="0" quotePrefix="0" xfId="0">
      <alignment vertical="center"/>
    </xf>
    <xf numFmtId="0" fontId="47"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5" fillId="11" borderId="13" applyAlignment="1" pivotButton="0" quotePrefix="0" xfId="0">
      <alignment vertical="center" indent="1"/>
    </xf>
    <xf numFmtId="0" fontId="0" fillId="11" borderId="13" pivotButton="0" quotePrefix="0" xfId="0"/>
    <xf numFmtId="0" fontId="23" fillId="13" borderId="14" applyAlignment="1" pivotButton="0" quotePrefix="0" xfId="0">
      <alignment vertical="center" indent="1"/>
    </xf>
    <xf numFmtId="0" fontId="0" fillId="13" borderId="14" pivotButton="0" quotePrefix="0" xfId="0"/>
    <xf numFmtId="0" fontId="48"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9" fillId="25" borderId="17" applyAlignment="1" pivotButton="0" quotePrefix="0" xfId="0">
      <alignment vertical="center" indent="1"/>
    </xf>
    <xf numFmtId="0" fontId="0" fillId="25" borderId="17" pivotButton="0" quotePrefix="0" xfId="0"/>
    <xf numFmtId="0" fontId="26" fillId="17" borderId="18" applyAlignment="1" pivotButton="0" quotePrefix="0" xfId="0">
      <alignment vertical="center" indent="1"/>
    </xf>
    <xf numFmtId="0" fontId="0" fillId="17" borderId="18" pivotButton="0" quotePrefix="0" xfId="0"/>
    <xf numFmtId="0" fontId="50" fillId="19" borderId="19" applyAlignment="1" pivotButton="0" quotePrefix="0" xfId="0">
      <alignment vertical="center" indent="1"/>
    </xf>
    <xf numFmtId="0" fontId="0" fillId="19" borderId="19" pivotButton="0" quotePrefix="0" xfId="0"/>
    <xf numFmtId="0" fontId="51" fillId="32" borderId="20" applyAlignment="1" pivotButton="0" quotePrefix="0" xfId="0">
      <alignment vertical="center" indent="1"/>
    </xf>
    <xf numFmtId="0" fontId="0" fillId="32" borderId="20" pivotButton="0" quotePrefix="0" xfId="0"/>
    <xf numFmtId="0" fontId="48" fillId="0" borderId="2" applyAlignment="1" pivotButton="0" quotePrefix="0" xfId="0">
      <alignment vertical="center" indent="1"/>
    </xf>
    <xf numFmtId="0" fontId="14" fillId="0" borderId="2" applyAlignment="1" pivotButton="0" quotePrefix="0" xfId="0">
      <alignment vertical="center" indent="1"/>
    </xf>
    <xf numFmtId="0" fontId="56"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4" fillId="0" borderId="2" applyAlignment="1" pivotButton="0" quotePrefix="0" xfId="0">
      <alignment vertical="center" indent="1"/>
    </xf>
    <xf numFmtId="0" fontId="57" fillId="34" borderId="2" applyAlignment="1" pivotButton="0" quotePrefix="0" xfId="0">
      <alignment vertical="center" indent="1"/>
    </xf>
    <xf numFmtId="0" fontId="0" fillId="34" borderId="2" pivotButton="0" quotePrefix="0" xfId="0"/>
    <xf numFmtId="0" fontId="25" fillId="0" borderId="2" applyAlignment="1" pivotButton="0" quotePrefix="0" xfId="0">
      <alignment vertical="center" indent="1"/>
    </xf>
    <xf numFmtId="0" fontId="55" fillId="0" borderId="2" applyAlignment="1" pivotButton="0" quotePrefix="0" xfId="0">
      <alignment vertical="center" indent="1"/>
    </xf>
    <xf numFmtId="0" fontId="58" fillId="35" borderId="2" applyAlignment="1" pivotButton="0" quotePrefix="0" xfId="0">
      <alignment vertical="center" indent="1"/>
    </xf>
    <xf numFmtId="0" fontId="0" fillId="35" borderId="2" pivotButton="0" quotePrefix="0" xfId="0"/>
    <xf numFmtId="0" fontId="47" fillId="0" borderId="2" applyAlignment="1" pivotButton="0" quotePrefix="0" xfId="0">
      <alignment vertical="center" indent="1"/>
    </xf>
    <xf numFmtId="0" fontId="53" fillId="0" borderId="2" applyAlignment="1" pivotButton="0" quotePrefix="0" xfId="0">
      <alignment vertical="center" indent="1"/>
    </xf>
    <xf numFmtId="0" fontId="59" fillId="36" borderId="2" applyAlignment="1" pivotButton="0" quotePrefix="0" xfId="0">
      <alignment vertical="center" indent="1"/>
    </xf>
    <xf numFmtId="0" fontId="0" fillId="36" borderId="2" pivotButton="0" quotePrefix="0" xfId="0"/>
    <xf numFmtId="0" fontId="52" fillId="0" borderId="2" applyAlignment="1" pivotButton="0" quotePrefix="0" xfId="0">
      <alignment vertical="center" indent="1"/>
    </xf>
    <xf numFmtId="0" fontId="60" fillId="37" borderId="2" applyAlignment="1" pivotButton="0" quotePrefix="0" xfId="0">
      <alignment vertical="center" indent="1"/>
    </xf>
    <xf numFmtId="0" fontId="0" fillId="37" borderId="2" pivotButton="0" quotePrefix="0" xfId="0"/>
    <xf numFmtId="0" fontId="47"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5" fillId="0" borderId="13" applyAlignment="1" pivotButton="0" quotePrefix="0" xfId="0">
      <alignment vertical="center" indent="1"/>
    </xf>
    <xf numFmtId="0" fontId="0" fillId="0" borderId="13" pivotButton="0" quotePrefix="0" xfId="0"/>
    <xf numFmtId="0" fontId="23"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26" fillId="0" borderId="18" applyAlignment="1" pivotButton="0" quotePrefix="0" xfId="0">
      <alignment vertical="center" indent="1"/>
    </xf>
    <xf numFmtId="0" fontId="0" fillId="0" borderId="18" pivotButton="0" quotePrefix="0" xfId="0"/>
    <xf numFmtId="0" fontId="50" fillId="0" borderId="19" applyAlignment="1" pivotButton="0" quotePrefix="0" xfId="0">
      <alignment vertical="center" indent="1"/>
    </xf>
    <xf numFmtId="0" fontId="0" fillId="0" borderId="19" pivotButton="0" quotePrefix="0" xfId="0"/>
    <xf numFmtId="0" fontId="51"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61"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2" fillId="0" borderId="0" applyAlignment="1" pivotButton="0" quotePrefix="0" xfId="0">
      <alignment vertical="top" wrapText="1"/>
    </xf>
    <xf numFmtId="0" fontId="27"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8"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7"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2" fillId="0" borderId="2" applyAlignment="1" pivotButton="0" quotePrefix="0" xfId="0">
      <alignment vertical="top" wrapText="1"/>
    </xf>
    <xf numFmtId="0" fontId="3" fillId="0" borderId="2" applyAlignment="1" pivotButton="0" quotePrefix="0" xfId="0">
      <alignment vertical="top" wrapText="1"/>
    </xf>
    <xf numFmtId="0" fontId="27"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7"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7"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3" fillId="0" borderId="0" applyAlignment="1" pivotButton="0" quotePrefix="0" xfId="0">
      <alignment vertical="top" wrapText="1"/>
    </xf>
    <xf numFmtId="166" fontId="10"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96" headerRowCount="1">
  <autoFilter ref="A3:U96"/>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67" headerRowCount="1">
  <autoFilter ref="A3:I67"/>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9"/><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10"/><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1"/><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4"/><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5"/><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6"/><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7"/><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8"/><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9"/><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20"/><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1"/><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4"/><Relationship Type="http://schemas.openxmlformats.org/officeDocument/2006/relationships/hyperlink" Target="https://news.google.com/rss/articles/CBMiTEFVX3lxTE5jQUtRMEZxbjBPU3kxaVdvdjhRc09sV2NnalVMYklmVHFZQmwybkFHUjRLMVYtdzlvS3laVGlFMGw4aXhtdTduc1o4c3U?oc=5" TargetMode="External" Id="rId2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7"/><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9"/><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30"/><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31"/><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2"/><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3"/><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34"/><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35"/><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36"/><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37"/><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38"/><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39"/><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40"/><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41"/><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42"/><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43"/><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44"/><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45"/><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46"/><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47"/><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48"/><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49"/><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50"/><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51"/><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52"/><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53"/><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54"/><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55"/><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56"/><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57"/><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58"/><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59"/><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60"/><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61"/><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62"/><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63"/><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64"/><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65"/><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66"/><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67"/><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68"/><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69"/><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70"/><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71"/><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72"/><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73"/><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74"/><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75"/><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76"/><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77"/><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78"/><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79"/><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80"/><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81"/><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82"/><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83"/><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84"/><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85"/><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86"/><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87"/><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88"/><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89"/><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90"/><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91"/><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92"/><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93"/><Relationship Type="http://schemas.openxmlformats.org/officeDocument/2006/relationships/table" Target="/xl/tables/table1.xml" Id="rId94"/></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9"/><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10"/><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1"/><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2"/><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3"/><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4"/><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5"/><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6"/><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7"/><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8"/><Relationship Type="http://schemas.openxmlformats.org/officeDocument/2006/relationships/hyperlink" Target="https://news.google.com/rss/articles/CBMiTEFVX3lxTE5jQUtRMEZxbjBPU3kxaVdvdjhRc09sV2NnalVMYklmVHFZQmwybkFHUjRLMVYtdzlvS3laVGlFMGw4aXhtdTduc1o4c3U?oc=5" TargetMode="External" Id="rId19"/><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0"/><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21"/><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2"/><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3"/><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4"/><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5"/><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6"/><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7"/><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8"/><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9"/><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30"/><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31"/><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2"/><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3"/><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4"/><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5"/><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6"/><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7"/><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8"/><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9"/><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40"/><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41"/><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2"/><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3"/><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4"/><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5"/><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6"/><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7"/><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8"/><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9"/><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50"/><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51"/><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2"/><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3"/><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4"/><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5"/><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6"/><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7"/><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8"/><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9"/><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60"/><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61"/><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2"/><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3"/><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4"/><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5"/><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6"/><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7"/><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8"/><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9"/><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70"/><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71"/><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2"/><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3"/><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4"/><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5"/><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6"/><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7"/><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8"/><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9"/><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80"/><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81"/><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83"/><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8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5"/><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86"/><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8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8"/><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9"/><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9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1"/><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2"/><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3"/></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93 stories from 1 daily digest, 24 Oct 2026 to 24 Oct 2026, in 5 themes and from 64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81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92" display="Infrastructure &amp; the Underground City"/>
    <hyperlink ref="B39" location="'By theme'!A100" display="Characterisation &amp; Modelling"/>
    <hyperlink ref="B40" location="'By theme'!A107"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COUNTIFS(Stories!$T$4:$T$96,1,Stories!$D$4:$D$96,5)</f>
        <v/>
      </c>
      <c r="I8" s="43" t="n"/>
      <c r="J8" s="43" t="n"/>
      <c r="K8" s="44">
        <f>COUNTIFS(Stories!$T$4:$T$96,1,Stories!$E$4:$E$96,"Feature lead")</f>
        <v/>
      </c>
      <c r="L8" s="45" t="n"/>
      <c r="M8" s="45" t="n"/>
      <c r="N8" s="46">
        <f>COUNTIFS(Stories!$T$4:$T$96,1,Stories!$F$4:$F$96,"Shortlisted")+COUNTIFS(Stories!$T$4:$T$96,1,Stories!$F$4:$F$96,"Commissioned")+COUNTIFS(Stories!$T$4:$T$96,1,Stories!$F$4:$F$96,"Published")</f>
        <v/>
      </c>
      <c r="O8" s="47" t="n"/>
      <c r="P8" s="47" t="n"/>
      <c r="Q8" s="48">
        <f>COUNTIF(Sources!$C$4:$C$67,"&gt;0")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"&amp;COUNTIFS(Stories!$T$4:$T$96,1,Stories!$D$4:$D$96,4)</f>
        <v/>
      </c>
      <c r="I10" s="55" t="n"/>
      <c r="J10" s="55" t="n"/>
      <c r="K10" s="65">
        <f>"news briefs: "&amp;COUNTIFS(Stories!$T$4:$T$96,1,Stories!$E$4:$E$96,"News brief")</f>
        <v/>
      </c>
      <c r="L10" s="57" t="n"/>
      <c r="M10" s="57" t="n"/>
      <c r="N10" s="66">
        <f>"shortlisted or later · to review: "&amp;COUNTIFS(Stories!$T$4:$T$96,1,Stories!$F$4:$F$96,"To review")</f>
        <v/>
      </c>
      <c r="O10" s="59" t="n"/>
      <c r="P10" s="59" t="n"/>
      <c r="Q10" s="67">
        <f>"of 64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IF(Lists!$O$2="","",INDEX(Stories!$K$4:$K$96,Lists!$O$2))</f>
        <v/>
      </c>
      <c r="J14" s="74">
        <f>IF(Lists!$O$2="","",INDEX(Stories!$C$4:$C$96,Lists!$O$2)&amp;"")</f>
        <v/>
      </c>
      <c r="K14" s="72" t="n"/>
      <c r="L14" s="72" t="n"/>
      <c r="M14" s="75">
        <f>IF(Lists!$O$2="","",INDEX(Stories!$D$4:$D$96,Lists!$O$2))</f>
        <v/>
      </c>
      <c r="N14" s="76">
        <f>IF(Lists!$O$2="","",INDEX(Stories!$E$4:$E$96,Lists!$O$2)&amp;"")</f>
        <v/>
      </c>
      <c r="O14" s="72" t="n"/>
      <c r="P14" s="76">
        <f>IF(Lists!$O$2="","",INDEX(Stories!$J$4:$J$96,Lists!$O$2)&amp;"")</f>
        <v/>
      </c>
      <c r="Q14" s="72" t="n"/>
      <c r="R14" s="77">
        <f>IF(Lists!$O$2="","",INDEX(Stories!$A$4:$A$96,Lists!$O$2))</f>
        <v/>
      </c>
      <c r="S14" s="78">
        <f>IF(Lists!$O$2="","",INDEX(Stories!$F$4:$F$96,Lists!$O$2)&amp;"")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IF(Lists!$O$3="","",INDEX(Stories!$K$4:$K$96,Lists!$O$3))</f>
        <v/>
      </c>
      <c r="J15" s="83">
        <f>IF(Lists!$O$3="","",INDEX(Stories!$C$4:$C$96,Lists!$O$3)&amp;"")</f>
        <v/>
      </c>
      <c r="K15" s="81" t="n"/>
      <c r="L15" s="81" t="n"/>
      <c r="M15" s="84">
        <f>IF(Lists!$O$3="","",INDEX(Stories!$D$4:$D$96,Lists!$O$3))</f>
        <v/>
      </c>
      <c r="N15" s="85">
        <f>IF(Lists!$O$3="","",INDEX(Stories!$E$4:$E$96,Lists!$O$3)&amp;"")</f>
        <v/>
      </c>
      <c r="O15" s="81" t="n"/>
      <c r="P15" s="85">
        <f>IF(Lists!$O$3="","",INDEX(Stories!$J$4:$J$96,Lists!$O$3)&amp;"")</f>
        <v/>
      </c>
      <c r="Q15" s="81" t="n"/>
      <c r="R15" s="86">
        <f>IF(Lists!$O$3="","",INDEX(Stories!$A$4:$A$96,Lists!$O$3))</f>
        <v/>
      </c>
      <c r="S15" s="87">
        <f>IF(Lists!$O$3="","",INDEX(Stories!$F$4:$F$96,Lists!$O$3)&amp;"")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IF(Lists!$O$4="","",INDEX(Stories!$K$4:$K$96,Lists!$O$4))</f>
        <v/>
      </c>
      <c r="J16" s="74">
        <f>IF(Lists!$O$4="","",INDEX(Stories!$C$4:$C$96,Lists!$O$4)&amp;"")</f>
        <v/>
      </c>
      <c r="K16" s="72" t="n"/>
      <c r="L16" s="72" t="n"/>
      <c r="M16" s="75">
        <f>IF(Lists!$O$4="","",INDEX(Stories!$D$4:$D$96,Lists!$O$4))</f>
        <v/>
      </c>
      <c r="N16" s="76">
        <f>IF(Lists!$O$4="","",INDEX(Stories!$E$4:$E$96,Lists!$O$4)&amp;"")</f>
        <v/>
      </c>
      <c r="O16" s="72" t="n"/>
      <c r="P16" s="76">
        <f>IF(Lists!$O$4="","",INDEX(Stories!$J$4:$J$96,Lists!$O$4)&amp;"")</f>
        <v/>
      </c>
      <c r="Q16" s="72" t="n"/>
      <c r="R16" s="77">
        <f>IF(Lists!$O$4="","",INDEX(Stories!$A$4:$A$96,Lists!$O$4))</f>
        <v/>
      </c>
      <c r="S16" s="78">
        <f>IF(Lists!$O$4="","",INDEX(Stories!$F$4:$F$96,Lists!$O$4)&amp;"")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IF(Lists!$O$5="","",INDEX(Stories!$K$4:$K$96,Lists!$O$5))</f>
        <v/>
      </c>
      <c r="J17" s="83">
        <f>IF(Lists!$O$5="","",INDEX(Stories!$C$4:$C$96,Lists!$O$5)&amp;"")</f>
        <v/>
      </c>
      <c r="K17" s="81" t="n"/>
      <c r="L17" s="81" t="n"/>
      <c r="M17" s="84">
        <f>IF(Lists!$O$5="","",INDEX(Stories!$D$4:$D$96,Lists!$O$5))</f>
        <v/>
      </c>
      <c r="N17" s="85">
        <f>IF(Lists!$O$5="","",INDEX(Stories!$E$4:$E$96,Lists!$O$5)&amp;"")</f>
        <v/>
      </c>
      <c r="O17" s="81" t="n"/>
      <c r="P17" s="85">
        <f>IF(Lists!$O$5="","",INDEX(Stories!$J$4:$J$96,Lists!$O$5)&amp;"")</f>
        <v/>
      </c>
      <c r="Q17" s="81" t="n"/>
      <c r="R17" s="86">
        <f>IF(Lists!$O$5="","",INDEX(Stories!$A$4:$A$96,Lists!$O$5))</f>
        <v/>
      </c>
      <c r="S17" s="87">
        <f>IF(Lists!$O$5="","",INDEX(Stories!$F$4:$F$96,Lists!$O$5)&amp;"")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IF(Lists!$O$6="","",INDEX(Stories!$K$4:$K$96,Lists!$O$6))</f>
        <v/>
      </c>
      <c r="J18" s="74">
        <f>IF(Lists!$O$6="","",INDEX(Stories!$C$4:$C$96,Lists!$O$6)&amp;"")</f>
        <v/>
      </c>
      <c r="K18" s="72" t="n"/>
      <c r="L18" s="72" t="n"/>
      <c r="M18" s="75">
        <f>IF(Lists!$O$6="","",INDEX(Stories!$D$4:$D$96,Lists!$O$6))</f>
        <v/>
      </c>
      <c r="N18" s="76">
        <f>IF(Lists!$O$6="","",INDEX(Stories!$E$4:$E$96,Lists!$O$6)&amp;"")</f>
        <v/>
      </c>
      <c r="O18" s="72" t="n"/>
      <c r="P18" s="76">
        <f>IF(Lists!$O$6="","",INDEX(Stories!$J$4:$J$96,Lists!$O$6)&amp;"")</f>
        <v/>
      </c>
      <c r="Q18" s="72" t="n"/>
      <c r="R18" s="77">
        <f>IF(Lists!$O$6="","",INDEX(Stories!$A$4:$A$96,Lists!$O$6))</f>
        <v/>
      </c>
      <c r="S18" s="78">
        <f>IF(Lists!$O$6="","",INDEX(Stories!$F$4:$F$96,Lists!$O$6)&amp;"")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IF(Lists!$O$7="","",INDEX(Stories!$K$4:$K$96,Lists!$O$7))</f>
        <v/>
      </c>
      <c r="J19" s="83">
        <f>IF(Lists!$O$7="","",INDEX(Stories!$C$4:$C$96,Lists!$O$7)&amp;"")</f>
        <v/>
      </c>
      <c r="K19" s="81" t="n"/>
      <c r="L19" s="81" t="n"/>
      <c r="M19" s="84">
        <f>IF(Lists!$O$7="","",INDEX(Stories!$D$4:$D$96,Lists!$O$7))</f>
        <v/>
      </c>
      <c r="N19" s="85">
        <f>IF(Lists!$O$7="","",INDEX(Stories!$E$4:$E$96,Lists!$O$7)&amp;"")</f>
        <v/>
      </c>
      <c r="O19" s="81" t="n"/>
      <c r="P19" s="85">
        <f>IF(Lists!$O$7="","",INDEX(Stories!$J$4:$J$96,Lists!$O$7)&amp;"")</f>
        <v/>
      </c>
      <c r="Q19" s="81" t="n"/>
      <c r="R19" s="86">
        <f>IF(Lists!$O$7="","",INDEX(Stories!$A$4:$A$96,Lists!$O$7))</f>
        <v/>
      </c>
      <c r="S19" s="87">
        <f>IF(Lists!$O$7="","",INDEX(Stories!$F$4:$F$96,Lists!$O$7)&amp;"")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IF(Lists!$O$8="","",INDEX(Stories!$K$4:$K$96,Lists!$O$8))</f>
        <v/>
      </c>
      <c r="J20" s="74">
        <f>IF(Lists!$O$8="","",INDEX(Stories!$C$4:$C$96,Lists!$O$8)&amp;"")</f>
        <v/>
      </c>
      <c r="K20" s="72" t="n"/>
      <c r="L20" s="72" t="n"/>
      <c r="M20" s="75">
        <f>IF(Lists!$O$8="","",INDEX(Stories!$D$4:$D$96,Lists!$O$8))</f>
        <v/>
      </c>
      <c r="N20" s="76">
        <f>IF(Lists!$O$8="","",INDEX(Stories!$E$4:$E$96,Lists!$O$8)&amp;"")</f>
        <v/>
      </c>
      <c r="O20" s="72" t="n"/>
      <c r="P20" s="76">
        <f>IF(Lists!$O$8="","",INDEX(Stories!$J$4:$J$96,Lists!$O$8)&amp;"")</f>
        <v/>
      </c>
      <c r="Q20" s="72" t="n"/>
      <c r="R20" s="77">
        <f>IF(Lists!$O$8="","",INDEX(Stories!$A$4:$A$96,Lists!$O$8))</f>
        <v/>
      </c>
      <c r="S20" s="78">
        <f>IF(Lists!$O$8="","",INDEX(Stories!$F$4:$F$96,Lists!$O$8)&amp;"")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IF(Lists!$O$9="","",INDEX(Stories!$K$4:$K$96,Lists!$O$9))</f>
        <v/>
      </c>
      <c r="J21" s="83">
        <f>IF(Lists!$O$9="","",INDEX(Stories!$C$4:$C$96,Lists!$O$9)&amp;"")</f>
        <v/>
      </c>
      <c r="K21" s="81" t="n"/>
      <c r="L21" s="81" t="n"/>
      <c r="M21" s="84">
        <f>IF(Lists!$O$9="","",INDEX(Stories!$D$4:$D$96,Lists!$O$9))</f>
        <v/>
      </c>
      <c r="N21" s="85">
        <f>IF(Lists!$O$9="","",INDEX(Stories!$E$4:$E$96,Lists!$O$9)&amp;"")</f>
        <v/>
      </c>
      <c r="O21" s="81" t="n"/>
      <c r="P21" s="85">
        <f>IF(Lists!$O$9="","",INDEX(Stories!$J$4:$J$96,Lists!$O$9)&amp;"")</f>
        <v/>
      </c>
      <c r="Q21" s="81" t="n"/>
      <c r="R21" s="86">
        <f>IF(Lists!$O$9="","",INDEX(Stories!$A$4:$A$96,Lists!$O$9))</f>
        <v/>
      </c>
      <c r="S21" s="87">
        <f>IF(Lists!$O$9="","",INDEX(Stories!$F$4:$F$96,Lists!$O$9)&amp;"")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IF(Lists!$O$10="","",INDEX(Stories!$K$4:$K$96,Lists!$O$10))</f>
        <v/>
      </c>
      <c r="J22" s="74">
        <f>IF(Lists!$O$10="","",INDEX(Stories!$C$4:$C$96,Lists!$O$10)&amp;"")</f>
        <v/>
      </c>
      <c r="K22" s="72" t="n"/>
      <c r="L22" s="72" t="n"/>
      <c r="M22" s="75">
        <f>IF(Lists!$O$10="","",INDEX(Stories!$D$4:$D$96,Lists!$O$10))</f>
        <v/>
      </c>
      <c r="N22" s="76">
        <f>IF(Lists!$O$10="","",INDEX(Stories!$E$4:$E$96,Lists!$O$10)&amp;"")</f>
        <v/>
      </c>
      <c r="O22" s="72" t="n"/>
      <c r="P22" s="76">
        <f>IF(Lists!$O$10="","",INDEX(Stories!$J$4:$J$96,Lists!$O$10)&amp;"")</f>
        <v/>
      </c>
      <c r="Q22" s="72" t="n"/>
      <c r="R22" s="77">
        <f>IF(Lists!$O$10="","",INDEX(Stories!$A$4:$A$96,Lists!$O$10))</f>
        <v/>
      </c>
      <c r="S22" s="78">
        <f>IF(Lists!$O$10="","",INDEX(Stories!$F$4:$F$96,Lists!$O$10)&amp;"")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IF(Lists!$O$11="","",INDEX(Stories!$K$4:$K$96,Lists!$O$11))</f>
        <v/>
      </c>
      <c r="J23" s="83">
        <f>IF(Lists!$O$11="","",INDEX(Stories!$C$4:$C$96,Lists!$O$11)&amp;"")</f>
        <v/>
      </c>
      <c r="K23" s="81" t="n"/>
      <c r="L23" s="81" t="n"/>
      <c r="M23" s="84">
        <f>IF(Lists!$O$11="","",INDEX(Stories!$D$4:$D$96,Lists!$O$11))</f>
        <v/>
      </c>
      <c r="N23" s="85">
        <f>IF(Lists!$O$11="","",INDEX(Stories!$E$4:$E$96,Lists!$O$11)&amp;"")</f>
        <v/>
      </c>
      <c r="O23" s="81" t="n"/>
      <c r="P23" s="85">
        <f>IF(Lists!$O$11="","",INDEX(Stories!$J$4:$J$96,Lists!$O$11)&amp;"")</f>
        <v/>
      </c>
      <c r="Q23" s="81" t="n"/>
      <c r="R23" s="86">
        <f>IF(Lists!$O$11="","",INDEX(Stories!$A$4:$A$96,Lists!$O$11))</f>
        <v/>
      </c>
      <c r="S23" s="87">
        <f>IF(Lists!$O$11="","",INDEX(Stories!$F$4:$F$96,Lists!$O$11)&amp;"")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SUMPRODUCT(Stories!$T$4:$T$96,--(Stories!$C$4:$C$96=$B28))</f>
        <v/>
      </c>
      <c r="G28" s="92">
        <f>SUMPRODUCT(Stories!$T$4:$T$96,--(Stories!$C$4:$C$96=$B28),--(Stories!$D$4:$D$96=5))</f>
        <v/>
      </c>
      <c r="H28" s="92">
        <f>SUMPRODUCT(Stories!$T$4:$T$96,--(Stories!$C$4:$C$96=$B28),--(Stories!$D$4:$D$96=4))</f>
        <v/>
      </c>
      <c r="I28" s="92">
        <f>SUMPRODUCT(Stories!$T$4:$T$96,--(Stories!$C$4:$C$96=$B28),--(Stories!$E$4:$E$96="Feature lead"))</f>
        <v/>
      </c>
      <c r="J28" s="93">
        <f>IF(Lists!$H$6=0,0,F28/Lists!$H$6)</f>
        <v/>
      </c>
    </row>
    <row r="29" ht="18" customHeight="1">
      <c r="B29" s="94" t="inlineStr">
        <is>
          <t>Digital Geotechnics</t>
        </is>
      </c>
      <c r="C29" s="95" t="n"/>
      <c r="D29" s="95" t="n"/>
      <c r="E29" s="95" t="n"/>
      <c r="F29" s="91">
        <f>SUMPRODUCT(Stories!$T$4:$T$96,--(Stories!$C$4:$C$96=$B29))</f>
        <v/>
      </c>
      <c r="G29" s="92">
        <f>SUMPRODUCT(Stories!$T$4:$T$96,--(Stories!$C$4:$C$96=$B29),--(Stories!$D$4:$D$96=5))</f>
        <v/>
      </c>
      <c r="H29" s="92">
        <f>SUMPRODUCT(Stories!$T$4:$T$96,--(Stories!$C$4:$C$96=$B29),--(Stories!$D$4:$D$96=4))</f>
        <v/>
      </c>
      <c r="I29" s="92">
        <f>SUMPRODUCT(Stories!$T$4:$T$96,--(Stories!$C$4:$C$96=$B29),--(Stories!$E$4:$E$96="Feature lead"))</f>
        <v/>
      </c>
      <c r="J29" s="93">
        <f>IF(Lists!$H$6=0,0,F29/Lists!$H$6)</f>
        <v/>
      </c>
    </row>
    <row r="30" ht="18" customHeight="1">
      <c r="B30" s="96" t="inlineStr">
        <is>
          <t>Hazards &amp; Resilience</t>
        </is>
      </c>
      <c r="C30" s="97" t="n"/>
      <c r="D30" s="97" t="n"/>
      <c r="E30" s="97" t="n"/>
      <c r="F30" s="91">
        <f>SUMPRODUCT(Stories!$T$4:$T$96,--(Stories!$C$4:$C$96=$B30))</f>
        <v/>
      </c>
      <c r="G30" s="92">
        <f>SUMPRODUCT(Stories!$T$4:$T$96,--(Stories!$C$4:$C$96=$B30),--(Stories!$D$4:$D$96=5))</f>
        <v/>
      </c>
      <c r="H30" s="92">
        <f>SUMPRODUCT(Stories!$T$4:$T$96,--(Stories!$C$4:$C$96=$B30),--(Stories!$D$4:$D$96=4))</f>
        <v/>
      </c>
      <c r="I30" s="92">
        <f>SUMPRODUCT(Stories!$T$4:$T$96,--(Stories!$C$4:$C$96=$B30),--(Stories!$E$4:$E$96="Feature lead"))</f>
        <v/>
      </c>
      <c r="J30" s="93">
        <f>IF(Lists!$H$6=0,0,F30/Lists!$H$6)</f>
        <v/>
      </c>
    </row>
    <row r="31" ht="18" customHeight="1">
      <c r="B31" s="98" t="inlineStr">
        <is>
          <t>Ground Improvement &amp; Innovation</t>
        </is>
      </c>
      <c r="C31" s="99" t="n"/>
      <c r="D31" s="99" t="n"/>
      <c r="E31" s="99" t="n"/>
      <c r="F31" s="91">
        <f>SUMPRODUCT(Stories!$T$4:$T$96,--(Stories!$C$4:$C$96=$B31))</f>
        <v/>
      </c>
      <c r="G31" s="92">
        <f>SUMPRODUCT(Stories!$T$4:$T$96,--(Stories!$C$4:$C$96=$B31),--(Stories!$D$4:$D$96=5))</f>
        <v/>
      </c>
      <c r="H31" s="92">
        <f>SUMPRODUCT(Stories!$T$4:$T$96,--(Stories!$C$4:$C$96=$B31),--(Stories!$D$4:$D$96=4))</f>
        <v/>
      </c>
      <c r="I31" s="92">
        <f>SUMPRODUCT(Stories!$T$4:$T$96,--(Stories!$C$4:$C$96=$B31),--(Stories!$E$4:$E$96="Feature lead"))</f>
        <v/>
      </c>
      <c r="J31" s="93">
        <f>IF(Lists!$H$6=0,0,F31/Lists!$H$6)</f>
        <v/>
      </c>
    </row>
    <row r="32" ht="18" customHeight="1">
      <c r="B32" s="100" t="inlineStr">
        <is>
          <t>Infrastructure &amp; the Underground City</t>
        </is>
      </c>
      <c r="C32" s="101" t="n"/>
      <c r="D32" s="101" t="n"/>
      <c r="E32" s="101" t="n"/>
      <c r="F32" s="91">
        <f>SUMPRODUCT(Stories!$T$4:$T$96,--(Stories!$C$4:$C$96=$B32))</f>
        <v/>
      </c>
      <c r="G32" s="92">
        <f>SUMPRODUCT(Stories!$T$4:$T$96,--(Stories!$C$4:$C$96=$B32),--(Stories!$D$4:$D$96=5))</f>
        <v/>
      </c>
      <c r="H32" s="92">
        <f>SUMPRODUCT(Stories!$T$4:$T$96,--(Stories!$C$4:$C$96=$B32),--(Stories!$D$4:$D$96=4))</f>
        <v/>
      </c>
      <c r="I32" s="92">
        <f>SUMPRODUCT(Stories!$T$4:$T$96,--(Stories!$C$4:$C$96=$B32),--(Stories!$E$4:$E$96="Feature lead"))</f>
        <v/>
      </c>
      <c r="J32" s="93">
        <f>IF(Lists!$H$6=0,0,F32/Lists!$H$6)</f>
        <v/>
      </c>
    </row>
    <row r="33" ht="18" customHeight="1">
      <c r="B33" s="102" t="inlineStr">
        <is>
          <t>Offshore, Coasts &amp; Water</t>
        </is>
      </c>
      <c r="C33" s="103" t="n"/>
      <c r="D33" s="103" t="n"/>
      <c r="E33" s="103" t="n"/>
      <c r="F33" s="91">
        <f>SUMPRODUCT(Stories!$T$4:$T$96,--(Stories!$C$4:$C$96=$B33))</f>
        <v/>
      </c>
      <c r="G33" s="92">
        <f>SUMPRODUCT(Stories!$T$4:$T$96,--(Stories!$C$4:$C$96=$B33),--(Stories!$D$4:$D$96=5))</f>
        <v/>
      </c>
      <c r="H33" s="92">
        <f>SUMPRODUCT(Stories!$T$4:$T$96,--(Stories!$C$4:$C$96=$B33),--(Stories!$D$4:$D$96=4))</f>
        <v/>
      </c>
      <c r="I33" s="92">
        <f>SUMPRODUCT(Stories!$T$4:$T$96,--(Stories!$C$4:$C$96=$B33),--(Stories!$E$4:$E$96="Feature lead"))</f>
        <v/>
      </c>
      <c r="J33" s="93">
        <f>IF(Lists!$H$6=0,0,F33/Lists!$H$6)</f>
        <v/>
      </c>
    </row>
    <row r="34" ht="18" customHeight="1">
      <c r="B34" s="104" t="inlineStr">
        <is>
          <t>Characterisation &amp; Modelling</t>
        </is>
      </c>
      <c r="C34" s="105" t="n"/>
      <c r="D34" s="105" t="n"/>
      <c r="E34" s="105" t="n"/>
      <c r="F34" s="91">
        <f>SUMPRODUCT(Stories!$T$4:$T$96,--(Stories!$C$4:$C$96=$B34))</f>
        <v/>
      </c>
      <c r="G34" s="92">
        <f>SUMPRODUCT(Stories!$T$4:$T$96,--(Stories!$C$4:$C$96=$B34),--(Stories!$D$4:$D$96=5))</f>
        <v/>
      </c>
      <c r="H34" s="92">
        <f>SUMPRODUCT(Stories!$T$4:$T$96,--(Stories!$C$4:$C$96=$B34),--(Stories!$D$4:$D$96=4))</f>
        <v/>
      </c>
      <c r="I34" s="92">
        <f>SUMPRODUCT(Stories!$T$4:$T$96,--(Stories!$C$4:$C$96=$B34),--(Stories!$E$4:$E$96="Feature lead"))</f>
        <v/>
      </c>
      <c r="J34" s="93">
        <f>IF(Lists!$H$6=0,0,F34/Lists!$H$6)</f>
        <v/>
      </c>
    </row>
    <row r="35" ht="18" customHeight="1">
      <c r="B35" s="106" t="inlineStr">
        <is>
          <t>Geotechnics &amp; Society</t>
        </is>
      </c>
      <c r="C35" s="107" t="n"/>
      <c r="D35" s="107" t="n"/>
      <c r="E35" s="107" t="n"/>
      <c r="F35" s="91">
        <f>SUMPRODUCT(Stories!$T$4:$T$96,--(Stories!$C$4:$C$96=$B35))</f>
        <v/>
      </c>
      <c r="G35" s="92">
        <f>SUMPRODUCT(Stories!$T$4:$T$96,--(Stories!$C$4:$C$96=$B35),--(Stories!$D$4:$D$96=5))</f>
        <v/>
      </c>
      <c r="H35" s="92">
        <f>SUMPRODUCT(Stories!$T$4:$T$96,--(Stories!$C$4:$C$96=$B35),--(Stories!$D$4:$D$96=4))</f>
        <v/>
      </c>
      <c r="I35" s="92">
        <f>SUMPRODUCT(Stories!$T$4:$T$96,--(Stories!$C$4:$C$96=$B35),--(Stories!$E$4:$E$96="Feature lead"))</f>
        <v/>
      </c>
      <c r="J35" s="93">
        <f>IF(Lists!$H$6=0,0,F35/Lists!$H$6)</f>
        <v/>
      </c>
    </row>
    <row r="36" ht="18" customHeight="1">
      <c r="B36" s="108" t="inlineStr">
        <is>
          <t>General</t>
        </is>
      </c>
      <c r="C36" s="109" t="n"/>
      <c r="D36" s="109" t="n"/>
      <c r="E36" s="109" t="n"/>
      <c r="F36" s="91">
        <f>SUMPRODUCT(Stories!$T$4:$T$96,--(Stories!$C$4:$C$96=$B36))</f>
        <v/>
      </c>
      <c r="G36" s="92">
        <f>SUMPRODUCT(Stories!$T$4:$T$96,--(Stories!$C$4:$C$96=$B36),--(Stories!$D$4:$D$96=5))</f>
        <v/>
      </c>
      <c r="H36" s="92">
        <f>SUMPRODUCT(Stories!$T$4:$T$96,--(Stories!$C$4:$C$96=$B36),--(Stories!$D$4:$D$96=4))</f>
        <v/>
      </c>
      <c r="I36" s="92">
        <f>SUMPRODUCT(Stories!$T$4:$T$96,--(Stories!$C$4:$C$96=$B36),--(Stories!$E$4:$E$96="Feature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SUMPRODUCT(Stories!$T$4:$T$96,--(Stories!$E$4:$E$96=$B40))</f>
        <v/>
      </c>
      <c r="F40" s="93">
        <f>IF(Lists!$H$6=0,0,E40/Lists!$H$6)</f>
        <v/>
      </c>
      <c r="H40" s="111" t="inlineStr">
        <is>
          <t>5 / 5</t>
        </is>
      </c>
      <c r="I40" s="11" t="n"/>
      <c r="J40" s="11" t="n"/>
      <c r="K40" s="91">
        <f>COUNTIFS(Stories!$T$4:$T$96,1,Stories!$D$4:$D$96,5)</f>
        <v/>
      </c>
      <c r="L40" s="93">
        <f>IF(Lists!$H$6=0,0,K40/Lists!$H$6)</f>
        <v/>
      </c>
      <c r="N40" s="112" t="inlineStr">
        <is>
          <t>To review</t>
        </is>
      </c>
      <c r="O40" s="113" t="n"/>
      <c r="P40" s="113" t="n"/>
      <c r="Q40" s="91">
        <f>COUNTIFS(Stories!$T$4:$T$96,1,Stories!$F$4:$F$96,"To review")</f>
        <v/>
      </c>
      <c r="R40" s="93">
        <f>IF(Lists!$H$6=0,0,Q40/Lists!$H$6)</f>
        <v/>
      </c>
    </row>
    <row r="41" ht="18" customHeight="1">
      <c r="B41" s="114" t="inlineStr">
        <is>
          <t>News brief</t>
        </is>
      </c>
      <c r="C41" s="11" t="n"/>
      <c r="D41" s="11" t="n"/>
      <c r="E41" s="91">
        <f>SUMPRODUCT(Stories!$T$4:$T$96,--(Stories!$E$4:$E$96=$B41))</f>
        <v/>
      </c>
      <c r="F41" s="93">
        <f>IF(Lists!$H$6=0,0,E41/Lists!$H$6)</f>
        <v/>
      </c>
      <c r="H41" s="115" t="inlineStr">
        <is>
          <t>4 / 5</t>
        </is>
      </c>
      <c r="I41" s="11" t="n"/>
      <c r="J41" s="11" t="n"/>
      <c r="K41" s="91">
        <f>COUNTIFS(Stories!$T$4:$T$96,1,Stories!$D$4:$D$96,4)</f>
        <v/>
      </c>
      <c r="L41" s="93">
        <f>IF(Lists!$H$6=0,0,K41/Lists!$H$6)</f>
        <v/>
      </c>
      <c r="N41" s="116" t="inlineStr">
        <is>
          <t>Shortlisted</t>
        </is>
      </c>
      <c r="O41" s="117" t="n"/>
      <c r="P41" s="117" t="n"/>
      <c r="Q41" s="91">
        <f>COUNTIFS(Stories!$T$4:$T$96,1,Stories!$F$4:$F$96,"Shortlisted")</f>
        <v/>
      </c>
      <c r="R41" s="93">
        <f>IF(Lists!$H$6=0,0,Q41/Lists!$H$6)</f>
        <v/>
      </c>
    </row>
    <row r="42" ht="18" customHeight="1">
      <c r="B42" s="118" t="inlineStr">
        <is>
          <t>Academia-to-Industry topic</t>
        </is>
      </c>
      <c r="C42" s="11" t="n"/>
      <c r="D42" s="11" t="n"/>
      <c r="E42" s="91">
        <f>SUMPRODUCT(Stories!$T$4:$T$96,--(Stories!$E$4:$E$96=$B42))</f>
        <v/>
      </c>
      <c r="F42" s="93">
        <f>IF(Lists!$H$6=0,0,E42/Lists!$H$6)</f>
        <v/>
      </c>
      <c r="H42" s="119" t="inlineStr">
        <is>
          <t>3 / 5</t>
        </is>
      </c>
      <c r="I42" s="11" t="n"/>
      <c r="J42" s="11" t="n"/>
      <c r="K42" s="91">
        <f>COUNTIFS(Stories!$T$4:$T$96,1,Stories!$D$4:$D$96,3)</f>
        <v/>
      </c>
      <c r="L42" s="93">
        <f>IF(Lists!$H$6=0,0,K42/Lists!$H$6)</f>
        <v/>
      </c>
      <c r="N42" s="120" t="inlineStr">
        <is>
          <t>Commissioned</t>
        </is>
      </c>
      <c r="O42" s="121" t="n"/>
      <c r="P42" s="121" t="n"/>
      <c r="Q42" s="91">
        <f>COUNTIFS(Stories!$T$4:$T$96,1,Stories!$F$4:$F$96,"Commissioned")</f>
        <v/>
      </c>
      <c r="R42" s="93">
        <f>IF(Lists!$H$6=0,0,Q42/Lists!$H$6)</f>
        <v/>
      </c>
    </row>
    <row r="43" ht="18" customHeight="1">
      <c r="B43" s="122" t="inlineStr">
        <is>
          <t>Regional insight</t>
        </is>
      </c>
      <c r="C43" s="11" t="n"/>
      <c r="D43" s="11" t="n"/>
      <c r="E43" s="91">
        <f>SUMPRODUCT(Stories!$T$4:$T$96,--(Stories!$E$4:$E$96=$B43))</f>
        <v/>
      </c>
      <c r="F43" s="93">
        <f>IF(Lists!$H$6=0,0,E43/Lists!$H$6)</f>
        <v/>
      </c>
      <c r="H43" s="123" t="inlineStr">
        <is>
          <t>Keyword-ranked</t>
        </is>
      </c>
      <c r="I43" s="11" t="n"/>
      <c r="J43" s="11" t="n"/>
      <c r="K43" s="91">
        <f>COUNTIFS(Stories!$T$4:$T$96,1,Stories!$D$4:$D$96,0)</f>
        <v/>
      </c>
      <c r="L43" s="93">
        <f>IF(Lists!$H$6=0,0,K43/Lists!$H$6)</f>
        <v/>
      </c>
      <c r="N43" s="124" t="inlineStr">
        <is>
          <t>Published</t>
        </is>
      </c>
      <c r="O43" s="125" t="n"/>
      <c r="P43" s="125" t="n"/>
      <c r="Q43" s="91">
        <f>COUNTIFS(Stories!$T$4:$T$96,1,Stories!$F$4:$F$96,"Published")</f>
        <v/>
      </c>
      <c r="R43" s="93">
        <f>IF(Lists!$H$6=0,0,Q43/Lists!$H$6)</f>
        <v/>
      </c>
    </row>
    <row r="44" ht="18" customHeight="1">
      <c r="B44" s="126" t="inlineStr">
        <is>
          <t>Watch only</t>
        </is>
      </c>
      <c r="C44" s="11" t="n"/>
      <c r="D44" s="11" t="n"/>
      <c r="E44" s="91">
        <f>SUMPRODUCT(Stories!$T$4:$T$96,--(Stories!$E$4:$E$96=$B44))</f>
        <v/>
      </c>
      <c r="F44" s="93">
        <f>IF(Lists!$H$6=0,0,E44/Lists!$H$6)</f>
        <v/>
      </c>
      <c r="N44" s="127" t="inlineStr">
        <is>
          <t>Not used</t>
        </is>
      </c>
      <c r="O44" s="128" t="n"/>
      <c r="P44" s="128" t="n"/>
      <c r="Q44" s="91">
        <f>COUNTIFS(Stories!$T$4:$T$96,1,Stories!$F$4:$F$96,"Not used")</f>
        <v/>
      </c>
      <c r="R44" s="93">
        <f>IF(Lists!$H$6=0,0,Q44/Lists!$H$6)</f>
        <v/>
      </c>
    </row>
    <row r="45" ht="18" customHeight="1">
      <c r="B45" s="123" t="inlineStr">
        <is>
          <t>Not rated</t>
        </is>
      </c>
      <c r="C45" s="11" t="n"/>
      <c r="D45" s="11" t="n"/>
      <c r="E45" s="91">
        <f>SUMPRODUCT(Stories!$T$4:$T$96,--(Stories!$E$4:$E$96=$B45))</f>
        <v/>
      </c>
      <c r="F45" s="93">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9" t="inlineStr">
        <is>
          <t>Theme</t>
        </is>
      </c>
      <c r="C61" s="1" t="n"/>
      <c r="D61" s="1" t="n"/>
      <c r="E61" s="1" t="n"/>
      <c r="F61" s="68" t="inlineStr">
        <is>
          <t>Feature lead</t>
        </is>
      </c>
      <c r="G61" s="68" t="inlineStr">
        <is>
          <t>News brief</t>
        </is>
      </c>
      <c r="H61" s="68" t="inlineStr">
        <is>
          <t>Academia-to-Industry topic</t>
        </is>
      </c>
      <c r="I61" s="68" t="inlineStr">
        <is>
          <t>Regional insight</t>
        </is>
      </c>
      <c r="J61" s="68" t="inlineStr">
        <is>
          <t>Watch only</t>
        </is>
      </c>
      <c r="K61" s="68" t="inlineStr">
        <is>
          <t>Not rated</t>
        </is>
      </c>
      <c r="L61" s="68" t="inlineStr">
        <is>
          <t>Total</t>
        </is>
      </c>
    </row>
    <row r="62" ht="18" customHeight="1">
      <c r="B62" s="129" t="inlineStr">
        <is>
          <t>Sustainability &amp; the Energy Transition</t>
        </is>
      </c>
      <c r="C62" s="130" t="n"/>
      <c r="D62" s="130" t="n"/>
      <c r="E62" s="130" t="n"/>
      <c r="F62" s="131">
        <f>SUMPRODUCT(Stories!$T$4:$T$96,--(Stories!$C$4:$C$96=$B62),--(Stories!$E$4:$E$96=F$61))</f>
        <v/>
      </c>
      <c r="G62" s="131">
        <f>SUMPRODUCT(Stories!$T$4:$T$96,--(Stories!$C$4:$C$96=$B62),--(Stories!$E$4:$E$96=G$61))</f>
        <v/>
      </c>
      <c r="H62" s="131">
        <f>SUMPRODUCT(Stories!$T$4:$T$96,--(Stories!$C$4:$C$96=$B62),--(Stories!$E$4:$E$96=H$61))</f>
        <v/>
      </c>
      <c r="I62" s="131">
        <f>SUMPRODUCT(Stories!$T$4:$T$96,--(Stories!$C$4:$C$96=$B62),--(Stories!$E$4:$E$96=I$61))</f>
        <v/>
      </c>
      <c r="J62" s="131">
        <f>SUMPRODUCT(Stories!$T$4:$T$96,--(Stories!$C$4:$C$96=$B62),--(Stories!$E$4:$E$96=J$61))</f>
        <v/>
      </c>
      <c r="K62" s="131">
        <f>SUMPRODUCT(Stories!$T$4:$T$96,--(Stories!$C$4:$C$96=$B62),--(Stories!$E$4:$E$96=K$61))</f>
        <v/>
      </c>
      <c r="L62" s="91">
        <f>SUM(F62:K62)</f>
        <v/>
      </c>
    </row>
    <row r="63" ht="18" customHeight="1">
      <c r="B63" s="132" t="inlineStr">
        <is>
          <t>Digital Geotechnics</t>
        </is>
      </c>
      <c r="C63" s="133" t="n"/>
      <c r="D63" s="133" t="n"/>
      <c r="E63" s="133" t="n"/>
      <c r="F63" s="131">
        <f>SUMPRODUCT(Stories!$T$4:$T$96,--(Stories!$C$4:$C$96=$B63),--(Stories!$E$4:$E$96=F$61))</f>
        <v/>
      </c>
      <c r="G63" s="131">
        <f>SUMPRODUCT(Stories!$T$4:$T$96,--(Stories!$C$4:$C$96=$B63),--(Stories!$E$4:$E$96=G$61))</f>
        <v/>
      </c>
      <c r="H63" s="131">
        <f>SUMPRODUCT(Stories!$T$4:$T$96,--(Stories!$C$4:$C$96=$B63),--(Stories!$E$4:$E$96=H$61))</f>
        <v/>
      </c>
      <c r="I63" s="131">
        <f>SUMPRODUCT(Stories!$T$4:$T$96,--(Stories!$C$4:$C$96=$B63),--(Stories!$E$4:$E$96=I$61))</f>
        <v/>
      </c>
      <c r="J63" s="131">
        <f>SUMPRODUCT(Stories!$T$4:$T$96,--(Stories!$C$4:$C$96=$B63),--(Stories!$E$4:$E$96=J$61))</f>
        <v/>
      </c>
      <c r="K63" s="131">
        <f>SUMPRODUCT(Stories!$T$4:$T$96,--(Stories!$C$4:$C$96=$B63),--(Stories!$E$4:$E$96=K$61))</f>
        <v/>
      </c>
      <c r="L63" s="91">
        <f>SUM(F63:K63)</f>
        <v/>
      </c>
    </row>
    <row r="64" ht="18" customHeight="1">
      <c r="B64" s="134" t="inlineStr">
        <is>
          <t>Hazards &amp; Resilience</t>
        </is>
      </c>
      <c r="C64" s="135" t="n"/>
      <c r="D64" s="135" t="n"/>
      <c r="E64" s="135" t="n"/>
      <c r="F64" s="131">
        <f>SUMPRODUCT(Stories!$T$4:$T$96,--(Stories!$C$4:$C$96=$B64),--(Stories!$E$4:$E$96=F$61))</f>
        <v/>
      </c>
      <c r="G64" s="131">
        <f>SUMPRODUCT(Stories!$T$4:$T$96,--(Stories!$C$4:$C$96=$B64),--(Stories!$E$4:$E$96=G$61))</f>
        <v/>
      </c>
      <c r="H64" s="131">
        <f>SUMPRODUCT(Stories!$T$4:$T$96,--(Stories!$C$4:$C$96=$B64),--(Stories!$E$4:$E$96=H$61))</f>
        <v/>
      </c>
      <c r="I64" s="131">
        <f>SUMPRODUCT(Stories!$T$4:$T$96,--(Stories!$C$4:$C$96=$B64),--(Stories!$E$4:$E$96=I$61))</f>
        <v/>
      </c>
      <c r="J64" s="131">
        <f>SUMPRODUCT(Stories!$T$4:$T$96,--(Stories!$C$4:$C$96=$B64),--(Stories!$E$4:$E$96=J$61))</f>
        <v/>
      </c>
      <c r="K64" s="131">
        <f>SUMPRODUCT(Stories!$T$4:$T$96,--(Stories!$C$4:$C$96=$B64),--(Stories!$E$4:$E$96=K$61))</f>
        <v/>
      </c>
      <c r="L64" s="91">
        <f>SUM(F64:K64)</f>
        <v/>
      </c>
    </row>
    <row r="65" ht="18" customHeight="1">
      <c r="B65" s="136" t="inlineStr">
        <is>
          <t>Ground Improvement &amp; Innovation</t>
        </is>
      </c>
      <c r="C65" s="137" t="n"/>
      <c r="D65" s="137" t="n"/>
      <c r="E65" s="137" t="n"/>
      <c r="F65" s="131">
        <f>SUMPRODUCT(Stories!$T$4:$T$96,--(Stories!$C$4:$C$96=$B65),--(Stories!$E$4:$E$96=F$61))</f>
        <v/>
      </c>
      <c r="G65" s="131">
        <f>SUMPRODUCT(Stories!$T$4:$T$96,--(Stories!$C$4:$C$96=$B65),--(Stories!$E$4:$E$96=G$61))</f>
        <v/>
      </c>
      <c r="H65" s="131">
        <f>SUMPRODUCT(Stories!$T$4:$T$96,--(Stories!$C$4:$C$96=$B65),--(Stories!$E$4:$E$96=H$61))</f>
        <v/>
      </c>
      <c r="I65" s="131">
        <f>SUMPRODUCT(Stories!$T$4:$T$96,--(Stories!$C$4:$C$96=$B65),--(Stories!$E$4:$E$96=I$61))</f>
        <v/>
      </c>
      <c r="J65" s="131">
        <f>SUMPRODUCT(Stories!$T$4:$T$96,--(Stories!$C$4:$C$96=$B65),--(Stories!$E$4:$E$96=J$61))</f>
        <v/>
      </c>
      <c r="K65" s="131">
        <f>SUMPRODUCT(Stories!$T$4:$T$96,--(Stories!$C$4:$C$96=$B65),--(Stories!$E$4:$E$96=K$61))</f>
        <v/>
      </c>
      <c r="L65" s="91">
        <f>SUM(F65:K65)</f>
        <v/>
      </c>
    </row>
    <row r="66" ht="18" customHeight="1">
      <c r="B66" s="138" t="inlineStr">
        <is>
          <t>Infrastructure &amp; the Underground City</t>
        </is>
      </c>
      <c r="C66" s="139" t="n"/>
      <c r="D66" s="139" t="n"/>
      <c r="E66" s="139" t="n"/>
      <c r="F66" s="131">
        <f>SUMPRODUCT(Stories!$T$4:$T$96,--(Stories!$C$4:$C$96=$B66),--(Stories!$E$4:$E$96=F$61))</f>
        <v/>
      </c>
      <c r="G66" s="131">
        <f>SUMPRODUCT(Stories!$T$4:$T$96,--(Stories!$C$4:$C$96=$B66),--(Stories!$E$4:$E$96=G$61))</f>
        <v/>
      </c>
      <c r="H66" s="131">
        <f>SUMPRODUCT(Stories!$T$4:$T$96,--(Stories!$C$4:$C$96=$B66),--(Stories!$E$4:$E$96=H$61))</f>
        <v/>
      </c>
      <c r="I66" s="131">
        <f>SUMPRODUCT(Stories!$T$4:$T$96,--(Stories!$C$4:$C$96=$B66),--(Stories!$E$4:$E$96=I$61))</f>
        <v/>
      </c>
      <c r="J66" s="131">
        <f>SUMPRODUCT(Stories!$T$4:$T$96,--(Stories!$C$4:$C$96=$B66),--(Stories!$E$4:$E$96=J$61))</f>
        <v/>
      </c>
      <c r="K66" s="131">
        <f>SUMPRODUCT(Stories!$T$4:$T$96,--(Stories!$C$4:$C$96=$B66),--(Stories!$E$4:$E$96=K$61))</f>
        <v/>
      </c>
      <c r="L66" s="91">
        <f>SUM(F66:K66)</f>
        <v/>
      </c>
    </row>
    <row r="67" ht="18" customHeight="1">
      <c r="B67" s="140" t="inlineStr">
        <is>
          <t>Offshore, Coasts &amp; Water</t>
        </is>
      </c>
      <c r="C67" s="141" t="n"/>
      <c r="D67" s="141" t="n"/>
      <c r="E67" s="141" t="n"/>
      <c r="F67" s="131">
        <f>SUMPRODUCT(Stories!$T$4:$T$96,--(Stories!$C$4:$C$96=$B67),--(Stories!$E$4:$E$96=F$61))</f>
        <v/>
      </c>
      <c r="G67" s="131">
        <f>SUMPRODUCT(Stories!$T$4:$T$96,--(Stories!$C$4:$C$96=$B67),--(Stories!$E$4:$E$96=G$61))</f>
        <v/>
      </c>
      <c r="H67" s="131">
        <f>SUMPRODUCT(Stories!$T$4:$T$96,--(Stories!$C$4:$C$96=$B67),--(Stories!$E$4:$E$96=H$61))</f>
        <v/>
      </c>
      <c r="I67" s="131">
        <f>SUMPRODUCT(Stories!$T$4:$T$96,--(Stories!$C$4:$C$96=$B67),--(Stories!$E$4:$E$96=I$61))</f>
        <v/>
      </c>
      <c r="J67" s="131">
        <f>SUMPRODUCT(Stories!$T$4:$T$96,--(Stories!$C$4:$C$96=$B67),--(Stories!$E$4:$E$96=J$61))</f>
        <v/>
      </c>
      <c r="K67" s="131">
        <f>SUMPRODUCT(Stories!$T$4:$T$96,--(Stories!$C$4:$C$96=$B67),--(Stories!$E$4:$E$96=K$61))</f>
        <v/>
      </c>
      <c r="L67" s="91">
        <f>SUM(F67:K67)</f>
        <v/>
      </c>
    </row>
    <row r="68" ht="18" customHeight="1">
      <c r="B68" s="142" t="inlineStr">
        <is>
          <t>Characterisation &amp; Modelling</t>
        </is>
      </c>
      <c r="C68" s="143" t="n"/>
      <c r="D68" s="143" t="n"/>
      <c r="E68" s="143" t="n"/>
      <c r="F68" s="131">
        <f>SUMPRODUCT(Stories!$T$4:$T$96,--(Stories!$C$4:$C$96=$B68),--(Stories!$E$4:$E$96=F$61))</f>
        <v/>
      </c>
      <c r="G68" s="131">
        <f>SUMPRODUCT(Stories!$T$4:$T$96,--(Stories!$C$4:$C$96=$B68),--(Stories!$E$4:$E$96=G$61))</f>
        <v/>
      </c>
      <c r="H68" s="131">
        <f>SUMPRODUCT(Stories!$T$4:$T$96,--(Stories!$C$4:$C$96=$B68),--(Stories!$E$4:$E$96=H$61))</f>
        <v/>
      </c>
      <c r="I68" s="131">
        <f>SUMPRODUCT(Stories!$T$4:$T$96,--(Stories!$C$4:$C$96=$B68),--(Stories!$E$4:$E$96=I$61))</f>
        <v/>
      </c>
      <c r="J68" s="131">
        <f>SUMPRODUCT(Stories!$T$4:$T$96,--(Stories!$C$4:$C$96=$B68),--(Stories!$E$4:$E$96=J$61))</f>
        <v/>
      </c>
      <c r="K68" s="131">
        <f>SUMPRODUCT(Stories!$T$4:$T$96,--(Stories!$C$4:$C$96=$B68),--(Stories!$E$4:$E$96=K$61))</f>
        <v/>
      </c>
      <c r="L68" s="91">
        <f>SUM(F68:K68)</f>
        <v/>
      </c>
    </row>
    <row r="69" ht="18" customHeight="1">
      <c r="B69" s="144" t="inlineStr">
        <is>
          <t>Geotechnics &amp; Society</t>
        </is>
      </c>
      <c r="C69" s="145" t="n"/>
      <c r="D69" s="145" t="n"/>
      <c r="E69" s="145" t="n"/>
      <c r="F69" s="131">
        <f>SUMPRODUCT(Stories!$T$4:$T$96,--(Stories!$C$4:$C$96=$B69),--(Stories!$E$4:$E$96=F$61))</f>
        <v/>
      </c>
      <c r="G69" s="131">
        <f>SUMPRODUCT(Stories!$T$4:$T$96,--(Stories!$C$4:$C$96=$B69),--(Stories!$E$4:$E$96=G$61))</f>
        <v/>
      </c>
      <c r="H69" s="131">
        <f>SUMPRODUCT(Stories!$T$4:$T$96,--(Stories!$C$4:$C$96=$B69),--(Stories!$E$4:$E$96=H$61))</f>
        <v/>
      </c>
      <c r="I69" s="131">
        <f>SUMPRODUCT(Stories!$T$4:$T$96,--(Stories!$C$4:$C$96=$B69),--(Stories!$E$4:$E$96=I$61))</f>
        <v/>
      </c>
      <c r="J69" s="131">
        <f>SUMPRODUCT(Stories!$T$4:$T$96,--(Stories!$C$4:$C$96=$B69),--(Stories!$E$4:$E$96=J$61))</f>
        <v/>
      </c>
      <c r="K69" s="131">
        <f>SUMPRODUCT(Stories!$T$4:$T$96,--(Stories!$C$4:$C$96=$B69),--(Stories!$E$4:$E$96=K$61))</f>
        <v/>
      </c>
      <c r="L69" s="91">
        <f>SUM(F69:K69)</f>
        <v/>
      </c>
    </row>
    <row r="70" ht="18" customHeight="1">
      <c r="B70" s="146" t="inlineStr">
        <is>
          <t>General</t>
        </is>
      </c>
      <c r="C70" s="147" t="n"/>
      <c r="D70" s="147" t="n"/>
      <c r="E70" s="147" t="n"/>
      <c r="F70" s="131">
        <f>SUMPRODUCT(Stories!$T$4:$T$96,--(Stories!$C$4:$C$96=$B70),--(Stories!$E$4:$E$96=F$61))</f>
        <v/>
      </c>
      <c r="G70" s="131">
        <f>SUMPRODUCT(Stories!$T$4:$T$96,--(Stories!$C$4:$C$96=$B70),--(Stories!$E$4:$E$96=G$61))</f>
        <v/>
      </c>
      <c r="H70" s="131">
        <f>SUMPRODUCT(Stories!$T$4:$T$96,--(Stories!$C$4:$C$96=$B70),--(Stories!$E$4:$E$96=H$61))</f>
        <v/>
      </c>
      <c r="I70" s="131">
        <f>SUMPRODUCT(Stories!$T$4:$T$96,--(Stories!$C$4:$C$96=$B70),--(Stories!$E$4:$E$96=I$61))</f>
        <v/>
      </c>
      <c r="J70" s="131">
        <f>SUMPRODUCT(Stories!$T$4:$T$96,--(Stories!$C$4:$C$96=$B70),--(Stories!$E$4:$E$96=J$61))</f>
        <v/>
      </c>
      <c r="K70" s="131">
        <f>SUMPRODUCT(Stories!$T$4:$T$96,--(Stories!$C$4:$C$96=$B70),--(Stories!$E$4:$E$96=K$61))</f>
        <v/>
      </c>
      <c r="L70" s="91">
        <f>SUM(F70:K70)</f>
        <v/>
      </c>
    </row>
    <row r="71"/>
    <row r="72"/>
    <row r="73" ht="22" customHeight="1">
      <c r="B73" s="7" t="inlineStr">
        <is>
          <t>Stories per issue window</t>
        </is>
      </c>
      <c r="C73" s="8" t="n"/>
      <c r="D73" s="8" t="n"/>
      <c r="E73" s="8" t="n"/>
      <c r="F73" s="8" t="n"/>
      <c r="G73" s="8" t="n"/>
      <c r="H73" s="8" t="n"/>
      <c r="I73" s="8" t="n"/>
      <c r="J73" s="8" t="n"/>
      <c r="K73" s="8" t="n"/>
      <c r="L73" s="8" t="n"/>
      <c r="M73" s="8" t="n"/>
      <c r="N73" s="8" t="n"/>
      <c r="O73" s="8" t="n"/>
      <c r="P73" s="8" t="n"/>
      <c r="Q73" s="8" t="n"/>
      <c r="R73" s="8" t="n"/>
      <c r="S73" s="8" t="n"/>
    </row>
    <row r="74" ht="28" customHeight="1">
      <c r="B74" s="69" t="inlineStr">
        <is>
          <t>Issue window</t>
        </is>
      </c>
      <c r="C74" s="1" t="n"/>
      <c r="D74" s="1" t="n"/>
      <c r="E74" s="1" t="n"/>
      <c r="F74" s="68" t="inlineStr">
        <is>
          <t>All stories</t>
        </is>
      </c>
      <c r="G74" s="68" t="inlineStr">
        <is>
          <t>This selection</t>
        </is>
      </c>
    </row>
    <row r="75" ht="18" customHeight="1">
      <c r="B75" s="148" t="inlineStr">
        <is>
          <t>Q4 2026</t>
        </is>
      </c>
      <c r="C75" s="11" t="n"/>
      <c r="D75" s="11" t="n"/>
      <c r="E75" s="11" t="n"/>
      <c r="F75" s="149" t="n">
        <v>93</v>
      </c>
      <c r="G75" s="91">
        <f>COUNTIFS(Stories!$T$4:$T$96,1,Stories!$P$4:$P$96,"2026-Q4")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96"/>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0" t="inlineStr">
        <is>
          <t>Stories · 93 in this workbook</t>
        </is>
      </c>
      <c r="C1" s="151" t="inlineStr">
        <is>
          <t>← Dashboard</t>
        </is>
      </c>
      <c r="D1" s="151" t="inlineStr">
        <is>
          <t>↑ Start here</t>
        </is>
      </c>
      <c r="E1" s="151" t="inlineStr">
        <is>
          <t>By theme →</t>
        </is>
      </c>
    </row>
    <row r="2" ht="16" customHeight="1">
      <c r="C2" s="152" t="inlineStr">
        <is>
          <t>Gold columns are yours: choose a Status from its dropdown, and fill in Assigned to and Editor notes. Use ▼ in the header to filter or sort. ✓ in ‘In Dashboard selection’ (far right) marks the stories the Dashboard is showing.</t>
        </is>
      </c>
    </row>
    <row r="3" ht="32" customHeight="1">
      <c r="A3" s="153" t="inlineStr">
        <is>
          <t>No.</t>
        </is>
      </c>
      <c r="B3" s="154" t="inlineStr">
        <is>
          <t>Headline (English)</t>
        </is>
      </c>
      <c r="C3" s="154" t="inlineStr">
        <is>
          <t>Theme</t>
        </is>
      </c>
      <c r="D3" s="153" t="inlineStr">
        <is>
          <t>Relevance</t>
        </is>
      </c>
      <c r="E3" s="154" t="inlineStr">
        <is>
          <t>Suggested use</t>
        </is>
      </c>
      <c r="F3" s="155" t="inlineStr">
        <is>
          <t>Status</t>
        </is>
      </c>
      <c r="G3" s="155" t="inlineStr">
        <is>
          <t>Assigned to</t>
        </is>
      </c>
      <c r="H3" s="155" t="inlineStr">
        <is>
          <t>Editor notes</t>
        </is>
      </c>
      <c r="I3" s="154" t="inlineStr">
        <is>
          <t>Magazine angle</t>
        </is>
      </c>
      <c r="J3" s="154" t="inlineStr">
        <is>
          <t>Source</t>
        </is>
      </c>
      <c r="K3" s="153" t="inlineStr">
        <is>
          <t>Digest date</t>
        </is>
      </c>
      <c r="L3" s="154" t="inlineStr">
        <is>
          <t>Original headline</t>
        </is>
      </c>
      <c r="M3" s="154" t="inlineStr">
        <is>
          <t>Summary</t>
        </is>
      </c>
      <c r="N3" s="154" t="inlineStr">
        <is>
          <t>Google News edition</t>
        </is>
      </c>
      <c r="O3" s="153" t="inlineStr">
        <is>
          <t>Published</t>
        </is>
      </c>
      <c r="P3" s="153" t="inlineStr">
        <is>
          <t>Issue window</t>
        </is>
      </c>
      <c r="Q3" s="154" t="inlineStr">
        <is>
          <t>Keywords</t>
        </is>
      </c>
      <c r="R3" s="153" t="inlineStr">
        <is>
          <t>Keyword score</t>
        </is>
      </c>
      <c r="S3" s="154" t="inlineStr">
        <is>
          <t>Article URL</t>
        </is>
      </c>
      <c r="T3" s="153" t="inlineStr">
        <is>
          <t>In Dashboard selection</t>
        </is>
      </c>
      <c r="U3" s="153" t="inlineStr">
        <is>
          <t>Top-10 key (helper)</t>
        </is>
      </c>
    </row>
    <row r="4" ht="53" customHeight="1">
      <c r="A4" s="156" t="n">
        <v>1</v>
      </c>
      <c r="B4" s="157" t="inlineStr">
        <is>
          <t>Automatic segmentation of rock mass fracture networks from UAV imagery using cross-domain transfer learning under scarce labels.</t>
        </is>
      </c>
      <c r="C4" s="158" t="inlineStr">
        <is>
          <t>Digital Geotechnics</t>
        </is>
      </c>
      <c r="D4" s="159" t="n">
        <v>5</v>
      </c>
      <c r="E4" s="160" t="inlineStr">
        <is>
          <t>Academia-to-Industry topic</t>
        </is>
      </c>
      <c r="F4" s="161" t="inlineStr">
        <is>
          <t>To review</t>
        </is>
      </c>
      <c r="G4" s="162" t="n"/>
      <c r="H4" s="163" t="n"/>
      <c r="I4" s="164" t="inlineStr">
        <is>
          <t>Can transfer learning from related image domains reliably segment rock fracture networks in UAV imagery when labelled data are scarce, and how accurate are the results?</t>
        </is>
      </c>
      <c r="J4" s="164" t="inlineStr">
        <is>
          <t>生物通</t>
        </is>
      </c>
      <c r="K4" s="165" t="n">
        <v>46319</v>
      </c>
      <c r="L4" s="164" t="inlineStr">
        <is>
          <t>标签稀缺条件下基于跨域迁移学习的无人机岩体裂隙网络自动分割方法</t>
        </is>
      </c>
      <c r="M4" s="166" t="n"/>
      <c r="N4" s="167" t="inlineStr">
        <is>
          <t>China</t>
        </is>
      </c>
      <c r="O4" s="165" t="n">
        <v>46318</v>
      </c>
      <c r="P4" s="168" t="inlineStr">
        <is>
          <t>2026-Q4</t>
        </is>
      </c>
      <c r="Q4" s="169" t="n"/>
      <c r="R4" s="156" t="n">
        <v>0</v>
      </c>
      <c r="S4" s="170" t="inlineStr">
        <is>
          <t>https://news.google.com/rss/articles/CBMibkFVX3lxTE8wdVhYVXYyQ3RwMHAtOTNnUkh5TnhCcEtVem9XenhDMFo2UVFHbWtIaGIzVHhLb1BFQmd2akRLZkFMd1pQNWJDRElESUY1SUdvLWFfd1ZaUW5tZ0ZFcmIxckZxbXg1Z1RrbXI5V0Zn?oc=5</t>
        </is>
      </c>
      <c r="T4" s="171">
        <f>IF($B4="",0,IF(AND(OR(OR(Dashboard!$B$5="All themes",Dashboard!$B$5=""),$C4=Dashboard!$B$5),OR(OR(Dashboard!$G$5="All uses",Dashboard!$G$5=""),$E4=Dashboard!$G$5),N($D4)&gt;=Lists!$H$2,OR(OR(Dashboard!$N$5="All windows",Dashboard!$N$5=""),$P4=Dashboard!$N$5)),1,0))</f>
        <v/>
      </c>
      <c r="U4" s="172">
        <f>IF($T4=1,N($D4)*1E14+MIN(MAX(N($R4),0),9999)*1E10+MIN(N($K4),99999)*1E5+99999-MIN(ROW(),99999),"")</f>
        <v/>
      </c>
    </row>
    <row r="5" ht="53" customHeight="1">
      <c r="A5" s="156" t="n">
        <v>2</v>
      </c>
      <c r="B5" s="157" t="inlineStr">
        <is>
          <t>Landslide-prevention embankment threatens residential area</t>
        </is>
      </c>
      <c r="C5" s="173" t="inlineStr">
        <is>
          <t>Hazards &amp; Resilience</t>
        </is>
      </c>
      <c r="D5" s="159" t="n">
        <v>4</v>
      </c>
      <c r="E5" s="174" t="inlineStr">
        <is>
          <t>Feature lead</t>
        </is>
      </c>
      <c r="F5" s="161" t="inlineStr">
        <is>
          <t>To review</t>
        </is>
      </c>
      <c r="G5" s="162" t="n"/>
      <c r="H5" s="163" t="n"/>
      <c r="I5" s="164" t="inlineStr">
        <is>
          <t>Can retaining and protective embankments be designed to resist landslide loading from upslope slopes beside settlements, and how should such risk be assessed?</t>
        </is>
      </c>
      <c r="J5" s="164" t="inlineStr">
        <is>
          <t>Vietnam.vn</t>
        </is>
      </c>
      <c r="K5" s="165" t="n">
        <v>46319</v>
      </c>
      <c r="L5" s="164" t="inlineStr">
        <is>
          <t>Tanggul pencegah tanah longsor 'mengancam' kawasan permukiman.</t>
        </is>
      </c>
      <c r="M5" s="166" t="n"/>
      <c r="N5" s="167" t="inlineStr">
        <is>
          <t>Indonesia</t>
        </is>
      </c>
      <c r="O5" s="165" t="n">
        <v>46318</v>
      </c>
      <c r="P5" s="168" t="inlineStr">
        <is>
          <t>2026-Q4</t>
        </is>
      </c>
      <c r="Q5" s="169" t="inlineStr">
        <is>
          <t>landslide, embankment</t>
        </is>
      </c>
      <c r="R5" s="156" t="n">
        <v>13</v>
      </c>
      <c r="S5" s="170" t="inlineStr">
        <is>
          <t>https://news.google.com/rss/articles/CBMia0FVX3lxTE45UVhrbTdIV2NXaVloOTBleGdWeThGbHNoSTJtMTE3cFlfalpoYVBnUEFoUVRJQUp5Z2pVOEZvaGZzRUtjRWtOMzY3Wll0RHJOUTB6c0JYdGEzOXk2VXltZUFkc3RURDBUYUg4?oc=5</t>
        </is>
      </c>
      <c r="T5" s="171">
        <f>IF($B5="",0,IF(AND(OR(OR(Dashboard!$B$5="All themes",Dashboard!$B$5=""),$C5=Dashboard!$B$5),OR(OR(Dashboard!$G$5="All uses",Dashboard!$G$5=""),$E5=Dashboard!$G$5),N($D5)&gt;=Lists!$H$2,OR(OR(Dashboard!$N$5="All windows",Dashboard!$N$5=""),$P5=Dashboard!$N$5)),1,0))</f>
        <v/>
      </c>
      <c r="U5" s="172">
        <f>IF($T5=1,N($D5)*1E14+MIN(MAX(N($R5),0),9999)*1E10+MIN(N($K5),99999)*1E5+99999-MIN(ROW(),99999),"")</f>
        <v/>
      </c>
    </row>
    <row r="6" ht="53" customHeight="1">
      <c r="A6" s="156" t="n">
        <v>3</v>
      </c>
      <c r="B6" s="157" t="inlineStr">
        <is>
          <t>Storms in Liguria, major landslide in Savona: the collapse destroyed a city road</t>
        </is>
      </c>
      <c r="C6" s="173" t="inlineStr">
        <is>
          <t>Hazards &amp; Resilience</t>
        </is>
      </c>
      <c r="D6" s="159" t="n">
        <v>4</v>
      </c>
      <c r="E6" s="175" t="inlineStr">
        <is>
          <t>News brief</t>
        </is>
      </c>
      <c r="F6" s="161" t="inlineStr">
        <is>
          <t>To review</t>
        </is>
      </c>
      <c r="G6" s="162" t="n"/>
      <c r="H6" s="163" t="n"/>
      <c r="I6" s="164" t="inlineStr">
        <is>
          <t>What triggered this large rock or soil slope failure in Savona during heavy rain, and what does the collapse reveal about slope stability in Liguria?</t>
        </is>
      </c>
      <c r="J6" s="164" t="inlineStr">
        <is>
          <t>agenzia giornalistica opinione</t>
        </is>
      </c>
      <c r="K6" s="165" t="n">
        <v>46319</v>
      </c>
      <c r="L6" s="164" t="inlineStr">
        <is>
          <t>RAINEWS * CRONACA: «MALTEMPO IN LIGURIA, GRANDE FRANA A SAVONA: IL CROLLO HA DISTRUTTO UNA STRADA CITTADINA</t>
        </is>
      </c>
      <c r="M6" s="166" t="n"/>
      <c r="N6" s="167" t="inlineStr">
        <is>
          <t>Italy</t>
        </is>
      </c>
      <c r="O6" s="165" t="n">
        <v>46317</v>
      </c>
      <c r="P6" s="168" t="inlineStr">
        <is>
          <t>2026-Q4</t>
        </is>
      </c>
      <c r="Q6" s="169" t="inlineStr">
        <is>
          <t>landslide, collapse</t>
        </is>
      </c>
      <c r="R6" s="156" t="n">
        <v>11</v>
      </c>
      <c r="S6" s="170"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1">
        <f>IF($B6="",0,IF(AND(OR(OR(Dashboard!$B$5="All themes",Dashboard!$B$5=""),$C6=Dashboard!$B$5),OR(OR(Dashboard!$G$5="All uses",Dashboard!$G$5=""),$E6=Dashboard!$G$5),N($D6)&gt;=Lists!$H$2,OR(OR(Dashboard!$N$5="All windows",Dashboard!$N$5=""),$P6=Dashboard!$N$5)),1,0))</f>
        <v/>
      </c>
      <c r="U6" s="172">
        <f>IF($T6=1,N($D6)*1E14+MIN(MAX(N($R6),0),9999)*1E10+MIN(N($K6),99999)*1E5+99999-MIN(ROW(),99999),"")</f>
        <v/>
      </c>
    </row>
    <row r="7" ht="65.5" customHeight="1">
      <c r="A7" s="156" t="n">
        <v>4</v>
      </c>
      <c r="B7" s="157" t="inlineStr">
        <is>
          <t>At Khanh Le pass, traffic will be interrupted at 30-minute intervals to deal with landslides; road users should plan accordingly</t>
        </is>
      </c>
      <c r="C7" s="173" t="inlineStr">
        <is>
          <t>Hazards &amp; Resilience</t>
        </is>
      </c>
      <c r="D7" s="159" t="n">
        <v>4</v>
      </c>
      <c r="E7" s="174" t="inlineStr">
        <is>
          <t>Feature lead</t>
        </is>
      </c>
      <c r="F7" s="161" t="inlineStr">
        <is>
          <t>To review</t>
        </is>
      </c>
      <c r="G7" s="162" t="n"/>
      <c r="H7" s="163" t="n"/>
      <c r="I7" s="164" t="inlineStr">
        <is>
          <t>How should traffic management and monitoring be combined with slope stabilisation on mountain passes subject to recurrent landslides?</t>
        </is>
      </c>
      <c r="J7" s="164" t="inlineStr">
        <is>
          <t>Vietnam.vn</t>
        </is>
      </c>
      <c r="K7" s="165" t="n">
        <v>46319</v>
      </c>
      <c r="L7" s="164" t="inlineStr">
        <is>
          <t>En el paso de Khanh Le, el tráfico se interrumpirá a intervalos de 30 minutos para hacer frente a los deslizamientos de tierra; los usuarios de la carretera deben tenerlo en cuenta.</t>
        </is>
      </c>
      <c r="M7" s="166" t="n"/>
      <c r="N7" s="167" t="inlineStr">
        <is>
          <t>Spain</t>
        </is>
      </c>
      <c r="O7" s="165" t="n">
        <v>46319</v>
      </c>
      <c r="P7" s="168" t="inlineStr">
        <is>
          <t>2026-Q4</t>
        </is>
      </c>
      <c r="Q7" s="169" t="inlineStr">
        <is>
          <t>landslide</t>
        </is>
      </c>
      <c r="R7" s="156" t="n">
        <v>10</v>
      </c>
      <c r="S7" s="170"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1">
        <f>IF($B7="",0,IF(AND(OR(OR(Dashboard!$B$5="All themes",Dashboard!$B$5=""),$C7=Dashboard!$B$5),OR(OR(Dashboard!$G$5="All uses",Dashboard!$G$5=""),$E7=Dashboard!$G$5),N($D7)&gt;=Lists!$H$2,OR(OR(Dashboard!$N$5="All windows",Dashboard!$N$5=""),$P7=Dashboard!$N$5)),1,0))</f>
        <v/>
      </c>
      <c r="U7" s="172">
        <f>IF($T7=1,N($D7)*1E14+MIN(MAX(N($R7),0),9999)*1E10+MIN(N($K7),99999)*1E5+99999-MIN(ROW(),99999),"")</f>
        <v/>
      </c>
    </row>
    <row r="8" ht="53" customHeight="1">
      <c r="A8" s="156" t="n">
        <v>5</v>
      </c>
      <c r="B8" s="157" t="inlineStr">
        <is>
          <t>Valmontone, bad weather: tuff slope collapses onto Prenestina road, road partially closed</t>
        </is>
      </c>
      <c r="C8" s="173" t="inlineStr">
        <is>
          <t>Hazards &amp; Resilience</t>
        </is>
      </c>
      <c r="D8" s="159" t="n">
        <v>4</v>
      </c>
      <c r="E8" s="175" t="inlineStr">
        <is>
          <t>News brief</t>
        </is>
      </c>
      <c r="F8" s="161" t="inlineStr">
        <is>
          <t>To review</t>
        </is>
      </c>
      <c r="G8" s="162" t="n"/>
      <c r="H8" s="163" t="n"/>
      <c r="I8" s="164" t="inlineStr">
        <is>
          <t>What causes tuff cliff collapse in volcanic deposits under rainfall, and how can such slopes be assessed and stabilised near roads?</t>
        </is>
      </c>
      <c r="J8" s="164" t="inlineStr">
        <is>
          <t>Il Giornale dei Castelli Romani</t>
        </is>
      </c>
      <c r="K8" s="165" t="n">
        <v>46319</v>
      </c>
      <c r="L8" s="164" t="inlineStr">
        <is>
          <t>Valmontone, maltempo: frana costone di tufo sulla via Prenestina, strada parzialmente chiusa</t>
        </is>
      </c>
      <c r="M8" s="166" t="n"/>
      <c r="N8" s="167" t="inlineStr">
        <is>
          <t>Italy</t>
        </is>
      </c>
      <c r="O8" s="165" t="n">
        <v>46319</v>
      </c>
      <c r="P8" s="168" t="inlineStr">
        <is>
          <t>2026-Q4</t>
        </is>
      </c>
      <c r="Q8" s="169" t="inlineStr">
        <is>
          <t>landslide</t>
        </is>
      </c>
      <c r="R8" s="156" t="n">
        <v>10</v>
      </c>
      <c r="S8" s="170"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1">
        <f>IF($B8="",0,IF(AND(OR(OR(Dashboard!$B$5="All themes",Dashboard!$B$5=""),$C8=Dashboard!$B$5),OR(OR(Dashboard!$G$5="All uses",Dashboard!$G$5=""),$E8=Dashboard!$G$5),N($D8)&gt;=Lists!$H$2,OR(OR(Dashboard!$N$5="All windows",Dashboard!$N$5=""),$P8=Dashboard!$N$5)),1,0))</f>
        <v/>
      </c>
      <c r="U8" s="172">
        <f>IF($T8=1,N($D8)*1E14+MIN(MAX(N($R8),0),9999)*1E10+MIN(N($K8),99999)*1E5+99999-MIN(ROW(),99999),"")</f>
        <v/>
      </c>
    </row>
    <row r="9" ht="53" customHeight="1">
      <c r="A9" s="156" t="n">
        <v>6</v>
      </c>
      <c r="B9" s="157" t="inlineStr">
        <is>
          <t>Bonea, landslide in Capo locality: mayor closes three roads by urgent order</t>
        </is>
      </c>
      <c r="C9" s="173" t="inlineStr">
        <is>
          <t>Hazards &amp; Resilience</t>
        </is>
      </c>
      <c r="D9" s="159" t="n">
        <v>4</v>
      </c>
      <c r="E9" s="175" t="inlineStr">
        <is>
          <t>News brief</t>
        </is>
      </c>
      <c r="F9" s="161" t="inlineStr">
        <is>
          <t>To review</t>
        </is>
      </c>
      <c r="G9" s="162" t="n"/>
      <c r="H9" s="163" t="n"/>
      <c r="I9" s="164" t="inlineStr">
        <is>
          <t>What ground investigation would confirm the landslide mechanism at Capo locality and guide safe reopening of the three closed roads?</t>
        </is>
      </c>
      <c r="J9" s="164" t="inlineStr">
        <is>
          <t>Tv7 Benevento</t>
        </is>
      </c>
      <c r="K9" s="165" t="n">
        <v>46319</v>
      </c>
      <c r="L9" s="164" t="inlineStr">
        <is>
          <t>BONEA, FRANA IN LOCALITÀ CAPO: IL SINDACO CHIUDE TRE STRADE CON ORDINANZA URGENTE</t>
        </is>
      </c>
      <c r="M9" s="166" t="n"/>
      <c r="N9" s="167" t="inlineStr">
        <is>
          <t>Italy</t>
        </is>
      </c>
      <c r="O9" s="165" t="n">
        <v>46319</v>
      </c>
      <c r="P9" s="168" t="inlineStr">
        <is>
          <t>2026-Q4</t>
        </is>
      </c>
      <c r="Q9" s="169" t="inlineStr">
        <is>
          <t>landslide</t>
        </is>
      </c>
      <c r="R9" s="156" t="n">
        <v>10</v>
      </c>
      <c r="S9" s="170"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1">
        <f>IF($B9="",0,IF(AND(OR(OR(Dashboard!$B$5="All themes",Dashboard!$B$5=""),$C9=Dashboard!$B$5),OR(OR(Dashboard!$G$5="All uses",Dashboard!$G$5=""),$E9=Dashboard!$G$5),N($D9)&gt;=Lists!$H$2,OR(OR(Dashboard!$N$5="All windows",Dashboard!$N$5=""),$P9=Dashboard!$N$5)),1,0))</f>
        <v/>
      </c>
      <c r="U9" s="172">
        <f>IF($T9=1,N($D9)*1E14+MIN(MAX(N($R9),0),9999)*1E10+MIN(N($K9),99999)*1E5+99999-MIN(ROW(),99999),"")</f>
        <v/>
      </c>
    </row>
    <row r="10" ht="53" customHeight="1">
      <c r="A10" s="156" t="n">
        <v>7</v>
      </c>
      <c r="B10" s="157" t="inlineStr">
        <is>
          <t>La frana del Cencione Tra fango e polemiche Le ruspe sono al lavoro</t>
        </is>
      </c>
      <c r="C10" s="173" t="inlineStr">
        <is>
          <t>Hazards &amp; Resilience</t>
        </is>
      </c>
      <c r="D10" s="159" t="n">
        <v>4</v>
      </c>
      <c r="E10" s="174" t="inlineStr">
        <is>
          <t>Feature lead</t>
        </is>
      </c>
      <c r="F10" s="161" t="inlineStr">
        <is>
          <t>To review</t>
        </is>
      </c>
      <c r="G10" s="162" t="n"/>
      <c r="H10" s="163" t="n"/>
      <c r="I10" s="164" t="inlineStr">
        <is>
          <t>How should authorities balance urgent earthworks with geotechnical investigation and accountability when a landslide site becomes politically contested?</t>
        </is>
      </c>
      <c r="J10" s="164" t="inlineStr">
        <is>
          <t>Zazoom Social News</t>
        </is>
      </c>
      <c r="K10" s="165" t="n">
        <v>46319</v>
      </c>
      <c r="L10" s="164" t="n"/>
      <c r="M10" s="166" t="n"/>
      <c r="N10" s="167" t="inlineStr">
        <is>
          <t>Italy</t>
        </is>
      </c>
      <c r="O10" s="165" t="n">
        <v>46318</v>
      </c>
      <c r="P10" s="168" t="inlineStr">
        <is>
          <t>2026-Q4</t>
        </is>
      </c>
      <c r="Q10" s="169" t="inlineStr">
        <is>
          <t>landslide</t>
        </is>
      </c>
      <c r="R10" s="156" t="n">
        <v>10</v>
      </c>
      <c r="S10" s="170"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1">
        <f>IF($B10="",0,IF(AND(OR(OR(Dashboard!$B$5="All themes",Dashboard!$B$5=""),$C10=Dashboard!$B$5),OR(OR(Dashboard!$G$5="All uses",Dashboard!$G$5=""),$E10=Dashboard!$G$5),N($D10)&gt;=Lists!$H$2,OR(OR(Dashboard!$N$5="All windows",Dashboard!$N$5=""),$P10=Dashboard!$N$5)),1,0))</f>
        <v/>
      </c>
      <c r="U10" s="172">
        <f>IF($T10=1,N($D10)*1E14+MIN(MAX(N($R10),0),9999)*1E10+MIN(N($K10),99999)*1E5+99999-MIN(ROW(),99999),"")</f>
        <v/>
      </c>
    </row>
    <row r="11" ht="40.5" customHeight="1">
      <c r="A11" s="156" t="n">
        <v>8</v>
      </c>
      <c r="B11" s="157" t="inlineStr">
        <is>
          <t>TNI helps landslide victims in Lae Ikan, Subulussalam</t>
        </is>
      </c>
      <c r="C11" s="173" t="inlineStr">
        <is>
          <t>Hazards &amp; Resilience</t>
        </is>
      </c>
      <c r="D11" s="159" t="n">
        <v>4</v>
      </c>
      <c r="E11" s="175" t="inlineStr">
        <is>
          <t>News brief</t>
        </is>
      </c>
      <c r="F11" s="161" t="inlineStr">
        <is>
          <t>To review</t>
        </is>
      </c>
      <c r="G11" s="162" t="n"/>
      <c r="H11" s="163" t="n"/>
      <c r="I11" s="164" t="inlineStr">
        <is>
          <t>What role can emergency response and rapid geotechnical assessment play after a landslide in a mountainous Indonesian village?</t>
        </is>
      </c>
      <c r="J11" s="164" t="inlineStr">
        <is>
          <t>RRI.co.id</t>
        </is>
      </c>
      <c r="K11" s="165" t="n">
        <v>46319</v>
      </c>
      <c r="L11" s="164" t="inlineStr">
        <is>
          <t>TNI Bantu Korban Longsor di Lae Ikan Subulussalam</t>
        </is>
      </c>
      <c r="M11" s="166" t="n"/>
      <c r="N11" s="167" t="inlineStr">
        <is>
          <t>Indonesia</t>
        </is>
      </c>
      <c r="O11" s="165" t="n">
        <v>46319</v>
      </c>
      <c r="P11" s="168" t="inlineStr">
        <is>
          <t>2026-Q4</t>
        </is>
      </c>
      <c r="Q11" s="169" t="inlineStr">
        <is>
          <t>landslide</t>
        </is>
      </c>
      <c r="R11" s="156" t="n">
        <v>10</v>
      </c>
      <c r="S11" s="170"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1">
        <f>IF($B11="",0,IF(AND(OR(OR(Dashboard!$B$5="All themes",Dashboard!$B$5=""),$C11=Dashboard!$B$5),OR(OR(Dashboard!$G$5="All uses",Dashboard!$G$5=""),$E11=Dashboard!$G$5),N($D11)&gt;=Lists!$H$2,OR(OR(Dashboard!$N$5="All windows",Dashboard!$N$5=""),$P11=Dashboard!$N$5)),1,0))</f>
        <v/>
      </c>
      <c r="U11" s="172">
        <f>IF($T11=1,N($D11)*1E14+MIN(MAX(N($R11),0),9999)*1E10+MIN(N($K11),99999)*1E5+99999-MIN(ROW(),99999),"")</f>
        <v/>
      </c>
    </row>
    <row r="12" ht="53" customHeight="1">
      <c r="A12" s="156" t="n">
        <v>9</v>
      </c>
      <c r="B12" s="157" t="inlineStr">
        <is>
          <t>Valmontone – Landslide near homes due to bad weather, partial road closure</t>
        </is>
      </c>
      <c r="C12" s="173" t="inlineStr">
        <is>
          <t>Hazards &amp; Resilience</t>
        </is>
      </c>
      <c r="D12" s="159" t="n">
        <v>4</v>
      </c>
      <c r="E12" s="175" t="inlineStr">
        <is>
          <t>News brief</t>
        </is>
      </c>
      <c r="F12" s="161" t="inlineStr">
        <is>
          <t>To review</t>
        </is>
      </c>
      <c r="G12" s="162" t="n"/>
      <c r="H12" s="163" t="n"/>
      <c r="I12" s="164" t="inlineStr">
        <is>
          <t>What slope failure mechanism threatens homes near this Valmontone landslide, and what monitoring is needed before residents return?</t>
        </is>
      </c>
      <c r="J12" s="164" t="inlineStr">
        <is>
          <t>lacronaca24.it</t>
        </is>
      </c>
      <c r="K12" s="165" t="n">
        <v>46319</v>
      </c>
      <c r="L12" s="164" t="inlineStr">
        <is>
          <t>Valmontone – Frana vicino ad abitazioni per maltempo, chiusura parziale della strada</t>
        </is>
      </c>
      <c r="M12" s="166" t="n"/>
      <c r="N12" s="167" t="inlineStr">
        <is>
          <t>Italy</t>
        </is>
      </c>
      <c r="O12" s="165" t="n">
        <v>46319</v>
      </c>
      <c r="P12" s="168" t="inlineStr">
        <is>
          <t>2026-Q4</t>
        </is>
      </c>
      <c r="Q12" s="169" t="inlineStr">
        <is>
          <t>landslide</t>
        </is>
      </c>
      <c r="R12" s="156" t="n">
        <v>10</v>
      </c>
      <c r="S12" s="170"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12" s="171">
        <f>IF($B12="",0,IF(AND(OR(OR(Dashboard!$B$5="All themes",Dashboard!$B$5=""),$C12=Dashboard!$B$5),OR(OR(Dashboard!$G$5="All uses",Dashboard!$G$5=""),$E12=Dashboard!$G$5),N($D12)&gt;=Lists!$H$2,OR(OR(Dashboard!$N$5="All windows",Dashboard!$N$5=""),$P12=Dashboard!$N$5)),1,0))</f>
        <v/>
      </c>
      <c r="U12" s="172">
        <f>IF($T12=1,N($D12)*1E14+MIN(MAX(N($R12),0),9999)*1E10+MIN(N($K12),99999)*1E5+99999-MIN(ROW(),99999),"")</f>
        <v/>
      </c>
    </row>
    <row r="13" ht="40.5" customHeight="1">
      <c r="A13" s="156" t="n">
        <v>10</v>
      </c>
      <c r="B13" s="157" t="inlineStr">
        <is>
          <t>Source: no casualties in Tanta building collapse and 4 cars destroyed - video and photos</t>
        </is>
      </c>
      <c r="C13" s="173" t="inlineStr">
        <is>
          <t>Hazards &amp; Resilience</t>
        </is>
      </c>
      <c r="D13" s="159" t="n">
        <v>4</v>
      </c>
      <c r="E13" s="175" t="inlineStr">
        <is>
          <t>News brief</t>
        </is>
      </c>
      <c r="F13" s="161" t="inlineStr">
        <is>
          <t>To review</t>
        </is>
      </c>
      <c r="G13" s="162" t="n"/>
      <c r="H13" s="163" t="n"/>
      <c r="I13" s="164" t="inlineStr">
        <is>
          <t>What caused the collapse of this Tanta building, and what foundation or excavation failure lessons does it offer?</t>
        </is>
      </c>
      <c r="J13" s="164" t="inlineStr">
        <is>
          <t>Masrawy</t>
        </is>
      </c>
      <c r="K13" s="165" t="n">
        <v>46319</v>
      </c>
      <c r="L13" s="164" t="inlineStr">
        <is>
          <t>مصدر: لاضحايا في انهيار عقار طنطا وتحطم 4 سيارات - فيديو وصور</t>
        </is>
      </c>
      <c r="M13" s="166" t="n"/>
      <c r="N13" s="167" t="inlineStr">
        <is>
          <t>Egypt</t>
        </is>
      </c>
      <c r="O13" s="165" t="n">
        <v>46319</v>
      </c>
      <c r="P13" s="168" t="inlineStr">
        <is>
          <t>2026-Q4</t>
        </is>
      </c>
      <c r="Q13" s="169" t="inlineStr">
        <is>
          <t>collapse</t>
        </is>
      </c>
      <c r="R13" s="156" t="n">
        <v>7</v>
      </c>
      <c r="S13" s="170"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3" s="171">
        <f>IF($B13="",0,IF(AND(OR(OR(Dashboard!$B$5="All themes",Dashboard!$B$5=""),$C13=Dashboard!$B$5),OR(OR(Dashboard!$G$5="All uses",Dashboard!$G$5=""),$E13=Dashboard!$G$5),N($D13)&gt;=Lists!$H$2,OR(OR(Dashboard!$N$5="All windows",Dashboard!$N$5=""),$P13=Dashboard!$N$5)),1,0))</f>
        <v/>
      </c>
      <c r="U13" s="172">
        <f>IF($T13=1,N($D13)*1E14+MIN(MAX(N($R13),0),9999)*1E10+MIN(N($K13),99999)*1E5+99999-MIN(ROW(),99999),"")</f>
        <v/>
      </c>
    </row>
    <row r="14" ht="53" customHeight="1">
      <c r="A14" s="156" t="n">
        <v>11</v>
      </c>
      <c r="B14" s="157" t="inlineStr">
        <is>
          <t>25 subdistricts in Bandung Regency classified as medium-high landslide potential</t>
        </is>
      </c>
      <c r="C14" s="173" t="inlineStr">
        <is>
          <t>Hazards &amp; Resilience</t>
        </is>
      </c>
      <c r="D14" s="159" t="n">
        <v>4</v>
      </c>
      <c r="E14" s="176" t="inlineStr">
        <is>
          <t>Regional insight</t>
        </is>
      </c>
      <c r="F14" s="161" t="inlineStr">
        <is>
          <t>To review</t>
        </is>
      </c>
      <c r="G14" s="162" t="n"/>
      <c r="H14" s="163" t="n"/>
      <c r="I14" s="164" t="inlineStr">
        <is>
          <t>How are landslide susceptibility maps produced for districts, and how should medium-high hazard classes inform land-use planning?</t>
        </is>
      </c>
      <c r="J14" s="164" t="inlineStr">
        <is>
          <t>Pikiran-Rakyat.com</t>
        </is>
      </c>
      <c r="K14" s="165" t="n">
        <v>46319</v>
      </c>
      <c r="L14" s="164" t="inlineStr">
        <is>
          <t>25 Kecamatan di Kabupaten Bandung Masuk Kategori Potensi Gerakan Tanah Menengah-Tinggi</t>
        </is>
      </c>
      <c r="M14" s="166" t="n"/>
      <c r="N14" s="167" t="inlineStr">
        <is>
          <t>Indonesia</t>
        </is>
      </c>
      <c r="O14" s="165" t="n">
        <v>46319</v>
      </c>
      <c r="P14" s="168" t="inlineStr">
        <is>
          <t>2026-Q4</t>
        </is>
      </c>
      <c r="Q14" s="169" t="n"/>
      <c r="R14" s="156" t="n">
        <v>6</v>
      </c>
      <c r="S14" s="170"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4" s="171">
        <f>IF($B14="",0,IF(AND(OR(OR(Dashboard!$B$5="All themes",Dashboard!$B$5=""),$C14=Dashboard!$B$5),OR(OR(Dashboard!$G$5="All uses",Dashboard!$G$5=""),$E14=Dashboard!$G$5),N($D14)&gt;=Lists!$H$2,OR(OR(Dashboard!$N$5="All windows",Dashboard!$N$5=""),$P14=Dashboard!$N$5)),1,0))</f>
        <v/>
      </c>
      <c r="U14" s="172">
        <f>IF($T14=1,N($D14)*1E14+MIN(MAX(N($R14),0),9999)*1E10+MIN(N($K14),99999)*1E5+99999-MIN(ROW(),99999),"")</f>
        <v/>
      </c>
    </row>
    <row r="15" ht="53" customHeight="1">
      <c r="A15" s="156" t="n">
        <v>12</v>
      </c>
      <c r="B15" s="157" t="inlineStr">
        <is>
          <t>Gochang-Buan Noeuldaegyo Enters Geotechnical Survey Phase; Construction Targeted for January 2028</t>
        </is>
      </c>
      <c r="C15" s="177" t="inlineStr">
        <is>
          <t>Infrastructure &amp; the Underground City</t>
        </is>
      </c>
      <c r="D15" s="159" t="n">
        <v>4</v>
      </c>
      <c r="E15" s="175" t="inlineStr">
        <is>
          <t>News brief</t>
        </is>
      </c>
      <c r="F15" s="161" t="inlineStr">
        <is>
          <t>To review</t>
        </is>
      </c>
      <c r="G15" s="162" t="n"/>
      <c r="H15" s="163" t="n"/>
      <c r="I15" s="164" t="inlineStr">
        <is>
          <t>What ground conditions will the geotechnical survey reveal for this Korean nuclear-related or major construction project, and how will they shape the 2028 schedule?</t>
        </is>
      </c>
      <c r="J15" s="164" t="inlineStr">
        <is>
          <t>아시아경제</t>
        </is>
      </c>
      <c r="K15" s="165" t="n">
        <v>46319</v>
      </c>
      <c r="L15" s="164" t="n"/>
      <c r="M15" s="166" t="n"/>
      <c r="N15" s="167" t="inlineStr">
        <is>
          <t>United Kingdom</t>
        </is>
      </c>
      <c r="O15" s="165" t="n">
        <v>46317</v>
      </c>
      <c r="P15" s="168" t="inlineStr">
        <is>
          <t>2026-Q4</t>
        </is>
      </c>
      <c r="Q15" s="169" t="inlineStr">
        <is>
          <t>geotechnical</t>
        </is>
      </c>
      <c r="R15" s="156" t="n">
        <v>5</v>
      </c>
      <c r="S15" s="170" t="inlineStr">
        <is>
          <t>https://news.google.com/rss/articles/CBMibEFVX3lxTE9qd0p2T2p3a1lzbEg5TnFXNDZ2VXRhLWIzbGk1U0pnQlFCUk1RU2tqdFFXeEt4RkM3bThuVUUyelBfNHJMdlFmMThyZG9UakhLLTFqTGJBTDBKVmN1bXlqQmYyX1U3eHIyWTNfTw?oc=5</t>
        </is>
      </c>
      <c r="T15" s="171">
        <f>IF($B15="",0,IF(AND(OR(OR(Dashboard!$B$5="All themes",Dashboard!$B$5=""),$C15=Dashboard!$B$5),OR(OR(Dashboard!$G$5="All uses",Dashboard!$G$5=""),$E15=Dashboard!$G$5),N($D15)&gt;=Lists!$H$2,OR(OR(Dashboard!$N$5="All windows",Dashboard!$N$5=""),$P15=Dashboard!$N$5)),1,0))</f>
        <v/>
      </c>
      <c r="U15" s="172">
        <f>IF($T15=1,N($D15)*1E14+MIN(MAX(N($R15),0),9999)*1E10+MIN(N($K15),99999)*1E5+99999-MIN(ROW(),99999),"")</f>
        <v/>
      </c>
    </row>
    <row r="16" ht="53" customHeight="1">
      <c r="A16" s="156" t="n">
        <v>13</v>
      </c>
      <c r="B16" s="157" t="inlineStr">
        <is>
          <t>Primeval forest grows at bottom of 120-meter-deep sinkhole in central Vietnam</t>
        </is>
      </c>
      <c r="C16" s="178" t="inlineStr">
        <is>
          <t>Characterisation &amp; Modelling</t>
        </is>
      </c>
      <c r="D16" s="159" t="n">
        <v>4</v>
      </c>
      <c r="E16" s="174" t="inlineStr">
        <is>
          <t>Feature lead</t>
        </is>
      </c>
      <c r="F16" s="161" t="inlineStr">
        <is>
          <t>To review</t>
        </is>
      </c>
      <c r="G16" s="162" t="n"/>
      <c r="H16" s="163" t="n"/>
      <c r="I16" s="164" t="inlineStr">
        <is>
          <t>How do karst collapse sinkholes form in limestone terrain, and what do such deep features reveal about cave ground stability and hazard mapping?</t>
        </is>
      </c>
      <c r="J16" s="164" t="inlineStr">
        <is>
          <t>VnExpress International</t>
        </is>
      </c>
      <c r="K16" s="165" t="n">
        <v>46319</v>
      </c>
      <c r="L16" s="164" t="n"/>
      <c r="M16" s="166" t="n"/>
      <c r="N16" s="167" t="inlineStr">
        <is>
          <t>United Kingdom</t>
        </is>
      </c>
      <c r="O16" s="165" t="n">
        <v>46319</v>
      </c>
      <c r="P16" s="168" t="inlineStr">
        <is>
          <t>2026-Q4</t>
        </is>
      </c>
      <c r="Q16" s="169" t="inlineStr">
        <is>
          <t>sinkhole</t>
        </is>
      </c>
      <c r="R16" s="156" t="n">
        <v>4</v>
      </c>
      <c r="S16" s="170"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6" s="171">
        <f>IF($B16="",0,IF(AND(OR(OR(Dashboard!$B$5="All themes",Dashboard!$B$5=""),$C16=Dashboard!$B$5),OR(OR(Dashboard!$G$5="All uses",Dashboard!$G$5=""),$E16=Dashboard!$G$5),N($D16)&gt;=Lists!$H$2,OR(OR(Dashboard!$N$5="All windows",Dashboard!$N$5=""),$P16=Dashboard!$N$5)),1,0))</f>
        <v/>
      </c>
      <c r="U16" s="172">
        <f>IF($T16=1,N($D16)*1E14+MIN(MAX(N($R16),0),9999)*1E10+MIN(N($K16),99999)*1E5+99999-MIN(ROW(),99999),"")</f>
        <v/>
      </c>
    </row>
    <row r="17" ht="65.5" customHeight="1">
      <c r="A17" s="156" t="n">
        <v>14</v>
      </c>
      <c r="B17" s="157" t="inlineStr">
        <is>
          <t>More than 300 neighbourhoods at risk from rains; sinkhole on Eloy Alfaro casts doubt on Quito's underground infrastructure</t>
        </is>
      </c>
      <c r="C17" s="177" t="inlineStr">
        <is>
          <t>Infrastructure &amp; the Underground City</t>
        </is>
      </c>
      <c r="D17" s="159" t="n">
        <v>4</v>
      </c>
      <c r="E17" s="174" t="inlineStr">
        <is>
          <t>Feature lead</t>
        </is>
      </c>
      <c r="F17" s="161" t="inlineStr">
        <is>
          <t>To review</t>
        </is>
      </c>
      <c r="G17" s="162" t="n"/>
      <c r="H17" s="163" t="n"/>
      <c r="I17" s="164" t="inlineStr">
        <is>
          <t>How can cities detect and prevent sinkholes caused by leaking pipes and eroded soils in urban ground, and what does Quito's case reveal about underground infrastructure monitoring?</t>
        </is>
      </c>
      <c r="J17" s="164" t="inlineStr">
        <is>
          <t>El Universo</t>
        </is>
      </c>
      <c r="K17" s="165" t="n">
        <v>46319</v>
      </c>
      <c r="L17" s="164" t="inlineStr">
        <is>
          <t>Más de 300 barrios en riesgo por las lluvias, socavón en la Eloy Alfaro pone en duda la infraestructura subterránea de Quito</t>
        </is>
      </c>
      <c r="M17" s="166" t="n"/>
      <c r="N17" s="167" t="inlineStr">
        <is>
          <t>Mexico</t>
        </is>
      </c>
      <c r="O17" s="165" t="n">
        <v>46318</v>
      </c>
      <c r="P17" s="168" t="inlineStr">
        <is>
          <t>2026-Q4</t>
        </is>
      </c>
      <c r="Q17" s="169" t="inlineStr">
        <is>
          <t>sinkhole</t>
        </is>
      </c>
      <c r="R17" s="156" t="n">
        <v>4</v>
      </c>
      <c r="S17" s="170"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7" s="171">
        <f>IF($B17="",0,IF(AND(OR(OR(Dashboard!$B$5="All themes",Dashboard!$B$5=""),$C17=Dashboard!$B$5),OR(OR(Dashboard!$G$5="All uses",Dashboard!$G$5=""),$E17=Dashboard!$G$5),N($D17)&gt;=Lists!$H$2,OR(OR(Dashboard!$N$5="All windows",Dashboard!$N$5=""),$P17=Dashboard!$N$5)),1,0))</f>
        <v/>
      </c>
      <c r="U17" s="172">
        <f>IF($T17=1,N($D17)*1E14+MIN(MAX(N($R17),0),9999)*1E10+MIN(N($K17),99999)*1E5+99999-MIN(ROW(),99999),"")</f>
        <v/>
      </c>
    </row>
    <row r="18" ht="53" customHeight="1">
      <c r="A18" s="156" t="n">
        <v>15</v>
      </c>
      <c r="B18" s="157" t="inlineStr">
        <is>
          <t>Giant sinkhole discovered in Phong Nha-Ke Bang National Park</t>
        </is>
      </c>
      <c r="C18" s="178" t="inlineStr">
        <is>
          <t>Characterisation &amp; Modelling</t>
        </is>
      </c>
      <c r="D18" s="159" t="n">
        <v>4</v>
      </c>
      <c r="E18" s="174" t="inlineStr">
        <is>
          <t>Feature lead</t>
        </is>
      </c>
      <c r="F18" s="161" t="inlineStr">
        <is>
          <t>To review</t>
        </is>
      </c>
      <c r="G18" s="162" t="n"/>
      <c r="H18" s="163" t="n"/>
      <c r="I18" s="164" t="inlineStr">
        <is>
          <t>How are giant karst sinkholes detected and characterised in limestone terrain, and what hazards do they pose to park access and infrastructure?</t>
        </is>
      </c>
      <c r="J18" s="164" t="inlineStr">
        <is>
          <t>Baolangson.vn</t>
        </is>
      </c>
      <c r="K18" s="165" t="n">
        <v>46319</v>
      </c>
      <c r="L18" s="164" t="inlineStr">
        <is>
          <t>Giant sinkhole discovered in Phong Nha-Ke Bang National Park</t>
        </is>
      </c>
      <c r="M18" s="166" t="n"/>
      <c r="N18" s="167" t="inlineStr">
        <is>
          <t>United Kingdom</t>
        </is>
      </c>
      <c r="O18" s="165" t="n">
        <v>46319</v>
      </c>
      <c r="P18" s="168" t="inlineStr">
        <is>
          <t>2026-Q4</t>
        </is>
      </c>
      <c r="Q18" s="169" t="inlineStr">
        <is>
          <t>sinkhole</t>
        </is>
      </c>
      <c r="R18" s="156" t="n">
        <v>4</v>
      </c>
      <c r="S18" s="170" t="inlineStr">
        <is>
          <t>https://news.google.com/rss/articles/CBMinwFBVV95cUxQbmljanByeFhpYlNScnE2RHN0UUVIMy1oenIwbzdmbFBTeHUxMXZjT2xhY3dnbm5UdW42ZTNhTk5LMWNWTlg0eFBvTnE2Q1ZqY2JlNElKTVdqd0x1M0liaTlFRzVBUkFiUXdfY29PUUJsU2M3TEVaVHpkeUtiSkdqV0lPN3Y1dV9ZR1B5bk5OalNJNGZPMVlRZUd5RHJtOUU?oc=5</t>
        </is>
      </c>
      <c r="T18" s="171">
        <f>IF($B18="",0,IF(AND(OR(OR(Dashboard!$B$5="All themes",Dashboard!$B$5=""),$C18=Dashboard!$B$5),OR(OR(Dashboard!$G$5="All uses",Dashboard!$G$5=""),$E18=Dashboard!$G$5),N($D18)&gt;=Lists!$H$2,OR(OR(Dashboard!$N$5="All windows",Dashboard!$N$5=""),$P18=Dashboard!$N$5)),1,0))</f>
        <v/>
      </c>
      <c r="U18" s="172">
        <f>IF($T18=1,N($D18)*1E14+MIN(MAX(N($R18),0),9999)*1E10+MIN(N($K18),99999)*1E5+99999-MIN(ROW(),99999),"")</f>
        <v/>
      </c>
    </row>
    <row r="19" ht="53" customHeight="1">
      <c r="A19" s="156" t="n">
        <v>16</v>
      </c>
      <c r="B19" s="157" t="inlineStr">
        <is>
          <t>Special feature: Typhoon No. 25 triggers many landslides; dangers hidden in Chiba's Boso Peninsula terrain, 'high valley density'.</t>
        </is>
      </c>
      <c r="C19" s="173" t="inlineStr">
        <is>
          <t>Hazards &amp; Resilience</t>
        </is>
      </c>
      <c r="D19" s="159" t="n">
        <v>4</v>
      </c>
      <c r="E19" s="174" t="inlineStr">
        <is>
          <t>Feature lead</t>
        </is>
      </c>
      <c r="F19" s="161" t="inlineStr">
        <is>
          <t>To review</t>
        </is>
      </c>
      <c r="G19" s="162" t="n"/>
      <c r="H19" s="163" t="n"/>
      <c r="I19" s="164" t="inlineStr">
        <is>
          <t>Why does high valley density amplify landslide susceptibility in the Boso Peninsula, and how do weathered sedimentary slopes respond to intense typhoon rainfall?</t>
        </is>
      </c>
      <c r="J19" s="164" t="inlineStr">
        <is>
          <t>Yahoo!ニュース</t>
        </is>
      </c>
      <c r="K19" s="165" t="n">
        <v>46319</v>
      </c>
      <c r="L19" s="164" t="inlineStr">
        <is>
          <t>【特集】台風25号で土砂崩れ多発 千葉・房総半島の地形に潜む危険 「谷密度が高い」（チバテレ）</t>
        </is>
      </c>
      <c r="M19" s="166" t="n"/>
      <c r="N19" s="167" t="inlineStr">
        <is>
          <t>Japan</t>
        </is>
      </c>
      <c r="O19" s="165" t="n">
        <v>46318</v>
      </c>
      <c r="P19" s="168" t="inlineStr">
        <is>
          <t>2026-Q4</t>
        </is>
      </c>
      <c r="Q19" s="169" t="inlineStr">
        <is>
          <t>landslide</t>
        </is>
      </c>
      <c r="R19" s="156" t="n">
        <v>4</v>
      </c>
      <c r="S19" s="170" t="inlineStr">
        <is>
          <t>https://news.google.com/rss/articles/CBMif0FVX3lxTE9paXItcTdLR3g0R0hhZGZwQVFjNHJEOWJJRF84Rzdfa0tRQ0taaTVxd19rWFBLOHNuUkU2N081UDJIWVZNQ09NUDJBQ0p2V0FwS1lNV213UnNvV0xvcU1zTUpWWG1iTnFMclFRVjh4SUNoREdra2loMWh0ZGVIN0E?oc=5</t>
        </is>
      </c>
      <c r="T19" s="171">
        <f>IF($B19="",0,IF(AND(OR(OR(Dashboard!$B$5="All themes",Dashboard!$B$5=""),$C19=Dashboard!$B$5),OR(OR(Dashboard!$G$5="All uses",Dashboard!$G$5=""),$E19=Dashboard!$G$5),N($D19)&gt;=Lists!$H$2,OR(OR(Dashboard!$N$5="All windows",Dashboard!$N$5=""),$P19=Dashboard!$N$5)),1,0))</f>
        <v/>
      </c>
      <c r="U19" s="172">
        <f>IF($T19=1,N($D19)*1E14+MIN(MAX(N($R19),0),9999)*1E10+MIN(N($K19),99999)*1E5+99999-MIN(ROW(),99999),"")</f>
        <v/>
      </c>
    </row>
    <row r="20" ht="53" customHeight="1">
      <c r="A20" s="156" t="n">
        <v>17</v>
      </c>
      <c r="B20" s="157" t="inlineStr">
        <is>
          <t>M4 to be shut and speed limits put in place after landslide</t>
        </is>
      </c>
      <c r="C20" s="173" t="inlineStr">
        <is>
          <t>Hazards &amp; Resilience</t>
        </is>
      </c>
      <c r="D20" s="159" t="n">
        <v>4</v>
      </c>
      <c r="E20" s="175" t="inlineStr">
        <is>
          <t>News brief</t>
        </is>
      </c>
      <c r="F20" s="161" t="inlineStr">
        <is>
          <t>To review</t>
        </is>
      </c>
      <c r="G20" s="162" t="n"/>
      <c r="H20" s="163" t="n"/>
      <c r="I20" s="164" t="inlineStr">
        <is>
          <t>What likely caused the M4 landslide, and how should highway embankments and cuttings be assessed for failure after heavy rainfall?</t>
        </is>
      </c>
      <c r="J20" s="164" t="inlineStr">
        <is>
          <t>South West Farmer</t>
        </is>
      </c>
      <c r="K20" s="165" t="n">
        <v>46319</v>
      </c>
      <c r="L20" s="164" t="n"/>
      <c r="M20" s="166" t="n"/>
      <c r="N20" s="167" t="inlineStr">
        <is>
          <t>United Kingdom</t>
        </is>
      </c>
      <c r="O20" s="165" t="n">
        <v>46317</v>
      </c>
      <c r="P20" s="168" t="inlineStr">
        <is>
          <t>2026-Q4</t>
        </is>
      </c>
      <c r="Q20" s="169" t="inlineStr">
        <is>
          <t>landslide</t>
        </is>
      </c>
      <c r="R20" s="156" t="n">
        <v>4</v>
      </c>
      <c r="S20" s="170" t="inlineStr">
        <is>
          <t>https://news.google.com/rss/articles/CBMikwFBVV95cUxOYkdTUURQN0hOX2VUcUZ1Rk5ZS1R4alNNVkRLOFJoMHpqUlFxLS1HQ3U5clQtcG9UeWNmd3dYRHFNYnJmSjBHR25QWlZjRUM0Z0RVWnMwbUdsTmZKRE5iZ3NzNGgxbkY5cnFzam9Ub05aYlRKb292ODJEX284ZmdsLXFIVzNZcTdIakNIVjJUR1ZvMEE?oc=5</t>
        </is>
      </c>
      <c r="T20" s="171">
        <f>IF($B20="",0,IF(AND(OR(OR(Dashboard!$B$5="All themes",Dashboard!$B$5=""),$C20=Dashboard!$B$5),OR(OR(Dashboard!$G$5="All uses",Dashboard!$G$5=""),$E20=Dashboard!$G$5),N($D20)&gt;=Lists!$H$2,OR(OR(Dashboard!$N$5="All windows",Dashboard!$N$5=""),$P20=Dashboard!$N$5)),1,0))</f>
        <v/>
      </c>
      <c r="U20" s="172">
        <f>IF($T20=1,N($D20)*1E14+MIN(MAX(N($R20),0),9999)*1E10+MIN(N($K20),99999)*1E5+99999-MIN(ROW(),99999),"")</f>
        <v/>
      </c>
    </row>
    <row r="21" ht="53" customHeight="1">
      <c r="A21" s="156" t="n">
        <v>18</v>
      </c>
      <c r="B21" s="157" t="inlineStr">
        <is>
          <t>Nilgiris Landslides: bus driver killed, Schoolchildren among 300 rescued</t>
        </is>
      </c>
      <c r="C21" s="173" t="inlineStr">
        <is>
          <t>Hazards &amp; Resilience</t>
        </is>
      </c>
      <c r="D21" s="159" t="n">
        <v>4</v>
      </c>
      <c r="E21" s="175" t="inlineStr">
        <is>
          <t>News brief</t>
        </is>
      </c>
      <c r="F21" s="161" t="inlineStr">
        <is>
          <t>To review</t>
        </is>
      </c>
      <c r="G21" s="162" t="n"/>
      <c r="H21" s="163" t="n"/>
      <c r="I21" s="164" t="inlineStr">
        <is>
          <t>What triggered the Nilgiris landslides, and what early-warning and slope-stability measures could reduce fatalities on hill-region roads?</t>
        </is>
      </c>
      <c r="J21" s="164" t="inlineStr">
        <is>
          <t>The Hindu</t>
        </is>
      </c>
      <c r="K21" s="165" t="n">
        <v>46319</v>
      </c>
      <c r="L21" s="164" t="n"/>
      <c r="M21" s="166" t="n"/>
      <c r="N21" s="167" t="inlineStr">
        <is>
          <t>United Kingdom</t>
        </is>
      </c>
      <c r="O21" s="165" t="n">
        <v>46319</v>
      </c>
      <c r="P21" s="168" t="inlineStr">
        <is>
          <t>2026-Q4</t>
        </is>
      </c>
      <c r="Q21" s="169" t="inlineStr">
        <is>
          <t>landslide</t>
        </is>
      </c>
      <c r="R21" s="156" t="n">
        <v>4</v>
      </c>
      <c r="S21" s="170"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1" s="171">
        <f>IF($B21="",0,IF(AND(OR(OR(Dashboard!$B$5="All themes",Dashboard!$B$5=""),$C21=Dashboard!$B$5),OR(OR(Dashboard!$G$5="All uses",Dashboard!$G$5=""),$E21=Dashboard!$G$5),N($D21)&gt;=Lists!$H$2,OR(OR(Dashboard!$N$5="All windows",Dashboard!$N$5=""),$P21=Dashboard!$N$5)),1,0))</f>
        <v/>
      </c>
      <c r="U21" s="172">
        <f>IF($T21=1,N($D21)*1E14+MIN(MAX(N($R21),0),9999)*1E10+MIN(N($K21),99999)*1E5+99999-MIN(ROW(),99999),"")</f>
        <v/>
      </c>
    </row>
    <row r="22" ht="53" customHeight="1">
      <c r="A22" s="156" t="n">
        <v>19</v>
      </c>
      <c r="B22" s="157" t="inlineStr">
        <is>
          <t>Tamil Nadu landslide kills government bus driver after 50 passengers evacuated near Parliyar</t>
        </is>
      </c>
      <c r="C22" s="173" t="inlineStr">
        <is>
          <t>Hazards &amp; Resilience</t>
        </is>
      </c>
      <c r="D22" s="159" t="n">
        <v>4</v>
      </c>
      <c r="E22" s="175" t="inlineStr">
        <is>
          <t>News brief</t>
        </is>
      </c>
      <c r="F22" s="161" t="inlineStr">
        <is>
          <t>To review</t>
        </is>
      </c>
      <c r="G22" s="162" t="n"/>
      <c r="H22" s="163" t="n"/>
      <c r="I22" s="164" t="inlineStr">
        <is>
          <t>What ground and rainfall conditions caused the Parliyar landslide that hit a bus, and how can hill-road slopes be screened for similar risk?</t>
        </is>
      </c>
      <c r="J22" s="164" t="inlineStr">
        <is>
          <t>Telangana Today</t>
        </is>
      </c>
      <c r="K22" s="165" t="n">
        <v>46319</v>
      </c>
      <c r="L22" s="164" t="n"/>
      <c r="M22" s="166" t="n"/>
      <c r="N22" s="167" t="inlineStr">
        <is>
          <t>United States</t>
        </is>
      </c>
      <c r="O22" s="165" t="n">
        <v>46319</v>
      </c>
      <c r="P22" s="168" t="inlineStr">
        <is>
          <t>2026-Q4</t>
        </is>
      </c>
      <c r="Q22" s="169" t="inlineStr">
        <is>
          <t>landslide</t>
        </is>
      </c>
      <c r="R22" s="156" t="n">
        <v>4</v>
      </c>
      <c r="S22" s="170"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2" s="171">
        <f>IF($B22="",0,IF(AND(OR(OR(Dashboard!$B$5="All themes",Dashboard!$B$5=""),$C22=Dashboard!$B$5),OR(OR(Dashboard!$G$5="All uses",Dashboard!$G$5=""),$E22=Dashboard!$G$5),N($D22)&gt;=Lists!$H$2,OR(OR(Dashboard!$N$5="All windows",Dashboard!$N$5=""),$P22=Dashboard!$N$5)),1,0))</f>
        <v/>
      </c>
      <c r="U22" s="172">
        <f>IF($T22=1,N($D22)*1E14+MIN(MAX(N($R22),0),9999)*1E10+MIN(N($K22),99999)*1E5+99999-MIN(ROW(),99999),"")</f>
        <v/>
      </c>
    </row>
    <row r="23" ht="53" customHeight="1">
      <c r="A23" s="156" t="n">
        <v>20</v>
      </c>
      <c r="B23" s="157" t="inlineStr">
        <is>
          <t>In Massachusetts, sinkhole questions linger as mill demolition clears way for housing units</t>
        </is>
      </c>
      <c r="C23" s="173" t="inlineStr">
        <is>
          <t>Hazards &amp; Resilience</t>
        </is>
      </c>
      <c r="D23" s="159" t="n">
        <v>4</v>
      </c>
      <c r="E23" s="174" t="inlineStr">
        <is>
          <t>Feature lead</t>
        </is>
      </c>
      <c r="F23" s="161" t="inlineStr">
        <is>
          <t>To review</t>
        </is>
      </c>
      <c r="G23" s="162" t="n"/>
      <c r="H23" s="163" t="n"/>
      <c r="I23" s="164" t="inlineStr">
        <is>
          <t>How should sinkhole origin be investigated beneath a former mill site before redevelopment for housing, and what ground remediation is needed?</t>
        </is>
      </c>
      <c r="J23" s="164" t="inlineStr">
        <is>
          <t>Yahoo</t>
        </is>
      </c>
      <c r="K23" s="165" t="n">
        <v>46319</v>
      </c>
      <c r="L23" s="164" t="n"/>
      <c r="M23" s="166" t="n"/>
      <c r="N23" s="167" t="inlineStr">
        <is>
          <t>United Kingdom</t>
        </is>
      </c>
      <c r="O23" s="165" t="n">
        <v>46318</v>
      </c>
      <c r="P23" s="168" t="inlineStr">
        <is>
          <t>2026-Q4</t>
        </is>
      </c>
      <c r="Q23" s="169" t="inlineStr">
        <is>
          <t>sinkhole</t>
        </is>
      </c>
      <c r="R23" s="156" t="n">
        <v>4</v>
      </c>
      <c r="S23" s="170" t="inlineStr">
        <is>
          <t>https://news.google.com/rss/articles/CBMimwFBVV95cUxOd3VEcWZ4d01oX25TMUhmNDFtX1QtRktKMmhoOWM5Z3BQVGV3TFE5elhLYkhPaWtCUkJTU3paUkRqQjNGdnFYbW1sNWRzRzAyaVFiYlJEWWRaZjY4ckppMTBSTWFlVUpaMHpHLVdMRU11NnFNQUp4Ymtac3UtYk03RndxbVp6V3Exc3p3RFRyTWxyYlkyTDVhcUxWSQ?oc=5</t>
        </is>
      </c>
      <c r="T23" s="171">
        <f>IF($B23="",0,IF(AND(OR(OR(Dashboard!$B$5="All themes",Dashboard!$B$5=""),$C23=Dashboard!$B$5),OR(OR(Dashboard!$G$5="All uses",Dashboard!$G$5=""),$E23=Dashboard!$G$5),N($D23)&gt;=Lists!$H$2,OR(OR(Dashboard!$N$5="All windows",Dashboard!$N$5=""),$P23=Dashboard!$N$5)),1,0))</f>
        <v/>
      </c>
      <c r="U23" s="172">
        <f>IF($T23=1,N($D23)*1E14+MIN(MAX(N($R23),0),9999)*1E10+MIN(N($K23),99999)*1E5+99999-MIN(ROW(),99999),"")</f>
        <v/>
      </c>
    </row>
    <row r="24" ht="53" customHeight="1">
      <c r="A24" s="156" t="n">
        <v>21</v>
      </c>
      <c r="B24" s="157" t="inlineStr">
        <is>
          <t>Magnitude 7 earthquake in Biru County, Nagqu, Tibet; some houses cracked and collapsed.</t>
        </is>
      </c>
      <c r="C24" s="173" t="inlineStr">
        <is>
          <t>Hazards &amp; Resilience</t>
        </is>
      </c>
      <c r="D24" s="159" t="n">
        <v>4</v>
      </c>
      <c r="E24" s="174" t="inlineStr">
        <is>
          <t>Feature lead</t>
        </is>
      </c>
      <c r="F24" s="161" t="inlineStr">
        <is>
          <t>To review</t>
        </is>
      </c>
      <c r="G24" s="162" t="n"/>
      <c r="H24" s="163" t="n"/>
      <c r="I24" s="164" t="inlineStr">
        <is>
          <t>How do high-altitude site conditions and local soils influence seismic damage to rural houses, and what design measures suit such regions?</t>
        </is>
      </c>
      <c r="J24" s="164" t="inlineStr">
        <is>
          <t>新唐人電視台</t>
        </is>
      </c>
      <c r="K24" s="165" t="n">
        <v>46319</v>
      </c>
      <c r="L24" s="164" t="inlineStr">
        <is>
          <t>西藏那曲市巴青縣7級地震 部分房屋裂縫倒塌</t>
        </is>
      </c>
      <c r="M24" s="166" t="n"/>
      <c r="N24" s="167" t="inlineStr">
        <is>
          <t>China</t>
        </is>
      </c>
      <c r="O24" s="165" t="n">
        <v>46318</v>
      </c>
      <c r="P24" s="168" t="inlineStr">
        <is>
          <t>2026-Q4</t>
        </is>
      </c>
      <c r="Q24" s="169" t="inlineStr">
        <is>
          <t>earthquake, collapse</t>
        </is>
      </c>
      <c r="R24" s="156" t="n">
        <v>3</v>
      </c>
      <c r="S24" s="170"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4" s="171">
        <f>IF($B24="",0,IF(AND(OR(OR(Dashboard!$B$5="All themes",Dashboard!$B$5=""),$C24=Dashboard!$B$5),OR(OR(Dashboard!$G$5="All uses",Dashboard!$G$5=""),$E24=Dashboard!$G$5),N($D24)&gt;=Lists!$H$2,OR(OR(Dashboard!$N$5="All windows",Dashboard!$N$5=""),$P24=Dashboard!$N$5)),1,0))</f>
        <v/>
      </c>
      <c r="U24" s="172">
        <f>IF($T24=1,N($D24)*1E14+MIN(MAX(N($R24),0),9999)*1E10+MIN(N($K24),99999)*1E5+99999-MIN(ROW(),99999),"")</f>
        <v/>
      </c>
    </row>
    <row r="25" ht="53" customHeight="1">
      <c r="A25" s="156" t="n">
        <v>22</v>
      </c>
      <c r="B25" s="157" t="inlineStr">
        <is>
          <t>Giant hole discovered in Phong Nha-Ke Bang National Park.</t>
        </is>
      </c>
      <c r="C25" s="178" t="inlineStr">
        <is>
          <t>Characterisation &amp; Modelling</t>
        </is>
      </c>
      <c r="D25" s="159" t="n">
        <v>4</v>
      </c>
      <c r="E25" s="174" t="inlineStr">
        <is>
          <t>Feature lead</t>
        </is>
      </c>
      <c r="F25" s="161" t="inlineStr">
        <is>
          <t>To review</t>
        </is>
      </c>
      <c r="G25" s="162" t="n"/>
      <c r="H25" s="163" t="n"/>
      <c r="I25" s="164" t="inlineStr">
        <is>
          <t>What geological processes produced this giant hole in karst terrain, and how should such features be investigated and mapped within protected national parks?</t>
        </is>
      </c>
      <c r="J25" s="164" t="inlineStr">
        <is>
          <t>Vietnam.vn</t>
        </is>
      </c>
      <c r="K25" s="165" t="n">
        <v>46319</v>
      </c>
      <c r="L25" s="164" t="inlineStr">
        <is>
          <t>تم اكتشاف حفرة عملاقة في منتزه فونغ نها-كي بانغ الوطني</t>
        </is>
      </c>
      <c r="M25" s="166" t="n"/>
      <c r="N25" s="167" t="inlineStr">
        <is>
          <t>Egypt</t>
        </is>
      </c>
      <c r="O25" s="165" t="n">
        <v>46318</v>
      </c>
      <c r="P25" s="168" t="inlineStr">
        <is>
          <t>2026-Q4</t>
        </is>
      </c>
      <c r="Q25" s="169" t="n"/>
      <c r="R25" s="156" t="n">
        <v>0</v>
      </c>
      <c r="S25" s="170" t="inlineStr">
        <is>
          <t>https://news.google.com/rss/articles/CBMijgFBVV95cUxOUnpVR19vMWtXdWRZRlhOcXE4MTNMakhRWnhFZTVUd3lPYWh6NFJjejFkcS1mbENUSDQtMmdxaVlDNDlLdjBrNktTOEJLR3ZyWXBCbFhjVzk5NVA3b2puWXozVWhYWHlkQXZIYkdkanZYanZ6aVNNSXFiZUR6SnZKcFVGT0ZrbjFLMkt3a3F3?oc=5</t>
        </is>
      </c>
      <c r="T25" s="171">
        <f>IF($B25="",0,IF(AND(OR(OR(Dashboard!$B$5="All themes",Dashboard!$B$5=""),$C25=Dashboard!$B$5),OR(OR(Dashboard!$G$5="All uses",Dashboard!$G$5=""),$E25=Dashboard!$G$5),N($D25)&gt;=Lists!$H$2,OR(OR(Dashboard!$N$5="All windows",Dashboard!$N$5=""),$P25=Dashboard!$N$5)),1,0))</f>
        <v/>
      </c>
      <c r="U25" s="172">
        <f>IF($T25=1,N($D25)*1E14+MIN(MAX(N($R25),0),9999)*1E10+MIN(N($K25),99999)*1E5+99999-MIN(ROW(),99999),"")</f>
        <v/>
      </c>
    </row>
    <row r="26" ht="53" customHeight="1">
      <c r="A26" s="156" t="n">
        <v>23</v>
      </c>
      <c r="B26" s="157" t="inlineStr">
        <is>
          <t>Analytical study of 3D transient dynamic response of a cylindrical cavity in an elastic medium under triangular pulse load.</t>
        </is>
      </c>
      <c r="C26" s="178" t="inlineStr">
        <is>
          <t>Characterisation &amp; Modelling</t>
        </is>
      </c>
      <c r="D26" s="159" t="n">
        <v>4</v>
      </c>
      <c r="E26" s="160" t="inlineStr">
        <is>
          <t>Academia-to-Industry topic</t>
        </is>
      </c>
      <c r="F26" s="161" t="inlineStr">
        <is>
          <t>To review</t>
        </is>
      </c>
      <c r="G26" s="162" t="n"/>
      <c r="H26" s="163" t="n"/>
      <c r="I26" s="164" t="inlineStr">
        <is>
          <t>How do analytical solutions for a cylindrical cavity under triangular pulse loads inform the validation of numerical models for underground openings under impact?</t>
        </is>
      </c>
      <c r="J26" s="164" t="inlineStr">
        <is>
          <t>生物通</t>
        </is>
      </c>
      <c r="K26" s="165" t="n">
        <v>46319</v>
      </c>
      <c r="L26" s="164" t="inlineStr">
        <is>
          <t>弹性介质中圆柱形空腔受三角形脉冲冲击载荷的三维瞬态动力响应解析研究</t>
        </is>
      </c>
      <c r="M26" s="166" t="n"/>
      <c r="N26" s="167" t="inlineStr">
        <is>
          <t>China</t>
        </is>
      </c>
      <c r="O26" s="165" t="n">
        <v>46318</v>
      </c>
      <c r="P26" s="168" t="inlineStr">
        <is>
          <t>2026-Q4</t>
        </is>
      </c>
      <c r="Q26" s="169" t="n"/>
      <c r="R26" s="156" t="n">
        <v>0</v>
      </c>
      <c r="S26" s="170" t="inlineStr">
        <is>
          <t>https://news.google.com/rss/articles/CBMibkFVX3lxTE5PclBzMHZTYkNxbkRYVWFacWgzMjRTdE1JdmNYSi1xbTlBaVZLRTVjTHpCTlQ4c2lEQ2xoMk9kcEdROGxBOFI4Zk9YV3JGSXdUZDg1blVlelJzbU54VjkzTkUySEV5Z2x2aHY5R0xB?oc=5</t>
        </is>
      </c>
      <c r="T26" s="171">
        <f>IF($B26="",0,IF(AND(OR(OR(Dashboard!$B$5="All themes",Dashboard!$B$5=""),$C26=Dashboard!$B$5),OR(OR(Dashboard!$G$5="All uses",Dashboard!$G$5=""),$E26=Dashboard!$G$5),N($D26)&gt;=Lists!$H$2,OR(OR(Dashboard!$N$5="All windows",Dashboard!$N$5=""),$P26=Dashboard!$N$5)),1,0))</f>
        <v/>
      </c>
      <c r="U26" s="172">
        <f>IF($T26=1,N($D26)*1E14+MIN(MAX(N($R26),0),9999)*1E10+MIN(N($K26),99999)*1E5+99999-MIN(ROW(),99999),"")</f>
        <v/>
      </c>
    </row>
    <row r="27" ht="40.5" customHeight="1">
      <c r="A27" s="156" t="n">
        <v>24</v>
      </c>
      <c r="B27" s="157" t="inlineStr">
        <is>
          <t>Frana tra via Gentile e via Genova: scatta il senso unico alternato con il semaforo</t>
        </is>
      </c>
      <c r="C27" s="173" t="inlineStr">
        <is>
          <t>Hazards &amp; Resilience</t>
        </is>
      </c>
      <c r="D27" s="159" t="n">
        <v>3</v>
      </c>
      <c r="E27" s="179" t="inlineStr">
        <is>
          <t>Watch only</t>
        </is>
      </c>
      <c r="F27" s="161" t="inlineStr">
        <is>
          <t>To review</t>
        </is>
      </c>
      <c r="G27" s="162" t="n"/>
      <c r="H27" s="163" t="n"/>
      <c r="I27" s="164" t="inlineStr">
        <is>
          <t>Does a landslide on an urban road indicate ground instability requiring geotechnical investigation before reopening?</t>
        </is>
      </c>
      <c r="J27" s="164" t="inlineStr">
        <is>
          <t>Savona News</t>
        </is>
      </c>
      <c r="K27" s="165" t="n">
        <v>46319</v>
      </c>
      <c r="L27" s="164" t="n"/>
      <c r="M27" s="166" t="n"/>
      <c r="N27" s="167" t="inlineStr">
        <is>
          <t>Italy</t>
        </is>
      </c>
      <c r="O27" s="165" t="n">
        <v>46319</v>
      </c>
      <c r="P27" s="168" t="inlineStr">
        <is>
          <t>2026-Q4</t>
        </is>
      </c>
      <c r="Q27" s="169" t="inlineStr">
        <is>
          <t>landslide</t>
        </is>
      </c>
      <c r="R27" s="156" t="n">
        <v>10</v>
      </c>
      <c r="S27" s="170"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7" s="171">
        <f>IF($B27="",0,IF(AND(OR(OR(Dashboard!$B$5="All themes",Dashboard!$B$5=""),$C27=Dashboard!$B$5),OR(OR(Dashboard!$G$5="All uses",Dashboard!$G$5=""),$E27=Dashboard!$G$5),N($D27)&gt;=Lists!$H$2,OR(OR(Dashboard!$N$5="All windows",Dashboard!$N$5=""),$P27=Dashboard!$N$5)),1,0))</f>
        <v/>
      </c>
      <c r="U27" s="172">
        <f>IF($T27=1,N($D27)*1E14+MIN(MAX(N($R27),0),9999)*1E10+MIN(N($K27),99999)*1E5+99999-MIN(ROW(),99999),"")</f>
        <v/>
      </c>
    </row>
    <row r="28" ht="40.5" customHeight="1">
      <c r="A28" s="156" t="n">
        <v>25</v>
      </c>
      <c r="B28" s="157" t="inlineStr">
        <is>
          <t>Torrential rain brings hidden hazards: mountain floods and landslides must be strictly prevented; public service advertisement</t>
        </is>
      </c>
      <c r="C28" s="173" t="inlineStr">
        <is>
          <t>Hazards &amp; Resilience</t>
        </is>
      </c>
      <c r="D28" s="159" t="n">
        <v>3</v>
      </c>
      <c r="E28" s="179" t="inlineStr">
        <is>
          <t>Watch only</t>
        </is>
      </c>
      <c r="F28" s="161" t="inlineStr">
        <is>
          <t>To review</t>
        </is>
      </c>
      <c r="G28" s="162" t="n"/>
      <c r="H28" s="163" t="n"/>
      <c r="I28" s="164" t="inlineStr">
        <is>
          <t>How do mountain flood and landslide hazards during intense rainfall get prevented through early warning and slope management?</t>
        </is>
      </c>
      <c r="J28" s="164" t="inlineStr">
        <is>
          <t>凤凰网</t>
        </is>
      </c>
      <c r="K28" s="165" t="n">
        <v>46319</v>
      </c>
      <c r="L28" s="164" t="inlineStr">
        <is>
          <t>暴雨来袭隐患藏 山洪滑坡需严防｜公益广告</t>
        </is>
      </c>
      <c r="M28" s="166" t="n"/>
      <c r="N28" s="167" t="inlineStr">
        <is>
          <t>China</t>
        </is>
      </c>
      <c r="O28" s="165" t="n">
        <v>46318</v>
      </c>
      <c r="P28" s="168" t="inlineStr">
        <is>
          <t>2026-Q4</t>
        </is>
      </c>
      <c r="Q28" s="169" t="inlineStr">
        <is>
          <t>landslide</t>
        </is>
      </c>
      <c r="R28" s="156" t="n">
        <v>10</v>
      </c>
      <c r="S28" s="170" t="inlineStr">
        <is>
          <t>https://news.google.com/rss/articles/CBMiTEFVX3lxTE5jQUtRMEZxbjBPU3kxaVdvdjhRc09sV2NnalVMYklmVHFZQmwybkFHUjRLMVYtdzlvS3laVGlFMGw4aXhtdTduc1o4c3U?oc=5</t>
        </is>
      </c>
      <c r="T28" s="171">
        <f>IF($B28="",0,IF(AND(OR(OR(Dashboard!$B$5="All themes",Dashboard!$B$5=""),$C28=Dashboard!$B$5),OR(OR(Dashboard!$G$5="All uses",Dashboard!$G$5=""),$E28=Dashboard!$G$5),N($D28)&gt;=Lists!$H$2,OR(OR(Dashboard!$N$5="All windows",Dashboard!$N$5=""),$P28=Dashboard!$N$5)),1,0))</f>
        <v/>
      </c>
      <c r="U28" s="172">
        <f>IF($T28=1,N($D28)*1E14+MIN(MAX(N($R28),0),9999)*1E10+MIN(N($K28),99999)*1E5+99999-MIN(ROW(),99999),"")</f>
        <v/>
      </c>
    </row>
    <row r="29" ht="53" customHeight="1">
      <c r="A29" s="156" t="n">
        <v>26</v>
      </c>
      <c r="B29" s="157" t="inlineStr">
        <is>
          <t>What options exist for Mot Mountain in Quy Nhon: levelling it or preserving the historic site?</t>
        </is>
      </c>
      <c r="C29" s="177" t="inlineStr">
        <is>
          <t>Infrastructure &amp; the Underground City</t>
        </is>
      </c>
      <c r="D29" s="159" t="n">
        <v>3</v>
      </c>
      <c r="E29" s="174" t="inlineStr">
        <is>
          <t>Feature lead</t>
        </is>
      </c>
      <c r="F29" s="161" t="inlineStr">
        <is>
          <t>To review</t>
        </is>
      </c>
      <c r="G29" s="162" t="n"/>
      <c r="H29" s="163" t="n"/>
      <c r="I29" s="164" t="inlineStr">
        <is>
          <t>What geotechnical and heritage considerations should guide levelling versus preserving a rocky hill site in an urban coastal city?</t>
        </is>
      </c>
      <c r="J29" s="164" t="inlineStr">
        <is>
          <t>Vietnam.vn</t>
        </is>
      </c>
      <c r="K29" s="165" t="n">
        <v>46319</v>
      </c>
      <c r="L29" s="164" t="inlineStr">
        <is>
          <t>Apa saja pilihan yang tersedia untuk Gunung Mot di Quy Nhon: meratakannya atau melestarikan situs bersejarah tersebut?</t>
        </is>
      </c>
      <c r="M29" s="166" t="n"/>
      <c r="N29" s="167" t="inlineStr">
        <is>
          <t>Indonesia</t>
        </is>
      </c>
      <c r="O29" s="165" t="n">
        <v>46319</v>
      </c>
      <c r="P29" s="168" t="inlineStr">
        <is>
          <t>2026-Q4</t>
        </is>
      </c>
      <c r="Q29" s="169" t="n"/>
      <c r="R29" s="156" t="n">
        <v>6</v>
      </c>
      <c r="S29" s="170" t="inlineStr">
        <is>
          <t>https://news.google.com/rss/articles/CBMilgFBVV95cUxPbVV1NmdrOGFidElfXzZzV1ppbDBCOEc5V0luUWxOSTAwMXNGdmhVMkoxMjUwSUpmbU5lQlBuNkFVTXZGMk5IRzd5Y0taREt0ckRUT3VqSjBfbGFPTmRjUTZFS18wLTQ5Wi1ZdnFtYWd1QmN0U0Nsekx4ZzR0YVk0dmhhTXVpTW1rdEpCbGlKLTZNVXVzMEE?oc=5</t>
        </is>
      </c>
      <c r="T29" s="171">
        <f>IF($B29="",0,IF(AND(OR(OR(Dashboard!$B$5="All themes",Dashboard!$B$5=""),$C29=Dashboard!$B$5),OR(OR(Dashboard!$G$5="All uses",Dashboard!$G$5=""),$E29=Dashboard!$G$5),N($D29)&gt;=Lists!$H$2,OR(OR(Dashboard!$N$5="All windows",Dashboard!$N$5=""),$P29=Dashboard!$N$5)),1,0))</f>
        <v/>
      </c>
      <c r="U29" s="172">
        <f>IF($T29=1,N($D29)*1E14+MIN(MAX(N($R29),0),9999)*1E10+MIN(N($K29),99999)*1E5+99999-MIN(ROW(),99999),"")</f>
        <v/>
      </c>
    </row>
    <row r="30" ht="53" customHeight="1">
      <c r="A30" s="156" t="n">
        <v>27</v>
      </c>
      <c r="B30" s="157" t="inlineStr">
        <is>
          <t>At Khanh Le pass, vehicles are stopped in groups to face rockfall risk</t>
        </is>
      </c>
      <c r="C30" s="173" t="inlineStr">
        <is>
          <t>Hazards &amp; Resilience</t>
        </is>
      </c>
      <c r="D30" s="159" t="n">
        <v>3</v>
      </c>
      <c r="E30" s="176" t="inlineStr">
        <is>
          <t>Regional insight</t>
        </is>
      </c>
      <c r="F30" s="161" t="inlineStr">
        <is>
          <t>To review</t>
        </is>
      </c>
      <c r="G30" s="162" t="n"/>
      <c r="H30" s="163" t="n"/>
      <c r="I30" s="164" t="inlineStr">
        <is>
          <t>How should rockfall risk on mountain roads be assessed and mitigated, and when is traffic control sufficient versus slope engineering?</t>
        </is>
      </c>
      <c r="J30" s="164" t="inlineStr">
        <is>
          <t>Vietnam.vn</t>
        </is>
      </c>
      <c r="K30" s="165" t="n">
        <v>46319</v>
      </c>
      <c r="L30" s="164" t="inlineStr">
        <is>
          <t>Au col de Khanh Le, les véhicules sont arrêtés par groupes pour faire face au risque de chutes de pierres.</t>
        </is>
      </c>
      <c r="M30" s="166" t="n"/>
      <c r="N30" s="167" t="inlineStr">
        <is>
          <t>France</t>
        </is>
      </c>
      <c r="O30" s="165" t="n">
        <v>46317</v>
      </c>
      <c r="P30" s="168" t="inlineStr">
        <is>
          <t>2026-Q4</t>
        </is>
      </c>
      <c r="Q30" s="169" t="n"/>
      <c r="R30" s="156" t="n">
        <v>6</v>
      </c>
      <c r="S30" s="170" t="inlineStr">
        <is>
          <t>https://news.google.com/rss/articles/CBMihgFBVV95cUxPWEJjZzVNcHVub2RyNTNCN3huS0djNHpyQnA4YVJGdEtQSG9jTzdtMkRoR2lveGlsSmlZcmE0UGZsMVdnYThVT2phYU0zdjBoeDM1VkJlUUlGOUNQSmVoOFYyLVBRSF9manVQWW5jdUZsQThDUm5fU0J0NDBHT3VfV0lYNEwwdw?oc=5</t>
        </is>
      </c>
      <c r="T30" s="171">
        <f>IF($B30="",0,IF(AND(OR(OR(Dashboard!$B$5="All themes",Dashboard!$B$5=""),$C30=Dashboard!$B$5),OR(OR(Dashboard!$G$5="All uses",Dashboard!$G$5=""),$E30=Dashboard!$G$5),N($D30)&gt;=Lists!$H$2,OR(OR(Dashboard!$N$5="All windows",Dashboard!$N$5=""),$P30=Dashboard!$N$5)),1,0))</f>
        <v/>
      </c>
      <c r="U30" s="172">
        <f>IF($T30=1,N($D30)*1E14+MIN(MAX(N($R30),0),9999)*1E10+MIN(N($K30),99999)*1E5+99999-MIN(ROW(),99999),"")</f>
        <v/>
      </c>
    </row>
    <row r="31" ht="53" customHeight="1">
      <c r="A31" s="156" t="n">
        <v>28</v>
      </c>
      <c r="B31" s="157" t="inlineStr">
        <is>
          <t>Benjamin Banneker Middle School open following water main break, sinkhole repairs</t>
        </is>
      </c>
      <c r="C31" s="177" t="inlineStr">
        <is>
          <t>Infrastructure &amp; the Underground City</t>
        </is>
      </c>
      <c r="D31" s="159" t="n">
        <v>3</v>
      </c>
      <c r="E31" s="175" t="inlineStr">
        <is>
          <t>News brief</t>
        </is>
      </c>
      <c r="F31" s="161" t="inlineStr">
        <is>
          <t>To review</t>
        </is>
      </c>
      <c r="G31" s="162" t="n"/>
      <c r="H31" s="163" t="n"/>
      <c r="I31" s="164" t="inlineStr">
        <is>
          <t>How do water main breaks undermine shallow soils and cause sinkholes, and what ground investigation would prevent school-site reopening delays?</t>
        </is>
      </c>
      <c r="J31" s="164" t="inlineStr">
        <is>
          <t>AOL.com</t>
        </is>
      </c>
      <c r="K31" s="165" t="n">
        <v>46319</v>
      </c>
      <c r="L31" s="164" t="n"/>
      <c r="M31" s="166" t="n"/>
      <c r="N31" s="167" t="inlineStr">
        <is>
          <t>United Kingdom</t>
        </is>
      </c>
      <c r="O31" s="165" t="n">
        <v>46317</v>
      </c>
      <c r="P31" s="168" t="inlineStr">
        <is>
          <t>2026-Q4</t>
        </is>
      </c>
      <c r="Q31" s="169" t="inlineStr">
        <is>
          <t>sinkhole</t>
        </is>
      </c>
      <c r="R31" s="156" t="n">
        <v>4</v>
      </c>
      <c r="S31" s="170" t="inlineStr">
        <is>
          <t>https://news.google.com/rss/articles/CBMihwFBVV95cUxQTm9rZVd2Tm9uUHpadkRIeXVwdkhhLTIyVjNESDJYOFBRWS1oUVlQaHRVVkE2cDJ6ekVwQ2pNRVZma25ySjJHQjU5ZHJMT0UtOHVCMnN5dlpJR2p2dUpzVXY5R2hkdFhFX2xBUlhQb1VCN3BxUEozeVJlek1pcWpDbkpheUxxcm8?oc=5</t>
        </is>
      </c>
      <c r="T31" s="171">
        <f>IF($B31="",0,IF(AND(OR(OR(Dashboard!$B$5="All themes",Dashboard!$B$5=""),$C31=Dashboard!$B$5),OR(OR(Dashboard!$G$5="All uses",Dashboard!$G$5=""),$E31=Dashboard!$G$5),N($D31)&gt;=Lists!$H$2,OR(OR(Dashboard!$N$5="All windows",Dashboard!$N$5=""),$P31=Dashboard!$N$5)),1,0))</f>
        <v/>
      </c>
      <c r="U31" s="172">
        <f>IF($T31=1,N($D31)*1E14+MIN(MAX(N($R31),0),9999)*1E10+MIN(N($K31),99999)*1E5+99999-MIN(ROW(),99999),"")</f>
        <v/>
      </c>
    </row>
    <row r="32" ht="53" customHeight="1">
      <c r="A32" s="156" t="n">
        <v>29</v>
      </c>
      <c r="B32" s="157" t="inlineStr">
        <is>
          <t>Landslide Derails Locomotive in Keralam, Train Services Restored</t>
        </is>
      </c>
      <c r="C32" s="177" t="inlineStr">
        <is>
          <t>Infrastructure &amp; the Underground City</t>
        </is>
      </c>
      <c r="D32" s="159" t="n">
        <v>3</v>
      </c>
      <c r="E32" s="175" t="inlineStr">
        <is>
          <t>News brief</t>
        </is>
      </c>
      <c r="F32" s="161" t="inlineStr">
        <is>
          <t>To review</t>
        </is>
      </c>
      <c r="G32" s="162" t="n"/>
      <c r="H32" s="163" t="n"/>
      <c r="I32" s="164" t="inlineStr">
        <is>
          <t>What slope or embankment failure caused the locomotive derailment, and how should rail corridors be assessed for landslide risk?</t>
        </is>
      </c>
      <c r="J32" s="164" t="inlineStr">
        <is>
          <t>Deccan Chronicle</t>
        </is>
      </c>
      <c r="K32" s="165" t="n">
        <v>46319</v>
      </c>
      <c r="L32" s="164" t="n"/>
      <c r="M32" s="166" t="n"/>
      <c r="N32" s="167" t="inlineStr">
        <is>
          <t>Singapore</t>
        </is>
      </c>
      <c r="O32" s="165" t="n">
        <v>46317</v>
      </c>
      <c r="P32" s="168" t="inlineStr">
        <is>
          <t>2026-Q4</t>
        </is>
      </c>
      <c r="Q32" s="169" t="inlineStr">
        <is>
          <t>landslide</t>
        </is>
      </c>
      <c r="R32" s="156" t="n">
        <v>4</v>
      </c>
      <c r="S32" s="170"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2" s="171">
        <f>IF($B32="",0,IF(AND(OR(OR(Dashboard!$B$5="All themes",Dashboard!$B$5=""),$C32=Dashboard!$B$5),OR(OR(Dashboard!$G$5="All uses",Dashboard!$G$5=""),$E32=Dashboard!$G$5),N($D32)&gt;=Lists!$H$2,OR(OR(Dashboard!$N$5="All windows",Dashboard!$N$5=""),$P32=Dashboard!$N$5)),1,0))</f>
        <v/>
      </c>
      <c r="U32" s="172">
        <f>IF($T32=1,N($D32)*1E14+MIN(MAX(N($R32),0),9999)*1E10+MIN(N($K32),99999)*1E5+99999-MIN(ROW(),99999),"")</f>
        <v/>
      </c>
    </row>
    <row r="33" ht="40.5" customHeight="1">
      <c r="A33" s="156" t="n">
        <v>30</v>
      </c>
      <c r="B33" s="157" t="inlineStr">
        <is>
          <t>From landslide alerts to drone safety, young innovators showcase AI solutions at IIT Guwahati</t>
        </is>
      </c>
      <c r="C33" s="173" t="inlineStr">
        <is>
          <t>Hazards &amp; Resilience</t>
        </is>
      </c>
      <c r="D33" s="159" t="n">
        <v>3</v>
      </c>
      <c r="E33" s="160" t="inlineStr">
        <is>
          <t>Academia-to-Industry topic</t>
        </is>
      </c>
      <c r="F33" s="161" t="inlineStr">
        <is>
          <t>To review</t>
        </is>
      </c>
      <c r="G33" s="162" t="n"/>
      <c r="H33" s="163" t="n"/>
      <c r="I33" s="164" t="inlineStr">
        <is>
          <t>Can low-cost AI and sensor systems from student innovators provide reliable landslide early warning for practitioners?</t>
        </is>
      </c>
      <c r="J33" s="164" t="inlineStr">
        <is>
          <t>Hub News</t>
        </is>
      </c>
      <c r="K33" s="165" t="n">
        <v>46319</v>
      </c>
      <c r="L33" s="164" t="n"/>
      <c r="M33" s="166" t="n"/>
      <c r="N33" s="167" t="inlineStr">
        <is>
          <t>India</t>
        </is>
      </c>
      <c r="O33" s="165" t="n">
        <v>46319</v>
      </c>
      <c r="P33" s="168" t="inlineStr">
        <is>
          <t>2026-Q4</t>
        </is>
      </c>
      <c r="Q33" s="169" t="inlineStr">
        <is>
          <t>landslide</t>
        </is>
      </c>
      <c r="R33" s="156" t="n">
        <v>4</v>
      </c>
      <c r="S33" s="170"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33" s="171">
        <f>IF($B33="",0,IF(AND(OR(OR(Dashboard!$B$5="All themes",Dashboard!$B$5=""),$C33=Dashboard!$B$5),OR(OR(Dashboard!$G$5="All uses",Dashboard!$G$5=""),$E33=Dashboard!$G$5),N($D33)&gt;=Lists!$H$2,OR(OR(Dashboard!$N$5="All windows",Dashboard!$N$5=""),$P33=Dashboard!$N$5)),1,0))</f>
        <v/>
      </c>
      <c r="U33" s="172">
        <f>IF($T33=1,N($D33)*1E14+MIN(MAX(N($R33),0),9999)*1E10+MIN(N($K33),99999)*1E5+99999-MIN(ROW(),99999),"")</f>
        <v/>
      </c>
    </row>
    <row r="34" ht="53" customHeight="1">
      <c r="A34" s="156" t="n">
        <v>31</v>
      </c>
      <c r="B34" s="157" t="inlineStr">
        <is>
          <t>Gas Leak, Sinkhole Shut Down Businesses Near Riverview Plaza</t>
        </is>
      </c>
      <c r="C34" s="173" t="inlineStr">
        <is>
          <t>Hazards &amp; Resilience</t>
        </is>
      </c>
      <c r="D34" s="159" t="n">
        <v>3</v>
      </c>
      <c r="E34" s="175" t="inlineStr">
        <is>
          <t>News brief</t>
        </is>
      </c>
      <c r="F34" s="161" t="inlineStr">
        <is>
          <t>To review</t>
        </is>
      </c>
      <c r="G34" s="162" t="n"/>
      <c r="H34" s="163" t="n"/>
      <c r="I34" s="164" t="inlineStr">
        <is>
          <t>What caused the sinkhole near Riverview Plaza, and how do subsurface voids and utility leaks interact to create ground collapse hazards?</t>
        </is>
      </c>
      <c r="J34" s="164" t="inlineStr">
        <is>
          <t>NewsRadio WFLA</t>
        </is>
      </c>
      <c r="K34" s="165" t="n">
        <v>46319</v>
      </c>
      <c r="L34" s="164" t="n"/>
      <c r="M34" s="166" t="n"/>
      <c r="N34" s="167" t="inlineStr">
        <is>
          <t>Australia</t>
        </is>
      </c>
      <c r="O34" s="165" t="n">
        <v>46318</v>
      </c>
      <c r="P34" s="168" t="inlineStr">
        <is>
          <t>2026-Q4</t>
        </is>
      </c>
      <c r="Q34" s="169" t="inlineStr">
        <is>
          <t>sinkhole</t>
        </is>
      </c>
      <c r="R34" s="156" t="n">
        <v>4</v>
      </c>
      <c r="S34" s="170"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34" s="171">
        <f>IF($B34="",0,IF(AND(OR(OR(Dashboard!$B$5="All themes",Dashboard!$B$5=""),$C34=Dashboard!$B$5),OR(OR(Dashboard!$G$5="All uses",Dashboard!$G$5=""),$E34=Dashboard!$G$5),N($D34)&gt;=Lists!$H$2,OR(OR(Dashboard!$N$5="All windows",Dashboard!$N$5=""),$P34=Dashboard!$N$5)),1,0))</f>
        <v/>
      </c>
      <c r="U34" s="172">
        <f>IF($T34=1,N($D34)*1E14+MIN(MAX(N($R34),0),9999)*1E10+MIN(N($K34),99999)*1E5+99999-MIN(ROW(),99999),"")</f>
        <v/>
      </c>
    </row>
    <row r="35" ht="53" customHeight="1">
      <c r="A35" s="156" t="n">
        <v>32</v>
      </c>
      <c r="B35" s="157" t="inlineStr">
        <is>
          <t>Gia Lai province People's Committee chairman discusses proposal to level Mot Mountain.</t>
        </is>
      </c>
      <c r="C35" s="180" t="inlineStr">
        <is>
          <t>Geotechnics &amp; Society</t>
        </is>
      </c>
      <c r="D35" s="159" t="n">
        <v>3</v>
      </c>
      <c r="E35" s="176" t="inlineStr">
        <is>
          <t>Regional insight</t>
        </is>
      </c>
      <c r="F35" s="161" t="inlineStr">
        <is>
          <t>To review</t>
        </is>
      </c>
      <c r="G35" s="162" t="n"/>
      <c r="H35" s="163" t="n"/>
      <c r="I35" s="164" t="inlineStr">
        <is>
          <t>What are the geotechnical feasibility issues of levelling a hill, including rock quality, slope excavation and stability, compared with preservation?</t>
        </is>
      </c>
      <c r="J35" s="164" t="inlineStr">
        <is>
          <t>Vietnam.vn</t>
        </is>
      </c>
      <c r="K35" s="165" t="n">
        <v>46319</v>
      </c>
      <c r="L35" s="164" t="inlineStr">
        <is>
          <t>رئيس اللجنة الشعبية لمقاطعة جيا لاي يتحدث عن اقتراح تسوية جبل موت.</t>
        </is>
      </c>
      <c r="M35" s="166" t="n"/>
      <c r="N35" s="167" t="inlineStr">
        <is>
          <t>Egypt</t>
        </is>
      </c>
      <c r="O35" s="165" t="n">
        <v>46318</v>
      </c>
      <c r="P35" s="168" t="inlineStr">
        <is>
          <t>2026-Q4</t>
        </is>
      </c>
      <c r="Q35" s="169" t="n"/>
      <c r="R35" s="156" t="n">
        <v>0</v>
      </c>
      <c r="S35" s="170" t="inlineStr">
        <is>
          <t>https://news.google.com/rss/articles/CBMijgFBVV95cUxNdzRhVnVlVUVUU1k4S3pUQVo2RFJENXlEM1V6Z2FrVzRMQ2cxb0pZNkJpWUY5UWFHd1ZIUEZmU2x4SGtydEtXN3k2bTBIYWQ3VmZNZkNTRkhfRFctd3JZdThkRW1HTWIxYmVXRDZsazFZVTJsUzVjTWk0R2FIUElZRG5lLUpaeXpHRlZSdFBn?oc=5</t>
        </is>
      </c>
      <c r="T35" s="171">
        <f>IF($B35="",0,IF(AND(OR(OR(Dashboard!$B$5="All themes",Dashboard!$B$5=""),$C35=Dashboard!$B$5),OR(OR(Dashboard!$G$5="All uses",Dashboard!$G$5=""),$E35=Dashboard!$G$5),N($D35)&gt;=Lists!$H$2,OR(OR(Dashboard!$N$5="All windows",Dashboard!$N$5=""),$P35=Dashboard!$N$5)),1,0))</f>
        <v/>
      </c>
      <c r="U35" s="172">
        <f>IF($T35=1,N($D35)*1E14+MIN(MAX(N($R35),0),9999)*1E10+MIN(N($K35),99999)*1E5+99999-MIN(ROW(),99999),"")</f>
        <v/>
      </c>
    </row>
    <row r="36" ht="53" customHeight="1">
      <c r="A36" s="156" t="n">
        <v>33</v>
      </c>
      <c r="B36" s="157" t="inlineStr">
        <is>
          <t>What are the options for Mot Mountain in Quy Nhon: level it or preserve the historic site?</t>
        </is>
      </c>
      <c r="C36" s="180" t="inlineStr">
        <is>
          <t>Geotechnics &amp; Society</t>
        </is>
      </c>
      <c r="D36" s="159" t="n">
        <v>3</v>
      </c>
      <c r="E36" s="176" t="inlineStr">
        <is>
          <t>Regional insight</t>
        </is>
      </c>
      <c r="F36" s="161" t="inlineStr">
        <is>
          <t>To review</t>
        </is>
      </c>
      <c r="G36" s="162" t="n"/>
      <c r="H36" s="163" t="n"/>
      <c r="I36" s="164" t="inlineStr">
        <is>
          <t>What geotechnical assessments would be needed to compare levelling Mot Mountain with conserving its historic site, including rock stability and foundation implications?</t>
        </is>
      </c>
      <c r="J36" s="164" t="inlineStr">
        <is>
          <t>Vietnam.vn</t>
        </is>
      </c>
      <c r="K36" s="165" t="n">
        <v>46319</v>
      </c>
      <c r="L36" s="164" t="inlineStr">
        <is>
          <t>Quais são as opções para o Monte Mot em Quy Nhon: nivelá-lo ou preservar o sítio histórico?</t>
        </is>
      </c>
      <c r="M36" s="166" t="n"/>
      <c r="N36" s="167" t="inlineStr">
        <is>
          <t>Brazil</t>
        </is>
      </c>
      <c r="O36" s="165" t="n">
        <v>46319</v>
      </c>
      <c r="P36" s="168" t="inlineStr">
        <is>
          <t>2026-Q4</t>
        </is>
      </c>
      <c r="Q36" s="169" t="n"/>
      <c r="R36" s="156" t="n">
        <v>0</v>
      </c>
      <c r="S36" s="170" t="inlineStr">
        <is>
          <t>https://news.google.com/rss/articles/CBMilgFBVV95cUxNS29sd2RXaDlmWXJYMzNQSnJKZGpCWmJpOE9kVEdWQ2RFcUd0UHBGdHdRczJLbFRwTHFDb0ZPY1lHOHNsRGtTLXhTb081eGdyWF9YcmcxZkFrc2VNNzBJOUxNU1ppYnZtWlZBTTlZcXNfa2xNVUZWRTUyMkRlTHRUMmJ4Nk95a1kybUNTTmVPaklQSHktWUE?oc=5</t>
        </is>
      </c>
      <c r="T36" s="171">
        <f>IF($B36="",0,IF(AND(OR(OR(Dashboard!$B$5="All themes",Dashboard!$B$5=""),$C36=Dashboard!$B$5),OR(OR(Dashboard!$G$5="All uses",Dashboard!$G$5=""),$E36=Dashboard!$G$5),N($D36)&gt;=Lists!$H$2,OR(OR(Dashboard!$N$5="All windows",Dashboard!$N$5=""),$P36=Dashboard!$N$5)),1,0))</f>
        <v/>
      </c>
      <c r="U36" s="172">
        <f>IF($T36=1,N($D36)*1E14+MIN(MAX(N($R36),0),9999)*1E10+MIN(N($K36),99999)*1E5+99999-MIN(ROW(),99999),"")</f>
        <v/>
      </c>
    </row>
    <row r="37" ht="53" customHeight="1">
      <c r="A37" s="156" t="n">
        <v>34</v>
      </c>
      <c r="B37" s="157" t="inlineStr">
        <is>
          <t>PTPP traite 31 points de glissement de terrain dans le nord de Sumatra, le projet de Lampaui est en cours Indonesian: PTPP Tangani 31 Titik Longsor di Sumut, Progres Proyek Lampaui Target</t>
        </is>
      </c>
      <c r="C37" s="173" t="inlineStr">
        <is>
          <t>Hazards &amp; Resilience</t>
        </is>
      </c>
      <c r="D37" s="159" t="n">
        <v>0</v>
      </c>
      <c r="E37" s="181" t="inlineStr">
        <is>
          <t>Not rated</t>
        </is>
      </c>
      <c r="F37" s="161" t="inlineStr">
        <is>
          <t>To review</t>
        </is>
      </c>
      <c r="G37" s="162" t="n"/>
      <c r="H37" s="163" t="n"/>
      <c r="I37" s="164" t="n"/>
      <c r="J37" s="164" t="inlineStr">
        <is>
          <t>VOI.ID</t>
        </is>
      </c>
      <c r="K37" s="165" t="n">
        <v>46319</v>
      </c>
      <c r="L37" s="164" t="n"/>
      <c r="M37" s="166" t="n"/>
      <c r="N37" s="167" t="inlineStr">
        <is>
          <t>France</t>
        </is>
      </c>
      <c r="O37" s="165" t="n">
        <v>46318</v>
      </c>
      <c r="P37" s="168" t="inlineStr">
        <is>
          <t>2026-Q4</t>
        </is>
      </c>
      <c r="Q37" s="169" t="inlineStr">
        <is>
          <t>landslide</t>
        </is>
      </c>
      <c r="R37" s="156" t="n">
        <v>15</v>
      </c>
      <c r="S37" s="170" t="inlineStr">
        <is>
          <t>https://news.google.com/rss/articles/CBMiQkFVX3lxTFAyQTNsMkJmZUFDemNxVGhKTEo5YU1OZU16LS1PVzhUa2RjTmFOYjVnZ29UaEozVFFLX2ZkOTZmN05YUdIBQkFVX3lxTFAyQTNsMkJmZUFDemNxVGhKTEo5YU1OZU16LS1PVzhUa2RjTmFOYjVnZ29UaEozVFFLX2ZkOTZmN05YUQ?oc=5</t>
        </is>
      </c>
      <c r="T37" s="171">
        <f>IF($B37="",0,IF(AND(OR(OR(Dashboard!$B$5="All themes",Dashboard!$B$5=""),$C37=Dashboard!$B$5),OR(OR(Dashboard!$G$5="All uses",Dashboard!$G$5=""),$E37=Dashboard!$G$5),N($D37)&gt;=Lists!$H$2,OR(OR(Dashboard!$N$5="All windows",Dashboard!$N$5=""),$P37=Dashboard!$N$5)),1,0))</f>
        <v/>
      </c>
      <c r="U37" s="172">
        <f>IF($T37=1,N($D37)*1E14+MIN(MAX(N($R37),0),9999)*1E10+MIN(N($K37),99999)*1E5+99999-MIN(ROW(),99999),"")</f>
        <v/>
      </c>
    </row>
    <row r="38" ht="28" customHeight="1">
      <c r="A38" s="156" t="n">
        <v>35</v>
      </c>
      <c r="B38" s="157" t="inlineStr">
        <is>
          <t>Tak Lagi Takut Tanah Longsor, Warga Desa Mengulak Lega Talud Dibangun Kokoh</t>
        </is>
      </c>
      <c r="C38" s="173" t="inlineStr">
        <is>
          <t>Hazards &amp; Resilience</t>
        </is>
      </c>
      <c r="D38" s="159" t="n">
        <v>0</v>
      </c>
      <c r="E38" s="181" t="inlineStr">
        <is>
          <t>Not rated</t>
        </is>
      </c>
      <c r="F38" s="161" t="inlineStr">
        <is>
          <t>To review</t>
        </is>
      </c>
      <c r="G38" s="162" t="n"/>
      <c r="H38" s="163" t="n"/>
      <c r="I38" s="164" t="n"/>
      <c r="J38" s="164" t="inlineStr">
        <is>
          <t>https://investigasi.news/</t>
        </is>
      </c>
      <c r="K38" s="165" t="n">
        <v>46319</v>
      </c>
      <c r="L38" s="164" t="n"/>
      <c r="M38" s="166" t="n"/>
      <c r="N38" s="167" t="inlineStr">
        <is>
          <t>Indonesia</t>
        </is>
      </c>
      <c r="O38" s="165" t="n">
        <v>46318</v>
      </c>
      <c r="P38" s="168" t="inlineStr">
        <is>
          <t>2026-Q4</t>
        </is>
      </c>
      <c r="Q38" s="169" t="inlineStr">
        <is>
          <t>landslide, retaining wall</t>
        </is>
      </c>
      <c r="R38" s="156" t="n">
        <v>13</v>
      </c>
      <c r="S38" s="170"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38" s="171">
        <f>IF($B38="",0,IF(AND(OR(OR(Dashboard!$B$5="All themes",Dashboard!$B$5=""),$C38=Dashboard!$B$5),OR(OR(Dashboard!$G$5="All uses",Dashboard!$G$5=""),$E38=Dashboard!$G$5),N($D38)&gt;=Lists!$H$2,OR(OR(Dashboard!$N$5="All windows",Dashboard!$N$5=""),$P38=Dashboard!$N$5)),1,0))</f>
        <v/>
      </c>
      <c r="U38" s="172">
        <f>IF($T38=1,N($D38)*1E14+MIN(MAX(N($R38),0),9999)*1E10+MIN(N($K38),99999)*1E5+99999-MIN(ROW(),99999),"")</f>
        <v/>
      </c>
    </row>
    <row r="39" ht="28" customHeight="1">
      <c r="A39" s="156" t="n">
        <v>36</v>
      </c>
      <c r="B39" s="157" t="inlineStr">
        <is>
          <t>Antisipasi Longsor Jelang Musim Hujan, Satgas TMMD Kejar Penyelesaian Talud di Kalebarembeng</t>
        </is>
      </c>
      <c r="C39" s="173" t="inlineStr">
        <is>
          <t>Hazards &amp; Resilience</t>
        </is>
      </c>
      <c r="D39" s="159" t="n">
        <v>0</v>
      </c>
      <c r="E39" s="181" t="inlineStr">
        <is>
          <t>Not rated</t>
        </is>
      </c>
      <c r="F39" s="161" t="inlineStr">
        <is>
          <t>To review</t>
        </is>
      </c>
      <c r="G39" s="162" t="n"/>
      <c r="H39" s="163" t="n"/>
      <c r="I39" s="164" t="n"/>
      <c r="J39" s="164" t="inlineStr">
        <is>
          <t>XPOSE TV</t>
        </is>
      </c>
      <c r="K39" s="165" t="n">
        <v>46319</v>
      </c>
      <c r="L39" s="164" t="n"/>
      <c r="M39" s="166" t="n"/>
      <c r="N39" s="167" t="inlineStr">
        <is>
          <t>Indonesia</t>
        </is>
      </c>
      <c r="O39" s="165" t="n">
        <v>46318</v>
      </c>
      <c r="P39" s="168" t="inlineStr">
        <is>
          <t>2026-Q4</t>
        </is>
      </c>
      <c r="Q39" s="169" t="inlineStr">
        <is>
          <t>landslide, retaining wall</t>
        </is>
      </c>
      <c r="R39" s="156" t="n">
        <v>13</v>
      </c>
      <c r="S39" s="170" t="inlineStr">
        <is>
          <t>https://news.google.com/rss/articles/CBMigAFBVV95cUxQX3QyVW1QWWNtWHNsaC1nanRyMHE4b2NLbkhIR1NmUzl2Wk12S1pacjlNVmlmazUxczdwYjc2ek1vai1iUWcxcFhLbDZuMW04SmwteGxGcDRiTWVNbUUzWlRTTkllT0ZTdEQ5dEJuRjYyMXM0YmItVk1UZ09IZ2dmVQ?oc=5</t>
        </is>
      </c>
      <c r="T39" s="171">
        <f>IF($B39="",0,IF(AND(OR(OR(Dashboard!$B$5="All themes",Dashboard!$B$5=""),$C39=Dashboard!$B$5),OR(OR(Dashboard!$G$5="All uses",Dashboard!$G$5=""),$E39=Dashboard!$G$5),N($D39)&gt;=Lists!$H$2,OR(OR(Dashboard!$N$5="All windows",Dashboard!$N$5=""),$P39=Dashboard!$N$5)),1,0))</f>
        <v/>
      </c>
      <c r="U39" s="172">
        <f>IF($T39=1,N($D39)*1E14+MIN(MAX(N($R39),0),9999)*1E10+MIN(N($K39),99999)*1E5+99999-MIN(ROW(),99999),"")</f>
        <v/>
      </c>
    </row>
    <row r="40" ht="28" customHeight="1">
      <c r="A40" s="156" t="n">
        <v>37</v>
      </c>
      <c r="B40" s="157" t="inlineStr">
        <is>
          <t>Gard : un nouveau glissement de terrain bloque un boulevard à Villeneuve-lès-Avignon</t>
        </is>
      </c>
      <c r="C40" s="173" t="inlineStr">
        <is>
          <t>Hazards &amp; Resilience</t>
        </is>
      </c>
      <c r="D40" s="159" t="n">
        <v>0</v>
      </c>
      <c r="E40" s="181" t="inlineStr">
        <is>
          <t>Not rated</t>
        </is>
      </c>
      <c r="F40" s="161" t="inlineStr">
        <is>
          <t>To review</t>
        </is>
      </c>
      <c r="G40" s="162" t="n"/>
      <c r="H40" s="163" t="n"/>
      <c r="I40" s="164" t="n"/>
      <c r="J40" s="164" t="inlineStr">
        <is>
          <t>Seven Radio</t>
        </is>
      </c>
      <c r="K40" s="165" t="n">
        <v>46319</v>
      </c>
      <c r="L40" s="164" t="n"/>
      <c r="M40" s="166" t="n"/>
      <c r="N40" s="167" t="inlineStr">
        <is>
          <t>France</t>
        </is>
      </c>
      <c r="O40" s="165" t="n">
        <v>46317</v>
      </c>
      <c r="P40" s="168" t="inlineStr">
        <is>
          <t>2026-Q4</t>
        </is>
      </c>
      <c r="Q40" s="169" t="inlineStr">
        <is>
          <t>landslide</t>
        </is>
      </c>
      <c r="R40" s="156" t="n">
        <v>11</v>
      </c>
      <c r="S40" s="170"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40" s="171">
        <f>IF($B40="",0,IF(AND(OR(OR(Dashboard!$B$5="All themes",Dashboard!$B$5=""),$C40=Dashboard!$B$5),OR(OR(Dashboard!$G$5="All uses",Dashboard!$G$5=""),$E40=Dashboard!$G$5),N($D40)&gt;=Lists!$H$2,OR(OR(Dashboard!$N$5="All windows",Dashboard!$N$5=""),$P40=Dashboard!$N$5)),1,0))</f>
        <v/>
      </c>
      <c r="U40" s="172">
        <f>IF($T40=1,N($D40)*1E14+MIN(MAX(N($R40),0),9999)*1E10+MIN(N($K40),99999)*1E5+99999-MIN(ROW(),99999),"")</f>
        <v/>
      </c>
    </row>
    <row r="41" ht="28" customHeight="1">
      <c r="A41" s="156" t="n">
        <v>38</v>
      </c>
      <c r="B41" s="157" t="inlineStr">
        <is>
          <t>Fr glissement de terrain : mesures d'urgence à Bonea</t>
        </is>
      </c>
      <c r="C41" s="173" t="inlineStr">
        <is>
          <t>Hazards &amp; Resilience</t>
        </is>
      </c>
      <c r="D41" s="159" t="n">
        <v>0</v>
      </c>
      <c r="E41" s="181" t="inlineStr">
        <is>
          <t>Not rated</t>
        </is>
      </c>
      <c r="F41" s="161" t="inlineStr">
        <is>
          <t>To review</t>
        </is>
      </c>
      <c r="G41" s="162" t="n"/>
      <c r="H41" s="163" t="n"/>
      <c r="I41" s="164" t="n"/>
      <c r="J41" s="164" t="inlineStr">
        <is>
          <t>Il Mattino</t>
        </is>
      </c>
      <c r="K41" s="165" t="n">
        <v>46319</v>
      </c>
      <c r="L41" s="164" t="n"/>
      <c r="M41" s="166" t="n"/>
      <c r="N41" s="167" t="inlineStr">
        <is>
          <t>France</t>
        </is>
      </c>
      <c r="O41" s="165" t="n">
        <v>46318</v>
      </c>
      <c r="P41" s="168" t="inlineStr">
        <is>
          <t>2026-Q4</t>
        </is>
      </c>
      <c r="Q41" s="169" t="inlineStr">
        <is>
          <t>landslide</t>
        </is>
      </c>
      <c r="R41" s="156" t="n">
        <v>11</v>
      </c>
      <c r="S41" s="170"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41" s="171">
        <f>IF($B41="",0,IF(AND(OR(OR(Dashboard!$B$5="All themes",Dashboard!$B$5=""),$C41=Dashboard!$B$5),OR(OR(Dashboard!$G$5="All uses",Dashboard!$G$5=""),$E41=Dashboard!$G$5),N($D41)&gt;=Lists!$H$2,OR(OR(Dashboard!$N$5="All windows",Dashboard!$N$5=""),$P41=Dashboard!$N$5)),1,0))</f>
        <v/>
      </c>
      <c r="U41" s="172">
        <f>IF($T41=1,N($D41)*1E14+MIN(MAX(N($R41),0),9999)*1E10+MIN(N($K41),99999)*1E5+99999-MIN(ROW(),99999),"")</f>
        <v/>
      </c>
    </row>
    <row r="42" ht="28" customHeight="1">
      <c r="A42" s="156" t="n">
        <v>39</v>
      </c>
      <c r="B42" s="157" t="inlineStr">
        <is>
          <t>Grave glissement de terrain dans le sud de Chiayi</t>
        </is>
      </c>
      <c r="C42" s="173" t="inlineStr">
        <is>
          <t>Hazards &amp; Resilience</t>
        </is>
      </c>
      <c r="D42" s="159" t="n">
        <v>0</v>
      </c>
      <c r="E42" s="181" t="inlineStr">
        <is>
          <t>Not rated</t>
        </is>
      </c>
      <c r="F42" s="161" t="inlineStr">
        <is>
          <t>To review</t>
        </is>
      </c>
      <c r="G42" s="162" t="n"/>
      <c r="H42" s="163" t="n"/>
      <c r="I42" s="164" t="n"/>
      <c r="J42" s="164" t="inlineStr">
        <is>
          <t>Vietnam.vn</t>
        </is>
      </c>
      <c r="K42" s="165" t="n">
        <v>46319</v>
      </c>
      <c r="L42" s="164" t="n"/>
      <c r="M42" s="166" t="n"/>
      <c r="N42" s="167" t="inlineStr">
        <is>
          <t>France</t>
        </is>
      </c>
      <c r="O42" s="165" t="n">
        <v>46318</v>
      </c>
      <c r="P42" s="168" t="inlineStr">
        <is>
          <t>2026-Q4</t>
        </is>
      </c>
      <c r="Q42" s="169" t="inlineStr">
        <is>
          <t>landslide</t>
        </is>
      </c>
      <c r="R42" s="156" t="n">
        <v>11</v>
      </c>
      <c r="S42" s="170" t="inlineStr">
        <is>
          <t>https://news.google.com/rss/articles/CBMid0FVX3lxTFBLNjZlckVEZW14ak1SVlkwVFNyMkpDRy1fNWlXT3puVTRWMHE4b0Q0OUhDMjdCTnFGTkZiOF9zMl9ZSURvZ19XdnRILUtwVFNNVk9xMi1KbFJibzJha0V0TEJ5TE9xeDFVNkRzQ3R1YlI0eEhJaFkw?oc=5</t>
        </is>
      </c>
      <c r="T42" s="171">
        <f>IF($B42="",0,IF(AND(OR(OR(Dashboard!$B$5="All themes",Dashboard!$B$5=""),$C42=Dashboard!$B$5),OR(OR(Dashboard!$G$5="All uses",Dashboard!$G$5=""),$E42=Dashboard!$G$5),N($D42)&gt;=Lists!$H$2,OR(OR(Dashboard!$N$5="All windows",Dashboard!$N$5=""),$P42=Dashboard!$N$5)),1,0))</f>
        <v/>
      </c>
      <c r="U42" s="172">
        <f>IF($T42=1,N($D42)*1E14+MIN(MAX(N($R42),0),9999)*1E10+MIN(N($K42),99999)*1E5+99999-MIN(ROW(),99999),"")</f>
        <v/>
      </c>
    </row>
    <row r="43" ht="40.5" customHeight="1">
      <c r="A43" s="156" t="n">
        <v>40</v>
      </c>
      <c r="B43" s="157" t="inlineStr">
        <is>
          <t>Nghe An : Il est urgent d'agir face au glissement de terrain sur le talus le long de la route côtière.</t>
        </is>
      </c>
      <c r="C43" s="173" t="inlineStr">
        <is>
          <t>Hazards &amp; Resilience</t>
        </is>
      </c>
      <c r="D43" s="159" t="n">
        <v>0</v>
      </c>
      <c r="E43" s="181" t="inlineStr">
        <is>
          <t>Not rated</t>
        </is>
      </c>
      <c r="F43" s="161" t="inlineStr">
        <is>
          <t>To review</t>
        </is>
      </c>
      <c r="G43" s="162" t="n"/>
      <c r="H43" s="163" t="n"/>
      <c r="I43" s="164" t="n"/>
      <c r="J43" s="164" t="inlineStr">
        <is>
          <t>Vietnam.vn</t>
        </is>
      </c>
      <c r="K43" s="165" t="n">
        <v>46319</v>
      </c>
      <c r="L43" s="164" t="n"/>
      <c r="M43" s="166" t="n"/>
      <c r="N43" s="167" t="inlineStr">
        <is>
          <t>France</t>
        </is>
      </c>
      <c r="O43" s="165" t="n">
        <v>46318</v>
      </c>
      <c r="P43" s="168" t="inlineStr">
        <is>
          <t>2026-Q4</t>
        </is>
      </c>
      <c r="Q43" s="169" t="inlineStr">
        <is>
          <t>landslide, slope</t>
        </is>
      </c>
      <c r="R43" s="156" t="n">
        <v>11</v>
      </c>
      <c r="S43" s="170" t="inlineStr">
        <is>
          <t>https://news.google.com/rss/articles/CBMilwFBVV95cUxPZzhiUkFXYWtNQ1d0SkVyNVhJZXR2cVJIX3FGaVMtRFQ4YUc4SmZ2UFpJM2E4ek92UGdPSXk1STJwRy1fV055NUtEUVNwdFVmeXNKdEZGTG9CWVNIZ3NPcktpNkVLc3pBbERiWV81MDJoRVVSVW8ySklaVTlCZjRLaUR4ZVNOb3F1MjFMOWl3cHBkLTdsWWJN?oc=5</t>
        </is>
      </c>
      <c r="T43" s="171">
        <f>IF($B43="",0,IF(AND(OR(OR(Dashboard!$B$5="All themes",Dashboard!$B$5=""),$C43=Dashboard!$B$5),OR(OR(Dashboard!$G$5="All uses",Dashboard!$G$5=""),$E43=Dashboard!$G$5),N($D43)&gt;=Lists!$H$2,OR(OR(Dashboard!$N$5="All windows",Dashboard!$N$5=""),$P43=Dashboard!$N$5)),1,0))</f>
        <v/>
      </c>
      <c r="U43" s="172">
        <f>IF($T43=1,N($D43)*1E14+MIN(MAX(N($R43),0),9999)*1E10+MIN(N($K43),99999)*1E5+99999-MIN(ROW(),99999),"")</f>
        <v/>
      </c>
    </row>
    <row r="44" ht="28" customHeight="1">
      <c r="A44" s="156" t="n">
        <v>41</v>
      </c>
      <c r="B44" s="157" t="inlineStr">
        <is>
          <t>Evalúan estabilización de laderas y subsidios para familias ante deslizamiento de tierra en Lota</t>
        </is>
      </c>
      <c r="C44" s="173" t="inlineStr">
        <is>
          <t>Hazards &amp; Resilience</t>
        </is>
      </c>
      <c r="D44" s="159" t="n">
        <v>0</v>
      </c>
      <c r="E44" s="181" t="inlineStr">
        <is>
          <t>Not rated</t>
        </is>
      </c>
      <c r="F44" s="161" t="inlineStr">
        <is>
          <t>To review</t>
        </is>
      </c>
      <c r="G44" s="162" t="n"/>
      <c r="H44" s="163" t="n"/>
      <c r="I44" s="164" t="n"/>
      <c r="J44" s="164" t="inlineStr">
        <is>
          <t>Diario Concepción</t>
        </is>
      </c>
      <c r="K44" s="165" t="n">
        <v>46319</v>
      </c>
      <c r="L44" s="164" t="n"/>
      <c r="M44" s="166" t="n"/>
      <c r="N44" s="167" t="inlineStr">
        <is>
          <t>Spain</t>
        </is>
      </c>
      <c r="O44" s="165" t="n">
        <v>46318</v>
      </c>
      <c r="P44" s="168" t="inlineStr">
        <is>
          <t>2026-Q4</t>
        </is>
      </c>
      <c r="Q44" s="169" t="inlineStr">
        <is>
          <t>landslide, slope</t>
        </is>
      </c>
      <c r="R44" s="156" t="n">
        <v>10</v>
      </c>
      <c r="S44" s="170"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44" s="171">
        <f>IF($B44="",0,IF(AND(OR(OR(Dashboard!$B$5="All themes",Dashboard!$B$5=""),$C44=Dashboard!$B$5),OR(OR(Dashboard!$G$5="All uses",Dashboard!$G$5=""),$E44=Dashboard!$G$5),N($D44)&gt;=Lists!$H$2,OR(OR(Dashboard!$N$5="All windows",Dashboard!$N$5=""),$P44=Dashboard!$N$5)),1,0))</f>
        <v/>
      </c>
      <c r="U44" s="172">
        <f>IF($T44=1,N($D44)*1E14+MIN(MAX(N($R44),0),9999)*1E10+MIN(N($K44),99999)*1E5+99999-MIN(ROW(),99999),"")</f>
        <v/>
      </c>
    </row>
    <row r="45" ht="28" customHeight="1">
      <c r="A45" s="156" t="n">
        <v>42</v>
      </c>
      <c r="B45" s="157" t="inlineStr">
        <is>
          <t>Concepción: trabajos de despeje avanzan tras deslizamiento de tierra en Juan Riquelme</t>
        </is>
      </c>
      <c r="C45" s="173" t="inlineStr">
        <is>
          <t>Hazards &amp; Resilience</t>
        </is>
      </c>
      <c r="D45" s="159" t="n">
        <v>0</v>
      </c>
      <c r="E45" s="181" t="inlineStr">
        <is>
          <t>Not rated</t>
        </is>
      </c>
      <c r="F45" s="161" t="inlineStr">
        <is>
          <t>To review</t>
        </is>
      </c>
      <c r="G45" s="162" t="n"/>
      <c r="H45" s="163" t="n"/>
      <c r="I45" s="164" t="n"/>
      <c r="J45" s="164" t="inlineStr">
        <is>
          <t>Canal 9 Bío Bío Televisión</t>
        </is>
      </c>
      <c r="K45" s="165" t="n">
        <v>46319</v>
      </c>
      <c r="L45" s="164" t="n"/>
      <c r="M45" s="166" t="n"/>
      <c r="N45" s="167" t="inlineStr">
        <is>
          <t>Spain</t>
        </is>
      </c>
      <c r="O45" s="165" t="n">
        <v>46318</v>
      </c>
      <c r="P45" s="168" t="inlineStr">
        <is>
          <t>2026-Q4</t>
        </is>
      </c>
      <c r="Q45" s="169" t="inlineStr">
        <is>
          <t>landslide</t>
        </is>
      </c>
      <c r="R45" s="156" t="n">
        <v>10</v>
      </c>
      <c r="S45" s="170"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45" s="171">
        <f>IF($B45="",0,IF(AND(OR(OR(Dashboard!$B$5="All themes",Dashboard!$B$5=""),$C45=Dashboard!$B$5),OR(OR(Dashboard!$G$5="All uses",Dashboard!$G$5=""),$E45=Dashboard!$G$5),N($D45)&gt;=Lists!$H$2,OR(OR(Dashboard!$N$5="All windows",Dashboard!$N$5=""),$P45=Dashboard!$N$5)),1,0))</f>
        <v/>
      </c>
      <c r="U45" s="172">
        <f>IF($T45=1,N($D45)*1E14+MIN(MAX(N($R45),0),9999)*1E10+MIN(N($K45),99999)*1E5+99999-MIN(ROW(),99999),"")</f>
        <v/>
      </c>
    </row>
    <row r="46" ht="28" customHeight="1">
      <c r="A46" s="156" t="n">
        <v>43</v>
      </c>
      <c r="B46" s="157" t="inlineStr">
        <is>
          <t>Viviendas Colapsan por Deslizamiento de Tierra en Lomas Conjunto Residencial, Tijuana</t>
        </is>
      </c>
      <c r="C46" s="173" t="inlineStr">
        <is>
          <t>Hazards &amp; Resilience</t>
        </is>
      </c>
      <c r="D46" s="159" t="n">
        <v>0</v>
      </c>
      <c r="E46" s="181" t="inlineStr">
        <is>
          <t>Not rated</t>
        </is>
      </c>
      <c r="F46" s="161" t="inlineStr">
        <is>
          <t>To review</t>
        </is>
      </c>
      <c r="G46" s="162" t="n"/>
      <c r="H46" s="163" t="n"/>
      <c r="I46" s="164" t="n"/>
      <c r="J46" s="164" t="inlineStr">
        <is>
          <t>N+</t>
        </is>
      </c>
      <c r="K46" s="165" t="n">
        <v>46319</v>
      </c>
      <c r="L46" s="164" t="n"/>
      <c r="M46" s="166" t="n"/>
      <c r="N46" s="167" t="inlineStr">
        <is>
          <t>Spain</t>
        </is>
      </c>
      <c r="O46" s="165" t="n">
        <v>46318</v>
      </c>
      <c r="P46" s="168" t="inlineStr">
        <is>
          <t>2026-Q4</t>
        </is>
      </c>
      <c r="Q46" s="169" t="inlineStr">
        <is>
          <t>landslide</t>
        </is>
      </c>
      <c r="R46" s="156" t="n">
        <v>10</v>
      </c>
      <c r="S46" s="170"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46" s="171">
        <f>IF($B46="",0,IF(AND(OR(OR(Dashboard!$B$5="All themes",Dashboard!$B$5=""),$C46=Dashboard!$B$5),OR(OR(Dashboard!$G$5="All uses",Dashboard!$G$5=""),$E46=Dashboard!$G$5),N($D46)&gt;=Lists!$H$2,OR(OR(Dashboard!$N$5="All windows",Dashboard!$N$5=""),$P46=Dashboard!$N$5)),1,0))</f>
        <v/>
      </c>
      <c r="U46" s="172">
        <f>IF($T46=1,N($D46)*1E14+MIN(MAX(N($R46),0),9999)*1E10+MIN(N($K46),99999)*1E5+99999-MIN(ROW(),99999),"")</f>
        <v/>
      </c>
    </row>
    <row r="47" ht="40.5" customHeight="1">
      <c r="A47" s="156" t="n">
        <v>44</v>
      </c>
      <c r="B47" s="157" t="inlineStr">
        <is>
          <t>La atención se centra en la reparación de los deslizamientos de tierra en la Carretera Nacional 15C.</t>
        </is>
      </c>
      <c r="C47" s="173" t="inlineStr">
        <is>
          <t>Hazards &amp; Resilience</t>
        </is>
      </c>
      <c r="D47" s="159" t="n">
        <v>0</v>
      </c>
      <c r="E47" s="181" t="inlineStr">
        <is>
          <t>Not rated</t>
        </is>
      </c>
      <c r="F47" s="161" t="inlineStr">
        <is>
          <t>To review</t>
        </is>
      </c>
      <c r="G47" s="162" t="n"/>
      <c r="H47" s="163" t="n"/>
      <c r="I47" s="164" t="n"/>
      <c r="J47" s="164" t="inlineStr">
        <is>
          <t>Vietnam.vn</t>
        </is>
      </c>
      <c r="K47" s="165" t="n">
        <v>46319</v>
      </c>
      <c r="L47" s="164" t="n"/>
      <c r="M47" s="166" t="n"/>
      <c r="N47" s="167" t="inlineStr">
        <is>
          <t>Spain</t>
        </is>
      </c>
      <c r="O47" s="165" t="n">
        <v>46318</v>
      </c>
      <c r="P47" s="168" t="inlineStr">
        <is>
          <t>2026-Q4</t>
        </is>
      </c>
      <c r="Q47" s="169" t="inlineStr">
        <is>
          <t>landslide</t>
        </is>
      </c>
      <c r="R47" s="156" t="n">
        <v>10</v>
      </c>
      <c r="S47" s="170" t="inlineStr">
        <is>
          <t>https://news.google.com/rss/articles/CBMihAFBVV95cUxQUFZscGhhODY1T1RZQTFGVkFENTNOUkhjeVlQUkNWNHFYUWVnT0I3RUd0WVNEa3gyTG1hVGpLNHl0TUJWUnhoc2JPNFY5X1l0VldjV2wxUVdZNzB5THF1TktuR0ZvMS1KRWNHbEpzYkV0Y2hJQ1p5Q182eW5RazVJdmdRY3g?oc=5</t>
        </is>
      </c>
      <c r="T47" s="171">
        <f>IF($B47="",0,IF(AND(OR(OR(Dashboard!$B$5="All themes",Dashboard!$B$5=""),$C47=Dashboard!$B$5),OR(OR(Dashboard!$G$5="All uses",Dashboard!$G$5=""),$E47=Dashboard!$G$5),N($D47)&gt;=Lists!$H$2,OR(OR(Dashboard!$N$5="All windows",Dashboard!$N$5=""),$P47=Dashboard!$N$5)),1,0))</f>
        <v/>
      </c>
      <c r="U47" s="172">
        <f>IF($T47=1,N($D47)*1E14+MIN(MAX(N($R47),0),9999)*1E10+MIN(N($K47),99999)*1E5+99999-MIN(ROW(),99999),"")</f>
        <v/>
      </c>
    </row>
    <row r="48" ht="28" customHeight="1">
      <c r="A48" s="156" t="n">
        <v>45</v>
      </c>
      <c r="B48" s="157" t="inlineStr">
        <is>
          <t>Limpieza tras deslizamiento habilitó la vía Riobamba–Cebadas</t>
        </is>
      </c>
      <c r="C48" s="173" t="inlineStr">
        <is>
          <t>Hazards &amp; Resilience</t>
        </is>
      </c>
      <c r="D48" s="159" t="n">
        <v>0</v>
      </c>
      <c r="E48" s="181" t="inlineStr">
        <is>
          <t>Not rated</t>
        </is>
      </c>
      <c r="F48" s="161" t="inlineStr">
        <is>
          <t>To review</t>
        </is>
      </c>
      <c r="G48" s="162" t="n"/>
      <c r="H48" s="163" t="n"/>
      <c r="I48" s="164" t="n"/>
      <c r="J48" s="164" t="inlineStr">
        <is>
          <t>diariolosandes.com.ec</t>
        </is>
      </c>
      <c r="K48" s="165" t="n">
        <v>46319</v>
      </c>
      <c r="L48" s="164" t="n"/>
      <c r="M48" s="166" t="n"/>
      <c r="N48" s="167" t="inlineStr">
        <is>
          <t>Spain</t>
        </is>
      </c>
      <c r="O48" s="165" t="n">
        <v>46319</v>
      </c>
      <c r="P48" s="168" t="inlineStr">
        <is>
          <t>2026-Q4</t>
        </is>
      </c>
      <c r="Q48" s="169" t="inlineStr">
        <is>
          <t>landslide</t>
        </is>
      </c>
      <c r="R48" s="156" t="n">
        <v>10</v>
      </c>
      <c r="S48" s="170" t="inlineStr">
        <is>
          <t>https://news.google.com/rss/articles/CBMilgFBVV95cUxNM3FIOHc3U3lWZHdqZE9hMG02Zk1yZEYyeUs3Mi1WT3B3c1FOM1AtSzBKWnJGVzRTNUtOb0p3X2E5YWJ3MkREZ0s0SUFHUHJtdmc5bHUtSmhhQ1Vkb2hhNUpPd3R1UkdvX0d1NzRHQ092NjN0Z3hiSmhPdHFHYXF5cnZEamJxVC00M281SGtRWW1yRnU4Znc?oc=5</t>
        </is>
      </c>
      <c r="T48" s="171">
        <f>IF($B48="",0,IF(AND(OR(OR(Dashboard!$B$5="All themes",Dashboard!$B$5=""),$C48=Dashboard!$B$5),OR(OR(Dashboard!$G$5="All uses",Dashboard!$G$5=""),$E48=Dashboard!$G$5),N($D48)&gt;=Lists!$H$2,OR(OR(Dashboard!$N$5="All windows",Dashboard!$N$5=""),$P48=Dashboard!$N$5)),1,0))</f>
        <v/>
      </c>
      <c r="U48" s="172">
        <f>IF($T48=1,N($D48)*1E14+MIN(MAX(N($R48),0),9999)*1E10+MIN(N($K48),99999)*1E5+99999-MIN(ROW(),99999),"")</f>
        <v/>
      </c>
    </row>
    <row r="49" ht="40.5" customHeight="1">
      <c r="A49" s="156" t="n">
        <v>46</v>
      </c>
      <c r="B49" s="157" t="inlineStr">
        <is>
          <t>Emergencia en Moniquirá, Boyacá, por deslizamiento de tierra en la vereda de Pajales tras fuertes lluvias: se reportan tres casas afectadas</t>
        </is>
      </c>
      <c r="C49" s="173" t="inlineStr">
        <is>
          <t>Hazards &amp; Resilience</t>
        </is>
      </c>
      <c r="D49" s="159" t="n">
        <v>0</v>
      </c>
      <c r="E49" s="181" t="inlineStr">
        <is>
          <t>Not rated</t>
        </is>
      </c>
      <c r="F49" s="161" t="inlineStr">
        <is>
          <t>To review</t>
        </is>
      </c>
      <c r="G49" s="162" t="n"/>
      <c r="H49" s="163" t="n"/>
      <c r="I49" s="164" t="n"/>
      <c r="J49" s="164" t="inlineStr">
        <is>
          <t>El Tiempo</t>
        </is>
      </c>
      <c r="K49" s="165" t="n">
        <v>46319</v>
      </c>
      <c r="L49" s="164" t="n"/>
      <c r="M49" s="166" t="n"/>
      <c r="N49" s="167" t="inlineStr">
        <is>
          <t>Spain</t>
        </is>
      </c>
      <c r="O49" s="165" t="n">
        <v>46318</v>
      </c>
      <c r="P49" s="168" t="inlineStr">
        <is>
          <t>2026-Q4</t>
        </is>
      </c>
      <c r="Q49" s="169" t="inlineStr">
        <is>
          <t>landslide</t>
        </is>
      </c>
      <c r="R49" s="156" t="n">
        <v>10</v>
      </c>
      <c r="S49" s="170"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49" s="171">
        <f>IF($B49="",0,IF(AND(OR(OR(Dashboard!$B$5="All themes",Dashboard!$B$5=""),$C49=Dashboard!$B$5),OR(OR(Dashboard!$G$5="All uses",Dashboard!$G$5=""),$E49=Dashboard!$G$5),N($D49)&gt;=Lists!$H$2,OR(OR(Dashboard!$N$5="All windows",Dashboard!$N$5=""),$P49=Dashboard!$N$5)),1,0))</f>
        <v/>
      </c>
      <c r="U49" s="172">
        <f>IF($T49=1,N($D49)*1E14+MIN(MAX(N($R49),0),9999)*1E10+MIN(N($K49),99999)*1E5+99999-MIN(ROW(),99999),"")</f>
        <v/>
      </c>
    </row>
    <row r="50" ht="28" customHeight="1">
      <c r="A50" s="156" t="n">
        <v>47</v>
      </c>
      <c r="B50" s="157" t="inlineStr">
        <is>
          <t>Deslizamiento de tierra en Pahuatlán</t>
        </is>
      </c>
      <c r="C50" s="173" t="inlineStr">
        <is>
          <t>Hazards &amp; Resilience</t>
        </is>
      </c>
      <c r="D50" s="159" t="n">
        <v>0</v>
      </c>
      <c r="E50" s="181" t="inlineStr">
        <is>
          <t>Not rated</t>
        </is>
      </c>
      <c r="F50" s="161" t="inlineStr">
        <is>
          <t>To review</t>
        </is>
      </c>
      <c r="G50" s="162" t="n"/>
      <c r="H50" s="163" t="n"/>
      <c r="I50" s="164" t="n"/>
      <c r="J50" s="164" t="inlineStr">
        <is>
          <t>Diario sin Secretos</t>
        </is>
      </c>
      <c r="K50" s="165" t="n">
        <v>46319</v>
      </c>
      <c r="L50" s="164" t="n"/>
      <c r="M50" s="166" t="n"/>
      <c r="N50" s="167" t="inlineStr">
        <is>
          <t>Spain</t>
        </is>
      </c>
      <c r="O50" s="165" t="n">
        <v>46319</v>
      </c>
      <c r="P50" s="168" t="inlineStr">
        <is>
          <t>2026-Q4</t>
        </is>
      </c>
      <c r="Q50" s="169" t="inlineStr">
        <is>
          <t>landslide</t>
        </is>
      </c>
      <c r="R50" s="156" t="n">
        <v>10</v>
      </c>
      <c r="S50" s="170"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50" s="171">
        <f>IF($B50="",0,IF(AND(OR(OR(Dashboard!$B$5="All themes",Dashboard!$B$5=""),$C50=Dashboard!$B$5),OR(OR(Dashboard!$G$5="All uses",Dashboard!$G$5=""),$E50=Dashboard!$G$5),N($D50)&gt;=Lists!$H$2,OR(OR(Dashboard!$N$5="All windows",Dashboard!$N$5=""),$P50=Dashboard!$N$5)),1,0))</f>
        <v/>
      </c>
      <c r="U50" s="172">
        <f>IF($T50=1,N($D50)*1E14+MIN(MAX(N($R50),0),9999)*1E10+MIN(N($K50),99999)*1E5+99999-MIN(ROW(),99999),"")</f>
        <v/>
      </c>
    </row>
    <row r="51" ht="40.5" customHeight="1">
      <c r="A51" s="156" t="n">
        <v>48</v>
      </c>
      <c r="B51" s="157" t="inlineStr">
        <is>
          <t>Calle intransitable por el barro: deslizamiento de tierra afecta a sector Juan Riquelme de Concepción</t>
        </is>
      </c>
      <c r="C51" s="173" t="inlineStr">
        <is>
          <t>Hazards &amp; Resilience</t>
        </is>
      </c>
      <c r="D51" s="159" t="n">
        <v>0</v>
      </c>
      <c r="E51" s="181" t="inlineStr">
        <is>
          <t>Not rated</t>
        </is>
      </c>
      <c r="F51" s="161" t="inlineStr">
        <is>
          <t>To review</t>
        </is>
      </c>
      <c r="G51" s="162" t="n"/>
      <c r="H51" s="163" t="n"/>
      <c r="I51" s="164" t="n"/>
      <c r="J51" s="164" t="inlineStr">
        <is>
          <t>BioBioChile</t>
        </is>
      </c>
      <c r="K51" s="165" t="n">
        <v>46319</v>
      </c>
      <c r="L51" s="164" t="n"/>
      <c r="M51" s="166" t="n"/>
      <c r="N51" s="167" t="inlineStr">
        <is>
          <t>Spain</t>
        </is>
      </c>
      <c r="O51" s="165" t="n">
        <v>46317</v>
      </c>
      <c r="P51" s="168" t="inlineStr">
        <is>
          <t>2026-Q4</t>
        </is>
      </c>
      <c r="Q51" s="169" t="inlineStr">
        <is>
          <t>landslide</t>
        </is>
      </c>
      <c r="R51" s="156" t="n">
        <v>10</v>
      </c>
      <c r="S51" s="170"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51" s="171">
        <f>IF($B51="",0,IF(AND(OR(OR(Dashboard!$B$5="All themes",Dashboard!$B$5=""),$C51=Dashboard!$B$5),OR(OR(Dashboard!$G$5="All uses",Dashboard!$G$5=""),$E51=Dashboard!$G$5),N($D51)&gt;=Lists!$H$2,OR(OR(Dashboard!$N$5="All windows",Dashboard!$N$5=""),$P51=Dashboard!$N$5)),1,0))</f>
        <v/>
      </c>
      <c r="U51" s="172">
        <f>IF($T51=1,N($D51)*1E14+MIN(MAX(N($R51),0),9999)*1E10+MIN(N($K51),99999)*1E5+99999-MIN(ROW(),99999),"")</f>
        <v/>
      </c>
    </row>
    <row r="52" ht="28" customHeight="1">
      <c r="A52" s="156" t="n">
        <v>49</v>
      </c>
      <c r="B52" s="157" t="inlineStr">
        <is>
          <t>Deslizamiento de Tierra Obliga al Cierre Total en Bonea</t>
        </is>
      </c>
      <c r="C52" s="173" t="inlineStr">
        <is>
          <t>Hazards &amp; Resilience</t>
        </is>
      </c>
      <c r="D52" s="159" t="n">
        <v>0</v>
      </c>
      <c r="E52" s="181" t="inlineStr">
        <is>
          <t>Not rated</t>
        </is>
      </c>
      <c r="F52" s="161" t="inlineStr">
        <is>
          <t>To review</t>
        </is>
      </c>
      <c r="G52" s="162" t="n"/>
      <c r="H52" s="163" t="n"/>
      <c r="I52" s="164" t="n"/>
      <c r="J52" s="164" t="inlineStr">
        <is>
          <t>Il Mattino</t>
        </is>
      </c>
      <c r="K52" s="165" t="n">
        <v>46319</v>
      </c>
      <c r="L52" s="164" t="n"/>
      <c r="M52" s="166" t="n"/>
      <c r="N52" s="167" t="inlineStr">
        <is>
          <t>Spain</t>
        </is>
      </c>
      <c r="O52" s="165" t="n">
        <v>46318</v>
      </c>
      <c r="P52" s="168" t="inlineStr">
        <is>
          <t>2026-Q4</t>
        </is>
      </c>
      <c r="Q52" s="169" t="inlineStr">
        <is>
          <t>landslide</t>
        </is>
      </c>
      <c r="R52" s="156" t="n">
        <v>10</v>
      </c>
      <c r="S52" s="170"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52" s="171">
        <f>IF($B52="",0,IF(AND(OR(OR(Dashboard!$B$5="All themes",Dashboard!$B$5=""),$C52=Dashboard!$B$5),OR(OR(Dashboard!$G$5="All uses",Dashboard!$G$5=""),$E52=Dashboard!$G$5),N($D52)&gt;=Lists!$H$2,OR(OR(Dashboard!$N$5="All windows",Dashboard!$N$5=""),$P52=Dashboard!$N$5)),1,0))</f>
        <v/>
      </c>
      <c r="U52" s="172">
        <f>IF($T52=1,N($D52)*1E14+MIN(MAX(N($R52),0),9999)*1E10+MIN(N($K52),99999)*1E5+99999-MIN(ROW(),99999),"")</f>
        <v/>
      </c>
    </row>
    <row r="53" ht="40.5" customHeight="1">
      <c r="A53" s="156" t="n">
        <v>50</v>
      </c>
      <c r="B53" s="157" t="inlineStr">
        <is>
          <t>Evalúan riesgos por deslizamiento de tierra en Lota y analizan apoyo habitacional para familias afectadas</t>
        </is>
      </c>
      <c r="C53" s="173" t="inlineStr">
        <is>
          <t>Hazards &amp; Resilience</t>
        </is>
      </c>
      <c r="D53" s="159" t="n">
        <v>0</v>
      </c>
      <c r="E53" s="181" t="inlineStr">
        <is>
          <t>Not rated</t>
        </is>
      </c>
      <c r="F53" s="161" t="inlineStr">
        <is>
          <t>To review</t>
        </is>
      </c>
      <c r="G53" s="162" t="n"/>
      <c r="H53" s="163" t="n"/>
      <c r="I53" s="164" t="n"/>
      <c r="J53" s="164" t="inlineStr">
        <is>
          <t>La Tribuna</t>
        </is>
      </c>
      <c r="K53" s="165" t="n">
        <v>46319</v>
      </c>
      <c r="L53" s="164" t="n"/>
      <c r="M53" s="166" t="n"/>
      <c r="N53" s="167" t="inlineStr">
        <is>
          <t>Spain</t>
        </is>
      </c>
      <c r="O53" s="165" t="n">
        <v>46318</v>
      </c>
      <c r="P53" s="168" t="inlineStr">
        <is>
          <t>2026-Q4</t>
        </is>
      </c>
      <c r="Q53" s="169" t="inlineStr">
        <is>
          <t>landslide</t>
        </is>
      </c>
      <c r="R53" s="156" t="n">
        <v>10</v>
      </c>
      <c r="S53" s="170"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53" s="171">
        <f>IF($B53="",0,IF(AND(OR(OR(Dashboard!$B$5="All themes",Dashboard!$B$5=""),$C53=Dashboard!$B$5),OR(OR(Dashboard!$G$5="All uses",Dashboard!$G$5=""),$E53=Dashboard!$G$5),N($D53)&gt;=Lists!$H$2,OR(OR(Dashboard!$N$5="All windows",Dashboard!$N$5=""),$P53=Dashboard!$N$5)),1,0))</f>
        <v/>
      </c>
      <c r="U53" s="172">
        <f>IF($T53=1,N($D53)*1E14+MIN(MAX(N($R53),0),9999)*1E10+MIN(N($K53),99999)*1E5+99999-MIN(ROW(),99999),"")</f>
        <v/>
      </c>
    </row>
    <row r="54" ht="28" customHeight="1">
      <c r="A54" s="156" t="n">
        <v>51</v>
      </c>
      <c r="B54" s="157" t="inlineStr">
        <is>
          <t>Deslizamiento de tierra cierra la vía Alóag–Santo Domingo en ambos sentidos</t>
        </is>
      </c>
      <c r="C54" s="173" t="inlineStr">
        <is>
          <t>Hazards &amp; Resilience</t>
        </is>
      </c>
      <c r="D54" s="159" t="n">
        <v>0</v>
      </c>
      <c r="E54" s="181" t="inlineStr">
        <is>
          <t>Not rated</t>
        </is>
      </c>
      <c r="F54" s="161" t="inlineStr">
        <is>
          <t>To review</t>
        </is>
      </c>
      <c r="G54" s="162" t="n"/>
      <c r="H54" s="163" t="n"/>
      <c r="I54" s="164" t="n"/>
      <c r="J54" s="164" t="inlineStr">
        <is>
          <t>Teleamazonas</t>
        </is>
      </c>
      <c r="K54" s="165" t="n">
        <v>46319</v>
      </c>
      <c r="L54" s="164" t="n"/>
      <c r="M54" s="166" t="n"/>
      <c r="N54" s="167" t="inlineStr">
        <is>
          <t>Spain</t>
        </is>
      </c>
      <c r="O54" s="165" t="n">
        <v>46318</v>
      </c>
      <c r="P54" s="168" t="inlineStr">
        <is>
          <t>2026-Q4</t>
        </is>
      </c>
      <c r="Q54" s="169" t="inlineStr">
        <is>
          <t>landslide</t>
        </is>
      </c>
      <c r="R54" s="156" t="n">
        <v>10</v>
      </c>
      <c r="S54" s="170"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54" s="171">
        <f>IF($B54="",0,IF(AND(OR(OR(Dashboard!$B$5="All themes",Dashboard!$B$5=""),$C54=Dashboard!$B$5),OR(OR(Dashboard!$G$5="All uses",Dashboard!$G$5=""),$E54=Dashboard!$G$5),N($D54)&gt;=Lists!$H$2,OR(OR(Dashboard!$N$5="All windows",Dashboard!$N$5=""),$P54=Dashboard!$N$5)),1,0))</f>
        <v/>
      </c>
      <c r="U54" s="172">
        <f>IF($T54=1,N($D54)*1E14+MIN(MAX(N($R54),0),9999)*1E10+MIN(N($K54),99999)*1E5+99999-MIN(ROW(),99999),"")</f>
        <v/>
      </c>
    </row>
    <row r="55" ht="40.5" customHeight="1">
      <c r="A55" s="156" t="n">
        <v>52</v>
      </c>
      <c r="B55" s="157" t="inlineStr">
        <is>
          <t>Deslizamiento de tierra en la vía Salinas-Lita moviliza maquinaria para habilitar el tránsito en Imbabura</t>
        </is>
      </c>
      <c r="C55" s="173" t="inlineStr">
        <is>
          <t>Hazards &amp; Resilience</t>
        </is>
      </c>
      <c r="D55" s="159" t="n">
        <v>0</v>
      </c>
      <c r="E55" s="181" t="inlineStr">
        <is>
          <t>Not rated</t>
        </is>
      </c>
      <c r="F55" s="161" t="inlineStr">
        <is>
          <t>To review</t>
        </is>
      </c>
      <c r="G55" s="162" t="n"/>
      <c r="H55" s="163" t="n"/>
      <c r="I55" s="164" t="n"/>
      <c r="J55" s="164" t="inlineStr">
        <is>
          <t>El Universo</t>
        </is>
      </c>
      <c r="K55" s="165" t="n">
        <v>46319</v>
      </c>
      <c r="L55" s="164" t="n"/>
      <c r="M55" s="166" t="n"/>
      <c r="N55" s="167" t="inlineStr">
        <is>
          <t>Spain</t>
        </is>
      </c>
      <c r="O55" s="165" t="n">
        <v>46317</v>
      </c>
      <c r="P55" s="168" t="inlineStr">
        <is>
          <t>2026-Q4</t>
        </is>
      </c>
      <c r="Q55" s="169" t="inlineStr">
        <is>
          <t>landslide</t>
        </is>
      </c>
      <c r="R55" s="156" t="n">
        <v>10</v>
      </c>
      <c r="S55" s="170"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55" s="171">
        <f>IF($B55="",0,IF(AND(OR(OR(Dashboard!$B$5="All themes",Dashboard!$B$5=""),$C55=Dashboard!$B$5),OR(OR(Dashboard!$G$5="All uses",Dashboard!$G$5=""),$E55=Dashboard!$G$5),N($D55)&gt;=Lists!$H$2,OR(OR(Dashboard!$N$5="All windows",Dashboard!$N$5=""),$P55=Dashboard!$N$5)),1,0))</f>
        <v/>
      </c>
      <c r="U55" s="172">
        <f>IF($T55=1,N($D55)*1E14+MIN(MAX(N($R55),0),9999)*1E10+MIN(N($K55),99999)*1E5+99999-MIN(ROW(),99999),"")</f>
        <v/>
      </c>
    </row>
    <row r="56" ht="28" customHeight="1">
      <c r="A56" s="156" t="n">
        <v>53</v>
      </c>
      <c r="B56" s="157" t="inlineStr">
        <is>
          <t>Ministerio de Salud mantiene vigilancia tras deslizamiento de tierra en zona minera de Remance</t>
        </is>
      </c>
      <c r="C56" s="173" t="inlineStr">
        <is>
          <t>Hazards &amp; Resilience</t>
        </is>
      </c>
      <c r="D56" s="159" t="n">
        <v>0</v>
      </c>
      <c r="E56" s="181" t="inlineStr">
        <is>
          <t>Not rated</t>
        </is>
      </c>
      <c r="F56" s="161" t="inlineStr">
        <is>
          <t>To review</t>
        </is>
      </c>
      <c r="G56" s="162" t="n"/>
      <c r="H56" s="163" t="n"/>
      <c r="I56" s="164" t="n"/>
      <c r="J56" s="164" t="inlineStr">
        <is>
          <t>Destino Panamá</t>
        </is>
      </c>
      <c r="K56" s="165" t="n">
        <v>46319</v>
      </c>
      <c r="L56" s="164" t="n"/>
      <c r="M56" s="166" t="n"/>
      <c r="N56" s="167" t="inlineStr">
        <is>
          <t>Spain</t>
        </is>
      </c>
      <c r="O56" s="165" t="n">
        <v>46319</v>
      </c>
      <c r="P56" s="168" t="inlineStr">
        <is>
          <t>2026-Q4</t>
        </is>
      </c>
      <c r="Q56" s="169" t="inlineStr">
        <is>
          <t>landslide</t>
        </is>
      </c>
      <c r="R56" s="156" t="n">
        <v>10</v>
      </c>
      <c r="S56" s="170"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56" s="171">
        <f>IF($B56="",0,IF(AND(OR(OR(Dashboard!$B$5="All themes",Dashboard!$B$5=""),$C56=Dashboard!$B$5),OR(OR(Dashboard!$G$5="All uses",Dashboard!$G$5=""),$E56=Dashboard!$G$5),N($D56)&gt;=Lists!$H$2,OR(OR(Dashboard!$N$5="All windows",Dashboard!$N$5=""),$P56=Dashboard!$N$5)),1,0))</f>
        <v/>
      </c>
      <c r="U56" s="172">
        <f>IF($T56=1,N($D56)*1E14+MIN(MAX(N($R56),0),9999)*1E10+MIN(N($K56),99999)*1E5+99999-MIN(ROW(),99999),"")</f>
        <v/>
      </c>
    </row>
    <row r="57" ht="53" customHeight="1">
      <c r="A57" s="156" t="n">
        <v>54</v>
      </c>
      <c r="B57" s="157" t="inlineStr">
        <is>
          <t>El 24 de octubre de 2026 se emitió una alerta por alto riesgo de inundaciones repentinas y deslizamientos de tierra en muchas zonas de Tuyen Quang.</t>
        </is>
      </c>
      <c r="C57" s="173" t="inlineStr">
        <is>
          <t>Hazards &amp; Resilience</t>
        </is>
      </c>
      <c r="D57" s="159" t="n">
        <v>0</v>
      </c>
      <c r="E57" s="181" t="inlineStr">
        <is>
          <t>Not rated</t>
        </is>
      </c>
      <c r="F57" s="161" t="inlineStr">
        <is>
          <t>To review</t>
        </is>
      </c>
      <c r="G57" s="162" t="n"/>
      <c r="H57" s="163" t="n"/>
      <c r="I57" s="164" t="n"/>
      <c r="J57" s="164" t="inlineStr">
        <is>
          <t>Vietnam.vn</t>
        </is>
      </c>
      <c r="K57" s="165" t="n">
        <v>46319</v>
      </c>
      <c r="L57" s="164" t="n"/>
      <c r="M57" s="166" t="n"/>
      <c r="N57" s="167" t="inlineStr">
        <is>
          <t>Spain</t>
        </is>
      </c>
      <c r="O57" s="165" t="n">
        <v>46318</v>
      </c>
      <c r="P57" s="168" t="inlineStr">
        <is>
          <t>2026-Q4</t>
        </is>
      </c>
      <c r="Q57" s="169" t="inlineStr">
        <is>
          <t>landslide</t>
        </is>
      </c>
      <c r="R57" s="156" t="n">
        <v>10</v>
      </c>
      <c r="S57" s="170"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57" s="171">
        <f>IF($B57="",0,IF(AND(OR(OR(Dashboard!$B$5="All themes",Dashboard!$B$5=""),$C57=Dashboard!$B$5),OR(OR(Dashboard!$G$5="All uses",Dashboard!$G$5=""),$E57=Dashboard!$G$5),N($D57)&gt;=Lists!$H$2,OR(OR(Dashboard!$N$5="All windows",Dashboard!$N$5=""),$P57=Dashboard!$N$5)),1,0))</f>
        <v/>
      </c>
      <c r="U57" s="172">
        <f>IF($T57=1,N($D57)*1E14+MIN(MAX(N($R57),0),9999)*1E10+MIN(N($K57),99999)*1E5+99999-MIN(ROW(),99999),"")</f>
        <v/>
      </c>
    </row>
    <row r="58" ht="28" customHeight="1">
      <c r="A58" s="156" t="n">
        <v>55</v>
      </c>
      <c r="B58" s="157" t="inlineStr">
        <is>
          <t>Concepción: lluvias activan aluvión y deslizamiento de tierra en Juan Riquelme</t>
        </is>
      </c>
      <c r="C58" s="173" t="inlineStr">
        <is>
          <t>Hazards &amp; Resilience</t>
        </is>
      </c>
      <c r="D58" s="159" t="n">
        <v>0</v>
      </c>
      <c r="E58" s="181" t="inlineStr">
        <is>
          <t>Not rated</t>
        </is>
      </c>
      <c r="F58" s="161" t="inlineStr">
        <is>
          <t>To review</t>
        </is>
      </c>
      <c r="G58" s="162" t="n"/>
      <c r="H58" s="163" t="n"/>
      <c r="I58" s="164" t="n"/>
      <c r="J58" s="164" t="inlineStr">
        <is>
          <t>Diario Concepción</t>
        </is>
      </c>
      <c r="K58" s="165" t="n">
        <v>46319</v>
      </c>
      <c r="L58" s="164" t="n"/>
      <c r="M58" s="166" t="n"/>
      <c r="N58" s="167" t="inlineStr">
        <is>
          <t>Spain</t>
        </is>
      </c>
      <c r="O58" s="165" t="n">
        <v>46317</v>
      </c>
      <c r="P58" s="168" t="inlineStr">
        <is>
          <t>2026-Q4</t>
        </is>
      </c>
      <c r="Q58" s="169" t="inlineStr">
        <is>
          <t>landslide</t>
        </is>
      </c>
      <c r="R58" s="156" t="n">
        <v>10</v>
      </c>
      <c r="S58" s="170"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58" s="171">
        <f>IF($B58="",0,IF(AND(OR(OR(Dashboard!$B$5="All themes",Dashboard!$B$5=""),$C58=Dashboard!$B$5),OR(OR(Dashboard!$G$5="All uses",Dashboard!$G$5=""),$E58=Dashboard!$G$5),N($D58)&gt;=Lists!$H$2,OR(OR(Dashboard!$N$5="All windows",Dashboard!$N$5=""),$P58=Dashboard!$N$5)),1,0))</f>
        <v/>
      </c>
      <c r="U58" s="172">
        <f>IF($T58=1,N($D58)*1E14+MIN(MAX(N($R58),0),9999)*1E10+MIN(N($K58),99999)*1E5+99999-MIN(ROW(),99999),"")</f>
        <v/>
      </c>
    </row>
    <row r="59" ht="28" customHeight="1">
      <c r="A59" s="156" t="n">
        <v>56</v>
      </c>
      <c r="B59" s="157" t="inlineStr">
        <is>
          <t>Dos casas se derrumbaron debido a deslizamientos de tierra a lo largo del río Tien.</t>
        </is>
      </c>
      <c r="C59" s="173" t="inlineStr">
        <is>
          <t>Hazards &amp; Resilience</t>
        </is>
      </c>
      <c r="D59" s="159" t="n">
        <v>0</v>
      </c>
      <c r="E59" s="181" t="inlineStr">
        <is>
          <t>Not rated</t>
        </is>
      </c>
      <c r="F59" s="161" t="inlineStr">
        <is>
          <t>To review</t>
        </is>
      </c>
      <c r="G59" s="162" t="n"/>
      <c r="H59" s="163" t="n"/>
      <c r="I59" s="164" t="n"/>
      <c r="J59" s="164" t="inlineStr">
        <is>
          <t>Vietnam.vn</t>
        </is>
      </c>
      <c r="K59" s="165" t="n">
        <v>46319</v>
      </c>
      <c r="L59" s="164" t="n"/>
      <c r="M59" s="166" t="n"/>
      <c r="N59" s="167" t="inlineStr">
        <is>
          <t>Spain</t>
        </is>
      </c>
      <c r="O59" s="165" t="n">
        <v>46318</v>
      </c>
      <c r="P59" s="168" t="inlineStr">
        <is>
          <t>2026-Q4</t>
        </is>
      </c>
      <c r="Q59" s="169" t="inlineStr">
        <is>
          <t>landslide</t>
        </is>
      </c>
      <c r="R59" s="156" t="n">
        <v>10</v>
      </c>
      <c r="S59" s="170" t="inlineStr">
        <is>
          <t>https://news.google.com/rss/articles/CBMidkFVX3lxTE84VVFFQlV0aUphcXdiWV9ialR6R1QxbUZJNVotZUxQemZET2Zud0pVYnBJTkg1aV84bnBpTlp2UWEtUWd1SmVvZ2hzQi1oT1pMT3ZLc1VRYUZDTURjMW4tekk5VWg0NlNNMW43d0xON0FzX1NIVUE?oc=5</t>
        </is>
      </c>
      <c r="T59" s="171">
        <f>IF($B59="",0,IF(AND(OR(OR(Dashboard!$B$5="All themes",Dashboard!$B$5=""),$C59=Dashboard!$B$5),OR(OR(Dashboard!$G$5="All uses",Dashboard!$G$5=""),$E59=Dashboard!$G$5),N($D59)&gt;=Lists!$H$2,OR(OR(Dashboard!$N$5="All windows",Dashboard!$N$5=""),$P59=Dashboard!$N$5)),1,0))</f>
        <v/>
      </c>
      <c r="U59" s="172">
        <f>IF($T59=1,N($D59)*1E14+MIN(MAX(N($R59),0),9999)*1E10+MIN(N($K59),99999)*1E5+99999-MIN(ROW(),99999),"")</f>
        <v/>
      </c>
    </row>
    <row r="60" ht="40.5" customHeight="1">
      <c r="A60" s="156" t="n">
        <v>57</v>
      </c>
      <c r="B60" s="157" t="inlineStr">
        <is>
          <t>Nghe An: Se necesitan medidas urgentes para solucionar el deslizamiento de tierra en el terraplén a lo largo de la carretera costera.</t>
        </is>
      </c>
      <c r="C60" s="173" t="inlineStr">
        <is>
          <t>Hazards &amp; Resilience</t>
        </is>
      </c>
      <c r="D60" s="159" t="n">
        <v>0</v>
      </c>
      <c r="E60" s="181" t="inlineStr">
        <is>
          <t>Not rated</t>
        </is>
      </c>
      <c r="F60" s="161" t="inlineStr">
        <is>
          <t>To review</t>
        </is>
      </c>
      <c r="G60" s="162" t="n"/>
      <c r="H60" s="163" t="n"/>
      <c r="I60" s="164" t="n"/>
      <c r="J60" s="164" t="inlineStr">
        <is>
          <t>Vietnam.vn</t>
        </is>
      </c>
      <c r="K60" s="165" t="n">
        <v>46319</v>
      </c>
      <c r="L60" s="164" t="n"/>
      <c r="M60" s="166" t="n"/>
      <c r="N60" s="167" t="inlineStr">
        <is>
          <t>Spain</t>
        </is>
      </c>
      <c r="O60" s="165" t="n">
        <v>46318</v>
      </c>
      <c r="P60" s="168" t="inlineStr">
        <is>
          <t>2026-Q4</t>
        </is>
      </c>
      <c r="Q60" s="169" t="inlineStr">
        <is>
          <t>landslide, embankment</t>
        </is>
      </c>
      <c r="R60" s="156" t="n">
        <v>10</v>
      </c>
      <c r="S60" s="170" t="inlineStr">
        <is>
          <t>https://news.google.com/rss/articles/CBMilwFBVV95cUxNbnBkT0tac1d6MU00YWMxZnUtTnFyOUh0NnBKMURqMkxHZ1ROTjZacTBMZnBiWjFmSTl1ekpLRzFJSG5lY2xfbERlbmRZZV9EUzNHcVZ2Z2x4dFFXTkF2RHJwOU5UZ21aWEtORGJIVDdzUzFiYlRPZWkzS0RSZjZzaml1TWZBWWpXeC1kNUpSMEw4MlNmSnhj?oc=5</t>
        </is>
      </c>
      <c r="T60" s="171">
        <f>IF($B60="",0,IF(AND(OR(OR(Dashboard!$B$5="All themes",Dashboard!$B$5=""),$C60=Dashboard!$B$5),OR(OR(Dashboard!$G$5="All uses",Dashboard!$G$5=""),$E60=Dashboard!$G$5),N($D60)&gt;=Lists!$H$2,OR(OR(Dashboard!$N$5="All windows",Dashboard!$N$5=""),$P60=Dashboard!$N$5)),1,0))</f>
        <v/>
      </c>
      <c r="U60" s="172">
        <f>IF($T60=1,N($D60)*1E14+MIN(MAX(N($R60),0),9999)*1E10+MIN(N($K60),99999)*1E5+99999-MIN(ROW(),99999),"")</f>
        <v/>
      </c>
    </row>
    <row r="61" ht="40.5" customHeight="1">
      <c r="A61" s="156" t="n">
        <v>58</v>
      </c>
      <c r="B61" s="157" t="inlineStr">
        <is>
          <t>Concepción: deslizamiento de tierra afecta 2 viviendas y bloquea calle en Juan Riquelme por el barro</t>
        </is>
      </c>
      <c r="C61" s="173" t="inlineStr">
        <is>
          <t>Hazards &amp; Resilience</t>
        </is>
      </c>
      <c r="D61" s="159" t="n">
        <v>0</v>
      </c>
      <c r="E61" s="181" t="inlineStr">
        <is>
          <t>Not rated</t>
        </is>
      </c>
      <c r="F61" s="161" t="inlineStr">
        <is>
          <t>To review</t>
        </is>
      </c>
      <c r="G61" s="162" t="n"/>
      <c r="H61" s="163" t="n"/>
      <c r="I61" s="164" t="n"/>
      <c r="J61" s="164" t="inlineStr">
        <is>
          <t>Canal 9 Bío Bío Televisión</t>
        </is>
      </c>
      <c r="K61" s="165" t="n">
        <v>46319</v>
      </c>
      <c r="L61" s="164" t="n"/>
      <c r="M61" s="166" t="n"/>
      <c r="N61" s="167" t="inlineStr">
        <is>
          <t>Spain</t>
        </is>
      </c>
      <c r="O61" s="165" t="n">
        <v>46318</v>
      </c>
      <c r="P61" s="168" t="inlineStr">
        <is>
          <t>2026-Q4</t>
        </is>
      </c>
      <c r="Q61" s="169" t="inlineStr">
        <is>
          <t>landslide</t>
        </is>
      </c>
      <c r="R61" s="156" t="n">
        <v>10</v>
      </c>
      <c r="S61" s="170"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61" s="171">
        <f>IF($B61="",0,IF(AND(OR(OR(Dashboard!$B$5="All themes",Dashboard!$B$5=""),$C61=Dashboard!$B$5),OR(OR(Dashboard!$G$5="All uses",Dashboard!$G$5=""),$E61=Dashboard!$G$5),N($D61)&gt;=Lists!$H$2,OR(OR(Dashboard!$N$5="All windows",Dashboard!$N$5=""),$P61=Dashboard!$N$5)),1,0))</f>
        <v/>
      </c>
      <c r="U61" s="172">
        <f>IF($T61=1,N($D61)*1E14+MIN(MAX(N($R61),0),9999)*1E10+MIN(N($K61),99999)*1E5+99999-MIN(ROW(),99999),"")</f>
        <v/>
      </c>
    </row>
    <row r="62" ht="28" customHeight="1">
      <c r="A62" s="156" t="n">
        <v>59</v>
      </c>
      <c r="B62" s="157" t="inlineStr">
        <is>
          <t>Arcata comprará el parcela del barranco y comenzará la reparación de deslizamientos</t>
        </is>
      </c>
      <c r="C62" s="173" t="inlineStr">
        <is>
          <t>Hazards &amp; Resilience</t>
        </is>
      </c>
      <c r="D62" s="159" t="n">
        <v>0</v>
      </c>
      <c r="E62" s="181" t="inlineStr">
        <is>
          <t>Not rated</t>
        </is>
      </c>
      <c r="F62" s="161" t="inlineStr">
        <is>
          <t>To review</t>
        </is>
      </c>
      <c r="G62" s="162" t="n"/>
      <c r="H62" s="163" t="n"/>
      <c r="I62" s="164" t="n"/>
      <c r="J62" s="164" t="inlineStr">
        <is>
          <t>Lost Coast Outpost</t>
        </is>
      </c>
      <c r="K62" s="165" t="n">
        <v>46319</v>
      </c>
      <c r="L62" s="164" t="n"/>
      <c r="M62" s="166" t="n"/>
      <c r="N62" s="167" t="inlineStr">
        <is>
          <t>Spain</t>
        </is>
      </c>
      <c r="O62" s="165" t="n">
        <v>46317</v>
      </c>
      <c r="P62" s="168" t="inlineStr">
        <is>
          <t>2026-Q4</t>
        </is>
      </c>
      <c r="Q62" s="169" t="inlineStr">
        <is>
          <t>landslide</t>
        </is>
      </c>
      <c r="R62" s="156" t="n">
        <v>10</v>
      </c>
      <c r="S62" s="170"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62" s="171">
        <f>IF($B62="",0,IF(AND(OR(OR(Dashboard!$B$5="All themes",Dashboard!$B$5=""),$C62=Dashboard!$B$5),OR(OR(Dashboard!$G$5="All uses",Dashboard!$G$5=""),$E62=Dashboard!$G$5),N($D62)&gt;=Lists!$H$2,OR(OR(Dashboard!$N$5="All windows",Dashboard!$N$5=""),$P62=Dashboard!$N$5)),1,0))</f>
        <v/>
      </c>
      <c r="U62" s="172">
        <f>IF($T62=1,N($D62)*1E14+MIN(MAX(N($R62),0),9999)*1E10+MIN(N($K62),99999)*1E5+99999-MIN(ROW(),99999),"")</f>
        <v/>
      </c>
    </row>
    <row r="63" ht="28" customHeight="1">
      <c r="A63" s="156" t="n">
        <v>60</v>
      </c>
      <c r="B63" s="157" t="inlineStr">
        <is>
          <t>Auto y viviendas afectadas tras deslizamiento de tierra en Concepción</t>
        </is>
      </c>
      <c r="C63" s="173" t="inlineStr">
        <is>
          <t>Hazards &amp; Resilience</t>
        </is>
      </c>
      <c r="D63" s="159" t="n">
        <v>0</v>
      </c>
      <c r="E63" s="181" t="inlineStr">
        <is>
          <t>Not rated</t>
        </is>
      </c>
      <c r="F63" s="161" t="inlineStr">
        <is>
          <t>To review</t>
        </is>
      </c>
      <c r="G63" s="162" t="n"/>
      <c r="H63" s="163" t="n"/>
      <c r="I63" s="164" t="n"/>
      <c r="J63" s="164" t="inlineStr">
        <is>
          <t>Meganoticias</t>
        </is>
      </c>
      <c r="K63" s="165" t="n">
        <v>46319</v>
      </c>
      <c r="L63" s="164" t="n"/>
      <c r="M63" s="166" t="n"/>
      <c r="N63" s="167" t="inlineStr">
        <is>
          <t>Spain</t>
        </is>
      </c>
      <c r="O63" s="165" t="n">
        <v>46317</v>
      </c>
      <c r="P63" s="168" t="inlineStr">
        <is>
          <t>2026-Q4</t>
        </is>
      </c>
      <c r="Q63" s="169" t="inlineStr">
        <is>
          <t>landslide</t>
        </is>
      </c>
      <c r="R63" s="156" t="n">
        <v>10</v>
      </c>
      <c r="S63" s="170"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63" s="171">
        <f>IF($B63="",0,IF(AND(OR(OR(Dashboard!$B$5="All themes",Dashboard!$B$5=""),$C63=Dashboard!$B$5),OR(OR(Dashboard!$G$5="All uses",Dashboard!$G$5=""),$E63=Dashboard!$G$5),N($D63)&gt;=Lists!$H$2,OR(OR(Dashboard!$N$5="All windows",Dashboard!$N$5=""),$P63=Dashboard!$N$5)),1,0))</f>
        <v/>
      </c>
      <c r="U63" s="172">
        <f>IF($T63=1,N($D63)*1E14+MIN(MAX(N($R63),0),9999)*1E10+MIN(N($K63),99999)*1E5+99999-MIN(ROW(),99999),"")</f>
        <v/>
      </c>
    </row>
    <row r="64" ht="28" customHeight="1">
      <c r="A64" s="156" t="n">
        <v>61</v>
      </c>
      <c r="B64" s="157" t="inlineStr">
        <is>
          <t>En peligro vecinos del bulevar Felipe J. Mery por deslizamiento de tierra</t>
        </is>
      </c>
      <c r="C64" s="173" t="inlineStr">
        <is>
          <t>Hazards &amp; Resilience</t>
        </is>
      </c>
      <c r="D64" s="159" t="n">
        <v>0</v>
      </c>
      <c r="E64" s="181" t="inlineStr">
        <is>
          <t>Not rated</t>
        </is>
      </c>
      <c r="F64" s="161" t="inlineStr">
        <is>
          <t>To review</t>
        </is>
      </c>
      <c r="G64" s="162" t="n"/>
      <c r="H64" s="163" t="n"/>
      <c r="I64" s="164" t="n"/>
      <c r="J64" s="164" t="inlineStr">
        <is>
          <t>RCG Media</t>
        </is>
      </c>
      <c r="K64" s="165" t="n">
        <v>46319</v>
      </c>
      <c r="L64" s="164" t="n"/>
      <c r="M64" s="166" t="n"/>
      <c r="N64" s="167" t="inlineStr">
        <is>
          <t>Spain</t>
        </is>
      </c>
      <c r="O64" s="165" t="n">
        <v>46317</v>
      </c>
      <c r="P64" s="168" t="inlineStr">
        <is>
          <t>2026-Q4</t>
        </is>
      </c>
      <c r="Q64" s="169" t="inlineStr">
        <is>
          <t>landslide</t>
        </is>
      </c>
      <c r="R64" s="156" t="n">
        <v>10</v>
      </c>
      <c r="S64" s="170" t="inlineStr">
        <is>
          <t>https://news.google.com/rss/articles/CBMimAFBVV95cUxPRFQtX3h0cGFSQzBKaXdIWm1BTVhQaWVCdUdOYU5JazZfZ0RaU2xOTnJ4ZFZGY216NkVGcjJGNGkwMlR3LW9yN2ZDZllFd25zT1EwRGFqZzhIcTk5c1lvX1lpczN6ZVRsWHlHbXhEd3hBdWl5eVhod2wzcC1KS1hSbktvZDkzWEVkbVlxV3E2UXJ3TUFiTkM4Uw?oc=5</t>
        </is>
      </c>
      <c r="T64" s="171">
        <f>IF($B64="",0,IF(AND(OR(OR(Dashboard!$B$5="All themes",Dashboard!$B$5=""),$C64=Dashboard!$B$5),OR(OR(Dashboard!$G$5="All uses",Dashboard!$G$5=""),$E64=Dashboard!$G$5),N($D64)&gt;=Lists!$H$2,OR(OR(Dashboard!$N$5="All windows",Dashboard!$N$5=""),$P64=Dashboard!$N$5)),1,0))</f>
        <v/>
      </c>
      <c r="U64" s="172">
        <f>IF($T64=1,N($D64)*1E14+MIN(MAX(N($R64),0),9999)*1E10+MIN(N($K64),99999)*1E5+99999-MIN(ROW(),99999),"")</f>
        <v/>
      </c>
    </row>
    <row r="65" ht="28" customHeight="1">
      <c r="A65" s="156" t="n">
        <v>62</v>
      </c>
      <c r="B65" s="157" t="inlineStr">
        <is>
          <t>Un terraplén de prevención de deslizamientos de tierra "amenaza" una zona residencial.</t>
        </is>
      </c>
      <c r="C65" s="173" t="inlineStr">
        <is>
          <t>Hazards &amp; Resilience</t>
        </is>
      </c>
      <c r="D65" s="159" t="n">
        <v>0</v>
      </c>
      <c r="E65" s="181" t="inlineStr">
        <is>
          <t>Not rated</t>
        </is>
      </c>
      <c r="F65" s="161" t="inlineStr">
        <is>
          <t>To review</t>
        </is>
      </c>
      <c r="G65" s="162" t="n"/>
      <c r="H65" s="163" t="n"/>
      <c r="I65" s="164" t="n"/>
      <c r="J65" s="164" t="inlineStr">
        <is>
          <t>Vietnam.vn</t>
        </is>
      </c>
      <c r="K65" s="165" t="n">
        <v>46319</v>
      </c>
      <c r="L65" s="164" t="n"/>
      <c r="M65" s="166" t="n"/>
      <c r="N65" s="167" t="inlineStr">
        <is>
          <t>Spain</t>
        </is>
      </c>
      <c r="O65" s="165" t="n">
        <v>46318</v>
      </c>
      <c r="P65" s="168" t="inlineStr">
        <is>
          <t>2026-Q4</t>
        </is>
      </c>
      <c r="Q65" s="169" t="inlineStr">
        <is>
          <t>landslide, embankment</t>
        </is>
      </c>
      <c r="R65" s="156" t="n">
        <v>10</v>
      </c>
      <c r="S65" s="170" t="inlineStr">
        <is>
          <t>https://news.google.com/rss/articles/CBMia0FVX3lxTFBhQnpoWXBvOW5TR2Y5UlgyaXhiVmxlTDFDYVN1b1VfMzRhQkRJVjl3ZzcxMEJNOF9yOTBFT1VIaXJFaGdudzJHb2JTUnpXZzJvX2hjY2VYdUUzLUZvbzF3ekpBOS16b3U2aU53?oc=5</t>
        </is>
      </c>
      <c r="T65" s="171">
        <f>IF($B65="",0,IF(AND(OR(OR(Dashboard!$B$5="All themes",Dashboard!$B$5=""),$C65=Dashboard!$B$5),OR(OR(Dashboard!$G$5="All uses",Dashboard!$G$5=""),$E65=Dashboard!$G$5),N($D65)&gt;=Lists!$H$2,OR(OR(Dashboard!$N$5="All windows",Dashboard!$N$5=""),$P65=Dashboard!$N$5)),1,0))</f>
        <v/>
      </c>
      <c r="U65" s="172">
        <f>IF($T65=1,N($D65)*1E14+MIN(MAX(N($R65),0),9999)*1E10+MIN(N($K65),99999)*1E5+99999-MIN(ROW(),99999),"")</f>
        <v/>
      </c>
    </row>
    <row r="66" ht="40.5" customHeight="1">
      <c r="A66" s="156" t="n">
        <v>63</v>
      </c>
      <c r="B66" s="157" t="inlineStr">
        <is>
          <t>Fuertes lluvias provocan deslizamientos en Moniquirá: en la vereda Pajales la tierra se abrió en dos</t>
        </is>
      </c>
      <c r="C66" s="173" t="inlineStr">
        <is>
          <t>Hazards &amp; Resilience</t>
        </is>
      </c>
      <c r="D66" s="159" t="n">
        <v>0</v>
      </c>
      <c r="E66" s="181" t="inlineStr">
        <is>
          <t>Not rated</t>
        </is>
      </c>
      <c r="F66" s="161" t="inlineStr">
        <is>
          <t>To review</t>
        </is>
      </c>
      <c r="G66" s="162" t="n"/>
      <c r="H66" s="163" t="n"/>
      <c r="I66" s="164" t="n"/>
      <c r="J66" s="164" t="inlineStr">
        <is>
          <t>Revista Semana</t>
        </is>
      </c>
      <c r="K66" s="165" t="n">
        <v>46319</v>
      </c>
      <c r="L66" s="164" t="n"/>
      <c r="M66" s="166" t="n"/>
      <c r="N66" s="167" t="inlineStr">
        <is>
          <t>Spain</t>
        </is>
      </c>
      <c r="O66" s="165" t="n">
        <v>46318</v>
      </c>
      <c r="P66" s="168" t="inlineStr">
        <is>
          <t>2026-Q4</t>
        </is>
      </c>
      <c r="Q66" s="169" t="inlineStr">
        <is>
          <t>landslide</t>
        </is>
      </c>
      <c r="R66" s="156" t="n">
        <v>10</v>
      </c>
      <c r="S66" s="170"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66" s="171">
        <f>IF($B66="",0,IF(AND(OR(OR(Dashboard!$B$5="All themes",Dashboard!$B$5=""),$C66=Dashboard!$B$5),OR(OR(Dashboard!$G$5="All uses",Dashboard!$G$5=""),$E66=Dashboard!$G$5),N($D66)&gt;=Lists!$H$2,OR(OR(Dashboard!$N$5="All windows",Dashboard!$N$5=""),$P66=Dashboard!$N$5)),1,0))</f>
        <v/>
      </c>
      <c r="U66" s="172">
        <f>IF($T66=1,N($D66)*1E14+MIN(MAX(N($R66),0),9999)*1E10+MIN(N($K66),99999)*1E5+99999-MIN(ROW(),99999),"")</f>
        <v/>
      </c>
    </row>
    <row r="67" ht="28" customHeight="1">
      <c r="A67" s="156" t="n">
        <v>64</v>
      </c>
      <c r="B67" s="157" t="inlineStr">
        <is>
          <t>Alcaldía de Villavicencio adecua paso peatonal provisional tras deslizamiento en Buenavista</t>
        </is>
      </c>
      <c r="C67" s="173" t="inlineStr">
        <is>
          <t>Hazards &amp; Resilience</t>
        </is>
      </c>
      <c r="D67" s="159" t="n">
        <v>0</v>
      </c>
      <c r="E67" s="181" t="inlineStr">
        <is>
          <t>Not rated</t>
        </is>
      </c>
      <c r="F67" s="161" t="inlineStr">
        <is>
          <t>To review</t>
        </is>
      </c>
      <c r="G67" s="162" t="n"/>
      <c r="H67" s="163" t="n"/>
      <c r="I67" s="164" t="n"/>
      <c r="J67" s="164" t="inlineStr">
        <is>
          <t>Periódico del Meta</t>
        </is>
      </c>
      <c r="K67" s="165" t="n">
        <v>46319</v>
      </c>
      <c r="L67" s="164" t="n"/>
      <c r="M67" s="166" t="n"/>
      <c r="N67" s="167" t="inlineStr">
        <is>
          <t>Spain</t>
        </is>
      </c>
      <c r="O67" s="165" t="n">
        <v>46318</v>
      </c>
      <c r="P67" s="168" t="inlineStr">
        <is>
          <t>2026-Q4</t>
        </is>
      </c>
      <c r="Q67" s="169" t="inlineStr">
        <is>
          <t>landslide</t>
        </is>
      </c>
      <c r="R67" s="156" t="n">
        <v>10</v>
      </c>
      <c r="S67" s="170"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67" s="171">
        <f>IF($B67="",0,IF(AND(OR(OR(Dashboard!$B$5="All themes",Dashboard!$B$5=""),$C67=Dashboard!$B$5),OR(OR(Dashboard!$G$5="All uses",Dashboard!$G$5=""),$E67=Dashboard!$G$5),N($D67)&gt;=Lists!$H$2,OR(OR(Dashboard!$N$5="All windows",Dashboard!$N$5=""),$P67=Dashboard!$N$5)),1,0))</f>
        <v/>
      </c>
      <c r="U67" s="172">
        <f>IF($T67=1,N($D67)*1E14+MIN(MAX(N($R67),0),9999)*1E10+MIN(N($K67),99999)*1E5+99999-MIN(ROW(),99999),"")</f>
        <v/>
      </c>
    </row>
    <row r="68" ht="28" customHeight="1">
      <c r="A68" s="156" t="n">
        <v>65</v>
      </c>
      <c r="B68" s="157" t="inlineStr">
        <is>
          <t>Advierten por Posible Deslizamiento en el Bulevar Mar de Cortés en Tijuana, BC</t>
        </is>
      </c>
      <c r="C68" s="173" t="inlineStr">
        <is>
          <t>Hazards &amp; Resilience</t>
        </is>
      </c>
      <c r="D68" s="159" t="n">
        <v>0</v>
      </c>
      <c r="E68" s="181" t="inlineStr">
        <is>
          <t>Not rated</t>
        </is>
      </c>
      <c r="F68" s="161" t="inlineStr">
        <is>
          <t>To review</t>
        </is>
      </c>
      <c r="G68" s="162" t="n"/>
      <c r="H68" s="163" t="n"/>
      <c r="I68" s="164" t="n"/>
      <c r="J68" s="164" t="inlineStr">
        <is>
          <t>N+</t>
        </is>
      </c>
      <c r="K68" s="165" t="n">
        <v>46319</v>
      </c>
      <c r="L68" s="164" t="n"/>
      <c r="M68" s="166" t="n"/>
      <c r="N68" s="167" t="inlineStr">
        <is>
          <t>Spain</t>
        </is>
      </c>
      <c r="O68" s="165" t="n">
        <v>46318</v>
      </c>
      <c r="P68" s="168" t="inlineStr">
        <is>
          <t>2026-Q4</t>
        </is>
      </c>
      <c r="Q68" s="169" t="inlineStr">
        <is>
          <t>landslide</t>
        </is>
      </c>
      <c r="R68" s="156" t="n">
        <v>10</v>
      </c>
      <c r="S68" s="170"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68" s="171">
        <f>IF($B68="",0,IF(AND(OR(OR(Dashboard!$B$5="All themes",Dashboard!$B$5=""),$C68=Dashboard!$B$5),OR(OR(Dashboard!$G$5="All uses",Dashboard!$G$5=""),$E68=Dashboard!$G$5),N($D68)&gt;=Lists!$H$2,OR(OR(Dashboard!$N$5="All windows",Dashboard!$N$5=""),$P68=Dashboard!$N$5)),1,0))</f>
        <v/>
      </c>
      <c r="U68" s="172">
        <f>IF($T68=1,N($D68)*1E14+MIN(MAX(N($R68),0),9999)*1E10+MIN(N($K68),99999)*1E5+99999-MIN(ROW(),99999),"")</f>
        <v/>
      </c>
    </row>
    <row r="69" ht="28" customHeight="1">
      <c r="A69" s="156" t="n">
        <v>66</v>
      </c>
      <c r="B69" s="157" t="inlineStr">
        <is>
          <t>Grave deslizamiento de tierra en el sur de Chiayi.</t>
        </is>
      </c>
      <c r="C69" s="173" t="inlineStr">
        <is>
          <t>Hazards &amp; Resilience</t>
        </is>
      </c>
      <c r="D69" s="159" t="n">
        <v>0</v>
      </c>
      <c r="E69" s="181" t="inlineStr">
        <is>
          <t>Not rated</t>
        </is>
      </c>
      <c r="F69" s="161" t="inlineStr">
        <is>
          <t>To review</t>
        </is>
      </c>
      <c r="G69" s="162" t="n"/>
      <c r="H69" s="163" t="n"/>
      <c r="I69" s="164" t="n"/>
      <c r="J69" s="164" t="inlineStr">
        <is>
          <t>Vietnam.vn</t>
        </is>
      </c>
      <c r="K69" s="165" t="n">
        <v>46319</v>
      </c>
      <c r="L69" s="164" t="n"/>
      <c r="M69" s="166" t="n"/>
      <c r="N69" s="167" t="inlineStr">
        <is>
          <t>Spain</t>
        </is>
      </c>
      <c r="O69" s="165" t="n">
        <v>46317</v>
      </c>
      <c r="P69" s="168" t="inlineStr">
        <is>
          <t>2026-Q4</t>
        </is>
      </c>
      <c r="Q69" s="169" t="inlineStr">
        <is>
          <t>landslide</t>
        </is>
      </c>
      <c r="R69" s="156" t="n">
        <v>10</v>
      </c>
      <c r="S69" s="170" t="inlineStr">
        <is>
          <t>https://news.google.com/rss/articles/CBMid0FVX3lxTE1KNGgxOW9WUG94TlRNX1lnMzVoZ3VXTGRDQVY5WU41YVdQNGJBUHBGWGplM0FtLWFENWFwVkp6cmJwdTdZOEJhTFd4RmxxSllTWDE0aWpYczZPZXpsaEp4UkZqMmVVMHU1U2hoeDZwMkVmal9iVUtn?oc=5</t>
        </is>
      </c>
      <c r="T69" s="171">
        <f>IF($B69="",0,IF(AND(OR(OR(Dashboard!$B$5="All themes",Dashboard!$B$5=""),$C69=Dashboard!$B$5),OR(OR(Dashboard!$G$5="All uses",Dashboard!$G$5=""),$E69=Dashboard!$G$5),N($D69)&gt;=Lists!$H$2,OR(OR(Dashboard!$N$5="All windows",Dashboard!$N$5=""),$P69=Dashboard!$N$5)),1,0))</f>
        <v/>
      </c>
      <c r="U69" s="172">
        <f>IF($T69=1,N($D69)*1E14+MIN(MAX(N($R69),0),9999)*1E10+MIN(N($K69),99999)*1E5+99999-MIN(ROW(),99999),"")</f>
        <v/>
      </c>
    </row>
    <row r="70" ht="28" customHeight="1">
      <c r="A70" s="156" t="n">
        <v>67</v>
      </c>
      <c r="B70" s="157" t="inlineStr">
        <is>
          <t>Deslizamiento en Muzo afecta colegio y deja sin clases a 120 estudiantes por las fuertes lluvias</t>
        </is>
      </c>
      <c r="C70" s="173" t="inlineStr">
        <is>
          <t>Hazards &amp; Resilience</t>
        </is>
      </c>
      <c r="D70" s="159" t="n">
        <v>0</v>
      </c>
      <c r="E70" s="181" t="inlineStr">
        <is>
          <t>Not rated</t>
        </is>
      </c>
      <c r="F70" s="161" t="inlineStr">
        <is>
          <t>To review</t>
        </is>
      </c>
      <c r="G70" s="162" t="n"/>
      <c r="H70" s="163" t="n"/>
      <c r="I70" s="164" t="n"/>
      <c r="J70" s="164" t="inlineStr">
        <is>
          <t>Caracol Radio</t>
        </is>
      </c>
      <c r="K70" s="165" t="n">
        <v>46319</v>
      </c>
      <c r="L70" s="164" t="n"/>
      <c r="M70" s="166" t="n"/>
      <c r="N70" s="167" t="inlineStr">
        <is>
          <t>Spain</t>
        </is>
      </c>
      <c r="O70" s="165" t="n">
        <v>46318</v>
      </c>
      <c r="P70" s="168" t="inlineStr">
        <is>
          <t>2026-Q4</t>
        </is>
      </c>
      <c r="Q70" s="169" t="inlineStr">
        <is>
          <t>landslide</t>
        </is>
      </c>
      <c r="R70" s="156" t="n">
        <v>10</v>
      </c>
      <c r="S70" s="170"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70" s="171">
        <f>IF($B70="",0,IF(AND(OR(OR(Dashboard!$B$5="All themes",Dashboard!$B$5=""),$C70=Dashboard!$B$5),OR(OR(Dashboard!$G$5="All uses",Dashboard!$G$5=""),$E70=Dashboard!$G$5),N($D70)&gt;=Lists!$H$2,OR(OR(Dashboard!$N$5="All windows",Dashboard!$N$5=""),$P70=Dashboard!$N$5)),1,0))</f>
        <v/>
      </c>
      <c r="U70" s="172">
        <f>IF($T70=1,N($D70)*1E14+MIN(MAX(N($R70),0),9999)*1E10+MIN(N($K70),99999)*1E5+99999-MIN(ROW(),99999),"")</f>
        <v/>
      </c>
    </row>
    <row r="71" ht="53" customHeight="1">
      <c r="A71" s="156" t="n">
        <v>68</v>
      </c>
      <c r="B71" s="157" t="inlineStr">
        <is>
          <t>Organismos de emergencia atendieron ayer varios deslizamientos en Manizales por las lluvias. 🔗 Encuentre el link de la noticia en el primer comentario 🗞️</t>
        </is>
      </c>
      <c r="C71" s="173" t="inlineStr">
        <is>
          <t>Hazards &amp; Resilience</t>
        </is>
      </c>
      <c r="D71" s="159" t="n">
        <v>0</v>
      </c>
      <c r="E71" s="181" t="inlineStr">
        <is>
          <t>Not rated</t>
        </is>
      </c>
      <c r="F71" s="161" t="inlineStr">
        <is>
          <t>To review</t>
        </is>
      </c>
      <c r="G71" s="162" t="n"/>
      <c r="H71" s="163" t="n"/>
      <c r="I71" s="164" t="n"/>
      <c r="J71" s="164" t="inlineStr">
        <is>
          <t>Facebook</t>
        </is>
      </c>
      <c r="K71" s="165" t="n">
        <v>46319</v>
      </c>
      <c r="L71" s="164" t="n"/>
      <c r="M71" s="166" t="n"/>
      <c r="N71" s="167" t="inlineStr">
        <is>
          <t>Spain</t>
        </is>
      </c>
      <c r="O71" s="165" t="n">
        <v>46317</v>
      </c>
      <c r="P71" s="168" t="inlineStr">
        <is>
          <t>2026-Q4</t>
        </is>
      </c>
      <c r="Q71" s="169" t="inlineStr">
        <is>
          <t>landslide</t>
        </is>
      </c>
      <c r="R71" s="156" t="n">
        <v>10</v>
      </c>
      <c r="S71" s="170"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71" s="171">
        <f>IF($B71="",0,IF(AND(OR(OR(Dashboard!$B$5="All themes",Dashboard!$B$5=""),$C71=Dashboard!$B$5),OR(OR(Dashboard!$G$5="All uses",Dashboard!$G$5=""),$E71=Dashboard!$G$5),N($D71)&gt;=Lists!$H$2,OR(OR(Dashboard!$N$5="All windows",Dashboard!$N$5=""),$P71=Dashboard!$N$5)),1,0))</f>
        <v/>
      </c>
      <c r="U71" s="172">
        <f>IF($T71=1,N($D71)*1E14+MIN(MAX(N($R71),0),9999)*1E10+MIN(N($K71),99999)*1E5+99999-MIN(ROW(),99999),"")</f>
        <v/>
      </c>
    </row>
    <row r="72" ht="28" customHeight="1">
      <c r="A72" s="156" t="n">
        <v>69</v>
      </c>
      <c r="B72" s="157" t="inlineStr">
        <is>
          <t>Fuertes lluvias provocan deslizamientos en Moniquirá, Boyacá</t>
        </is>
      </c>
      <c r="C72" s="173" t="inlineStr">
        <is>
          <t>Hazards &amp; Resilience</t>
        </is>
      </c>
      <c r="D72" s="159" t="n">
        <v>0</v>
      </c>
      <c r="E72" s="181" t="inlineStr">
        <is>
          <t>Not rated</t>
        </is>
      </c>
      <c r="F72" s="161" t="inlineStr">
        <is>
          <t>To review</t>
        </is>
      </c>
      <c r="G72" s="162" t="n"/>
      <c r="H72" s="163" t="n"/>
      <c r="I72" s="164" t="n"/>
      <c r="J72" s="164" t="inlineStr">
        <is>
          <t>Agencia de Periodismo Investigativo</t>
        </is>
      </c>
      <c r="K72" s="165" t="n">
        <v>46319</v>
      </c>
      <c r="L72" s="164" t="n"/>
      <c r="M72" s="166" t="n"/>
      <c r="N72" s="167" t="inlineStr">
        <is>
          <t>Spain</t>
        </is>
      </c>
      <c r="O72" s="165" t="n">
        <v>46318</v>
      </c>
      <c r="P72" s="168" t="inlineStr">
        <is>
          <t>2026-Q4</t>
        </is>
      </c>
      <c r="Q72" s="169" t="inlineStr">
        <is>
          <t>landslide</t>
        </is>
      </c>
      <c r="R72" s="156" t="n">
        <v>10</v>
      </c>
      <c r="S72" s="170"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72" s="171">
        <f>IF($B72="",0,IF(AND(OR(OR(Dashboard!$B$5="All themes",Dashboard!$B$5=""),$C72=Dashboard!$B$5),OR(OR(Dashboard!$G$5="All uses",Dashboard!$G$5=""),$E72=Dashboard!$G$5),N($D72)&gt;=Lists!$H$2,OR(OR(Dashboard!$N$5="All windows",Dashboard!$N$5=""),$P72=Dashboard!$N$5)),1,0))</f>
        <v/>
      </c>
      <c r="U72" s="172">
        <f>IF($T72=1,N($D72)*1E14+MIN(MAX(N($R72),0),9999)*1E10+MIN(N($K72),99999)*1E5+99999-MIN(ROW(),99999),"")</f>
        <v/>
      </c>
    </row>
    <row r="73" ht="28" customHeight="1">
      <c r="A73" s="156" t="n">
        <v>70</v>
      </c>
      <c r="B73" s="157" t="inlineStr">
        <is>
          <t>Deslizamiento de tierra mantiene totalmente suspendido el tránsito en la Ruta 5 Norte en Canela</t>
        </is>
      </c>
      <c r="C73" s="173" t="inlineStr">
        <is>
          <t>Hazards &amp; Resilience</t>
        </is>
      </c>
      <c r="D73" s="159" t="n">
        <v>0</v>
      </c>
      <c r="E73" s="181" t="inlineStr">
        <is>
          <t>Not rated</t>
        </is>
      </c>
      <c r="F73" s="161" t="inlineStr">
        <is>
          <t>To review</t>
        </is>
      </c>
      <c r="G73" s="162" t="n"/>
      <c r="H73" s="163" t="n"/>
      <c r="I73" s="164" t="n"/>
      <c r="J73" s="164" t="inlineStr">
        <is>
          <t>Mi Radio</t>
        </is>
      </c>
      <c r="K73" s="165" t="n">
        <v>46319</v>
      </c>
      <c r="L73" s="164" t="n"/>
      <c r="M73" s="166" t="n"/>
      <c r="N73" s="167" t="inlineStr">
        <is>
          <t>Spain</t>
        </is>
      </c>
      <c r="O73" s="165" t="n">
        <v>46317</v>
      </c>
      <c r="P73" s="168" t="inlineStr">
        <is>
          <t>2026-Q4</t>
        </is>
      </c>
      <c r="Q73" s="169" t="inlineStr">
        <is>
          <t>landslide</t>
        </is>
      </c>
      <c r="R73" s="156" t="n">
        <v>10</v>
      </c>
      <c r="S73" s="170"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73" s="171">
        <f>IF($B73="",0,IF(AND(OR(OR(Dashboard!$B$5="All themes",Dashboard!$B$5=""),$C73=Dashboard!$B$5),OR(OR(Dashboard!$G$5="All uses",Dashboard!$G$5=""),$E73=Dashboard!$G$5),N($D73)&gt;=Lists!$H$2,OR(OR(Dashboard!$N$5="All windows",Dashboard!$N$5=""),$P73=Dashboard!$N$5)),1,0))</f>
        <v/>
      </c>
      <c r="U73" s="172">
        <f>IF($T73=1,N($D73)*1E14+MIN(MAX(N($R73),0),9999)*1E10+MIN(N($K73),99999)*1E5+99999-MIN(ROW(),99999),"")</f>
        <v/>
      </c>
    </row>
    <row r="74" ht="28" customHeight="1">
      <c r="A74" s="156" t="n">
        <v>71</v>
      </c>
      <c r="B74" s="157" t="inlineStr">
        <is>
          <t>Rabren vía Las Tablas–Tonosí tras deslizamiento de tierra por fuertes lluvias</t>
        </is>
      </c>
      <c r="C74" s="173" t="inlineStr">
        <is>
          <t>Hazards &amp; Resilience</t>
        </is>
      </c>
      <c r="D74" s="159" t="n">
        <v>0</v>
      </c>
      <c r="E74" s="181" t="inlineStr">
        <is>
          <t>Not rated</t>
        </is>
      </c>
      <c r="F74" s="161" t="inlineStr">
        <is>
          <t>To review</t>
        </is>
      </c>
      <c r="G74" s="162" t="n"/>
      <c r="H74" s="163" t="n"/>
      <c r="I74" s="164" t="n"/>
      <c r="J74" s="164" t="inlineStr">
        <is>
          <t>Telemetro</t>
        </is>
      </c>
      <c r="K74" s="165" t="n">
        <v>46319</v>
      </c>
      <c r="L74" s="164" t="n"/>
      <c r="M74" s="166" t="n"/>
      <c r="N74" s="167" t="inlineStr">
        <is>
          <t>Spain</t>
        </is>
      </c>
      <c r="O74" s="165" t="n">
        <v>46317</v>
      </c>
      <c r="P74" s="168" t="inlineStr">
        <is>
          <t>2026-Q4</t>
        </is>
      </c>
      <c r="Q74" s="169" t="inlineStr">
        <is>
          <t>landslide</t>
        </is>
      </c>
      <c r="R74" s="156" t="n">
        <v>10</v>
      </c>
      <c r="S74" s="170"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74" s="171">
        <f>IF($B74="",0,IF(AND(OR(OR(Dashboard!$B$5="All themes",Dashboard!$B$5=""),$C74=Dashboard!$B$5),OR(OR(Dashboard!$G$5="All uses",Dashboard!$G$5=""),$E74=Dashboard!$G$5),N($D74)&gt;=Lists!$H$2,OR(OR(Dashboard!$N$5="All windows",Dashboard!$N$5=""),$P74=Dashboard!$N$5)),1,0))</f>
        <v/>
      </c>
      <c r="U74" s="172">
        <f>IF($T74=1,N($D74)*1E14+MIN(MAX(N($R74),0),9999)*1E10+MIN(N($K74),99999)*1E5+99999-MIN(ROW(),99999),"")</f>
        <v/>
      </c>
    </row>
    <row r="75" ht="28" customHeight="1">
      <c r="A75" s="156" t="n">
        <v>72</v>
      </c>
      <c r="B75" s="157" t="inlineStr">
        <is>
          <t>Deslizamiento destruyó cuatro viviendas y mantiene en riesgo a familias en el Moniquirá</t>
        </is>
      </c>
      <c r="C75" s="173" t="inlineStr">
        <is>
          <t>Hazards &amp; Resilience</t>
        </is>
      </c>
      <c r="D75" s="159" t="n">
        <v>0</v>
      </c>
      <c r="E75" s="181" t="inlineStr">
        <is>
          <t>Not rated</t>
        </is>
      </c>
      <c r="F75" s="161" t="inlineStr">
        <is>
          <t>To review</t>
        </is>
      </c>
      <c r="G75" s="162" t="n"/>
      <c r="H75" s="163" t="n"/>
      <c r="I75" s="164" t="n"/>
      <c r="J75" s="164" t="inlineStr">
        <is>
          <t>Caracol Radio</t>
        </is>
      </c>
      <c r="K75" s="165" t="n">
        <v>46319</v>
      </c>
      <c r="L75" s="164" t="n"/>
      <c r="M75" s="166" t="n"/>
      <c r="N75" s="167" t="inlineStr">
        <is>
          <t>Spain</t>
        </is>
      </c>
      <c r="O75" s="165" t="n">
        <v>46317</v>
      </c>
      <c r="P75" s="168" t="inlineStr">
        <is>
          <t>2026-Q4</t>
        </is>
      </c>
      <c r="Q75" s="169" t="inlineStr">
        <is>
          <t>landslide</t>
        </is>
      </c>
      <c r="R75" s="156" t="n">
        <v>10</v>
      </c>
      <c r="S75" s="170"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75" s="171">
        <f>IF($B75="",0,IF(AND(OR(OR(Dashboard!$B$5="All themes",Dashboard!$B$5=""),$C75=Dashboard!$B$5),OR(OR(Dashboard!$G$5="All uses",Dashboard!$G$5=""),$E75=Dashboard!$G$5),N($D75)&gt;=Lists!$H$2,OR(OR(Dashboard!$N$5="All windows",Dashboard!$N$5=""),$P75=Dashboard!$N$5)),1,0))</f>
        <v/>
      </c>
      <c r="U75" s="172">
        <f>IF($T75=1,N($D75)*1E14+MIN(MAX(N($R75),0),9999)*1E10+MIN(N($K75),99999)*1E5+99999-MIN(ROW(),99999),"")</f>
        <v/>
      </c>
    </row>
    <row r="76" ht="40.5" customHeight="1">
      <c r="A76" s="156" t="n">
        <v>73</v>
      </c>
      <c r="B76" s="157" t="inlineStr">
        <is>
          <t>La provincia de Dong Thap destina 330 mil millones de VND para hacer frente a las zonas afectadas por graves deslizamientos de tierra.</t>
        </is>
      </c>
      <c r="C76" s="173" t="inlineStr">
        <is>
          <t>Hazards &amp; Resilience</t>
        </is>
      </c>
      <c r="D76" s="159" t="n">
        <v>0</v>
      </c>
      <c r="E76" s="181" t="inlineStr">
        <is>
          <t>Not rated</t>
        </is>
      </c>
      <c r="F76" s="161" t="inlineStr">
        <is>
          <t>To review</t>
        </is>
      </c>
      <c r="G76" s="162" t="n"/>
      <c r="H76" s="163" t="n"/>
      <c r="I76" s="164" t="n"/>
      <c r="J76" s="164" t="inlineStr">
        <is>
          <t>Vietnam.vn</t>
        </is>
      </c>
      <c r="K76" s="165" t="n">
        <v>46319</v>
      </c>
      <c r="L76" s="164" t="n"/>
      <c r="M76" s="166" t="n"/>
      <c r="N76" s="167" t="inlineStr">
        <is>
          <t>Spain</t>
        </is>
      </c>
      <c r="O76" s="165" t="n">
        <v>46318</v>
      </c>
      <c r="P76" s="168" t="inlineStr">
        <is>
          <t>2026-Q4</t>
        </is>
      </c>
      <c r="Q76" s="169" t="inlineStr">
        <is>
          <t>landslide</t>
        </is>
      </c>
      <c r="R76" s="156" t="n">
        <v>10</v>
      </c>
      <c r="S76" s="170" t="inlineStr">
        <is>
          <t>https://news.google.com/rss/articles/CBMilwFBVV95cUxPQWFuTXFnVHpVV0FSWU44Z3FhYkFPNkdKamxDWV9Cdy1RUTZJME15dnJGbTY4OW04bzRPQ3U0aThuWjBVQ2dxSG52UVpZZGRZWG5XNDNkenhIZldzdGpnd05GM3BLc3hISFdBT0VHX01JdjQwQzE5QnhjclpkWjN6U241cDNFLWdnenRKNnQzMWFzMlJucHdN?oc=5</t>
        </is>
      </c>
      <c r="T76" s="171">
        <f>IF($B76="",0,IF(AND(OR(OR(Dashboard!$B$5="All themes",Dashboard!$B$5=""),$C76=Dashboard!$B$5),OR(OR(Dashboard!$G$5="All uses",Dashboard!$G$5=""),$E76=Dashboard!$G$5),N($D76)&gt;=Lists!$H$2,OR(OR(Dashboard!$N$5="All windows",Dashboard!$N$5=""),$P76=Dashboard!$N$5)),1,0))</f>
        <v/>
      </c>
      <c r="U76" s="172">
        <f>IF($T76=1,N($D76)*1E14+MIN(MAX(N($R76),0),9999)*1E10+MIN(N($K76),99999)*1E5+99999-MIN(ROW(),99999),"")</f>
        <v/>
      </c>
    </row>
    <row r="77" ht="40.5" customHeight="1">
      <c r="A77" s="156" t="n">
        <v>74</v>
      </c>
      <c r="B77" s="157" t="inlineStr">
        <is>
          <t>Vista de cerca de 500 metros de calle en la provincia de Lam Dong, gravemente afectada por hundimientos y deslizamientos de tierra.</t>
        </is>
      </c>
      <c r="C77" s="173" t="inlineStr">
        <is>
          <t>Hazards &amp; Resilience</t>
        </is>
      </c>
      <c r="D77" s="159" t="n">
        <v>0</v>
      </c>
      <c r="E77" s="181" t="inlineStr">
        <is>
          <t>Not rated</t>
        </is>
      </c>
      <c r="F77" s="161" t="inlineStr">
        <is>
          <t>To review</t>
        </is>
      </c>
      <c r="G77" s="162" t="n"/>
      <c r="H77" s="163" t="n"/>
      <c r="I77" s="164" t="n"/>
      <c r="J77" s="164" t="inlineStr">
        <is>
          <t>Vietnam.vn</t>
        </is>
      </c>
      <c r="K77" s="165" t="n">
        <v>46319</v>
      </c>
      <c r="L77" s="164" t="n"/>
      <c r="M77" s="166" t="n"/>
      <c r="N77" s="167" t="inlineStr">
        <is>
          <t>Spain</t>
        </is>
      </c>
      <c r="O77" s="165" t="n">
        <v>46317</v>
      </c>
      <c r="P77" s="168" t="inlineStr">
        <is>
          <t>2026-Q4</t>
        </is>
      </c>
      <c r="Q77" s="169" t="inlineStr">
        <is>
          <t>landslide, subsidence</t>
        </is>
      </c>
      <c r="R77" s="156" t="n">
        <v>10</v>
      </c>
      <c r="S77" s="170" t="inlineStr">
        <is>
          <t>https://news.google.com/rss/articles/CBMimwFBVV95cUxPNmVYY0tIZHZ2S24tV3hydnBoR2RUYVJlSmdDTUlyN19XSDFTOHQ2SFpWYTUybm1GRHZ1TzdYVkZZcEhadldBaXVvRlhFN3gxSWdhNmVNLThxUjl3WWJ0SjhMQWFRLXlNMlp4dkJHV1BrUFpBRnAtQ1pqbUNWUnduRjFiV2hKNU15QVlYSnQySFZvS0d1ay14SmMyYw?oc=5</t>
        </is>
      </c>
      <c r="T77" s="171">
        <f>IF($B77="",0,IF(AND(OR(OR(Dashboard!$B$5="All themes",Dashboard!$B$5=""),$C77=Dashboard!$B$5),OR(OR(Dashboard!$G$5="All uses",Dashboard!$G$5=""),$E77=Dashboard!$G$5),N($D77)&gt;=Lists!$H$2,OR(OR(Dashboard!$N$5="All windows",Dashboard!$N$5=""),$P77=Dashboard!$N$5)),1,0))</f>
        <v/>
      </c>
      <c r="U77" s="172">
        <f>IF($T77=1,N($D77)*1E14+MIN(MAX(N($R77),0),9999)*1E10+MIN(N($K77),99999)*1E5+99999-MIN(ROW(),99999),"")</f>
        <v/>
      </c>
    </row>
    <row r="78" ht="28" customHeight="1">
      <c r="A78" s="156" t="n">
        <v>75</v>
      </c>
      <c r="B78" s="157" t="inlineStr">
        <is>
          <t>Lam Dong: La carretera en Nam Gia Nghia sufre graves hundimientos y deslizamientos de tierra.</t>
        </is>
      </c>
      <c r="C78" s="173" t="inlineStr">
        <is>
          <t>Hazards &amp; Resilience</t>
        </is>
      </c>
      <c r="D78" s="159" t="n">
        <v>0</v>
      </c>
      <c r="E78" s="181" t="inlineStr">
        <is>
          <t>Not rated</t>
        </is>
      </c>
      <c r="F78" s="161" t="inlineStr">
        <is>
          <t>To review</t>
        </is>
      </c>
      <c r="G78" s="162" t="n"/>
      <c r="H78" s="163" t="n"/>
      <c r="I78" s="164" t="n"/>
      <c r="J78" s="164" t="inlineStr">
        <is>
          <t>Vietnam.vn</t>
        </is>
      </c>
      <c r="K78" s="165" t="n">
        <v>46319</v>
      </c>
      <c r="L78" s="164" t="n"/>
      <c r="M78" s="166" t="n"/>
      <c r="N78" s="167" t="inlineStr">
        <is>
          <t>Spain</t>
        </is>
      </c>
      <c r="O78" s="165" t="n">
        <v>46317</v>
      </c>
      <c r="P78" s="168" t="inlineStr">
        <is>
          <t>2026-Q4</t>
        </is>
      </c>
      <c r="Q78" s="169" t="inlineStr">
        <is>
          <t>landslide, subsidence</t>
        </is>
      </c>
      <c r="R78" s="156" t="n">
        <v>10</v>
      </c>
      <c r="S78" s="170" t="inlineStr">
        <is>
          <t>https://news.google.com/rss/articles/CBMimAFBVV95cUxQaWVWR2YzU2tHaVhRd1VFWFRncF81Y3ltNGlIN0EwaTl1RUhQRzdOcHJyQUxfcXNIYkNBQ24xN1ZKakh1MEFsdHd5NGJYd3VCSzVyaFk3Vkc5VXNaQkY4cU5YUS1xcDRFcENJM1Y0VUUtZWwzNjJNLUV2ZkY4bmRVNDFpTi1PTmFSeFU3YWZaRTJQdDJTSk1Fbg?oc=5</t>
        </is>
      </c>
      <c r="T78" s="171">
        <f>IF($B78="",0,IF(AND(OR(OR(Dashboard!$B$5="All themes",Dashboard!$B$5=""),$C78=Dashboard!$B$5),OR(OR(Dashboard!$G$5="All uses",Dashboard!$G$5=""),$E78=Dashboard!$G$5),N($D78)&gt;=Lists!$H$2,OR(OR(Dashboard!$N$5="All windows",Dashboard!$N$5=""),$P78=Dashboard!$N$5)),1,0))</f>
        <v/>
      </c>
      <c r="U78" s="172">
        <f>IF($T78=1,N($D78)*1E14+MIN(MAX(N($R78),0),9999)*1E10+MIN(N($K78),99999)*1E5+99999-MIN(ROW(),99999),"")</f>
        <v/>
      </c>
    </row>
    <row r="79" ht="28" customHeight="1">
      <c r="A79" s="156" t="n">
        <v>76</v>
      </c>
      <c r="B79" s="157" t="inlineStr">
        <is>
          <t>Reabren parcialmente la vía a Buenaventura tras deslizamiento en Dagua: hay paso a un carril</t>
        </is>
      </c>
      <c r="C79" s="173" t="inlineStr">
        <is>
          <t>Hazards &amp; Resilience</t>
        </is>
      </c>
      <c r="D79" s="159" t="n">
        <v>0</v>
      </c>
      <c r="E79" s="181" t="inlineStr">
        <is>
          <t>Not rated</t>
        </is>
      </c>
      <c r="F79" s="161" t="inlineStr">
        <is>
          <t>To review</t>
        </is>
      </c>
      <c r="G79" s="162" t="n"/>
      <c r="H79" s="163" t="n"/>
      <c r="I79" s="164" t="n"/>
      <c r="J79" s="164" t="inlineStr">
        <is>
          <t>El País</t>
        </is>
      </c>
      <c r="K79" s="165" t="n">
        <v>46319</v>
      </c>
      <c r="L79" s="164" t="n"/>
      <c r="M79" s="166" t="n"/>
      <c r="N79" s="167" t="inlineStr">
        <is>
          <t>Spain</t>
        </is>
      </c>
      <c r="O79" s="165" t="n">
        <v>46317</v>
      </c>
      <c r="P79" s="168" t="inlineStr">
        <is>
          <t>2026-Q4</t>
        </is>
      </c>
      <c r="Q79" s="169" t="inlineStr">
        <is>
          <t>landslide</t>
        </is>
      </c>
      <c r="R79" s="156" t="n">
        <v>10</v>
      </c>
      <c r="S79" s="170"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79" s="171">
        <f>IF($B79="",0,IF(AND(OR(OR(Dashboard!$B$5="All themes",Dashboard!$B$5=""),$C79=Dashboard!$B$5),OR(OR(Dashboard!$G$5="All uses",Dashboard!$G$5=""),$E79=Dashboard!$G$5),N($D79)&gt;=Lists!$H$2,OR(OR(Dashboard!$N$5="All windows",Dashboard!$N$5=""),$P79=Dashboard!$N$5)),1,0))</f>
        <v/>
      </c>
      <c r="U79" s="172">
        <f>IF($T79=1,N($D79)*1E14+MIN(MAX(N($R79),0),9999)*1E10+MIN(N($K79),99999)*1E5+99999-MIN(ROW(),99999),"")</f>
        <v/>
      </c>
    </row>
    <row r="80" ht="28" customHeight="1">
      <c r="A80" s="156" t="n">
        <v>77</v>
      </c>
      <c r="B80" s="157" t="inlineStr">
        <is>
          <t>Detectan coliformes en muestras de agua tras deslizamiento en mina El Remance</t>
        </is>
      </c>
      <c r="C80" s="173" t="inlineStr">
        <is>
          <t>Hazards &amp; Resilience</t>
        </is>
      </c>
      <c r="D80" s="159" t="n">
        <v>0</v>
      </c>
      <c r="E80" s="181" t="inlineStr">
        <is>
          <t>Not rated</t>
        </is>
      </c>
      <c r="F80" s="161" t="inlineStr">
        <is>
          <t>To review</t>
        </is>
      </c>
      <c r="G80" s="162" t="n"/>
      <c r="H80" s="163" t="n"/>
      <c r="I80" s="164" t="n"/>
      <c r="J80" s="164" t="inlineStr">
        <is>
          <t>CRÍTICA</t>
        </is>
      </c>
      <c r="K80" s="165" t="n">
        <v>46319</v>
      </c>
      <c r="L80" s="164" t="n"/>
      <c r="M80" s="166" t="n"/>
      <c r="N80" s="167" t="inlineStr">
        <is>
          <t>Spain</t>
        </is>
      </c>
      <c r="O80" s="165" t="n">
        <v>46319</v>
      </c>
      <c r="P80" s="168" t="inlineStr">
        <is>
          <t>2026-Q4</t>
        </is>
      </c>
      <c r="Q80" s="169" t="inlineStr">
        <is>
          <t>landslide</t>
        </is>
      </c>
      <c r="R80" s="156" t="n">
        <v>10</v>
      </c>
      <c r="S80" s="170"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80" s="171">
        <f>IF($B80="",0,IF(AND(OR(OR(Dashboard!$B$5="All themes",Dashboard!$B$5=""),$C80=Dashboard!$B$5),OR(OR(Dashboard!$G$5="All uses",Dashboard!$G$5=""),$E80=Dashboard!$G$5),N($D80)&gt;=Lists!$H$2,OR(OR(Dashboard!$N$5="All windows",Dashboard!$N$5=""),$P80=Dashboard!$N$5)),1,0))</f>
        <v/>
      </c>
      <c r="U80" s="172">
        <f>IF($T80=1,N($D80)*1E14+MIN(MAX(N($R80),0),9999)*1E10+MIN(N($K80),99999)*1E5+99999-MIN(ROW(),99999),"")</f>
        <v/>
      </c>
    </row>
    <row r="81" ht="28" customHeight="1">
      <c r="A81" s="156" t="n">
        <v>78</v>
      </c>
      <c r="B81" s="157" t="inlineStr">
        <is>
          <t>IMÁGENES SENSIBLES | Deslizamiento en mina deja 14 personas fallecidas</t>
        </is>
      </c>
      <c r="C81" s="173" t="inlineStr">
        <is>
          <t>Hazards &amp; Resilience</t>
        </is>
      </c>
      <c r="D81" s="159" t="n">
        <v>0</v>
      </c>
      <c r="E81" s="181" t="inlineStr">
        <is>
          <t>Not rated</t>
        </is>
      </c>
      <c r="F81" s="161" t="inlineStr">
        <is>
          <t>To review</t>
        </is>
      </c>
      <c r="G81" s="162" t="n"/>
      <c r="H81" s="163" t="n"/>
      <c r="I81" s="164" t="n"/>
      <c r="J81" s="164" t="inlineStr">
        <is>
          <t>Azteca Bajío</t>
        </is>
      </c>
      <c r="K81" s="165" t="n">
        <v>46319</v>
      </c>
      <c r="L81" s="164" t="n"/>
      <c r="M81" s="166" t="n"/>
      <c r="N81" s="167" t="inlineStr">
        <is>
          <t>Spain</t>
        </is>
      </c>
      <c r="O81" s="165" t="n">
        <v>46317</v>
      </c>
      <c r="P81" s="168" t="inlineStr">
        <is>
          <t>2026-Q4</t>
        </is>
      </c>
      <c r="Q81" s="169" t="inlineStr">
        <is>
          <t>landslide</t>
        </is>
      </c>
      <c r="R81" s="156" t="n">
        <v>10</v>
      </c>
      <c r="S81" s="170"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81" s="171">
        <f>IF($B81="",0,IF(AND(OR(OR(Dashboard!$B$5="All themes",Dashboard!$B$5=""),$C81=Dashboard!$B$5),OR(OR(Dashboard!$G$5="All uses",Dashboard!$G$5=""),$E81=Dashboard!$G$5),N($D81)&gt;=Lists!$H$2,OR(OR(Dashboard!$N$5="All windows",Dashboard!$N$5=""),$P81=Dashboard!$N$5)),1,0))</f>
        <v/>
      </c>
      <c r="U81" s="172">
        <f>IF($T81=1,N($D81)*1E14+MIN(MAX(N($R81),0),9999)*1E10+MIN(N($K81),99999)*1E5+99999-MIN(ROW(),99999),"")</f>
        <v/>
      </c>
    </row>
    <row r="82" ht="28" customHeight="1">
      <c r="A82" s="156" t="n">
        <v>79</v>
      </c>
      <c r="B82" s="157" t="inlineStr">
        <is>
          <t>¡Emergencia en Italia! Fuertes lluvias provocan aludes y deslizamientos de tierra</t>
        </is>
      </c>
      <c r="C82" s="173" t="inlineStr">
        <is>
          <t>Hazards &amp; Resilience</t>
        </is>
      </c>
      <c r="D82" s="159" t="n">
        <v>0</v>
      </c>
      <c r="E82" s="181" t="inlineStr">
        <is>
          <t>Not rated</t>
        </is>
      </c>
      <c r="F82" s="161" t="inlineStr">
        <is>
          <t>To review</t>
        </is>
      </c>
      <c r="G82" s="162" t="n"/>
      <c r="H82" s="163" t="n"/>
      <c r="I82" s="164" t="n"/>
      <c r="J82" s="164" t="inlineStr">
        <is>
          <t>TV Azteca Baja California</t>
        </is>
      </c>
      <c r="K82" s="165" t="n">
        <v>46319</v>
      </c>
      <c r="L82" s="164" t="n"/>
      <c r="M82" s="166" t="n"/>
      <c r="N82" s="167" t="inlineStr">
        <is>
          <t>Spain</t>
        </is>
      </c>
      <c r="O82" s="165" t="n">
        <v>46317</v>
      </c>
      <c r="P82" s="168" t="inlineStr">
        <is>
          <t>2026-Q4</t>
        </is>
      </c>
      <c r="Q82" s="169" t="inlineStr">
        <is>
          <t>landslide</t>
        </is>
      </c>
      <c r="R82" s="156" t="n">
        <v>10</v>
      </c>
      <c r="S82" s="170"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82" s="171">
        <f>IF($B82="",0,IF(AND(OR(OR(Dashboard!$B$5="All themes",Dashboard!$B$5=""),$C82=Dashboard!$B$5),OR(OR(Dashboard!$G$5="All uses",Dashboard!$G$5=""),$E82=Dashboard!$G$5),N($D82)&gt;=Lists!$H$2,OR(OR(Dashboard!$N$5="All windows",Dashboard!$N$5=""),$P82=Dashboard!$N$5)),1,0))</f>
        <v/>
      </c>
      <c r="U82" s="172">
        <f>IF($T82=1,N($D82)*1E14+MIN(MAX(N($R82),0),9999)*1E10+MIN(N($K82),99999)*1E5+99999-MIN(ROW(),99999),"")</f>
        <v/>
      </c>
    </row>
    <row r="83" ht="40.5" customHeight="1">
      <c r="A83" s="156" t="n">
        <v>80</v>
      </c>
      <c r="B83" s="157" t="inlineStr">
        <is>
          <t>¡La tierra se movió en Moniquirá! Deslizamiento dejó cuatro casas destruidas y otras cinco en riesgo</t>
        </is>
      </c>
      <c r="C83" s="173" t="inlineStr">
        <is>
          <t>Hazards &amp; Resilience</t>
        </is>
      </c>
      <c r="D83" s="159" t="n">
        <v>0</v>
      </c>
      <c r="E83" s="181" t="inlineStr">
        <is>
          <t>Not rated</t>
        </is>
      </c>
      <c r="F83" s="161" t="inlineStr">
        <is>
          <t>To review</t>
        </is>
      </c>
      <c r="G83" s="162" t="n"/>
      <c r="H83" s="163" t="n"/>
      <c r="I83" s="164" t="n"/>
      <c r="J83" s="164" t="inlineStr">
        <is>
          <t>Minuto30</t>
        </is>
      </c>
      <c r="K83" s="165" t="n">
        <v>46319</v>
      </c>
      <c r="L83" s="164" t="n"/>
      <c r="M83" s="166" t="n"/>
      <c r="N83" s="167" t="inlineStr">
        <is>
          <t>Spain</t>
        </is>
      </c>
      <c r="O83" s="165" t="n">
        <v>46317</v>
      </c>
      <c r="P83" s="168" t="inlineStr">
        <is>
          <t>2026-Q4</t>
        </is>
      </c>
      <c r="Q83" s="169" t="inlineStr">
        <is>
          <t>landslide</t>
        </is>
      </c>
      <c r="R83" s="156" t="n">
        <v>10</v>
      </c>
      <c r="S83" s="170"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83" s="171">
        <f>IF($B83="",0,IF(AND(OR(OR(Dashboard!$B$5="All themes",Dashboard!$B$5=""),$C83=Dashboard!$B$5),OR(OR(Dashboard!$G$5="All uses",Dashboard!$G$5=""),$E83=Dashboard!$G$5),N($D83)&gt;=Lists!$H$2,OR(OR(Dashboard!$N$5="All windows",Dashboard!$N$5=""),$P83=Dashboard!$N$5)),1,0))</f>
        <v/>
      </c>
      <c r="U83" s="172">
        <f>IF($T83=1,N($D83)*1E14+MIN(MAX(N($R83),0),9999)*1E10+MIN(N($K83),99999)*1E5+99999-MIN(ROW(),99999),"")</f>
        <v/>
      </c>
    </row>
    <row r="84" ht="28" customHeight="1">
      <c r="A84" s="156" t="n">
        <v>81</v>
      </c>
      <c r="B84" s="157" t="inlineStr">
        <is>
          <t>Deslizamiento destruyó cuatro viviendas en Moniquirá, Boyacá, y dejó a varias familias</t>
        </is>
      </c>
      <c r="C84" s="173" t="inlineStr">
        <is>
          <t>Hazards &amp; Resilience</t>
        </is>
      </c>
      <c r="D84" s="159" t="n">
        <v>0</v>
      </c>
      <c r="E84" s="181" t="inlineStr">
        <is>
          <t>Not rated</t>
        </is>
      </c>
      <c r="F84" s="161" t="inlineStr">
        <is>
          <t>To review</t>
        </is>
      </c>
      <c r="G84" s="162" t="n"/>
      <c r="H84" s="163" t="n"/>
      <c r="I84" s="164" t="n"/>
      <c r="J84" s="164" t="inlineStr">
        <is>
          <t>Diario del Sur</t>
        </is>
      </c>
      <c r="K84" s="165" t="n">
        <v>46319</v>
      </c>
      <c r="L84" s="164" t="n"/>
      <c r="M84" s="166" t="n"/>
      <c r="N84" s="167" t="inlineStr">
        <is>
          <t>Spain</t>
        </is>
      </c>
      <c r="O84" s="165" t="n">
        <v>46318</v>
      </c>
      <c r="P84" s="168" t="inlineStr">
        <is>
          <t>2026-Q4</t>
        </is>
      </c>
      <c r="Q84" s="169" t="inlineStr">
        <is>
          <t>landslide</t>
        </is>
      </c>
      <c r="R84" s="156" t="n">
        <v>10</v>
      </c>
      <c r="S84" s="170"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84" s="171">
        <f>IF($B84="",0,IF(AND(OR(OR(Dashboard!$B$5="All themes",Dashboard!$B$5=""),$C84=Dashboard!$B$5),OR(OR(Dashboard!$G$5="All uses",Dashboard!$G$5=""),$E84=Dashboard!$G$5),N($D84)&gt;=Lists!$H$2,OR(OR(Dashboard!$N$5="All windows",Dashboard!$N$5=""),$P84=Dashboard!$N$5)),1,0))</f>
        <v/>
      </c>
      <c r="U84" s="172">
        <f>IF($T84=1,N($D84)*1E14+MIN(MAX(N($R84),0),9999)*1E10+MIN(N($K84),99999)*1E5+99999-MIN(ROW(),99999),"")</f>
        <v/>
      </c>
    </row>
    <row r="85" ht="28" customHeight="1">
      <c r="A85" s="156" t="n">
        <v>82</v>
      </c>
      <c r="B85" s="157" t="inlineStr">
        <is>
          <t>Por tercera vez, un deslizamiento afecta al Pedregal de Santa Julia en Tijuana</t>
        </is>
      </c>
      <c r="C85" s="173" t="inlineStr">
        <is>
          <t>Hazards &amp; Resilience</t>
        </is>
      </c>
      <c r="D85" s="159" t="n">
        <v>0</v>
      </c>
      <c r="E85" s="181" t="inlineStr">
        <is>
          <t>Not rated</t>
        </is>
      </c>
      <c r="F85" s="161" t="inlineStr">
        <is>
          <t>To review</t>
        </is>
      </c>
      <c r="G85" s="162" t="n"/>
      <c r="H85" s="163" t="n"/>
      <c r="I85" s="164" t="n"/>
      <c r="J85" s="164" t="inlineStr">
        <is>
          <t>TV Azteca Baja California</t>
        </is>
      </c>
      <c r="K85" s="165" t="n">
        <v>46319</v>
      </c>
      <c r="L85" s="164" t="n"/>
      <c r="M85" s="166" t="n"/>
      <c r="N85" s="167" t="inlineStr">
        <is>
          <t>Spain</t>
        </is>
      </c>
      <c r="O85" s="165" t="n">
        <v>46318</v>
      </c>
      <c r="P85" s="168" t="inlineStr">
        <is>
          <t>2026-Q4</t>
        </is>
      </c>
      <c r="Q85" s="169" t="inlineStr">
        <is>
          <t>landslide</t>
        </is>
      </c>
      <c r="R85" s="156" t="n">
        <v>10</v>
      </c>
      <c r="S85" s="170"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85" s="171">
        <f>IF($B85="",0,IF(AND(OR(OR(Dashboard!$B$5="All themes",Dashboard!$B$5=""),$C85=Dashboard!$B$5),OR(OR(Dashboard!$G$5="All uses",Dashboard!$G$5=""),$E85=Dashboard!$G$5),N($D85)&gt;=Lists!$H$2,OR(OR(Dashboard!$N$5="All windows",Dashboard!$N$5=""),$P85=Dashboard!$N$5)),1,0))</f>
        <v/>
      </c>
      <c r="U85" s="172">
        <f>IF($T85=1,N($D85)*1E14+MIN(MAX(N($R85),0),9999)*1E10+MIN(N($K85),99999)*1E5+99999-MIN(ROW(),99999),"")</f>
        <v/>
      </c>
    </row>
    <row r="86" ht="28" customHeight="1">
      <c r="A86" s="156" t="n">
        <v>83</v>
      </c>
      <c r="B86" s="157" t="inlineStr">
        <is>
          <t>Deslizamiento en Moniquirá, Boyacá: 3 casas destruidas por lluvias</t>
        </is>
      </c>
      <c r="C86" s="173" t="inlineStr">
        <is>
          <t>Hazards &amp; Resilience</t>
        </is>
      </c>
      <c r="D86" s="159" t="n">
        <v>0</v>
      </c>
      <c r="E86" s="181" t="inlineStr">
        <is>
          <t>Not rated</t>
        </is>
      </c>
      <c r="F86" s="161" t="inlineStr">
        <is>
          <t>To review</t>
        </is>
      </c>
      <c r="G86" s="162" t="n"/>
      <c r="H86" s="163" t="n"/>
      <c r="I86" s="164" t="n"/>
      <c r="J86" s="164" t="inlineStr">
        <is>
          <t>Estrella Digital Colombia</t>
        </is>
      </c>
      <c r="K86" s="165" t="n">
        <v>46319</v>
      </c>
      <c r="L86" s="164" t="n"/>
      <c r="M86" s="166" t="n"/>
      <c r="N86" s="167" t="inlineStr">
        <is>
          <t>Spain</t>
        </is>
      </c>
      <c r="O86" s="165" t="n">
        <v>46318</v>
      </c>
      <c r="P86" s="168" t="inlineStr">
        <is>
          <t>2026-Q4</t>
        </is>
      </c>
      <c r="Q86" s="169" t="inlineStr">
        <is>
          <t>landslide</t>
        </is>
      </c>
      <c r="R86" s="156" t="n">
        <v>10</v>
      </c>
      <c r="S86" s="170" t="inlineStr">
        <is>
          <t>https://news.google.com/rss/articles/CBMihgFBVV95cUxOVE9CbG5OOXVCZjBWLVJPeVZUWXVXazlDN3ZBNnNfVUNGWC02Ym9IZGRhS0RReDVDZFhNTnFyaXBzYUNxS01PYnB5MHQtWkRJMEdERUdndGNPTG1IUEZSMHhRQWpPREhPUDRQS1dhRkVQU0prdFJoZDY1ZFg5YTNmdjQxTlE0Zw?oc=5</t>
        </is>
      </c>
      <c r="T86" s="171">
        <f>IF($B86="",0,IF(AND(OR(OR(Dashboard!$B$5="All themes",Dashboard!$B$5=""),$C86=Dashboard!$B$5),OR(OR(Dashboard!$G$5="All uses",Dashboard!$G$5=""),$E86=Dashboard!$G$5),N($D86)&gt;=Lists!$H$2,OR(OR(Dashboard!$N$5="All windows",Dashboard!$N$5=""),$P86=Dashboard!$N$5)),1,0))</f>
        <v/>
      </c>
      <c r="U86" s="172">
        <f>IF($T86=1,N($D86)*1E14+MIN(MAX(N($R86),0),9999)*1E10+MIN(N($K86),99999)*1E5+99999-MIN(ROW(),99999),"")</f>
        <v/>
      </c>
    </row>
    <row r="87" ht="40.5" customHeight="1">
      <c r="A87" s="156" t="n">
        <v>84</v>
      </c>
      <c r="B87" s="157" t="inlineStr">
        <is>
          <t>Obrero permaneció sepultado por casi cuatro horas tras colapso de muro de contención en Ventanilla: fue rescatado con vida</t>
        </is>
      </c>
      <c r="C87" s="173" t="inlineStr">
        <is>
          <t>Hazards &amp; Resilience</t>
        </is>
      </c>
      <c r="D87" s="159" t="n">
        <v>0</v>
      </c>
      <c r="E87" s="181" t="inlineStr">
        <is>
          <t>Not rated</t>
        </is>
      </c>
      <c r="F87" s="161" t="inlineStr">
        <is>
          <t>To review</t>
        </is>
      </c>
      <c r="G87" s="162" t="n"/>
      <c r="H87" s="163" t="n"/>
      <c r="I87" s="164" t="n"/>
      <c r="J87" s="164" t="inlineStr">
        <is>
          <t>Infobae</t>
        </is>
      </c>
      <c r="K87" s="165" t="n">
        <v>46319</v>
      </c>
      <c r="L87" s="164" t="n"/>
      <c r="M87" s="166" t="n"/>
      <c r="N87" s="167" t="inlineStr">
        <is>
          <t>Mexico</t>
        </is>
      </c>
      <c r="O87" s="165" t="n">
        <v>46318</v>
      </c>
      <c r="P87" s="168" t="inlineStr">
        <is>
          <t>2026-Q4</t>
        </is>
      </c>
      <c r="Q87" s="169" t="inlineStr">
        <is>
          <t>retaining wall, collapse</t>
        </is>
      </c>
      <c r="R87" s="156" t="n">
        <v>10</v>
      </c>
      <c r="S87" s="170"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87" s="171">
        <f>IF($B87="",0,IF(AND(OR(OR(Dashboard!$B$5="All themes",Dashboard!$B$5=""),$C87=Dashboard!$B$5),OR(OR(Dashboard!$G$5="All uses",Dashboard!$G$5=""),$E87=Dashboard!$G$5),N($D87)&gt;=Lists!$H$2,OR(OR(Dashboard!$N$5="All windows",Dashboard!$N$5=""),$P87=Dashboard!$N$5)),1,0))</f>
        <v/>
      </c>
      <c r="U87" s="172">
        <f>IF($T87=1,N($D87)*1E14+MIN(MAX(N($R87),0),9999)*1E10+MIN(N($K87),99999)*1E5+99999-MIN(ROW(),99999),"")</f>
        <v/>
      </c>
    </row>
    <row r="88" ht="28" customHeight="1">
      <c r="A88" s="156" t="n">
        <v>85</v>
      </c>
      <c r="B88" s="157" t="inlineStr">
        <is>
          <t>Tres viviendas quedaron destruidas tras deslizamiento en zona rural de Moniquirá</t>
        </is>
      </c>
      <c r="C88" s="173" t="inlineStr">
        <is>
          <t>Hazards &amp; Resilience</t>
        </is>
      </c>
      <c r="D88" s="159" t="n">
        <v>0</v>
      </c>
      <c r="E88" s="181" t="inlineStr">
        <is>
          <t>Not rated</t>
        </is>
      </c>
      <c r="F88" s="161" t="inlineStr">
        <is>
          <t>To review</t>
        </is>
      </c>
      <c r="G88" s="162" t="n"/>
      <c r="H88" s="163" t="n"/>
      <c r="I88" s="164" t="n"/>
      <c r="J88" s="164" t="inlineStr">
        <is>
          <t>Noticias Caracol</t>
        </is>
      </c>
      <c r="K88" s="165" t="n">
        <v>46319</v>
      </c>
      <c r="L88" s="164" t="n"/>
      <c r="M88" s="166" t="n"/>
      <c r="N88" s="167" t="inlineStr">
        <is>
          <t>Mexico</t>
        </is>
      </c>
      <c r="O88" s="165" t="n">
        <v>46318</v>
      </c>
      <c r="P88" s="168" t="inlineStr">
        <is>
          <t>2026-Q4</t>
        </is>
      </c>
      <c r="Q88" s="169" t="inlineStr">
        <is>
          <t>landslide</t>
        </is>
      </c>
      <c r="R88" s="156" t="n">
        <v>10</v>
      </c>
      <c r="S88" s="170"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88" s="171">
        <f>IF($B88="",0,IF(AND(OR(OR(Dashboard!$B$5="All themes",Dashboard!$B$5=""),$C88=Dashboard!$B$5),OR(OR(Dashboard!$G$5="All uses",Dashboard!$G$5=""),$E88=Dashboard!$G$5),N($D88)&gt;=Lists!$H$2,OR(OR(Dashboard!$N$5="All windows",Dashboard!$N$5=""),$P88=Dashboard!$N$5)),1,0))</f>
        <v/>
      </c>
      <c r="U88" s="172">
        <f>IF($T88=1,N($D88)*1E14+MIN(MAX(N($R88),0),9999)*1E10+MIN(N($K88),99999)*1E5+99999-MIN(ROW(),99999),"")</f>
        <v/>
      </c>
    </row>
    <row r="89" ht="28" customHeight="1">
      <c r="A89" s="156" t="n">
        <v>86</v>
      </c>
      <c r="B89" s="157" t="inlineStr">
        <is>
          <t>Quito bajo la lluvia: 321 barrios están expuestos a inundaciones y deslizamientos</t>
        </is>
      </c>
      <c r="C89" s="173" t="inlineStr">
        <is>
          <t>Hazards &amp; Resilience</t>
        </is>
      </c>
      <c r="D89" s="159" t="n">
        <v>0</v>
      </c>
      <c r="E89" s="181" t="inlineStr">
        <is>
          <t>Not rated</t>
        </is>
      </c>
      <c r="F89" s="161" t="inlineStr">
        <is>
          <t>To review</t>
        </is>
      </c>
      <c r="G89" s="162" t="n"/>
      <c r="H89" s="163" t="n"/>
      <c r="I89" s="164" t="n"/>
      <c r="J89" s="164" t="inlineStr">
        <is>
          <t>Diario Extra</t>
        </is>
      </c>
      <c r="K89" s="165" t="n">
        <v>46319</v>
      </c>
      <c r="L89" s="164" t="n"/>
      <c r="M89" s="166" t="n"/>
      <c r="N89" s="167" t="inlineStr">
        <is>
          <t>Mexico</t>
        </is>
      </c>
      <c r="O89" s="165" t="n">
        <v>46318</v>
      </c>
      <c r="P89" s="168" t="inlineStr">
        <is>
          <t>2026-Q4</t>
        </is>
      </c>
      <c r="Q89" s="169" t="inlineStr">
        <is>
          <t>landslide</t>
        </is>
      </c>
      <c r="R89" s="156" t="n">
        <v>10</v>
      </c>
      <c r="S89" s="170"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89" s="171">
        <f>IF($B89="",0,IF(AND(OR(OR(Dashboard!$B$5="All themes",Dashboard!$B$5=""),$C89=Dashboard!$B$5),OR(OR(Dashboard!$G$5="All uses",Dashboard!$G$5=""),$E89=Dashboard!$G$5),N($D89)&gt;=Lists!$H$2,OR(OR(Dashboard!$N$5="All windows",Dashboard!$N$5=""),$P89=Dashboard!$N$5)),1,0))</f>
        <v/>
      </c>
      <c r="U89" s="172">
        <f>IF($T89=1,N($D89)*1E14+MIN(MAX(N($R89),0),9999)*1E10+MIN(N($K89),99999)*1E5+99999-MIN(ROW(),99999),"")</f>
        <v/>
      </c>
    </row>
    <row r="90" ht="28" customHeight="1">
      <c r="A90" s="156" t="n">
        <v>87</v>
      </c>
      <c r="B90" s="157" t="inlineStr">
        <is>
          <t>Deslizamento de terra em mina de ouro ilegal na Colômbia deixa nove mortos</t>
        </is>
      </c>
      <c r="C90" s="173" t="inlineStr">
        <is>
          <t>Hazards &amp; Resilience</t>
        </is>
      </c>
      <c r="D90" s="159" t="n">
        <v>0</v>
      </c>
      <c r="E90" s="181" t="inlineStr">
        <is>
          <t>Not rated</t>
        </is>
      </c>
      <c r="F90" s="161" t="inlineStr">
        <is>
          <t>To review</t>
        </is>
      </c>
      <c r="G90" s="162" t="n"/>
      <c r="H90" s="163" t="n"/>
      <c r="I90" s="164" t="n"/>
      <c r="J90" s="164" t="inlineStr">
        <is>
          <t>Estadão</t>
        </is>
      </c>
      <c r="K90" s="165" t="n">
        <v>46319</v>
      </c>
      <c r="L90" s="164" t="n"/>
      <c r="M90" s="166" t="n"/>
      <c r="N90" s="167" t="inlineStr">
        <is>
          <t>Brazil</t>
        </is>
      </c>
      <c r="O90" s="165" t="n">
        <v>46319</v>
      </c>
      <c r="P90" s="168" t="inlineStr">
        <is>
          <t>2026-Q4</t>
        </is>
      </c>
      <c r="Q90" s="169" t="inlineStr">
        <is>
          <t>landslide</t>
        </is>
      </c>
      <c r="R90" s="156" t="n">
        <v>10</v>
      </c>
      <c r="S90" s="170"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90" s="171">
        <f>IF($B90="",0,IF(AND(OR(OR(Dashboard!$B$5="All themes",Dashboard!$B$5=""),$C90=Dashboard!$B$5),OR(OR(Dashboard!$G$5="All uses",Dashboard!$G$5=""),$E90=Dashboard!$G$5),N($D90)&gt;=Lists!$H$2,OR(OR(Dashboard!$N$5="All windows",Dashboard!$N$5=""),$P90=Dashboard!$N$5)),1,0))</f>
        <v/>
      </c>
      <c r="U90" s="172">
        <f>IF($T90=1,N($D90)*1E14+MIN(MAX(N($R90),0),9999)*1E10+MIN(N($K90),99999)*1E5+99999-MIN(ROW(),99999),"")</f>
        <v/>
      </c>
    </row>
    <row r="91" ht="28" customHeight="1">
      <c r="A91" s="156" t="n">
        <v>88</v>
      </c>
      <c r="B91" s="157" t="inlineStr">
        <is>
          <t>Deslizamento de terra interdita rua em Presidente Getúlio</t>
        </is>
      </c>
      <c r="C91" s="173" t="inlineStr">
        <is>
          <t>Hazards &amp; Resilience</t>
        </is>
      </c>
      <c r="D91" s="159" t="n">
        <v>0</v>
      </c>
      <c r="E91" s="181" t="inlineStr">
        <is>
          <t>Not rated</t>
        </is>
      </c>
      <c r="F91" s="161" t="inlineStr">
        <is>
          <t>To review</t>
        </is>
      </c>
      <c r="G91" s="162" t="n"/>
      <c r="H91" s="163" t="n"/>
      <c r="I91" s="164" t="n"/>
      <c r="J91" s="164" t="inlineStr">
        <is>
          <t>Rádio Mirador</t>
        </is>
      </c>
      <c r="K91" s="165" t="n">
        <v>46319</v>
      </c>
      <c r="L91" s="164" t="n"/>
      <c r="M91" s="166" t="n"/>
      <c r="N91" s="167" t="inlineStr">
        <is>
          <t>Brazil</t>
        </is>
      </c>
      <c r="O91" s="165" t="n">
        <v>46318</v>
      </c>
      <c r="P91" s="168" t="inlineStr">
        <is>
          <t>2026-Q4</t>
        </is>
      </c>
      <c r="Q91" s="169" t="inlineStr">
        <is>
          <t>landslide</t>
        </is>
      </c>
      <c r="R91" s="156" t="n">
        <v>10</v>
      </c>
      <c r="S91" s="170" t="inlineStr">
        <is>
          <t>https://news.google.com/rss/articles/CBMijwFBVV95cUxOQmtEZEdrMWhmZUEwa1hSMndKN3o1aHpSZVdNY2FJdTJjWUNvOVBoU05DeDRVSzVKaml3V1lVdkpaR2NGMDdWLWh1TjdXTHZ2QmNWTjBmcmsySW83MnRxU1A1Q3ZfV2NjRXZGSzc4dTdQMUpfTXdGSGhaajJjMlp5dXpYSVlEM19aVllYenIxWQ?oc=5</t>
        </is>
      </c>
      <c r="T91" s="171">
        <f>IF($B91="",0,IF(AND(OR(OR(Dashboard!$B$5="All themes",Dashboard!$B$5=""),$C91=Dashboard!$B$5),OR(OR(Dashboard!$G$5="All uses",Dashboard!$G$5=""),$E91=Dashboard!$G$5),N($D91)&gt;=Lists!$H$2,OR(OR(Dashboard!$N$5="All windows",Dashboard!$N$5=""),$P91=Dashboard!$N$5)),1,0))</f>
        <v/>
      </c>
      <c r="U91" s="172">
        <f>IF($T91=1,N($D91)*1E14+MIN(MAX(N($R91),0),9999)*1E10+MIN(N($K91),99999)*1E5+99999-MIN(ROW(),99999),"")</f>
        <v/>
      </c>
    </row>
    <row r="92" ht="28" customHeight="1">
      <c r="A92" s="156" t="n">
        <v>89</v>
      </c>
      <c r="B92" s="157" t="inlineStr">
        <is>
          <t>Deslizamento e obras exigem atenção de motoristas na Serra Dona Francisca</t>
        </is>
      </c>
      <c r="C92" s="173" t="inlineStr">
        <is>
          <t>Hazards &amp; Resilience</t>
        </is>
      </c>
      <c r="D92" s="159" t="n">
        <v>0</v>
      </c>
      <c r="E92" s="181" t="inlineStr">
        <is>
          <t>Not rated</t>
        </is>
      </c>
      <c r="F92" s="161" t="inlineStr">
        <is>
          <t>To review</t>
        </is>
      </c>
      <c r="G92" s="162" t="n"/>
      <c r="H92" s="163" t="n"/>
      <c r="I92" s="164" t="n"/>
      <c r="J92" s="164" t="inlineStr">
        <is>
          <t>ND Mais</t>
        </is>
      </c>
      <c r="K92" s="165" t="n">
        <v>46319</v>
      </c>
      <c r="L92" s="164" t="n"/>
      <c r="M92" s="166" t="n"/>
      <c r="N92" s="167" t="inlineStr">
        <is>
          <t>Brazil</t>
        </is>
      </c>
      <c r="O92" s="165" t="n">
        <v>46318</v>
      </c>
      <c r="P92" s="168" t="inlineStr">
        <is>
          <t>2026-Q4</t>
        </is>
      </c>
      <c r="Q92" s="169" t="inlineStr">
        <is>
          <t>landslide</t>
        </is>
      </c>
      <c r="R92" s="156" t="n">
        <v>10</v>
      </c>
      <c r="S92" s="170"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92" s="171">
        <f>IF($B92="",0,IF(AND(OR(OR(Dashboard!$B$5="All themes",Dashboard!$B$5=""),$C92=Dashboard!$B$5),OR(OR(Dashboard!$G$5="All uses",Dashboard!$G$5=""),$E92=Dashboard!$G$5),N($D92)&gt;=Lists!$H$2,OR(OR(Dashboard!$N$5="All windows",Dashboard!$N$5=""),$P92=Dashboard!$N$5)),1,0))</f>
        <v/>
      </c>
      <c r="U92" s="172">
        <f>IF($T92=1,N($D92)*1E14+MIN(MAX(N($R92),0),9999)*1E10+MIN(N($K92),99999)*1E5+99999-MIN(ROW(),99999),"")</f>
        <v/>
      </c>
    </row>
    <row r="93" ht="28" customHeight="1">
      <c r="A93" s="156" t="n">
        <v>90</v>
      </c>
      <c r="B93" s="157" t="inlineStr">
        <is>
          <t>Barreira de contenção de deslizamentos de terra 'ameaça' área residencial.</t>
        </is>
      </c>
      <c r="C93" s="173" t="inlineStr">
        <is>
          <t>Hazards &amp; Resilience</t>
        </is>
      </c>
      <c r="D93" s="159" t="n">
        <v>0</v>
      </c>
      <c r="E93" s="181" t="inlineStr">
        <is>
          <t>Not rated</t>
        </is>
      </c>
      <c r="F93" s="161" t="inlineStr">
        <is>
          <t>To review</t>
        </is>
      </c>
      <c r="G93" s="162" t="n"/>
      <c r="H93" s="163" t="n"/>
      <c r="I93" s="164" t="n"/>
      <c r="J93" s="164" t="inlineStr">
        <is>
          <t>Vietnam.vn</t>
        </is>
      </c>
      <c r="K93" s="165" t="n">
        <v>46319</v>
      </c>
      <c r="L93" s="164" t="n"/>
      <c r="M93" s="166" t="n"/>
      <c r="N93" s="167" t="inlineStr">
        <is>
          <t>Brazil</t>
        </is>
      </c>
      <c r="O93" s="165" t="n">
        <v>46318</v>
      </c>
      <c r="P93" s="168" t="inlineStr">
        <is>
          <t>2026-Q4</t>
        </is>
      </c>
      <c r="Q93" s="169" t="inlineStr">
        <is>
          <t>landslide</t>
        </is>
      </c>
      <c r="R93" s="156" t="n">
        <v>10</v>
      </c>
      <c r="S93" s="170" t="inlineStr">
        <is>
          <t>https://news.google.com/rss/articles/CBMia0FVX3lxTE5tc2Q1eWZWbEpoMElrMXZsaVZ1Vk9kZmpFbjNpam0wTEtYbklkbkxMV0N2OGxxSVdyQy1mczZrTUZ6LThoM3FUc0lpRlE4U2o3ajBWTklFaE4yRmVZeWlVbnVDWUpBQW1kZDd3?oc=5</t>
        </is>
      </c>
      <c r="T93" s="171">
        <f>IF($B93="",0,IF(AND(OR(OR(Dashboard!$B$5="All themes",Dashboard!$B$5=""),$C93=Dashboard!$B$5),OR(OR(Dashboard!$G$5="All uses",Dashboard!$G$5=""),$E93=Dashboard!$G$5),N($D93)&gt;=Lists!$H$2,OR(OR(Dashboard!$N$5="All windows",Dashboard!$N$5=""),$P93=Dashboard!$N$5)),1,0))</f>
        <v/>
      </c>
      <c r="U93" s="172">
        <f>IF($T93=1,N($D93)*1E14+MIN(MAX(N($R93),0),9999)*1E10+MIN(N($K93),99999)*1E5+99999-MIN(ROW(),99999),"")</f>
        <v/>
      </c>
    </row>
    <row r="94" ht="28" customHeight="1">
      <c r="A94" s="156" t="n">
        <v>91</v>
      </c>
      <c r="B94" s="157" t="inlineStr">
        <is>
          <t>O Passo de Khanh Le está parcialmente fechado para lidar com o risco de deslizamentos de rochas.</t>
        </is>
      </c>
      <c r="C94" s="173" t="inlineStr">
        <is>
          <t>Hazards &amp; Resilience</t>
        </is>
      </c>
      <c r="D94" s="159" t="n">
        <v>0</v>
      </c>
      <c r="E94" s="181" t="inlineStr">
        <is>
          <t>Not rated</t>
        </is>
      </c>
      <c r="F94" s="161" t="inlineStr">
        <is>
          <t>To review</t>
        </is>
      </c>
      <c r="G94" s="162" t="n"/>
      <c r="H94" s="163" t="n"/>
      <c r="I94" s="164" t="n"/>
      <c r="J94" s="164" t="inlineStr">
        <is>
          <t>Vietnam.vn</t>
        </is>
      </c>
      <c r="K94" s="165" t="n">
        <v>46319</v>
      </c>
      <c r="L94" s="164" t="n"/>
      <c r="M94" s="166" t="n"/>
      <c r="N94" s="167" t="inlineStr">
        <is>
          <t>Brazil</t>
        </is>
      </c>
      <c r="O94" s="165" t="n">
        <v>46317</v>
      </c>
      <c r="P94" s="168" t="inlineStr">
        <is>
          <t>2026-Q4</t>
        </is>
      </c>
      <c r="Q94" s="169" t="inlineStr">
        <is>
          <t>landslide</t>
        </is>
      </c>
      <c r="R94" s="156" t="n">
        <v>10</v>
      </c>
      <c r="S94" s="170" t="inlineStr">
        <is>
          <t>https://news.google.com/rss/articles/CBMihwFBVV95cUxNWXlvSFo3bWQtUU5UOWNzSFBmc0d4OXZnaDhOT2FvWktoZlhwNl93bHRxS212OE1IUmhzenhkalRrY2E2bjJWSU1lU0RUQkZqUF9kUGtkVTIzR0xFdkN6bU1xaGJBNW9uZGRCSlFVejgwaTI5ZFZIYi1uSzA2SUVwalVxM1NrcUk?oc=5</t>
        </is>
      </c>
      <c r="T94" s="171">
        <f>IF($B94="",0,IF(AND(OR(OR(Dashboard!$B$5="All themes",Dashboard!$B$5=""),$C94=Dashboard!$B$5),OR(OR(Dashboard!$G$5="All uses",Dashboard!$G$5=""),$E94=Dashboard!$G$5),N($D94)&gt;=Lists!$H$2,OR(OR(Dashboard!$N$5="All windows",Dashboard!$N$5=""),$P94=Dashboard!$N$5)),1,0))</f>
        <v/>
      </c>
      <c r="U94" s="172">
        <f>IF($T94=1,N($D94)*1E14+MIN(MAX(N($R94),0),9999)*1E10+MIN(N($K94),99999)*1E5+99999-MIN(ROW(),99999),"")</f>
        <v/>
      </c>
    </row>
    <row r="95" ht="40.5" customHeight="1">
      <c r="A95" s="156" t="n">
        <v>92</v>
      </c>
      <c r="B95" s="157" t="inlineStr">
        <is>
          <t>Nghe An: É necessária uma ação urgente para resolver o deslizamento de terra no aterro ao longo da estrada costeira.</t>
        </is>
      </c>
      <c r="C95" s="173" t="inlineStr">
        <is>
          <t>Hazards &amp; Resilience</t>
        </is>
      </c>
      <c r="D95" s="159" t="n">
        <v>0</v>
      </c>
      <c r="E95" s="181" t="inlineStr">
        <is>
          <t>Not rated</t>
        </is>
      </c>
      <c r="F95" s="161" t="inlineStr">
        <is>
          <t>To review</t>
        </is>
      </c>
      <c r="G95" s="162" t="n"/>
      <c r="H95" s="163" t="n"/>
      <c r="I95" s="164" t="n"/>
      <c r="J95" s="164" t="inlineStr">
        <is>
          <t>Vietnam.vn</t>
        </is>
      </c>
      <c r="K95" s="165" t="n">
        <v>46319</v>
      </c>
      <c r="L95" s="164" t="n"/>
      <c r="M95" s="166" t="n"/>
      <c r="N95" s="167" t="inlineStr">
        <is>
          <t>Brazil</t>
        </is>
      </c>
      <c r="O95" s="165" t="n">
        <v>46318</v>
      </c>
      <c r="P95" s="168" t="inlineStr">
        <is>
          <t>2026-Q4</t>
        </is>
      </c>
      <c r="Q95" s="169" t="inlineStr">
        <is>
          <t>landslide, embankment</t>
        </is>
      </c>
      <c r="R95" s="156" t="n">
        <v>10</v>
      </c>
      <c r="S95" s="170" t="inlineStr">
        <is>
          <t>https://news.google.com/rss/articles/CBMilwFBVV95cUxQNFdPY1VZVlJkdU4wSTF5QkNkRktENnRtS3lrNW5zQlZyZ0x3V0F2Q05nbUtZelZ3c1pBQW5uU25YRU9BZndwMDRoWDc2eU5nS0x2ME1RLXNSMUhlTGNxbHE1VVpRZjVXQUZ2SHBtaE10NzhncXdXZTQwV2tQWmxOcW1pSHF2c2xnSF9qcGZ6NXFqcXZkYTlB?oc=5</t>
        </is>
      </c>
      <c r="T95" s="171">
        <f>IF($B95="",0,IF(AND(OR(OR(Dashboard!$B$5="All themes",Dashboard!$B$5=""),$C95=Dashboard!$B$5),OR(OR(Dashboard!$G$5="All uses",Dashboard!$G$5=""),$E95=Dashboard!$G$5),N($D95)&gt;=Lists!$H$2,OR(OR(Dashboard!$N$5="All windows",Dashboard!$N$5=""),$P95=Dashboard!$N$5)),1,0))</f>
        <v/>
      </c>
      <c r="U95" s="172">
        <f>IF($T95=1,N($D95)*1E14+MIN(MAX(N($R95),0),9999)*1E10+MIN(N($K95),99999)*1E5+99999-MIN(ROW(),99999),"")</f>
        <v/>
      </c>
    </row>
    <row r="96" ht="40.5" customHeight="1">
      <c r="A96" s="156" t="n">
        <v>93</v>
      </c>
      <c r="B96" s="157" t="inlineStr">
        <is>
          <t>Embora concordem em se mudar para evitar deslizamentos de terra, os moradores de Nui Mot estão preocupados com a indenização e o reassentamento.</t>
        </is>
      </c>
      <c r="C96" s="173" t="inlineStr">
        <is>
          <t>Hazards &amp; Resilience</t>
        </is>
      </c>
      <c r="D96" s="159" t="n">
        <v>0</v>
      </c>
      <c r="E96" s="181" t="inlineStr">
        <is>
          <t>Not rated</t>
        </is>
      </c>
      <c r="F96" s="161" t="inlineStr">
        <is>
          <t>To review</t>
        </is>
      </c>
      <c r="G96" s="162" t="n"/>
      <c r="H96" s="163" t="n"/>
      <c r="I96" s="164" t="n"/>
      <c r="J96" s="164" t="inlineStr">
        <is>
          <t>Vietnam.vn</t>
        </is>
      </c>
      <c r="K96" s="165" t="n">
        <v>46319</v>
      </c>
      <c r="L96" s="164" t="n"/>
      <c r="M96" s="166" t="n"/>
      <c r="N96" s="167" t="inlineStr">
        <is>
          <t>Brazil</t>
        </is>
      </c>
      <c r="O96" s="165" t="n">
        <v>46317</v>
      </c>
      <c r="P96" s="168" t="inlineStr">
        <is>
          <t>2026-Q4</t>
        </is>
      </c>
      <c r="Q96" s="169" t="inlineStr">
        <is>
          <t>landslide</t>
        </is>
      </c>
      <c r="R96" s="156" t="n">
        <v>10</v>
      </c>
      <c r="S96" s="170"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96" s="171">
        <f>IF($B96="",0,IF(AND(OR(OR(Dashboard!$B$5="All themes",Dashboard!$B$5=""),$C96=Dashboard!$B$5),OR(OR(Dashboard!$G$5="All uses",Dashboard!$G$5=""),$E96=Dashboard!$G$5),N($D96)&gt;=Lists!$H$2,OR(OR(Dashboard!$N$5="All windows",Dashboard!$N$5=""),$P96=Dashboard!$N$5)),1,0))</f>
        <v/>
      </c>
      <c r="U96" s="172">
        <f>IF($T96=1,N($D96)*1E14+MIN(MAX(N($R96),0),9999)*1E10+MIN(N($K96),99999)*1E5+99999-MIN(ROW(),99999),"")</f>
        <v/>
      </c>
    </row>
  </sheetData>
  <conditionalFormatting sqref="F4:F9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96">
    <cfRule type="expression" priority="6" dxfId="15">
      <formula>$F4="Not used"</formula>
    </cfRule>
  </conditionalFormatting>
  <conditionalFormatting sqref="D4:D96">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96"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94"/>
  </tableParts>
</worksheet>
</file>

<file path=xl/worksheets/sheet4.xml><?xml version="1.0" encoding="utf-8"?>
<worksheet xmlns="http://schemas.openxmlformats.org/spreadsheetml/2006/main">
  <sheetPr>
    <tabColor rgb="001F9D63"/>
    <outlinePr applyStyles="0" summaryBelow="0" summaryRight="1"/>
    <pageSetUpPr fitToPage="1"/>
  </sheetPr>
  <dimension ref="A1:I11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0" t="inlineStr">
        <is>
          <t>Stories by theme</t>
        </is>
      </c>
      <c r="D1" s="151" t="inlineStr">
        <is>
          <t>← Dashboard</t>
        </is>
      </c>
      <c r="E1" s="151" t="inlineStr">
        <is>
          <t>↑ Start here</t>
        </is>
      </c>
      <c r="F1" s="151" t="inlineStr">
        <is>
          <t>Stories →</t>
        </is>
      </c>
    </row>
    <row r="2" ht="16" customHeight="1">
      <c r="A2" s="152" t="inlineStr">
        <is>
          <t>Read-only view, best stories first. Click − / + in the margin on the left to collapse or expand a theme (or the 1 / 2 buttons for all). Status comes from the Stories sheet.</t>
        </is>
      </c>
    </row>
    <row r="4" ht="26" customHeight="1">
      <c r="A4" s="182" t="inlineStr">
        <is>
          <t>Digital Geotechnics   ·   1 story   ·   1 rated 5 / 5   ·   0 feature leads</t>
        </is>
      </c>
      <c r="B4" s="183" t="n"/>
      <c r="C4" s="183" t="n"/>
      <c r="D4" s="183" t="n"/>
      <c r="E4" s="183" t="n"/>
      <c r="F4" s="183" t="n"/>
      <c r="G4" s="183" t="n"/>
      <c r="H4" s="183" t="n"/>
      <c r="I4" s="183" t="n"/>
    </row>
    <row r="5" outlineLevel="1">
      <c r="A5" s="184" t="inlineStr">
        <is>
          <t>No.</t>
        </is>
      </c>
      <c r="B5" s="184" t="inlineStr">
        <is>
          <t>Relevance</t>
        </is>
      </c>
      <c r="C5" s="185" t="inlineStr">
        <is>
          <t>Headline</t>
        </is>
      </c>
      <c r="D5" s="184" t="inlineStr">
        <is>
          <t>Link</t>
        </is>
      </c>
      <c r="E5" s="185" t="inlineStr">
        <is>
          <t>Suggested use</t>
        </is>
      </c>
      <c r="F5" s="184" t="inlineStr">
        <is>
          <t>Status</t>
        </is>
      </c>
      <c r="G5" s="185" t="inlineStr">
        <is>
          <t>Source</t>
        </is>
      </c>
      <c r="H5" s="184" t="inlineStr">
        <is>
          <t>Digest</t>
        </is>
      </c>
      <c r="I5" s="185" t="inlineStr">
        <is>
          <t>Magazine angle / summary</t>
        </is>
      </c>
    </row>
    <row r="6" outlineLevel="1" ht="54" customHeight="1">
      <c r="A6" s="186" t="n">
        <v>1</v>
      </c>
      <c r="B6" s="187" t="n">
        <v>5</v>
      </c>
      <c r="C6" s="188" t="inlineStr">
        <is>
          <t>Automatic segmentation of rock mass fracture networks from UAV imagery using cross-domain transfer learning under scarce labels.</t>
        </is>
      </c>
      <c r="D6" s="189" t="inlineStr">
        <is>
          <t>Open article</t>
        </is>
      </c>
      <c r="E6" s="190" t="inlineStr">
        <is>
          <t>Academia-to-Industry topic</t>
        </is>
      </c>
      <c r="F6" s="191">
        <f>IFERROR(INDEX(Stories!$F$4:$F$96,MATCH($A6,Stories!$A$4:$A$96,0))&amp;"","")</f>
        <v/>
      </c>
      <c r="G6" s="192" t="inlineStr">
        <is>
          <t>生物通</t>
        </is>
      </c>
      <c r="H6" s="193" t="n">
        <v>46319</v>
      </c>
      <c r="I6" s="192" t="inlineStr">
        <is>
          <t>Can transfer learning from related image domains reliably segment rock fracture networks in UAV imagery when labelled data are scarce, and how accurate are the results?</t>
        </is>
      </c>
    </row>
    <row r="7" outlineLevel="1" ht="10" customHeight="1"/>
    <row r="8" ht="26" customHeight="1">
      <c r="A8" s="194" t="inlineStr">
        <is>
          <t>Hazards &amp; Resilience   ·   81 stories   ·   0 rated 5 / 5   ·   6 feature leads</t>
        </is>
      </c>
      <c r="B8" s="195" t="n"/>
      <c r="C8" s="195" t="n"/>
      <c r="D8" s="195" t="n"/>
      <c r="E8" s="195" t="n"/>
      <c r="F8" s="195" t="n"/>
      <c r="G8" s="195" t="n"/>
      <c r="H8" s="195" t="n"/>
      <c r="I8" s="195" t="n"/>
    </row>
    <row r="9" outlineLevel="1">
      <c r="A9" s="196" t="inlineStr">
        <is>
          <t>No.</t>
        </is>
      </c>
      <c r="B9" s="196" t="inlineStr">
        <is>
          <t>Relevance</t>
        </is>
      </c>
      <c r="C9" s="197" t="inlineStr">
        <is>
          <t>Headline</t>
        </is>
      </c>
      <c r="D9" s="196" t="inlineStr">
        <is>
          <t>Link</t>
        </is>
      </c>
      <c r="E9" s="197" t="inlineStr">
        <is>
          <t>Suggested use</t>
        </is>
      </c>
      <c r="F9" s="196" t="inlineStr">
        <is>
          <t>Status</t>
        </is>
      </c>
      <c r="G9" s="197" t="inlineStr">
        <is>
          <t>Source</t>
        </is>
      </c>
      <c r="H9" s="196" t="inlineStr">
        <is>
          <t>Digest</t>
        </is>
      </c>
      <c r="I9" s="197" t="inlineStr">
        <is>
          <t>Magazine angle / summary</t>
        </is>
      </c>
    </row>
    <row r="10" outlineLevel="1" ht="54" customHeight="1">
      <c r="A10" s="186" t="n">
        <v>2</v>
      </c>
      <c r="B10" s="187" t="n">
        <v>4</v>
      </c>
      <c r="C10" s="188" t="inlineStr">
        <is>
          <t>Landslide-prevention embankment threatens residential area</t>
        </is>
      </c>
      <c r="D10" s="189" t="inlineStr">
        <is>
          <t>Open article</t>
        </is>
      </c>
      <c r="E10" s="198" t="inlineStr">
        <is>
          <t>Feature lead</t>
        </is>
      </c>
      <c r="F10" s="191">
        <f>IFERROR(INDEX(Stories!$F$4:$F$96,MATCH($A10,Stories!$A$4:$A$96,0))&amp;"","")</f>
        <v/>
      </c>
      <c r="G10" s="192" t="inlineStr">
        <is>
          <t>Vietnam.vn</t>
        </is>
      </c>
      <c r="H10" s="193" t="n">
        <v>46319</v>
      </c>
      <c r="I10" s="192" t="inlineStr">
        <is>
          <t>Can retaining and protective embankments be designed to resist landslide loading from upslope slopes beside settlements, and how should such risk be assessed?</t>
        </is>
      </c>
    </row>
    <row r="11" outlineLevel="1" ht="41.5" customHeight="1">
      <c r="A11" s="186" t="n">
        <v>3</v>
      </c>
      <c r="B11" s="187" t="n">
        <v>4</v>
      </c>
      <c r="C11" s="188" t="inlineStr">
        <is>
          <t>Storms in Liguria, major landslide in Savona: the collapse destroyed a city road</t>
        </is>
      </c>
      <c r="D11" s="189" t="inlineStr">
        <is>
          <t>Open article</t>
        </is>
      </c>
      <c r="E11" s="199" t="inlineStr">
        <is>
          <t>News brief</t>
        </is>
      </c>
      <c r="F11" s="191">
        <f>IFERROR(INDEX(Stories!$F$4:$F$96,MATCH($A11,Stories!$A$4:$A$96,0))&amp;"","")</f>
        <v/>
      </c>
      <c r="G11" s="192" t="inlineStr">
        <is>
          <t>agenzia giornalistica opinione</t>
        </is>
      </c>
      <c r="H11" s="193" t="n">
        <v>46319</v>
      </c>
      <c r="I11" s="192" t="inlineStr">
        <is>
          <t>What triggered this large rock or soil slope failure in Savona during heavy rain, and what does the collapse reveal about slope stability in Liguria?</t>
        </is>
      </c>
    </row>
    <row r="12" outlineLevel="1" ht="41.5" customHeight="1">
      <c r="A12" s="186" t="n">
        <v>4</v>
      </c>
      <c r="B12" s="187" t="n">
        <v>4</v>
      </c>
      <c r="C12" s="188" t="inlineStr">
        <is>
          <t>At Khanh Le pass, traffic will be interrupted at 30-minute intervals to deal with landslides; road users should plan accordingly</t>
        </is>
      </c>
      <c r="D12" s="189" t="inlineStr">
        <is>
          <t>Open article</t>
        </is>
      </c>
      <c r="E12" s="198" t="inlineStr">
        <is>
          <t>Feature lead</t>
        </is>
      </c>
      <c r="F12" s="191">
        <f>IFERROR(INDEX(Stories!$F$4:$F$96,MATCH($A12,Stories!$A$4:$A$96,0))&amp;"","")</f>
        <v/>
      </c>
      <c r="G12" s="192" t="inlineStr">
        <is>
          <t>Vietnam.vn</t>
        </is>
      </c>
      <c r="H12" s="193" t="n">
        <v>46319</v>
      </c>
      <c r="I12" s="192" t="inlineStr">
        <is>
          <t>How should traffic management and monitoring be combined with slope stabilisation on mountain passes subject to recurrent landslides?</t>
        </is>
      </c>
    </row>
    <row r="13" outlineLevel="1" ht="41.5" customHeight="1">
      <c r="A13" s="186" t="n">
        <v>5</v>
      </c>
      <c r="B13" s="187" t="n">
        <v>4</v>
      </c>
      <c r="C13" s="188" t="inlineStr">
        <is>
          <t>Valmontone, bad weather: tuff slope collapses onto Prenestina road, road partially closed</t>
        </is>
      </c>
      <c r="D13" s="189" t="inlineStr">
        <is>
          <t>Open article</t>
        </is>
      </c>
      <c r="E13" s="199" t="inlineStr">
        <is>
          <t>News brief</t>
        </is>
      </c>
      <c r="F13" s="191">
        <f>IFERROR(INDEX(Stories!$F$4:$F$96,MATCH($A13,Stories!$A$4:$A$96,0))&amp;"","")</f>
        <v/>
      </c>
      <c r="G13" s="192" t="inlineStr">
        <is>
          <t>Il Giornale dei Castelli Romani</t>
        </is>
      </c>
      <c r="H13" s="193" t="n">
        <v>46319</v>
      </c>
      <c r="I13" s="192" t="inlineStr">
        <is>
          <t>What causes tuff cliff collapse in volcanic deposits under rainfall, and how can such slopes be assessed and stabilised near roads?</t>
        </is>
      </c>
    </row>
    <row r="14" outlineLevel="1" ht="41.5" customHeight="1">
      <c r="A14" s="186" t="n">
        <v>6</v>
      </c>
      <c r="B14" s="187" t="n">
        <v>4</v>
      </c>
      <c r="C14" s="188" t="inlineStr">
        <is>
          <t>Bonea, landslide in Capo locality: mayor closes three roads by urgent order</t>
        </is>
      </c>
      <c r="D14" s="189" t="inlineStr">
        <is>
          <t>Open article</t>
        </is>
      </c>
      <c r="E14" s="199" t="inlineStr">
        <is>
          <t>News brief</t>
        </is>
      </c>
      <c r="F14" s="191">
        <f>IFERROR(INDEX(Stories!$F$4:$F$96,MATCH($A14,Stories!$A$4:$A$96,0))&amp;"","")</f>
        <v/>
      </c>
      <c r="G14" s="192" t="inlineStr">
        <is>
          <t>Tv7 Benevento</t>
        </is>
      </c>
      <c r="H14" s="193" t="n">
        <v>46319</v>
      </c>
      <c r="I14" s="192" t="inlineStr">
        <is>
          <t>What ground investigation would confirm the landslide mechanism at Capo locality and guide safe reopening of the three closed roads?</t>
        </is>
      </c>
    </row>
    <row r="15" outlineLevel="1" ht="41.5" customHeight="1">
      <c r="A15" s="186" t="n">
        <v>7</v>
      </c>
      <c r="B15" s="187" t="n">
        <v>4</v>
      </c>
      <c r="C15" s="188" t="inlineStr">
        <is>
          <t>La frana del Cencione Tra fango e polemiche Le ruspe sono al lavoro</t>
        </is>
      </c>
      <c r="D15" s="189" t="inlineStr">
        <is>
          <t>Open article</t>
        </is>
      </c>
      <c r="E15" s="198" t="inlineStr">
        <is>
          <t>Feature lead</t>
        </is>
      </c>
      <c r="F15" s="191">
        <f>IFERROR(INDEX(Stories!$F$4:$F$96,MATCH($A15,Stories!$A$4:$A$96,0))&amp;"","")</f>
        <v/>
      </c>
      <c r="G15" s="192" t="inlineStr">
        <is>
          <t>Zazoom Social News</t>
        </is>
      </c>
      <c r="H15" s="193" t="n">
        <v>46319</v>
      </c>
      <c r="I15" s="192" t="inlineStr">
        <is>
          <t>How should authorities balance urgent earthworks with geotechnical investigation and accountability when a landslide site becomes politically contested?</t>
        </is>
      </c>
    </row>
    <row r="16" outlineLevel="1" ht="41.5" customHeight="1">
      <c r="A16" s="186" t="n">
        <v>8</v>
      </c>
      <c r="B16" s="187" t="n">
        <v>4</v>
      </c>
      <c r="C16" s="188" t="inlineStr">
        <is>
          <t>TNI helps landslide victims in Lae Ikan, Subulussalam</t>
        </is>
      </c>
      <c r="D16" s="189" t="inlineStr">
        <is>
          <t>Open article</t>
        </is>
      </c>
      <c r="E16" s="199" t="inlineStr">
        <is>
          <t>News brief</t>
        </is>
      </c>
      <c r="F16" s="191">
        <f>IFERROR(INDEX(Stories!$F$4:$F$96,MATCH($A16,Stories!$A$4:$A$96,0))&amp;"","")</f>
        <v/>
      </c>
      <c r="G16" s="192" t="inlineStr">
        <is>
          <t>RRI.co.id</t>
        </is>
      </c>
      <c r="H16" s="193" t="n">
        <v>46319</v>
      </c>
      <c r="I16" s="192" t="inlineStr">
        <is>
          <t>What role can emergency response and rapid geotechnical assessment play after a landslide in a mountainous Indonesian village?</t>
        </is>
      </c>
    </row>
    <row r="17" outlineLevel="1" ht="41.5" customHeight="1">
      <c r="A17" s="186" t="n">
        <v>9</v>
      </c>
      <c r="B17" s="187" t="n">
        <v>4</v>
      </c>
      <c r="C17" s="188" t="inlineStr">
        <is>
          <t>Valmontone – Landslide near homes due to bad weather, partial road closure</t>
        </is>
      </c>
      <c r="D17" s="189" t="inlineStr">
        <is>
          <t>Open article</t>
        </is>
      </c>
      <c r="E17" s="199" t="inlineStr">
        <is>
          <t>News brief</t>
        </is>
      </c>
      <c r="F17" s="191">
        <f>IFERROR(INDEX(Stories!$F$4:$F$96,MATCH($A17,Stories!$A$4:$A$96,0))&amp;"","")</f>
        <v/>
      </c>
      <c r="G17" s="192" t="inlineStr">
        <is>
          <t>lacronaca24.it</t>
        </is>
      </c>
      <c r="H17" s="193" t="n">
        <v>46319</v>
      </c>
      <c r="I17" s="192" t="inlineStr">
        <is>
          <t>What slope failure mechanism threatens homes near this Valmontone landslide, and what monitoring is needed before residents return?</t>
        </is>
      </c>
    </row>
    <row r="18" outlineLevel="1" ht="41.5" customHeight="1">
      <c r="A18" s="186" t="n">
        <v>10</v>
      </c>
      <c r="B18" s="187" t="n">
        <v>4</v>
      </c>
      <c r="C18" s="188" t="inlineStr">
        <is>
          <t>Source: no casualties in Tanta building collapse and 4 cars destroyed - video and photos</t>
        </is>
      </c>
      <c r="D18" s="189" t="inlineStr">
        <is>
          <t>Open article</t>
        </is>
      </c>
      <c r="E18" s="199" t="inlineStr">
        <is>
          <t>News brief</t>
        </is>
      </c>
      <c r="F18" s="191">
        <f>IFERROR(INDEX(Stories!$F$4:$F$96,MATCH($A18,Stories!$A$4:$A$96,0))&amp;"","")</f>
        <v/>
      </c>
      <c r="G18" s="192" t="inlineStr">
        <is>
          <t>Masrawy</t>
        </is>
      </c>
      <c r="H18" s="193" t="n">
        <v>46319</v>
      </c>
      <c r="I18" s="192" t="inlineStr">
        <is>
          <t>What caused the collapse of this Tanta building, and what foundation or excavation failure lessons does it offer?</t>
        </is>
      </c>
    </row>
    <row r="19" outlineLevel="1" ht="41.5" customHeight="1">
      <c r="A19" s="186" t="n">
        <v>11</v>
      </c>
      <c r="B19" s="187" t="n">
        <v>4</v>
      </c>
      <c r="C19" s="188" t="inlineStr">
        <is>
          <t>25 subdistricts in Bandung Regency classified as medium-high landslide potential</t>
        </is>
      </c>
      <c r="D19" s="189" t="inlineStr">
        <is>
          <t>Open article</t>
        </is>
      </c>
      <c r="E19" s="200" t="inlineStr">
        <is>
          <t>Regional insight</t>
        </is>
      </c>
      <c r="F19" s="191">
        <f>IFERROR(INDEX(Stories!$F$4:$F$96,MATCH($A19,Stories!$A$4:$A$96,0))&amp;"","")</f>
        <v/>
      </c>
      <c r="G19" s="192" t="inlineStr">
        <is>
          <t>Pikiran-Rakyat.com</t>
        </is>
      </c>
      <c r="H19" s="193" t="n">
        <v>46319</v>
      </c>
      <c r="I19" s="192" t="inlineStr">
        <is>
          <t>How are landslide susceptibility maps produced for districts, and how should medium-high hazard classes inform land-use planning?</t>
        </is>
      </c>
    </row>
    <row r="20" outlineLevel="1" ht="54" customHeight="1">
      <c r="A20" s="186" t="n">
        <v>16</v>
      </c>
      <c r="B20" s="187" t="n">
        <v>4</v>
      </c>
      <c r="C20" s="188" t="inlineStr">
        <is>
          <t>Special feature: Typhoon No. 25 triggers many landslides; dangers hidden in Chiba's Boso Peninsula terrain, 'high valley density'.</t>
        </is>
      </c>
      <c r="D20" s="189" t="inlineStr">
        <is>
          <t>Open article</t>
        </is>
      </c>
      <c r="E20" s="198" t="inlineStr">
        <is>
          <t>Feature lead</t>
        </is>
      </c>
      <c r="F20" s="191">
        <f>IFERROR(INDEX(Stories!$F$4:$F$96,MATCH($A20,Stories!$A$4:$A$96,0))&amp;"","")</f>
        <v/>
      </c>
      <c r="G20" s="192" t="inlineStr">
        <is>
          <t>Yahoo!ニュース</t>
        </is>
      </c>
      <c r="H20" s="193" t="n">
        <v>46319</v>
      </c>
      <c r="I20" s="192" t="inlineStr">
        <is>
          <t>Why does high valley density amplify landslide susceptibility in the Boso Peninsula, and how do weathered sedimentary slopes respond to intense typhoon rainfall?</t>
        </is>
      </c>
    </row>
    <row r="21" outlineLevel="1" ht="41.5" customHeight="1">
      <c r="A21" s="186" t="n">
        <v>17</v>
      </c>
      <c r="B21" s="187" t="n">
        <v>4</v>
      </c>
      <c r="C21" s="188" t="inlineStr">
        <is>
          <t>M4 to be shut and speed limits put in place after landslide</t>
        </is>
      </c>
      <c r="D21" s="189" t="inlineStr">
        <is>
          <t>Open article</t>
        </is>
      </c>
      <c r="E21" s="199" t="inlineStr">
        <is>
          <t>News brief</t>
        </is>
      </c>
      <c r="F21" s="191">
        <f>IFERROR(INDEX(Stories!$F$4:$F$96,MATCH($A21,Stories!$A$4:$A$96,0))&amp;"","")</f>
        <v/>
      </c>
      <c r="G21" s="192" t="inlineStr">
        <is>
          <t>South West Farmer</t>
        </is>
      </c>
      <c r="H21" s="193" t="n">
        <v>46319</v>
      </c>
      <c r="I21" s="192" t="inlineStr">
        <is>
          <t>What likely caused the M4 landslide, and how should highway embankments and cuttings be assessed for failure after heavy rainfall?</t>
        </is>
      </c>
    </row>
    <row r="22" outlineLevel="1" ht="41.5" customHeight="1">
      <c r="A22" s="186" t="n">
        <v>18</v>
      </c>
      <c r="B22" s="187" t="n">
        <v>4</v>
      </c>
      <c r="C22" s="188" t="inlineStr">
        <is>
          <t>Nilgiris Landslides: bus driver killed, Schoolchildren among 300 rescued</t>
        </is>
      </c>
      <c r="D22" s="189" t="inlineStr">
        <is>
          <t>Open article</t>
        </is>
      </c>
      <c r="E22" s="199" t="inlineStr">
        <is>
          <t>News brief</t>
        </is>
      </c>
      <c r="F22" s="191">
        <f>IFERROR(INDEX(Stories!$F$4:$F$96,MATCH($A22,Stories!$A$4:$A$96,0))&amp;"","")</f>
        <v/>
      </c>
      <c r="G22" s="192" t="inlineStr">
        <is>
          <t>The Hindu</t>
        </is>
      </c>
      <c r="H22" s="193" t="n">
        <v>46319</v>
      </c>
      <c r="I22" s="192" t="inlineStr">
        <is>
          <t>What triggered the Nilgiris landslides, and what early-warning and slope-stability measures could reduce fatalities on hill-region roads?</t>
        </is>
      </c>
    </row>
    <row r="23" outlineLevel="1" ht="41.5" customHeight="1">
      <c r="A23" s="186" t="n">
        <v>19</v>
      </c>
      <c r="B23" s="187" t="n">
        <v>4</v>
      </c>
      <c r="C23" s="188" t="inlineStr">
        <is>
          <t>Tamil Nadu landslide kills government bus driver after 50 passengers evacuated near Parliyar</t>
        </is>
      </c>
      <c r="D23" s="189" t="inlineStr">
        <is>
          <t>Open article</t>
        </is>
      </c>
      <c r="E23" s="199" t="inlineStr">
        <is>
          <t>News brief</t>
        </is>
      </c>
      <c r="F23" s="191">
        <f>IFERROR(INDEX(Stories!$F$4:$F$96,MATCH($A23,Stories!$A$4:$A$96,0))&amp;"","")</f>
        <v/>
      </c>
      <c r="G23" s="192" t="inlineStr">
        <is>
          <t>Telangana Today</t>
        </is>
      </c>
      <c r="H23" s="193" t="n">
        <v>46319</v>
      </c>
      <c r="I23" s="192" t="inlineStr">
        <is>
          <t>What ground and rainfall conditions caused the Parliyar landslide that hit a bus, and how can hill-road slopes be screened for similar risk?</t>
        </is>
      </c>
    </row>
    <row r="24" outlineLevel="1" ht="41.5" customHeight="1">
      <c r="A24" s="186" t="n">
        <v>20</v>
      </c>
      <c r="B24" s="187" t="n">
        <v>4</v>
      </c>
      <c r="C24" s="188" t="inlineStr">
        <is>
          <t>In Massachusetts, sinkhole questions linger as mill demolition clears way for housing units</t>
        </is>
      </c>
      <c r="D24" s="189" t="inlineStr">
        <is>
          <t>Open article</t>
        </is>
      </c>
      <c r="E24" s="198" t="inlineStr">
        <is>
          <t>Feature lead</t>
        </is>
      </c>
      <c r="F24" s="191">
        <f>IFERROR(INDEX(Stories!$F$4:$F$96,MATCH($A24,Stories!$A$4:$A$96,0))&amp;"","")</f>
        <v/>
      </c>
      <c r="G24" s="192" t="inlineStr">
        <is>
          <t>Yahoo</t>
        </is>
      </c>
      <c r="H24" s="193" t="n">
        <v>46319</v>
      </c>
      <c r="I24" s="192" t="inlineStr">
        <is>
          <t>How should sinkhole origin be investigated beneath a former mill site before redevelopment for housing, and what ground remediation is needed?</t>
        </is>
      </c>
    </row>
    <row r="25" outlineLevel="1" ht="41.5" customHeight="1">
      <c r="A25" s="186" t="n">
        <v>21</v>
      </c>
      <c r="B25" s="187" t="n">
        <v>4</v>
      </c>
      <c r="C25" s="188" t="inlineStr">
        <is>
          <t>Magnitude 7 earthquake in Biru County, Nagqu, Tibet; some houses cracked and collapsed.</t>
        </is>
      </c>
      <c r="D25" s="189" t="inlineStr">
        <is>
          <t>Open article</t>
        </is>
      </c>
      <c r="E25" s="198" t="inlineStr">
        <is>
          <t>Feature lead</t>
        </is>
      </c>
      <c r="F25" s="191">
        <f>IFERROR(INDEX(Stories!$F$4:$F$96,MATCH($A25,Stories!$A$4:$A$96,0))&amp;"","")</f>
        <v/>
      </c>
      <c r="G25" s="192" t="inlineStr">
        <is>
          <t>新唐人電視台</t>
        </is>
      </c>
      <c r="H25" s="193" t="n">
        <v>46319</v>
      </c>
      <c r="I25" s="192" t="inlineStr">
        <is>
          <t>How do high-altitude site conditions and local soils influence seismic damage to rural houses, and what design measures suit such regions?</t>
        </is>
      </c>
    </row>
    <row r="26" outlineLevel="1" ht="41.5" customHeight="1">
      <c r="A26" s="186" t="n">
        <v>24</v>
      </c>
      <c r="B26" s="187" t="n">
        <v>3</v>
      </c>
      <c r="C26" s="188" t="inlineStr">
        <is>
          <t>Frana tra via Gentile e via Genova: scatta il senso unico alternato con il semaforo</t>
        </is>
      </c>
      <c r="D26" s="189" t="inlineStr">
        <is>
          <t>Open article</t>
        </is>
      </c>
      <c r="E26" s="201" t="inlineStr">
        <is>
          <t>Watch only</t>
        </is>
      </c>
      <c r="F26" s="191">
        <f>IFERROR(INDEX(Stories!$F$4:$F$96,MATCH($A26,Stories!$A$4:$A$96,0))&amp;"","")</f>
        <v/>
      </c>
      <c r="G26" s="192" t="inlineStr">
        <is>
          <t>Savona News</t>
        </is>
      </c>
      <c r="H26" s="193" t="n">
        <v>46319</v>
      </c>
      <c r="I26" s="192" t="inlineStr">
        <is>
          <t>Does a landslide on an urban road indicate ground instability requiring geotechnical investigation before reopening?</t>
        </is>
      </c>
    </row>
    <row r="27" outlineLevel="1" ht="41.5" customHeight="1">
      <c r="A27" s="186" t="n">
        <v>25</v>
      </c>
      <c r="B27" s="187" t="n">
        <v>3</v>
      </c>
      <c r="C27" s="188" t="inlineStr">
        <is>
          <t>Torrential rain brings hidden hazards: mountain floods and landslides must be strictly prevented; public service advertisement</t>
        </is>
      </c>
      <c r="D27" s="189" t="inlineStr">
        <is>
          <t>Open article</t>
        </is>
      </c>
      <c r="E27" s="201" t="inlineStr">
        <is>
          <t>Watch only</t>
        </is>
      </c>
      <c r="F27" s="191">
        <f>IFERROR(INDEX(Stories!$F$4:$F$96,MATCH($A27,Stories!$A$4:$A$96,0))&amp;"","")</f>
        <v/>
      </c>
      <c r="G27" s="192" t="inlineStr">
        <is>
          <t>凤凰网</t>
        </is>
      </c>
      <c r="H27" s="193" t="n">
        <v>46319</v>
      </c>
      <c r="I27" s="192" t="inlineStr">
        <is>
          <t>How do mountain flood and landslide hazards during intense rainfall get prevented through early warning and slope management?</t>
        </is>
      </c>
    </row>
    <row r="28" outlineLevel="1" ht="41.5" customHeight="1">
      <c r="A28" s="186" t="n">
        <v>27</v>
      </c>
      <c r="B28" s="187" t="n">
        <v>3</v>
      </c>
      <c r="C28" s="188" t="inlineStr">
        <is>
          <t>At Khanh Le pass, vehicles are stopped in groups to face rockfall risk</t>
        </is>
      </c>
      <c r="D28" s="189" t="inlineStr">
        <is>
          <t>Open article</t>
        </is>
      </c>
      <c r="E28" s="200" t="inlineStr">
        <is>
          <t>Regional insight</t>
        </is>
      </c>
      <c r="F28" s="191">
        <f>IFERROR(INDEX(Stories!$F$4:$F$96,MATCH($A28,Stories!$A$4:$A$96,0))&amp;"","")</f>
        <v/>
      </c>
      <c r="G28" s="192" t="inlineStr">
        <is>
          <t>Vietnam.vn</t>
        </is>
      </c>
      <c r="H28" s="193" t="n">
        <v>46319</v>
      </c>
      <c r="I28" s="192" t="inlineStr">
        <is>
          <t>How should rockfall risk on mountain roads be assessed and mitigated, and when is traffic control sufficient versus slope engineering?</t>
        </is>
      </c>
    </row>
    <row r="29" outlineLevel="1" ht="41.5" customHeight="1">
      <c r="A29" s="186" t="n">
        <v>30</v>
      </c>
      <c r="B29" s="187" t="n">
        <v>3</v>
      </c>
      <c r="C29" s="188" t="inlineStr">
        <is>
          <t>From landslide alerts to drone safety, young innovators showcase AI solutions at IIT Guwahati</t>
        </is>
      </c>
      <c r="D29" s="189" t="inlineStr">
        <is>
          <t>Open article</t>
        </is>
      </c>
      <c r="E29" s="190" t="inlineStr">
        <is>
          <t>Academia-to-Industry topic</t>
        </is>
      </c>
      <c r="F29" s="191">
        <f>IFERROR(INDEX(Stories!$F$4:$F$96,MATCH($A29,Stories!$A$4:$A$96,0))&amp;"","")</f>
        <v/>
      </c>
      <c r="G29" s="192" t="inlineStr">
        <is>
          <t>Hub News</t>
        </is>
      </c>
      <c r="H29" s="193" t="n">
        <v>46319</v>
      </c>
      <c r="I29" s="192" t="inlineStr">
        <is>
          <t>Can low-cost AI and sensor systems from student innovators provide reliable landslide early warning for practitioners?</t>
        </is>
      </c>
    </row>
    <row r="30" outlineLevel="1" ht="41.5" customHeight="1">
      <c r="A30" s="186" t="n">
        <v>31</v>
      </c>
      <c r="B30" s="187" t="n">
        <v>3</v>
      </c>
      <c r="C30" s="188" t="inlineStr">
        <is>
          <t>Gas Leak, Sinkhole Shut Down Businesses Near Riverview Plaza</t>
        </is>
      </c>
      <c r="D30" s="189" t="inlineStr">
        <is>
          <t>Open article</t>
        </is>
      </c>
      <c r="E30" s="199" t="inlineStr">
        <is>
          <t>News brief</t>
        </is>
      </c>
      <c r="F30" s="191">
        <f>IFERROR(INDEX(Stories!$F$4:$F$96,MATCH($A30,Stories!$A$4:$A$96,0))&amp;"","")</f>
        <v/>
      </c>
      <c r="G30" s="192" t="inlineStr">
        <is>
          <t>NewsRadio WFLA</t>
        </is>
      </c>
      <c r="H30" s="193" t="n">
        <v>46319</v>
      </c>
      <c r="I30" s="192" t="inlineStr">
        <is>
          <t>What caused the sinkhole near Riverview Plaza, and how do subsurface voids and utility leaks interact to create ground collapse hazards?</t>
        </is>
      </c>
    </row>
    <row r="31" outlineLevel="1" ht="54" customHeight="1">
      <c r="A31" s="186" t="n">
        <v>34</v>
      </c>
      <c r="B31" s="187" t="n">
        <v>0</v>
      </c>
      <c r="C31" s="188" t="inlineStr">
        <is>
          <t>PTPP traite 31 points de glissement de terrain dans le nord de Sumatra, le projet de Lampaui est en cours Indonesian: PTPP Tangani 31 Titik Longsor di Sumut, Progres Proyek Lampaui Target</t>
        </is>
      </c>
      <c r="D31" s="189" t="inlineStr">
        <is>
          <t>Open article</t>
        </is>
      </c>
      <c r="E31" s="202" t="inlineStr">
        <is>
          <t>Not rated</t>
        </is>
      </c>
      <c r="F31" s="191">
        <f>IFERROR(INDEX(Stories!$F$4:$F$96,MATCH($A31,Stories!$A$4:$A$96,0))&amp;"","")</f>
        <v/>
      </c>
      <c r="G31" s="192" t="inlineStr">
        <is>
          <t>VOI.ID</t>
        </is>
      </c>
      <c r="H31" s="193" t="n">
        <v>46319</v>
      </c>
      <c r="I31" s="203" t="inlineStr"/>
    </row>
    <row r="32" outlineLevel="1" ht="29" customHeight="1">
      <c r="A32" s="186" t="n">
        <v>35</v>
      </c>
      <c r="B32" s="187" t="n">
        <v>0</v>
      </c>
      <c r="C32" s="188" t="inlineStr">
        <is>
          <t>Tak Lagi Takut Tanah Longsor, Warga Desa Mengulak Lega Talud Dibangun Kokoh</t>
        </is>
      </c>
      <c r="D32" s="189" t="inlineStr">
        <is>
          <t>Open article</t>
        </is>
      </c>
      <c r="E32" s="202" t="inlineStr">
        <is>
          <t>Not rated</t>
        </is>
      </c>
      <c r="F32" s="191">
        <f>IFERROR(INDEX(Stories!$F$4:$F$96,MATCH($A32,Stories!$A$4:$A$96,0))&amp;"","")</f>
        <v/>
      </c>
      <c r="G32" s="192" t="inlineStr">
        <is>
          <t>https://investigasi.news/</t>
        </is>
      </c>
      <c r="H32" s="193" t="n">
        <v>46319</v>
      </c>
      <c r="I32" s="203" t="inlineStr"/>
    </row>
    <row r="33" outlineLevel="1" ht="29" customHeight="1">
      <c r="A33" s="186" t="n">
        <v>36</v>
      </c>
      <c r="B33" s="187" t="n">
        <v>0</v>
      </c>
      <c r="C33" s="188" t="inlineStr">
        <is>
          <t>Antisipasi Longsor Jelang Musim Hujan, Satgas TMMD Kejar Penyelesaian Talud di Kalebarembeng</t>
        </is>
      </c>
      <c r="D33" s="189" t="inlineStr">
        <is>
          <t>Open article</t>
        </is>
      </c>
      <c r="E33" s="202" t="inlineStr">
        <is>
          <t>Not rated</t>
        </is>
      </c>
      <c r="F33" s="191">
        <f>IFERROR(INDEX(Stories!$F$4:$F$96,MATCH($A33,Stories!$A$4:$A$96,0))&amp;"","")</f>
        <v/>
      </c>
      <c r="G33" s="192" t="inlineStr">
        <is>
          <t>XPOSE TV</t>
        </is>
      </c>
      <c r="H33" s="193" t="n">
        <v>46319</v>
      </c>
      <c r="I33" s="203" t="inlineStr"/>
    </row>
    <row r="34" outlineLevel="1" ht="29" customHeight="1">
      <c r="A34" s="186" t="n">
        <v>37</v>
      </c>
      <c r="B34" s="187" t="n">
        <v>0</v>
      </c>
      <c r="C34" s="188" t="inlineStr">
        <is>
          <t>Gard : un nouveau glissement de terrain bloque un boulevard à Villeneuve-lès-Avignon</t>
        </is>
      </c>
      <c r="D34" s="189" t="inlineStr">
        <is>
          <t>Open article</t>
        </is>
      </c>
      <c r="E34" s="202" t="inlineStr">
        <is>
          <t>Not rated</t>
        </is>
      </c>
      <c r="F34" s="191">
        <f>IFERROR(INDEX(Stories!$F$4:$F$96,MATCH($A34,Stories!$A$4:$A$96,0))&amp;"","")</f>
        <v/>
      </c>
      <c r="G34" s="192" t="inlineStr">
        <is>
          <t>Seven Radio</t>
        </is>
      </c>
      <c r="H34" s="193" t="n">
        <v>46319</v>
      </c>
      <c r="I34" s="203" t="inlineStr"/>
    </row>
    <row r="35" outlineLevel="1" ht="16.5" customHeight="1">
      <c r="A35" s="186" t="n">
        <v>38</v>
      </c>
      <c r="B35" s="187" t="n">
        <v>0</v>
      </c>
      <c r="C35" s="188" t="inlineStr">
        <is>
          <t>Fr glissement de terrain : mesures d'urgence à Bonea</t>
        </is>
      </c>
      <c r="D35" s="189" t="inlineStr">
        <is>
          <t>Open article</t>
        </is>
      </c>
      <c r="E35" s="202" t="inlineStr">
        <is>
          <t>Not rated</t>
        </is>
      </c>
      <c r="F35" s="191">
        <f>IFERROR(INDEX(Stories!$F$4:$F$96,MATCH($A35,Stories!$A$4:$A$96,0))&amp;"","")</f>
        <v/>
      </c>
      <c r="G35" s="192" t="inlineStr">
        <is>
          <t>Il Mattino</t>
        </is>
      </c>
      <c r="H35" s="193" t="n">
        <v>46319</v>
      </c>
      <c r="I35" s="203" t="inlineStr"/>
    </row>
    <row r="36" outlineLevel="1" ht="16.5" customHeight="1">
      <c r="A36" s="186" t="n">
        <v>39</v>
      </c>
      <c r="B36" s="187" t="n">
        <v>0</v>
      </c>
      <c r="C36" s="188" t="inlineStr">
        <is>
          <t>Grave glissement de terrain dans le sud de Chiayi</t>
        </is>
      </c>
      <c r="D36" s="189" t="inlineStr">
        <is>
          <t>Open article</t>
        </is>
      </c>
      <c r="E36" s="202" t="inlineStr">
        <is>
          <t>Not rated</t>
        </is>
      </c>
      <c r="F36" s="191">
        <f>IFERROR(INDEX(Stories!$F$4:$F$96,MATCH($A36,Stories!$A$4:$A$96,0))&amp;"","")</f>
        <v/>
      </c>
      <c r="G36" s="192" t="inlineStr">
        <is>
          <t>Vietnam.vn</t>
        </is>
      </c>
      <c r="H36" s="193" t="n">
        <v>46319</v>
      </c>
      <c r="I36" s="203" t="inlineStr"/>
    </row>
    <row r="37" outlineLevel="1" ht="29" customHeight="1">
      <c r="A37" s="186" t="n">
        <v>40</v>
      </c>
      <c r="B37" s="187" t="n">
        <v>0</v>
      </c>
      <c r="C37" s="188" t="inlineStr">
        <is>
          <t>Nghe An : Il est urgent d'agir face au glissement de terrain sur le talus le long de la route côtière.</t>
        </is>
      </c>
      <c r="D37" s="189" t="inlineStr">
        <is>
          <t>Open article</t>
        </is>
      </c>
      <c r="E37" s="202" t="inlineStr">
        <is>
          <t>Not rated</t>
        </is>
      </c>
      <c r="F37" s="191">
        <f>IFERROR(INDEX(Stories!$F$4:$F$96,MATCH($A37,Stories!$A$4:$A$96,0))&amp;"","")</f>
        <v/>
      </c>
      <c r="G37" s="192" t="inlineStr">
        <is>
          <t>Vietnam.vn</t>
        </is>
      </c>
      <c r="H37" s="193" t="n">
        <v>46319</v>
      </c>
      <c r="I37" s="203" t="inlineStr"/>
    </row>
    <row r="38" outlineLevel="1" ht="29" customHeight="1">
      <c r="A38" s="186" t="n">
        <v>41</v>
      </c>
      <c r="B38" s="187" t="n">
        <v>0</v>
      </c>
      <c r="C38" s="188" t="inlineStr">
        <is>
          <t>Evalúan estabilización de laderas y subsidios para familias ante deslizamiento de tierra en Lota</t>
        </is>
      </c>
      <c r="D38" s="189" t="inlineStr">
        <is>
          <t>Open article</t>
        </is>
      </c>
      <c r="E38" s="202" t="inlineStr">
        <is>
          <t>Not rated</t>
        </is>
      </c>
      <c r="F38" s="191">
        <f>IFERROR(INDEX(Stories!$F$4:$F$96,MATCH($A38,Stories!$A$4:$A$96,0))&amp;"","")</f>
        <v/>
      </c>
      <c r="G38" s="192" t="inlineStr">
        <is>
          <t>Diario Concepción</t>
        </is>
      </c>
      <c r="H38" s="193" t="n">
        <v>46319</v>
      </c>
      <c r="I38" s="203" t="inlineStr"/>
    </row>
    <row r="39" outlineLevel="1" ht="29" customHeight="1">
      <c r="A39" s="186" t="n">
        <v>42</v>
      </c>
      <c r="B39" s="187" t="n">
        <v>0</v>
      </c>
      <c r="C39" s="188" t="inlineStr">
        <is>
          <t>Concepción: trabajos de despeje avanzan tras deslizamiento de tierra en Juan Riquelme</t>
        </is>
      </c>
      <c r="D39" s="189" t="inlineStr">
        <is>
          <t>Open article</t>
        </is>
      </c>
      <c r="E39" s="202" t="inlineStr">
        <is>
          <t>Not rated</t>
        </is>
      </c>
      <c r="F39" s="191">
        <f>IFERROR(INDEX(Stories!$F$4:$F$96,MATCH($A39,Stories!$A$4:$A$96,0))&amp;"","")</f>
        <v/>
      </c>
      <c r="G39" s="192" t="inlineStr">
        <is>
          <t>Canal 9 Bío Bío Televisión</t>
        </is>
      </c>
      <c r="H39" s="193" t="n">
        <v>46319</v>
      </c>
      <c r="I39" s="203" t="inlineStr"/>
    </row>
    <row r="40" outlineLevel="1" ht="29" customHeight="1">
      <c r="A40" s="186" t="n">
        <v>43</v>
      </c>
      <c r="B40" s="187" t="n">
        <v>0</v>
      </c>
      <c r="C40" s="188" t="inlineStr">
        <is>
          <t>Viviendas Colapsan por Deslizamiento de Tierra en Lomas Conjunto Residencial, Tijuana</t>
        </is>
      </c>
      <c r="D40" s="189" t="inlineStr">
        <is>
          <t>Open article</t>
        </is>
      </c>
      <c r="E40" s="202" t="inlineStr">
        <is>
          <t>Not rated</t>
        </is>
      </c>
      <c r="F40" s="191">
        <f>IFERROR(INDEX(Stories!$F$4:$F$96,MATCH($A40,Stories!$A$4:$A$96,0))&amp;"","")</f>
        <v/>
      </c>
      <c r="G40" s="192" t="inlineStr">
        <is>
          <t>N+</t>
        </is>
      </c>
      <c r="H40" s="193" t="n">
        <v>46319</v>
      </c>
      <c r="I40" s="203" t="inlineStr"/>
    </row>
    <row r="41" outlineLevel="1" ht="29" customHeight="1">
      <c r="A41" s="186" t="n">
        <v>44</v>
      </c>
      <c r="B41" s="187" t="n">
        <v>0</v>
      </c>
      <c r="C41" s="188" t="inlineStr">
        <is>
          <t>La atención se centra en la reparación de los deslizamientos de tierra en la Carretera Nacional 15C.</t>
        </is>
      </c>
      <c r="D41" s="189" t="inlineStr">
        <is>
          <t>Open article</t>
        </is>
      </c>
      <c r="E41" s="202" t="inlineStr">
        <is>
          <t>Not rated</t>
        </is>
      </c>
      <c r="F41" s="191">
        <f>IFERROR(INDEX(Stories!$F$4:$F$96,MATCH($A41,Stories!$A$4:$A$96,0))&amp;"","")</f>
        <v/>
      </c>
      <c r="G41" s="192" t="inlineStr">
        <is>
          <t>Vietnam.vn</t>
        </is>
      </c>
      <c r="H41" s="193" t="n">
        <v>46319</v>
      </c>
      <c r="I41" s="203" t="inlineStr"/>
    </row>
    <row r="42" outlineLevel="1" ht="29" customHeight="1">
      <c r="A42" s="186" t="n">
        <v>45</v>
      </c>
      <c r="B42" s="187" t="n">
        <v>0</v>
      </c>
      <c r="C42" s="188" t="inlineStr">
        <is>
          <t>Limpieza tras deslizamiento habilitó la vía Riobamba–Cebadas</t>
        </is>
      </c>
      <c r="D42" s="189" t="inlineStr">
        <is>
          <t>Open article</t>
        </is>
      </c>
      <c r="E42" s="202" t="inlineStr">
        <is>
          <t>Not rated</t>
        </is>
      </c>
      <c r="F42" s="191">
        <f>IFERROR(INDEX(Stories!$F$4:$F$96,MATCH($A42,Stories!$A$4:$A$96,0))&amp;"","")</f>
        <v/>
      </c>
      <c r="G42" s="192" t="inlineStr">
        <is>
          <t>diariolosandes.com.ec</t>
        </is>
      </c>
      <c r="H42" s="193" t="n">
        <v>46319</v>
      </c>
      <c r="I42" s="203" t="inlineStr"/>
    </row>
    <row r="43" outlineLevel="1" ht="41.5" customHeight="1">
      <c r="A43" s="186" t="n">
        <v>46</v>
      </c>
      <c r="B43" s="187" t="n">
        <v>0</v>
      </c>
      <c r="C43" s="188" t="inlineStr">
        <is>
          <t>Emergencia en Moniquirá, Boyacá, por deslizamiento de tierra en la vereda de Pajales tras fuertes lluvias: se reportan tres casas afectadas</t>
        </is>
      </c>
      <c r="D43" s="189" t="inlineStr">
        <is>
          <t>Open article</t>
        </is>
      </c>
      <c r="E43" s="202" t="inlineStr">
        <is>
          <t>Not rated</t>
        </is>
      </c>
      <c r="F43" s="191">
        <f>IFERROR(INDEX(Stories!$F$4:$F$96,MATCH($A43,Stories!$A$4:$A$96,0))&amp;"","")</f>
        <v/>
      </c>
      <c r="G43" s="192" t="inlineStr">
        <is>
          <t>El Tiempo</t>
        </is>
      </c>
      <c r="H43" s="193" t="n">
        <v>46319</v>
      </c>
      <c r="I43" s="203" t="inlineStr"/>
    </row>
    <row r="44" outlineLevel="1" ht="16.5" customHeight="1">
      <c r="A44" s="186" t="n">
        <v>47</v>
      </c>
      <c r="B44" s="187" t="n">
        <v>0</v>
      </c>
      <c r="C44" s="188" t="inlineStr">
        <is>
          <t>Deslizamiento de tierra en Pahuatlán</t>
        </is>
      </c>
      <c r="D44" s="189" t="inlineStr">
        <is>
          <t>Open article</t>
        </is>
      </c>
      <c r="E44" s="202" t="inlineStr">
        <is>
          <t>Not rated</t>
        </is>
      </c>
      <c r="F44" s="191">
        <f>IFERROR(INDEX(Stories!$F$4:$F$96,MATCH($A44,Stories!$A$4:$A$96,0))&amp;"","")</f>
        <v/>
      </c>
      <c r="G44" s="192" t="inlineStr">
        <is>
          <t>Diario sin Secretos</t>
        </is>
      </c>
      <c r="H44" s="193" t="n">
        <v>46319</v>
      </c>
      <c r="I44" s="203" t="inlineStr"/>
    </row>
    <row r="45" outlineLevel="1" ht="29" customHeight="1">
      <c r="A45" s="186" t="n">
        <v>48</v>
      </c>
      <c r="B45" s="187" t="n">
        <v>0</v>
      </c>
      <c r="C45" s="188" t="inlineStr">
        <is>
          <t>Calle intransitable por el barro: deslizamiento de tierra afecta a sector Juan Riquelme de Concepción</t>
        </is>
      </c>
      <c r="D45" s="189" t="inlineStr">
        <is>
          <t>Open article</t>
        </is>
      </c>
      <c r="E45" s="202" t="inlineStr">
        <is>
          <t>Not rated</t>
        </is>
      </c>
      <c r="F45" s="191">
        <f>IFERROR(INDEX(Stories!$F$4:$F$96,MATCH($A45,Stories!$A$4:$A$96,0))&amp;"","")</f>
        <v/>
      </c>
      <c r="G45" s="192" t="inlineStr">
        <is>
          <t>BioBioChile</t>
        </is>
      </c>
      <c r="H45" s="193" t="n">
        <v>46319</v>
      </c>
      <c r="I45" s="203" t="inlineStr"/>
    </row>
    <row r="46" outlineLevel="1" ht="16.5" customHeight="1">
      <c r="A46" s="186" t="n">
        <v>49</v>
      </c>
      <c r="B46" s="187" t="n">
        <v>0</v>
      </c>
      <c r="C46" s="188" t="inlineStr">
        <is>
          <t>Deslizamiento de Tierra Obliga al Cierre Total en Bonea</t>
        </is>
      </c>
      <c r="D46" s="189" t="inlineStr">
        <is>
          <t>Open article</t>
        </is>
      </c>
      <c r="E46" s="202" t="inlineStr">
        <is>
          <t>Not rated</t>
        </is>
      </c>
      <c r="F46" s="191">
        <f>IFERROR(INDEX(Stories!$F$4:$F$96,MATCH($A46,Stories!$A$4:$A$96,0))&amp;"","")</f>
        <v/>
      </c>
      <c r="G46" s="192" t="inlineStr">
        <is>
          <t>Il Mattino</t>
        </is>
      </c>
      <c r="H46" s="193" t="n">
        <v>46319</v>
      </c>
      <c r="I46" s="203" t="inlineStr"/>
    </row>
    <row r="47" outlineLevel="1" ht="29" customHeight="1">
      <c r="A47" s="186" t="n">
        <v>50</v>
      </c>
      <c r="B47" s="187" t="n">
        <v>0</v>
      </c>
      <c r="C47" s="188" t="inlineStr">
        <is>
          <t>Evalúan riesgos por deslizamiento de tierra en Lota y analizan apoyo habitacional para familias afectadas</t>
        </is>
      </c>
      <c r="D47" s="189" t="inlineStr">
        <is>
          <t>Open article</t>
        </is>
      </c>
      <c r="E47" s="202" t="inlineStr">
        <is>
          <t>Not rated</t>
        </is>
      </c>
      <c r="F47" s="191">
        <f>IFERROR(INDEX(Stories!$F$4:$F$96,MATCH($A47,Stories!$A$4:$A$96,0))&amp;"","")</f>
        <v/>
      </c>
      <c r="G47" s="192" t="inlineStr">
        <is>
          <t>La Tribuna</t>
        </is>
      </c>
      <c r="H47" s="193" t="n">
        <v>46319</v>
      </c>
      <c r="I47" s="203" t="inlineStr"/>
    </row>
    <row r="48" outlineLevel="1" ht="29" customHeight="1">
      <c r="A48" s="186" t="n">
        <v>51</v>
      </c>
      <c r="B48" s="187" t="n">
        <v>0</v>
      </c>
      <c r="C48" s="188" t="inlineStr">
        <is>
          <t>Deslizamiento de tierra cierra la vía Alóag–Santo Domingo en ambos sentidos</t>
        </is>
      </c>
      <c r="D48" s="189" t="inlineStr">
        <is>
          <t>Open article</t>
        </is>
      </c>
      <c r="E48" s="202" t="inlineStr">
        <is>
          <t>Not rated</t>
        </is>
      </c>
      <c r="F48" s="191">
        <f>IFERROR(INDEX(Stories!$F$4:$F$96,MATCH($A48,Stories!$A$4:$A$96,0))&amp;"","")</f>
        <v/>
      </c>
      <c r="G48" s="192" t="inlineStr">
        <is>
          <t>Teleamazonas</t>
        </is>
      </c>
      <c r="H48" s="193" t="n">
        <v>46319</v>
      </c>
      <c r="I48" s="203" t="inlineStr"/>
    </row>
    <row r="49" outlineLevel="1" ht="29" customHeight="1">
      <c r="A49" s="186" t="n">
        <v>52</v>
      </c>
      <c r="B49" s="187" t="n">
        <v>0</v>
      </c>
      <c r="C49" s="188" t="inlineStr">
        <is>
          <t>Deslizamiento de tierra en la vía Salinas-Lita moviliza maquinaria para habilitar el tránsito en Imbabura</t>
        </is>
      </c>
      <c r="D49" s="189" t="inlineStr">
        <is>
          <t>Open article</t>
        </is>
      </c>
      <c r="E49" s="202" t="inlineStr">
        <is>
          <t>Not rated</t>
        </is>
      </c>
      <c r="F49" s="191">
        <f>IFERROR(INDEX(Stories!$F$4:$F$96,MATCH($A49,Stories!$A$4:$A$96,0))&amp;"","")</f>
        <v/>
      </c>
      <c r="G49" s="192" t="inlineStr">
        <is>
          <t>El Universo</t>
        </is>
      </c>
      <c r="H49" s="193" t="n">
        <v>46319</v>
      </c>
      <c r="I49" s="203" t="inlineStr"/>
    </row>
    <row r="50" outlineLevel="1" ht="29" customHeight="1">
      <c r="A50" s="186" t="n">
        <v>53</v>
      </c>
      <c r="B50" s="187" t="n">
        <v>0</v>
      </c>
      <c r="C50" s="188" t="inlineStr">
        <is>
          <t>Ministerio de Salud mantiene vigilancia tras deslizamiento de tierra en zona minera de Remance</t>
        </is>
      </c>
      <c r="D50" s="189" t="inlineStr">
        <is>
          <t>Open article</t>
        </is>
      </c>
      <c r="E50" s="202" t="inlineStr">
        <is>
          <t>Not rated</t>
        </is>
      </c>
      <c r="F50" s="191">
        <f>IFERROR(INDEX(Stories!$F$4:$F$96,MATCH($A50,Stories!$A$4:$A$96,0))&amp;"","")</f>
        <v/>
      </c>
      <c r="G50" s="192" t="inlineStr">
        <is>
          <t>Destino Panamá</t>
        </is>
      </c>
      <c r="H50" s="193" t="n">
        <v>46319</v>
      </c>
      <c r="I50" s="203" t="inlineStr"/>
    </row>
    <row r="51" outlineLevel="1" ht="41.5" customHeight="1">
      <c r="A51" s="186" t="n">
        <v>54</v>
      </c>
      <c r="B51" s="187" t="n">
        <v>0</v>
      </c>
      <c r="C51" s="188" t="inlineStr">
        <is>
          <t>El 24 de octubre de 2026 se emitió una alerta por alto riesgo de inundaciones repentinas y deslizamientos de tierra en muchas zonas de Tuyen Quang.</t>
        </is>
      </c>
      <c r="D51" s="189" t="inlineStr">
        <is>
          <t>Open article</t>
        </is>
      </c>
      <c r="E51" s="202" t="inlineStr">
        <is>
          <t>Not rated</t>
        </is>
      </c>
      <c r="F51" s="191">
        <f>IFERROR(INDEX(Stories!$F$4:$F$96,MATCH($A51,Stories!$A$4:$A$96,0))&amp;"","")</f>
        <v/>
      </c>
      <c r="G51" s="192" t="inlineStr">
        <is>
          <t>Vietnam.vn</t>
        </is>
      </c>
      <c r="H51" s="193" t="n">
        <v>46319</v>
      </c>
      <c r="I51" s="203" t="inlineStr"/>
    </row>
    <row r="52" outlineLevel="1" ht="29" customHeight="1">
      <c r="A52" s="186" t="n">
        <v>55</v>
      </c>
      <c r="B52" s="187" t="n">
        <v>0</v>
      </c>
      <c r="C52" s="188" t="inlineStr">
        <is>
          <t>Concepción: lluvias activan aluvión y deslizamiento de tierra en Juan Riquelme</t>
        </is>
      </c>
      <c r="D52" s="189" t="inlineStr">
        <is>
          <t>Open article</t>
        </is>
      </c>
      <c r="E52" s="202" t="inlineStr">
        <is>
          <t>Not rated</t>
        </is>
      </c>
      <c r="F52" s="191">
        <f>IFERROR(INDEX(Stories!$F$4:$F$96,MATCH($A52,Stories!$A$4:$A$96,0))&amp;"","")</f>
        <v/>
      </c>
      <c r="G52" s="192" t="inlineStr">
        <is>
          <t>Diario Concepción</t>
        </is>
      </c>
      <c r="H52" s="193" t="n">
        <v>46319</v>
      </c>
      <c r="I52" s="203" t="inlineStr"/>
    </row>
    <row r="53" outlineLevel="1" ht="29" customHeight="1">
      <c r="A53" s="186" t="n">
        <v>56</v>
      </c>
      <c r="B53" s="187" t="n">
        <v>0</v>
      </c>
      <c r="C53" s="188" t="inlineStr">
        <is>
          <t>Dos casas se derrumbaron debido a deslizamientos de tierra a lo largo del río Tien.</t>
        </is>
      </c>
      <c r="D53" s="189" t="inlineStr">
        <is>
          <t>Open article</t>
        </is>
      </c>
      <c r="E53" s="202" t="inlineStr">
        <is>
          <t>Not rated</t>
        </is>
      </c>
      <c r="F53" s="191">
        <f>IFERROR(INDEX(Stories!$F$4:$F$96,MATCH($A53,Stories!$A$4:$A$96,0))&amp;"","")</f>
        <v/>
      </c>
      <c r="G53" s="192" t="inlineStr">
        <is>
          <t>Vietnam.vn</t>
        </is>
      </c>
      <c r="H53" s="193" t="n">
        <v>46319</v>
      </c>
      <c r="I53" s="203" t="inlineStr"/>
    </row>
    <row r="54" outlineLevel="1" ht="41.5" customHeight="1">
      <c r="A54" s="186" t="n">
        <v>57</v>
      </c>
      <c r="B54" s="187" t="n">
        <v>0</v>
      </c>
      <c r="C54" s="188" t="inlineStr">
        <is>
          <t>Nghe An: Se necesitan medidas urgentes para solucionar el deslizamiento de tierra en el terraplén a lo largo de la carretera costera.</t>
        </is>
      </c>
      <c r="D54" s="189" t="inlineStr">
        <is>
          <t>Open article</t>
        </is>
      </c>
      <c r="E54" s="202" t="inlineStr">
        <is>
          <t>Not rated</t>
        </is>
      </c>
      <c r="F54" s="191">
        <f>IFERROR(INDEX(Stories!$F$4:$F$96,MATCH($A54,Stories!$A$4:$A$96,0))&amp;"","")</f>
        <v/>
      </c>
      <c r="G54" s="192" t="inlineStr">
        <is>
          <t>Vietnam.vn</t>
        </is>
      </c>
      <c r="H54" s="193" t="n">
        <v>46319</v>
      </c>
      <c r="I54" s="203" t="inlineStr"/>
    </row>
    <row r="55" outlineLevel="1" ht="29" customHeight="1">
      <c r="A55" s="186" t="n">
        <v>58</v>
      </c>
      <c r="B55" s="187" t="n">
        <v>0</v>
      </c>
      <c r="C55" s="188" t="inlineStr">
        <is>
          <t>Concepción: deslizamiento de tierra afecta 2 viviendas y bloquea calle en Juan Riquelme por el barro</t>
        </is>
      </c>
      <c r="D55" s="189" t="inlineStr">
        <is>
          <t>Open article</t>
        </is>
      </c>
      <c r="E55" s="202" t="inlineStr">
        <is>
          <t>Not rated</t>
        </is>
      </c>
      <c r="F55" s="191">
        <f>IFERROR(INDEX(Stories!$F$4:$F$96,MATCH($A55,Stories!$A$4:$A$96,0))&amp;"","")</f>
        <v/>
      </c>
      <c r="G55" s="192" t="inlineStr">
        <is>
          <t>Canal 9 Bío Bío Televisión</t>
        </is>
      </c>
      <c r="H55" s="193" t="n">
        <v>46319</v>
      </c>
      <c r="I55" s="203" t="inlineStr"/>
    </row>
    <row r="56" outlineLevel="1" ht="29" customHeight="1">
      <c r="A56" s="186" t="n">
        <v>59</v>
      </c>
      <c r="B56" s="187" t="n">
        <v>0</v>
      </c>
      <c r="C56" s="188" t="inlineStr">
        <is>
          <t>Arcata comprará el parcela del barranco y comenzará la reparación de deslizamientos</t>
        </is>
      </c>
      <c r="D56" s="189" t="inlineStr">
        <is>
          <t>Open article</t>
        </is>
      </c>
      <c r="E56" s="202" t="inlineStr">
        <is>
          <t>Not rated</t>
        </is>
      </c>
      <c r="F56" s="191">
        <f>IFERROR(INDEX(Stories!$F$4:$F$96,MATCH($A56,Stories!$A$4:$A$96,0))&amp;"","")</f>
        <v/>
      </c>
      <c r="G56" s="192" t="inlineStr">
        <is>
          <t>Lost Coast Outpost</t>
        </is>
      </c>
      <c r="H56" s="193" t="n">
        <v>46319</v>
      </c>
      <c r="I56" s="203" t="inlineStr"/>
    </row>
    <row r="57" outlineLevel="1" ht="29" customHeight="1">
      <c r="A57" s="186" t="n">
        <v>60</v>
      </c>
      <c r="B57" s="187" t="n">
        <v>0</v>
      </c>
      <c r="C57" s="188" t="inlineStr">
        <is>
          <t>Auto y viviendas afectadas tras deslizamiento de tierra en Concepción</t>
        </is>
      </c>
      <c r="D57" s="189" t="inlineStr">
        <is>
          <t>Open article</t>
        </is>
      </c>
      <c r="E57" s="202" t="inlineStr">
        <is>
          <t>Not rated</t>
        </is>
      </c>
      <c r="F57" s="191">
        <f>IFERROR(INDEX(Stories!$F$4:$F$96,MATCH($A57,Stories!$A$4:$A$96,0))&amp;"","")</f>
        <v/>
      </c>
      <c r="G57" s="192" t="inlineStr">
        <is>
          <t>Meganoticias</t>
        </is>
      </c>
      <c r="H57" s="193" t="n">
        <v>46319</v>
      </c>
      <c r="I57" s="203" t="inlineStr"/>
    </row>
    <row r="58" outlineLevel="1" ht="29" customHeight="1">
      <c r="A58" s="186" t="n">
        <v>61</v>
      </c>
      <c r="B58" s="187" t="n">
        <v>0</v>
      </c>
      <c r="C58" s="188" t="inlineStr">
        <is>
          <t>En peligro vecinos del bulevar Felipe J. Mery por deslizamiento de tierra</t>
        </is>
      </c>
      <c r="D58" s="189" t="inlineStr">
        <is>
          <t>Open article</t>
        </is>
      </c>
      <c r="E58" s="202" t="inlineStr">
        <is>
          <t>Not rated</t>
        </is>
      </c>
      <c r="F58" s="191">
        <f>IFERROR(INDEX(Stories!$F$4:$F$96,MATCH($A58,Stories!$A$4:$A$96,0))&amp;"","")</f>
        <v/>
      </c>
      <c r="G58" s="192" t="inlineStr">
        <is>
          <t>RCG Media</t>
        </is>
      </c>
      <c r="H58" s="193" t="n">
        <v>46319</v>
      </c>
      <c r="I58" s="203" t="inlineStr"/>
    </row>
    <row r="59" outlineLevel="1" ht="29" customHeight="1">
      <c r="A59" s="186" t="n">
        <v>62</v>
      </c>
      <c r="B59" s="187" t="n">
        <v>0</v>
      </c>
      <c r="C59" s="188" t="inlineStr">
        <is>
          <t>Un terraplén de prevención de deslizamientos de tierra "amenaza" una zona residencial.</t>
        </is>
      </c>
      <c r="D59" s="189" t="inlineStr">
        <is>
          <t>Open article</t>
        </is>
      </c>
      <c r="E59" s="202" t="inlineStr">
        <is>
          <t>Not rated</t>
        </is>
      </c>
      <c r="F59" s="191">
        <f>IFERROR(INDEX(Stories!$F$4:$F$96,MATCH($A59,Stories!$A$4:$A$96,0))&amp;"","")</f>
        <v/>
      </c>
      <c r="G59" s="192" t="inlineStr">
        <is>
          <t>Vietnam.vn</t>
        </is>
      </c>
      <c r="H59" s="193" t="n">
        <v>46319</v>
      </c>
      <c r="I59" s="203" t="inlineStr"/>
    </row>
    <row r="60" outlineLevel="1" ht="29" customHeight="1">
      <c r="A60" s="186" t="n">
        <v>63</v>
      </c>
      <c r="B60" s="187" t="n">
        <v>0</v>
      </c>
      <c r="C60" s="188" t="inlineStr">
        <is>
          <t>Fuertes lluvias provocan deslizamientos en Moniquirá: en la vereda Pajales la tierra se abrió en dos</t>
        </is>
      </c>
      <c r="D60" s="189" t="inlineStr">
        <is>
          <t>Open article</t>
        </is>
      </c>
      <c r="E60" s="202" t="inlineStr">
        <is>
          <t>Not rated</t>
        </is>
      </c>
      <c r="F60" s="191">
        <f>IFERROR(INDEX(Stories!$F$4:$F$96,MATCH($A60,Stories!$A$4:$A$96,0))&amp;"","")</f>
        <v/>
      </c>
      <c r="G60" s="192" t="inlineStr">
        <is>
          <t>Revista Semana</t>
        </is>
      </c>
      <c r="H60" s="193" t="n">
        <v>46319</v>
      </c>
      <c r="I60" s="203" t="inlineStr"/>
    </row>
    <row r="61" outlineLevel="1" ht="29" customHeight="1">
      <c r="A61" s="186" t="n">
        <v>64</v>
      </c>
      <c r="B61" s="187" t="n">
        <v>0</v>
      </c>
      <c r="C61" s="188" t="inlineStr">
        <is>
          <t>Alcaldía de Villavicencio adecua paso peatonal provisional tras deslizamiento en Buenavista</t>
        </is>
      </c>
      <c r="D61" s="189" t="inlineStr">
        <is>
          <t>Open article</t>
        </is>
      </c>
      <c r="E61" s="202" t="inlineStr">
        <is>
          <t>Not rated</t>
        </is>
      </c>
      <c r="F61" s="191">
        <f>IFERROR(INDEX(Stories!$F$4:$F$96,MATCH($A61,Stories!$A$4:$A$96,0))&amp;"","")</f>
        <v/>
      </c>
      <c r="G61" s="192" t="inlineStr">
        <is>
          <t>Periódico del Meta</t>
        </is>
      </c>
      <c r="H61" s="193" t="n">
        <v>46319</v>
      </c>
      <c r="I61" s="203" t="inlineStr"/>
    </row>
    <row r="62" outlineLevel="1" ht="29" customHeight="1">
      <c r="A62" s="186" t="n">
        <v>65</v>
      </c>
      <c r="B62" s="187" t="n">
        <v>0</v>
      </c>
      <c r="C62" s="188" t="inlineStr">
        <is>
          <t>Advierten por Posible Deslizamiento en el Bulevar Mar de Cortés en Tijuana, BC</t>
        </is>
      </c>
      <c r="D62" s="189" t="inlineStr">
        <is>
          <t>Open article</t>
        </is>
      </c>
      <c r="E62" s="202" t="inlineStr">
        <is>
          <t>Not rated</t>
        </is>
      </c>
      <c r="F62" s="191">
        <f>IFERROR(INDEX(Stories!$F$4:$F$96,MATCH($A62,Stories!$A$4:$A$96,0))&amp;"","")</f>
        <v/>
      </c>
      <c r="G62" s="192" t="inlineStr">
        <is>
          <t>N+</t>
        </is>
      </c>
      <c r="H62" s="193" t="n">
        <v>46319</v>
      </c>
      <c r="I62" s="203" t="inlineStr"/>
    </row>
    <row r="63" outlineLevel="1" ht="16.5" customHeight="1">
      <c r="A63" s="186" t="n">
        <v>66</v>
      </c>
      <c r="B63" s="187" t="n">
        <v>0</v>
      </c>
      <c r="C63" s="188" t="inlineStr">
        <is>
          <t>Grave deslizamiento de tierra en el sur de Chiayi.</t>
        </is>
      </c>
      <c r="D63" s="189" t="inlineStr">
        <is>
          <t>Open article</t>
        </is>
      </c>
      <c r="E63" s="202" t="inlineStr">
        <is>
          <t>Not rated</t>
        </is>
      </c>
      <c r="F63" s="191">
        <f>IFERROR(INDEX(Stories!$F$4:$F$96,MATCH($A63,Stories!$A$4:$A$96,0))&amp;"","")</f>
        <v/>
      </c>
      <c r="G63" s="192" t="inlineStr">
        <is>
          <t>Vietnam.vn</t>
        </is>
      </c>
      <c r="H63" s="193" t="n">
        <v>46319</v>
      </c>
      <c r="I63" s="203" t="inlineStr"/>
    </row>
    <row r="64" outlineLevel="1" ht="29" customHeight="1">
      <c r="A64" s="186" t="n">
        <v>67</v>
      </c>
      <c r="B64" s="187" t="n">
        <v>0</v>
      </c>
      <c r="C64" s="188" t="inlineStr">
        <is>
          <t>Deslizamiento en Muzo afecta colegio y deja sin clases a 120 estudiantes por las fuertes lluvias</t>
        </is>
      </c>
      <c r="D64" s="189" t="inlineStr">
        <is>
          <t>Open article</t>
        </is>
      </c>
      <c r="E64" s="202" t="inlineStr">
        <is>
          <t>Not rated</t>
        </is>
      </c>
      <c r="F64" s="191">
        <f>IFERROR(INDEX(Stories!$F$4:$F$96,MATCH($A64,Stories!$A$4:$A$96,0))&amp;"","")</f>
        <v/>
      </c>
      <c r="G64" s="192" t="inlineStr">
        <is>
          <t>Caracol Radio</t>
        </is>
      </c>
      <c r="H64" s="193" t="n">
        <v>46319</v>
      </c>
      <c r="I64" s="203" t="inlineStr"/>
    </row>
    <row r="65" outlineLevel="1" ht="41.5" customHeight="1">
      <c r="A65" s="186" t="n">
        <v>68</v>
      </c>
      <c r="B65" s="187" t="n">
        <v>0</v>
      </c>
      <c r="C65" s="188" t="inlineStr">
        <is>
          <t>Organismos de emergencia atendieron ayer varios deslizamientos en Manizales por las lluvias. 🔗 Encuentre el link de la noticia en el primer comentario 🗞️</t>
        </is>
      </c>
      <c r="D65" s="189" t="inlineStr">
        <is>
          <t>Open article</t>
        </is>
      </c>
      <c r="E65" s="202" t="inlineStr">
        <is>
          <t>Not rated</t>
        </is>
      </c>
      <c r="F65" s="191">
        <f>IFERROR(INDEX(Stories!$F$4:$F$96,MATCH($A65,Stories!$A$4:$A$96,0))&amp;"","")</f>
        <v/>
      </c>
      <c r="G65" s="192" t="inlineStr">
        <is>
          <t>Facebook</t>
        </is>
      </c>
      <c r="H65" s="193" t="n">
        <v>46319</v>
      </c>
      <c r="I65" s="203" t="inlineStr"/>
    </row>
    <row r="66" outlineLevel="1" ht="29" customHeight="1">
      <c r="A66" s="186" t="n">
        <v>69</v>
      </c>
      <c r="B66" s="187" t="n">
        <v>0</v>
      </c>
      <c r="C66" s="188" t="inlineStr">
        <is>
          <t>Fuertes lluvias provocan deslizamientos en Moniquirá, Boyacá</t>
        </is>
      </c>
      <c r="D66" s="189" t="inlineStr">
        <is>
          <t>Open article</t>
        </is>
      </c>
      <c r="E66" s="202" t="inlineStr">
        <is>
          <t>Not rated</t>
        </is>
      </c>
      <c r="F66" s="191">
        <f>IFERROR(INDEX(Stories!$F$4:$F$96,MATCH($A66,Stories!$A$4:$A$96,0))&amp;"","")</f>
        <v/>
      </c>
      <c r="G66" s="192" t="inlineStr">
        <is>
          <t>Agencia de Periodismo Investigativo</t>
        </is>
      </c>
      <c r="H66" s="193" t="n">
        <v>46319</v>
      </c>
      <c r="I66" s="203" t="inlineStr"/>
    </row>
    <row r="67" outlineLevel="1" ht="29" customHeight="1">
      <c r="A67" s="186" t="n">
        <v>70</v>
      </c>
      <c r="B67" s="187" t="n">
        <v>0</v>
      </c>
      <c r="C67" s="188" t="inlineStr">
        <is>
          <t>Deslizamiento de tierra mantiene totalmente suspendido el tránsito en la Ruta 5 Norte en Canela</t>
        </is>
      </c>
      <c r="D67" s="189" t="inlineStr">
        <is>
          <t>Open article</t>
        </is>
      </c>
      <c r="E67" s="202" t="inlineStr">
        <is>
          <t>Not rated</t>
        </is>
      </c>
      <c r="F67" s="191">
        <f>IFERROR(INDEX(Stories!$F$4:$F$96,MATCH($A67,Stories!$A$4:$A$96,0))&amp;"","")</f>
        <v/>
      </c>
      <c r="G67" s="192" t="inlineStr">
        <is>
          <t>Mi Radio</t>
        </is>
      </c>
      <c r="H67" s="193" t="n">
        <v>46319</v>
      </c>
      <c r="I67" s="203" t="inlineStr"/>
    </row>
    <row r="68" outlineLevel="1" ht="29" customHeight="1">
      <c r="A68" s="186" t="n">
        <v>71</v>
      </c>
      <c r="B68" s="187" t="n">
        <v>0</v>
      </c>
      <c r="C68" s="188" t="inlineStr">
        <is>
          <t>Rabren vía Las Tablas–Tonosí tras deslizamiento de tierra por fuertes lluvias</t>
        </is>
      </c>
      <c r="D68" s="189" t="inlineStr">
        <is>
          <t>Open article</t>
        </is>
      </c>
      <c r="E68" s="202" t="inlineStr">
        <is>
          <t>Not rated</t>
        </is>
      </c>
      <c r="F68" s="191">
        <f>IFERROR(INDEX(Stories!$F$4:$F$96,MATCH($A68,Stories!$A$4:$A$96,0))&amp;"","")</f>
        <v/>
      </c>
      <c r="G68" s="192" t="inlineStr">
        <is>
          <t>Telemetro</t>
        </is>
      </c>
      <c r="H68" s="193" t="n">
        <v>46319</v>
      </c>
      <c r="I68" s="203" t="inlineStr"/>
    </row>
    <row r="69" outlineLevel="1" ht="29" customHeight="1">
      <c r="A69" s="186" t="n">
        <v>72</v>
      </c>
      <c r="B69" s="187" t="n">
        <v>0</v>
      </c>
      <c r="C69" s="188" t="inlineStr">
        <is>
          <t>Deslizamiento destruyó cuatro viviendas y mantiene en riesgo a familias en el Moniquirá</t>
        </is>
      </c>
      <c r="D69" s="189" t="inlineStr">
        <is>
          <t>Open article</t>
        </is>
      </c>
      <c r="E69" s="202" t="inlineStr">
        <is>
          <t>Not rated</t>
        </is>
      </c>
      <c r="F69" s="191">
        <f>IFERROR(INDEX(Stories!$F$4:$F$96,MATCH($A69,Stories!$A$4:$A$96,0))&amp;"","")</f>
        <v/>
      </c>
      <c r="G69" s="192" t="inlineStr">
        <is>
          <t>Caracol Radio</t>
        </is>
      </c>
      <c r="H69" s="193" t="n">
        <v>46319</v>
      </c>
      <c r="I69" s="203" t="inlineStr"/>
    </row>
    <row r="70" outlineLevel="1" ht="41.5" customHeight="1">
      <c r="A70" s="186" t="n">
        <v>73</v>
      </c>
      <c r="B70" s="187" t="n">
        <v>0</v>
      </c>
      <c r="C70" s="188" t="inlineStr">
        <is>
          <t>La provincia de Dong Thap destina 330 mil millones de VND para hacer frente a las zonas afectadas por graves deslizamientos de tierra.</t>
        </is>
      </c>
      <c r="D70" s="189" t="inlineStr">
        <is>
          <t>Open article</t>
        </is>
      </c>
      <c r="E70" s="202" t="inlineStr">
        <is>
          <t>Not rated</t>
        </is>
      </c>
      <c r="F70" s="191">
        <f>IFERROR(INDEX(Stories!$F$4:$F$96,MATCH($A70,Stories!$A$4:$A$96,0))&amp;"","")</f>
        <v/>
      </c>
      <c r="G70" s="192" t="inlineStr">
        <is>
          <t>Vietnam.vn</t>
        </is>
      </c>
      <c r="H70" s="193" t="n">
        <v>46319</v>
      </c>
      <c r="I70" s="203" t="inlineStr"/>
    </row>
    <row r="71" outlineLevel="1" ht="41.5" customHeight="1">
      <c r="A71" s="186" t="n">
        <v>74</v>
      </c>
      <c r="B71" s="187" t="n">
        <v>0</v>
      </c>
      <c r="C71" s="188" t="inlineStr">
        <is>
          <t>Vista de cerca de 500 metros de calle en la provincia de Lam Dong, gravemente afectada por hundimientos y deslizamientos de tierra.</t>
        </is>
      </c>
      <c r="D71" s="189" t="inlineStr">
        <is>
          <t>Open article</t>
        </is>
      </c>
      <c r="E71" s="202" t="inlineStr">
        <is>
          <t>Not rated</t>
        </is>
      </c>
      <c r="F71" s="191">
        <f>IFERROR(INDEX(Stories!$F$4:$F$96,MATCH($A71,Stories!$A$4:$A$96,0))&amp;"","")</f>
        <v/>
      </c>
      <c r="G71" s="192" t="inlineStr">
        <is>
          <t>Vietnam.vn</t>
        </is>
      </c>
      <c r="H71" s="193" t="n">
        <v>46319</v>
      </c>
      <c r="I71" s="203" t="inlineStr"/>
    </row>
    <row r="72" outlineLevel="1" ht="29" customHeight="1">
      <c r="A72" s="186" t="n">
        <v>75</v>
      </c>
      <c r="B72" s="187" t="n">
        <v>0</v>
      </c>
      <c r="C72" s="188" t="inlineStr">
        <is>
          <t>Lam Dong: La carretera en Nam Gia Nghia sufre graves hundimientos y deslizamientos de tierra.</t>
        </is>
      </c>
      <c r="D72" s="189" t="inlineStr">
        <is>
          <t>Open article</t>
        </is>
      </c>
      <c r="E72" s="202" t="inlineStr">
        <is>
          <t>Not rated</t>
        </is>
      </c>
      <c r="F72" s="191">
        <f>IFERROR(INDEX(Stories!$F$4:$F$96,MATCH($A72,Stories!$A$4:$A$96,0))&amp;"","")</f>
        <v/>
      </c>
      <c r="G72" s="192" t="inlineStr">
        <is>
          <t>Vietnam.vn</t>
        </is>
      </c>
      <c r="H72" s="193" t="n">
        <v>46319</v>
      </c>
      <c r="I72" s="203" t="inlineStr"/>
    </row>
    <row r="73" outlineLevel="1" ht="29" customHeight="1">
      <c r="A73" s="186" t="n">
        <v>76</v>
      </c>
      <c r="B73" s="187" t="n">
        <v>0</v>
      </c>
      <c r="C73" s="188" t="inlineStr">
        <is>
          <t>Reabren parcialmente la vía a Buenaventura tras deslizamiento en Dagua: hay paso a un carril</t>
        </is>
      </c>
      <c r="D73" s="189" t="inlineStr">
        <is>
          <t>Open article</t>
        </is>
      </c>
      <c r="E73" s="202" t="inlineStr">
        <is>
          <t>Not rated</t>
        </is>
      </c>
      <c r="F73" s="191">
        <f>IFERROR(INDEX(Stories!$F$4:$F$96,MATCH($A73,Stories!$A$4:$A$96,0))&amp;"","")</f>
        <v/>
      </c>
      <c r="G73" s="192" t="inlineStr">
        <is>
          <t>El País</t>
        </is>
      </c>
      <c r="H73" s="193" t="n">
        <v>46319</v>
      </c>
      <c r="I73" s="203" t="inlineStr"/>
    </row>
    <row r="74" outlineLevel="1" ht="29" customHeight="1">
      <c r="A74" s="186" t="n">
        <v>77</v>
      </c>
      <c r="B74" s="187" t="n">
        <v>0</v>
      </c>
      <c r="C74" s="188" t="inlineStr">
        <is>
          <t>Detectan coliformes en muestras de agua tras deslizamiento en mina El Remance</t>
        </is>
      </c>
      <c r="D74" s="189" t="inlineStr">
        <is>
          <t>Open article</t>
        </is>
      </c>
      <c r="E74" s="202" t="inlineStr">
        <is>
          <t>Not rated</t>
        </is>
      </c>
      <c r="F74" s="191">
        <f>IFERROR(INDEX(Stories!$F$4:$F$96,MATCH($A74,Stories!$A$4:$A$96,0))&amp;"","")</f>
        <v/>
      </c>
      <c r="G74" s="192" t="inlineStr">
        <is>
          <t>CRÍTICA</t>
        </is>
      </c>
      <c r="H74" s="193" t="n">
        <v>46319</v>
      </c>
      <c r="I74" s="203" t="inlineStr"/>
    </row>
    <row r="75" outlineLevel="1" ht="29" customHeight="1">
      <c r="A75" s="186" t="n">
        <v>78</v>
      </c>
      <c r="B75" s="187" t="n">
        <v>0</v>
      </c>
      <c r="C75" s="188" t="inlineStr">
        <is>
          <t>IMÁGENES SENSIBLES | Deslizamiento en mina deja 14 personas fallecidas</t>
        </is>
      </c>
      <c r="D75" s="189" t="inlineStr">
        <is>
          <t>Open article</t>
        </is>
      </c>
      <c r="E75" s="202" t="inlineStr">
        <is>
          <t>Not rated</t>
        </is>
      </c>
      <c r="F75" s="191">
        <f>IFERROR(INDEX(Stories!$F$4:$F$96,MATCH($A75,Stories!$A$4:$A$96,0))&amp;"","")</f>
        <v/>
      </c>
      <c r="G75" s="192" t="inlineStr">
        <is>
          <t>Azteca Bajío</t>
        </is>
      </c>
      <c r="H75" s="193" t="n">
        <v>46319</v>
      </c>
      <c r="I75" s="203" t="inlineStr"/>
    </row>
    <row r="76" outlineLevel="1" ht="29" customHeight="1">
      <c r="A76" s="186" t="n">
        <v>79</v>
      </c>
      <c r="B76" s="187" t="n">
        <v>0</v>
      </c>
      <c r="C76" s="188" t="inlineStr">
        <is>
          <t>¡Emergencia en Italia! Fuertes lluvias provocan aludes y deslizamientos de tierra</t>
        </is>
      </c>
      <c r="D76" s="189" t="inlineStr">
        <is>
          <t>Open article</t>
        </is>
      </c>
      <c r="E76" s="202" t="inlineStr">
        <is>
          <t>Not rated</t>
        </is>
      </c>
      <c r="F76" s="191">
        <f>IFERROR(INDEX(Stories!$F$4:$F$96,MATCH($A76,Stories!$A$4:$A$96,0))&amp;"","")</f>
        <v/>
      </c>
      <c r="G76" s="192" t="inlineStr">
        <is>
          <t>TV Azteca Baja California</t>
        </is>
      </c>
      <c r="H76" s="193" t="n">
        <v>46319</v>
      </c>
      <c r="I76" s="203" t="inlineStr"/>
    </row>
    <row r="77" outlineLevel="1" ht="29" customHeight="1">
      <c r="A77" s="186" t="n">
        <v>80</v>
      </c>
      <c r="B77" s="187" t="n">
        <v>0</v>
      </c>
      <c r="C77" s="188" t="inlineStr">
        <is>
          <t>¡La tierra se movió en Moniquirá! Deslizamiento dejó cuatro casas destruidas y otras cinco en riesgo</t>
        </is>
      </c>
      <c r="D77" s="189" t="inlineStr">
        <is>
          <t>Open article</t>
        </is>
      </c>
      <c r="E77" s="202" t="inlineStr">
        <is>
          <t>Not rated</t>
        </is>
      </c>
      <c r="F77" s="191">
        <f>IFERROR(INDEX(Stories!$F$4:$F$96,MATCH($A77,Stories!$A$4:$A$96,0))&amp;"","")</f>
        <v/>
      </c>
      <c r="G77" s="192" t="inlineStr">
        <is>
          <t>Minuto30</t>
        </is>
      </c>
      <c r="H77" s="193" t="n">
        <v>46319</v>
      </c>
      <c r="I77" s="203" t="inlineStr"/>
    </row>
    <row r="78" outlineLevel="1" ht="29" customHeight="1">
      <c r="A78" s="186" t="n">
        <v>81</v>
      </c>
      <c r="B78" s="187" t="n">
        <v>0</v>
      </c>
      <c r="C78" s="188" t="inlineStr">
        <is>
          <t>Deslizamiento destruyó cuatro viviendas en Moniquirá, Boyacá, y dejó a varias familias</t>
        </is>
      </c>
      <c r="D78" s="189" t="inlineStr">
        <is>
          <t>Open article</t>
        </is>
      </c>
      <c r="E78" s="202" t="inlineStr">
        <is>
          <t>Not rated</t>
        </is>
      </c>
      <c r="F78" s="191">
        <f>IFERROR(INDEX(Stories!$F$4:$F$96,MATCH($A78,Stories!$A$4:$A$96,0))&amp;"","")</f>
        <v/>
      </c>
      <c r="G78" s="192" t="inlineStr">
        <is>
          <t>Diario del Sur</t>
        </is>
      </c>
      <c r="H78" s="193" t="n">
        <v>46319</v>
      </c>
      <c r="I78" s="203" t="inlineStr"/>
    </row>
    <row r="79" outlineLevel="1" ht="29" customHeight="1">
      <c r="A79" s="186" t="n">
        <v>82</v>
      </c>
      <c r="B79" s="187" t="n">
        <v>0</v>
      </c>
      <c r="C79" s="188" t="inlineStr">
        <is>
          <t>Por tercera vez, un deslizamiento afecta al Pedregal de Santa Julia en Tijuana</t>
        </is>
      </c>
      <c r="D79" s="189" t="inlineStr">
        <is>
          <t>Open article</t>
        </is>
      </c>
      <c r="E79" s="202" t="inlineStr">
        <is>
          <t>Not rated</t>
        </is>
      </c>
      <c r="F79" s="191">
        <f>IFERROR(INDEX(Stories!$F$4:$F$96,MATCH($A79,Stories!$A$4:$A$96,0))&amp;"","")</f>
        <v/>
      </c>
      <c r="G79" s="192" t="inlineStr">
        <is>
          <t>TV Azteca Baja California</t>
        </is>
      </c>
      <c r="H79" s="193" t="n">
        <v>46319</v>
      </c>
      <c r="I79" s="203" t="inlineStr"/>
    </row>
    <row r="80" outlineLevel="1" ht="29" customHeight="1">
      <c r="A80" s="186" t="n">
        <v>83</v>
      </c>
      <c r="B80" s="187" t="n">
        <v>0</v>
      </c>
      <c r="C80" s="188" t="inlineStr">
        <is>
          <t>Deslizamiento en Moniquirá, Boyacá: 3 casas destruidas por lluvias</t>
        </is>
      </c>
      <c r="D80" s="189" t="inlineStr">
        <is>
          <t>Open article</t>
        </is>
      </c>
      <c r="E80" s="202" t="inlineStr">
        <is>
          <t>Not rated</t>
        </is>
      </c>
      <c r="F80" s="191">
        <f>IFERROR(INDEX(Stories!$F$4:$F$96,MATCH($A80,Stories!$A$4:$A$96,0))&amp;"","")</f>
        <v/>
      </c>
      <c r="G80" s="192" t="inlineStr">
        <is>
          <t>Estrella Digital Colombia</t>
        </is>
      </c>
      <c r="H80" s="193" t="n">
        <v>46319</v>
      </c>
      <c r="I80" s="203" t="inlineStr"/>
    </row>
    <row r="81" outlineLevel="1" ht="41.5" customHeight="1">
      <c r="A81" s="186" t="n">
        <v>84</v>
      </c>
      <c r="B81" s="187" t="n">
        <v>0</v>
      </c>
      <c r="C81" s="188" t="inlineStr">
        <is>
          <t>Obrero permaneció sepultado por casi cuatro horas tras colapso de muro de contención en Ventanilla: fue rescatado con vida</t>
        </is>
      </c>
      <c r="D81" s="189" t="inlineStr">
        <is>
          <t>Open article</t>
        </is>
      </c>
      <c r="E81" s="202" t="inlineStr">
        <is>
          <t>Not rated</t>
        </is>
      </c>
      <c r="F81" s="191">
        <f>IFERROR(INDEX(Stories!$F$4:$F$96,MATCH($A81,Stories!$A$4:$A$96,0))&amp;"","")</f>
        <v/>
      </c>
      <c r="G81" s="192" t="inlineStr">
        <is>
          <t>Infobae</t>
        </is>
      </c>
      <c r="H81" s="193" t="n">
        <v>46319</v>
      </c>
      <c r="I81" s="203" t="inlineStr"/>
    </row>
    <row r="82" outlineLevel="1" ht="29" customHeight="1">
      <c r="A82" s="186" t="n">
        <v>85</v>
      </c>
      <c r="B82" s="187" t="n">
        <v>0</v>
      </c>
      <c r="C82" s="188" t="inlineStr">
        <is>
          <t>Tres viviendas quedaron destruidas tras deslizamiento en zona rural de Moniquirá</t>
        </is>
      </c>
      <c r="D82" s="189" t="inlineStr">
        <is>
          <t>Open article</t>
        </is>
      </c>
      <c r="E82" s="202" t="inlineStr">
        <is>
          <t>Not rated</t>
        </is>
      </c>
      <c r="F82" s="191">
        <f>IFERROR(INDEX(Stories!$F$4:$F$96,MATCH($A82,Stories!$A$4:$A$96,0))&amp;"","")</f>
        <v/>
      </c>
      <c r="G82" s="192" t="inlineStr">
        <is>
          <t>Noticias Caracol</t>
        </is>
      </c>
      <c r="H82" s="193" t="n">
        <v>46319</v>
      </c>
      <c r="I82" s="203" t="inlineStr"/>
    </row>
    <row r="83" outlineLevel="1" ht="29" customHeight="1">
      <c r="A83" s="186" t="n">
        <v>86</v>
      </c>
      <c r="B83" s="187" t="n">
        <v>0</v>
      </c>
      <c r="C83" s="188" t="inlineStr">
        <is>
          <t>Quito bajo la lluvia: 321 barrios están expuestos a inundaciones y deslizamientos</t>
        </is>
      </c>
      <c r="D83" s="189" t="inlineStr">
        <is>
          <t>Open article</t>
        </is>
      </c>
      <c r="E83" s="202" t="inlineStr">
        <is>
          <t>Not rated</t>
        </is>
      </c>
      <c r="F83" s="191">
        <f>IFERROR(INDEX(Stories!$F$4:$F$96,MATCH($A83,Stories!$A$4:$A$96,0))&amp;"","")</f>
        <v/>
      </c>
      <c r="G83" s="192" t="inlineStr">
        <is>
          <t>Diario Extra</t>
        </is>
      </c>
      <c r="H83" s="193" t="n">
        <v>46319</v>
      </c>
      <c r="I83" s="203" t="inlineStr"/>
    </row>
    <row r="84" outlineLevel="1" ht="29" customHeight="1">
      <c r="A84" s="186" t="n">
        <v>87</v>
      </c>
      <c r="B84" s="187" t="n">
        <v>0</v>
      </c>
      <c r="C84" s="188" t="inlineStr">
        <is>
          <t>Deslizamento de terra em mina de ouro ilegal na Colômbia deixa nove mortos</t>
        </is>
      </c>
      <c r="D84" s="189" t="inlineStr">
        <is>
          <t>Open article</t>
        </is>
      </c>
      <c r="E84" s="202" t="inlineStr">
        <is>
          <t>Not rated</t>
        </is>
      </c>
      <c r="F84" s="191">
        <f>IFERROR(INDEX(Stories!$F$4:$F$96,MATCH($A84,Stories!$A$4:$A$96,0))&amp;"","")</f>
        <v/>
      </c>
      <c r="G84" s="192" t="inlineStr">
        <is>
          <t>Estadão</t>
        </is>
      </c>
      <c r="H84" s="193" t="n">
        <v>46319</v>
      </c>
      <c r="I84" s="203" t="inlineStr"/>
    </row>
    <row r="85" outlineLevel="1" ht="16.5" customHeight="1">
      <c r="A85" s="186" t="n">
        <v>88</v>
      </c>
      <c r="B85" s="187" t="n">
        <v>0</v>
      </c>
      <c r="C85" s="188" t="inlineStr">
        <is>
          <t>Deslizamento de terra interdita rua em Presidente Getúlio</t>
        </is>
      </c>
      <c r="D85" s="189" t="inlineStr">
        <is>
          <t>Open article</t>
        </is>
      </c>
      <c r="E85" s="202" t="inlineStr">
        <is>
          <t>Not rated</t>
        </is>
      </c>
      <c r="F85" s="191">
        <f>IFERROR(INDEX(Stories!$F$4:$F$96,MATCH($A85,Stories!$A$4:$A$96,0))&amp;"","")</f>
        <v/>
      </c>
      <c r="G85" s="192" t="inlineStr">
        <is>
          <t>Rádio Mirador</t>
        </is>
      </c>
      <c r="H85" s="193" t="n">
        <v>46319</v>
      </c>
      <c r="I85" s="203" t="inlineStr"/>
    </row>
    <row r="86" outlineLevel="1" ht="29" customHeight="1">
      <c r="A86" s="186" t="n">
        <v>89</v>
      </c>
      <c r="B86" s="187" t="n">
        <v>0</v>
      </c>
      <c r="C86" s="188" t="inlineStr">
        <is>
          <t>Deslizamento e obras exigem atenção de motoristas na Serra Dona Francisca</t>
        </is>
      </c>
      <c r="D86" s="189" t="inlineStr">
        <is>
          <t>Open article</t>
        </is>
      </c>
      <c r="E86" s="202" t="inlineStr">
        <is>
          <t>Not rated</t>
        </is>
      </c>
      <c r="F86" s="191">
        <f>IFERROR(INDEX(Stories!$F$4:$F$96,MATCH($A86,Stories!$A$4:$A$96,0))&amp;"","")</f>
        <v/>
      </c>
      <c r="G86" s="192" t="inlineStr">
        <is>
          <t>ND Mais</t>
        </is>
      </c>
      <c r="H86" s="193" t="n">
        <v>46319</v>
      </c>
      <c r="I86" s="203" t="inlineStr"/>
    </row>
    <row r="87" outlineLevel="1" ht="29" customHeight="1">
      <c r="A87" s="186" t="n">
        <v>90</v>
      </c>
      <c r="B87" s="187" t="n">
        <v>0</v>
      </c>
      <c r="C87" s="188" t="inlineStr">
        <is>
          <t>Barreira de contenção de deslizamentos de terra 'ameaça' área residencial.</t>
        </is>
      </c>
      <c r="D87" s="189" t="inlineStr">
        <is>
          <t>Open article</t>
        </is>
      </c>
      <c r="E87" s="202" t="inlineStr">
        <is>
          <t>Not rated</t>
        </is>
      </c>
      <c r="F87" s="191">
        <f>IFERROR(INDEX(Stories!$F$4:$F$96,MATCH($A87,Stories!$A$4:$A$96,0))&amp;"","")</f>
        <v/>
      </c>
      <c r="G87" s="192" t="inlineStr">
        <is>
          <t>Vietnam.vn</t>
        </is>
      </c>
      <c r="H87" s="193" t="n">
        <v>46319</v>
      </c>
      <c r="I87" s="203" t="inlineStr"/>
    </row>
    <row r="88" outlineLevel="1" ht="29" customHeight="1">
      <c r="A88" s="186" t="n">
        <v>91</v>
      </c>
      <c r="B88" s="187" t="n">
        <v>0</v>
      </c>
      <c r="C88" s="188" t="inlineStr">
        <is>
          <t>O Passo de Khanh Le está parcialmente fechado para lidar com o risco de deslizamentos de rochas.</t>
        </is>
      </c>
      <c r="D88" s="189" t="inlineStr">
        <is>
          <t>Open article</t>
        </is>
      </c>
      <c r="E88" s="202" t="inlineStr">
        <is>
          <t>Not rated</t>
        </is>
      </c>
      <c r="F88" s="191">
        <f>IFERROR(INDEX(Stories!$F$4:$F$96,MATCH($A88,Stories!$A$4:$A$96,0))&amp;"","")</f>
        <v/>
      </c>
      <c r="G88" s="192" t="inlineStr">
        <is>
          <t>Vietnam.vn</t>
        </is>
      </c>
      <c r="H88" s="193" t="n">
        <v>46319</v>
      </c>
      <c r="I88" s="203" t="inlineStr"/>
    </row>
    <row r="89" outlineLevel="1" ht="29" customHeight="1">
      <c r="A89" s="186" t="n">
        <v>92</v>
      </c>
      <c r="B89" s="187" t="n">
        <v>0</v>
      </c>
      <c r="C89" s="188" t="inlineStr">
        <is>
          <t>Nghe An: É necessária uma ação urgente para resolver o deslizamento de terra no aterro ao longo da estrada costeira.</t>
        </is>
      </c>
      <c r="D89" s="189" t="inlineStr">
        <is>
          <t>Open article</t>
        </is>
      </c>
      <c r="E89" s="202" t="inlineStr">
        <is>
          <t>Not rated</t>
        </is>
      </c>
      <c r="F89" s="191">
        <f>IFERROR(INDEX(Stories!$F$4:$F$96,MATCH($A89,Stories!$A$4:$A$96,0))&amp;"","")</f>
        <v/>
      </c>
      <c r="G89" s="192" t="inlineStr">
        <is>
          <t>Vietnam.vn</t>
        </is>
      </c>
      <c r="H89" s="193" t="n">
        <v>46319</v>
      </c>
      <c r="I89" s="203" t="inlineStr"/>
    </row>
    <row r="90" outlineLevel="1" ht="41.5" customHeight="1">
      <c r="A90" s="186" t="n">
        <v>93</v>
      </c>
      <c r="B90" s="187" t="n">
        <v>0</v>
      </c>
      <c r="C90" s="188" t="inlineStr">
        <is>
          <t>Embora concordem em se mudar para evitar deslizamentos de terra, os moradores de Nui Mot estão preocupados com a indenização e o reassentamento.</t>
        </is>
      </c>
      <c r="D90" s="189" t="inlineStr">
        <is>
          <t>Open article</t>
        </is>
      </c>
      <c r="E90" s="202" t="inlineStr">
        <is>
          <t>Not rated</t>
        </is>
      </c>
      <c r="F90" s="191">
        <f>IFERROR(INDEX(Stories!$F$4:$F$96,MATCH($A90,Stories!$A$4:$A$96,0))&amp;"","")</f>
        <v/>
      </c>
      <c r="G90" s="192" t="inlineStr">
        <is>
          <t>Vietnam.vn</t>
        </is>
      </c>
      <c r="H90" s="193" t="n">
        <v>46319</v>
      </c>
      <c r="I90" s="203" t="inlineStr"/>
    </row>
    <row r="91" outlineLevel="1" ht="10" customHeight="1"/>
    <row r="92" ht="26" customHeight="1">
      <c r="A92" s="204" t="inlineStr">
        <is>
          <t>Infrastructure &amp; the Underground City   ·   5 stories   ·   0 rated 5 / 5   ·   2 feature leads</t>
        </is>
      </c>
      <c r="B92" s="205" t="n"/>
      <c r="C92" s="205" t="n"/>
      <c r="D92" s="205" t="n"/>
      <c r="E92" s="205" t="n"/>
      <c r="F92" s="205" t="n"/>
      <c r="G92" s="205" t="n"/>
      <c r="H92" s="205" t="n"/>
      <c r="I92" s="205" t="n"/>
    </row>
    <row r="93" outlineLevel="1">
      <c r="A93" s="206" t="inlineStr">
        <is>
          <t>No.</t>
        </is>
      </c>
      <c r="B93" s="206" t="inlineStr">
        <is>
          <t>Relevance</t>
        </is>
      </c>
      <c r="C93" s="207" t="inlineStr">
        <is>
          <t>Headline</t>
        </is>
      </c>
      <c r="D93" s="206" t="inlineStr">
        <is>
          <t>Link</t>
        </is>
      </c>
      <c r="E93" s="207" t="inlineStr">
        <is>
          <t>Suggested use</t>
        </is>
      </c>
      <c r="F93" s="206" t="inlineStr">
        <is>
          <t>Status</t>
        </is>
      </c>
      <c r="G93" s="207" t="inlineStr">
        <is>
          <t>Source</t>
        </is>
      </c>
      <c r="H93" s="206" t="inlineStr">
        <is>
          <t>Digest</t>
        </is>
      </c>
      <c r="I93" s="207" t="inlineStr">
        <is>
          <t>Magazine angle / summary</t>
        </is>
      </c>
    </row>
    <row r="94" outlineLevel="1" ht="54" customHeight="1">
      <c r="A94" s="186" t="n">
        <v>12</v>
      </c>
      <c r="B94" s="187" t="n">
        <v>4</v>
      </c>
      <c r="C94" s="188" t="inlineStr">
        <is>
          <t>Gochang-Buan Noeuldaegyo Enters Geotechnical Survey Phase; Construction Targeted for January 2028</t>
        </is>
      </c>
      <c r="D94" s="189" t="inlineStr">
        <is>
          <t>Open article</t>
        </is>
      </c>
      <c r="E94" s="199" t="inlineStr">
        <is>
          <t>News brief</t>
        </is>
      </c>
      <c r="F94" s="191">
        <f>IFERROR(INDEX(Stories!$F$4:$F$96,MATCH($A94,Stories!$A$4:$A$96,0))&amp;"","")</f>
        <v/>
      </c>
      <c r="G94" s="192" t="inlineStr">
        <is>
          <t>아시아경제</t>
        </is>
      </c>
      <c r="H94" s="193" t="n">
        <v>46319</v>
      </c>
      <c r="I94" s="192" t="inlineStr">
        <is>
          <t>What ground conditions will the geotechnical survey reveal for this Korean nuclear-related or major construction project, and how will they shape the 2028 schedule?</t>
        </is>
      </c>
    </row>
    <row r="95" outlineLevel="1" ht="54" customHeight="1">
      <c r="A95" s="186" t="n">
        <v>14</v>
      </c>
      <c r="B95" s="187" t="n">
        <v>4</v>
      </c>
      <c r="C95" s="188" t="inlineStr">
        <is>
          <t>More than 300 neighbourhoods at risk from rains; sinkhole on Eloy Alfaro casts doubt on Quito's underground infrastructure</t>
        </is>
      </c>
      <c r="D95" s="189" t="inlineStr">
        <is>
          <t>Open article</t>
        </is>
      </c>
      <c r="E95" s="198" t="inlineStr">
        <is>
          <t>Feature lead</t>
        </is>
      </c>
      <c r="F95" s="191">
        <f>IFERROR(INDEX(Stories!$F$4:$F$96,MATCH($A95,Stories!$A$4:$A$96,0))&amp;"","")</f>
        <v/>
      </c>
      <c r="G95" s="192" t="inlineStr">
        <is>
          <t>El Universo</t>
        </is>
      </c>
      <c r="H95" s="193" t="n">
        <v>46319</v>
      </c>
      <c r="I95" s="192" t="inlineStr">
        <is>
          <t>How can cities detect and prevent sinkholes caused by leaking pipes and eroded soils in urban ground, and what does Quito's case reveal about underground infrastructure monitoring?</t>
        </is>
      </c>
    </row>
    <row r="96" outlineLevel="1" ht="41.5" customHeight="1">
      <c r="A96" s="186" t="n">
        <v>26</v>
      </c>
      <c r="B96" s="187" t="n">
        <v>3</v>
      </c>
      <c r="C96" s="188" t="inlineStr">
        <is>
          <t>What options exist for Mot Mountain in Quy Nhon: levelling it or preserving the historic site?</t>
        </is>
      </c>
      <c r="D96" s="189" t="inlineStr">
        <is>
          <t>Open article</t>
        </is>
      </c>
      <c r="E96" s="198" t="inlineStr">
        <is>
          <t>Feature lead</t>
        </is>
      </c>
      <c r="F96" s="191">
        <f>IFERROR(INDEX(Stories!$F$4:$F$96,MATCH($A96,Stories!$A$4:$A$96,0))&amp;"","")</f>
        <v/>
      </c>
      <c r="G96" s="192" t="inlineStr">
        <is>
          <t>Vietnam.vn</t>
        </is>
      </c>
      <c r="H96" s="193" t="n">
        <v>46319</v>
      </c>
      <c r="I96" s="192" t="inlineStr">
        <is>
          <t>What geotechnical and heritage considerations should guide levelling versus preserving a rocky hill site in an urban coastal city?</t>
        </is>
      </c>
    </row>
    <row r="97" outlineLevel="1" ht="41.5" customHeight="1">
      <c r="A97" s="186" t="n">
        <v>28</v>
      </c>
      <c r="B97" s="187" t="n">
        <v>3</v>
      </c>
      <c r="C97" s="188" t="inlineStr">
        <is>
          <t>Benjamin Banneker Middle School open following water main break, sinkhole repairs</t>
        </is>
      </c>
      <c r="D97" s="189" t="inlineStr">
        <is>
          <t>Open article</t>
        </is>
      </c>
      <c r="E97" s="199" t="inlineStr">
        <is>
          <t>News brief</t>
        </is>
      </c>
      <c r="F97" s="191">
        <f>IFERROR(INDEX(Stories!$F$4:$F$96,MATCH($A97,Stories!$A$4:$A$96,0))&amp;"","")</f>
        <v/>
      </c>
      <c r="G97" s="192" t="inlineStr">
        <is>
          <t>AOL.com</t>
        </is>
      </c>
      <c r="H97" s="193" t="n">
        <v>46319</v>
      </c>
      <c r="I97" s="192" t="inlineStr">
        <is>
          <t>How do water main breaks undermine shallow soils and cause sinkholes, and what ground investigation would prevent school-site reopening delays?</t>
        </is>
      </c>
    </row>
    <row r="98" outlineLevel="1" ht="41.5" customHeight="1">
      <c r="A98" s="186" t="n">
        <v>29</v>
      </c>
      <c r="B98" s="187" t="n">
        <v>3</v>
      </c>
      <c r="C98" s="188" t="inlineStr">
        <is>
          <t>Landslide Derails Locomotive in Keralam, Train Services Restored</t>
        </is>
      </c>
      <c r="D98" s="189" t="inlineStr">
        <is>
          <t>Open article</t>
        </is>
      </c>
      <c r="E98" s="199" t="inlineStr">
        <is>
          <t>News brief</t>
        </is>
      </c>
      <c r="F98" s="191">
        <f>IFERROR(INDEX(Stories!$F$4:$F$96,MATCH($A98,Stories!$A$4:$A$96,0))&amp;"","")</f>
        <v/>
      </c>
      <c r="G98" s="192" t="inlineStr">
        <is>
          <t>Deccan Chronicle</t>
        </is>
      </c>
      <c r="H98" s="193" t="n">
        <v>46319</v>
      </c>
      <c r="I98" s="192" t="inlineStr">
        <is>
          <t>What slope or embankment failure caused the locomotive derailment, and how should rail corridors be assessed for landslide risk?</t>
        </is>
      </c>
    </row>
    <row r="99" outlineLevel="1" ht="10" customHeight="1"/>
    <row r="100" ht="26" customHeight="1">
      <c r="A100" s="208" t="inlineStr">
        <is>
          <t>Characterisation &amp; Modelling   ·   4 stories   ·   0 rated 5 / 5   ·   3 feature leads</t>
        </is>
      </c>
      <c r="B100" s="209" t="n"/>
      <c r="C100" s="209" t="n"/>
      <c r="D100" s="209" t="n"/>
      <c r="E100" s="209" t="n"/>
      <c r="F100" s="209" t="n"/>
      <c r="G100" s="209" t="n"/>
      <c r="H100" s="209" t="n"/>
      <c r="I100" s="209" t="n"/>
    </row>
    <row r="101" outlineLevel="1">
      <c r="A101" s="210" t="inlineStr">
        <is>
          <t>No.</t>
        </is>
      </c>
      <c r="B101" s="210" t="inlineStr">
        <is>
          <t>Relevance</t>
        </is>
      </c>
      <c r="C101" s="211" t="inlineStr">
        <is>
          <t>Headline</t>
        </is>
      </c>
      <c r="D101" s="210" t="inlineStr">
        <is>
          <t>Link</t>
        </is>
      </c>
      <c r="E101" s="211" t="inlineStr">
        <is>
          <t>Suggested use</t>
        </is>
      </c>
      <c r="F101" s="210" t="inlineStr">
        <is>
          <t>Status</t>
        </is>
      </c>
      <c r="G101" s="211" t="inlineStr">
        <is>
          <t>Source</t>
        </is>
      </c>
      <c r="H101" s="210" t="inlineStr">
        <is>
          <t>Digest</t>
        </is>
      </c>
      <c r="I101" s="211" t="inlineStr">
        <is>
          <t>Magazine angle / summary</t>
        </is>
      </c>
    </row>
    <row r="102" outlineLevel="1" ht="41.5" customHeight="1">
      <c r="A102" s="186" t="n">
        <v>13</v>
      </c>
      <c r="B102" s="187" t="n">
        <v>4</v>
      </c>
      <c r="C102" s="188" t="inlineStr">
        <is>
          <t>Primeval forest grows at bottom of 120-meter-deep sinkhole in central Vietnam</t>
        </is>
      </c>
      <c r="D102" s="189" t="inlineStr">
        <is>
          <t>Open article</t>
        </is>
      </c>
      <c r="E102" s="198" t="inlineStr">
        <is>
          <t>Feature lead</t>
        </is>
      </c>
      <c r="F102" s="191">
        <f>IFERROR(INDEX(Stories!$F$4:$F$96,MATCH($A102,Stories!$A$4:$A$96,0))&amp;"","")</f>
        <v/>
      </c>
      <c r="G102" s="192" t="inlineStr">
        <is>
          <t>VnExpress International</t>
        </is>
      </c>
      <c r="H102" s="193" t="n">
        <v>46319</v>
      </c>
      <c r="I102" s="192" t="inlineStr">
        <is>
          <t>How do karst collapse sinkholes form in limestone terrain, and what do such deep features reveal about cave ground stability and hazard mapping?</t>
        </is>
      </c>
    </row>
    <row r="103" outlineLevel="1" ht="41.5" customHeight="1">
      <c r="A103" s="186" t="n">
        <v>15</v>
      </c>
      <c r="B103" s="187" t="n">
        <v>4</v>
      </c>
      <c r="C103" s="188" t="inlineStr">
        <is>
          <t>Giant sinkhole discovered in Phong Nha-Ke Bang National Park</t>
        </is>
      </c>
      <c r="D103" s="189" t="inlineStr">
        <is>
          <t>Open article</t>
        </is>
      </c>
      <c r="E103" s="198" t="inlineStr">
        <is>
          <t>Feature lead</t>
        </is>
      </c>
      <c r="F103" s="191">
        <f>IFERROR(INDEX(Stories!$F$4:$F$96,MATCH($A103,Stories!$A$4:$A$96,0))&amp;"","")</f>
        <v/>
      </c>
      <c r="G103" s="192" t="inlineStr">
        <is>
          <t>Baolangson.vn</t>
        </is>
      </c>
      <c r="H103" s="193" t="n">
        <v>46319</v>
      </c>
      <c r="I103" s="192" t="inlineStr">
        <is>
          <t>How are giant karst sinkholes detected and characterised in limestone terrain, and what hazards do they pose to park access and infrastructure?</t>
        </is>
      </c>
    </row>
    <row r="104" outlineLevel="1" ht="54" customHeight="1">
      <c r="A104" s="186" t="n">
        <v>22</v>
      </c>
      <c r="B104" s="187" t="n">
        <v>4</v>
      </c>
      <c r="C104" s="188" t="inlineStr">
        <is>
          <t>Giant hole discovered in Phong Nha-Ke Bang National Park.</t>
        </is>
      </c>
      <c r="D104" s="189" t="inlineStr">
        <is>
          <t>Open article</t>
        </is>
      </c>
      <c r="E104" s="198" t="inlineStr">
        <is>
          <t>Feature lead</t>
        </is>
      </c>
      <c r="F104" s="191">
        <f>IFERROR(INDEX(Stories!$F$4:$F$96,MATCH($A104,Stories!$A$4:$A$96,0))&amp;"","")</f>
        <v/>
      </c>
      <c r="G104" s="192" t="inlineStr">
        <is>
          <t>Vietnam.vn</t>
        </is>
      </c>
      <c r="H104" s="193" t="n">
        <v>46319</v>
      </c>
      <c r="I104" s="192" t="inlineStr">
        <is>
          <t>What geological processes produced this giant hole in karst terrain, and how should such features be investigated and mapped within protected national parks?</t>
        </is>
      </c>
    </row>
    <row r="105" outlineLevel="1" ht="54" customHeight="1">
      <c r="A105" s="186" t="n">
        <v>23</v>
      </c>
      <c r="B105" s="187" t="n">
        <v>4</v>
      </c>
      <c r="C105" s="188" t="inlineStr">
        <is>
          <t>Analytical study of 3D transient dynamic response of a cylindrical cavity in an elastic medium under triangular pulse load.</t>
        </is>
      </c>
      <c r="D105" s="189" t="inlineStr">
        <is>
          <t>Open article</t>
        </is>
      </c>
      <c r="E105" s="190" t="inlineStr">
        <is>
          <t>Academia-to-Industry topic</t>
        </is>
      </c>
      <c r="F105" s="191">
        <f>IFERROR(INDEX(Stories!$F$4:$F$96,MATCH($A105,Stories!$A$4:$A$96,0))&amp;"","")</f>
        <v/>
      </c>
      <c r="G105" s="192" t="inlineStr">
        <is>
          <t>生物通</t>
        </is>
      </c>
      <c r="H105" s="193" t="n">
        <v>46319</v>
      </c>
      <c r="I105" s="192" t="inlineStr">
        <is>
          <t>How do analytical solutions for a cylindrical cavity under triangular pulse loads inform the validation of numerical models for underground openings under impact?</t>
        </is>
      </c>
    </row>
    <row r="106" outlineLevel="1" ht="10" customHeight="1"/>
    <row r="107" ht="26" customHeight="1">
      <c r="A107" s="212" t="inlineStr">
        <is>
          <t>Geotechnics &amp; Society   ·   2 stories   ·   0 rated 5 / 5   ·   0 feature leads</t>
        </is>
      </c>
      <c r="B107" s="213" t="n"/>
      <c r="C107" s="213" t="n"/>
      <c r="D107" s="213" t="n"/>
      <c r="E107" s="213" t="n"/>
      <c r="F107" s="213" t="n"/>
      <c r="G107" s="213" t="n"/>
      <c r="H107" s="213" t="n"/>
      <c r="I107" s="213" t="n"/>
    </row>
    <row r="108" outlineLevel="1">
      <c r="A108" s="214" t="inlineStr">
        <is>
          <t>No.</t>
        </is>
      </c>
      <c r="B108" s="214" t="inlineStr">
        <is>
          <t>Relevance</t>
        </is>
      </c>
      <c r="C108" s="215" t="inlineStr">
        <is>
          <t>Headline</t>
        </is>
      </c>
      <c r="D108" s="214" t="inlineStr">
        <is>
          <t>Link</t>
        </is>
      </c>
      <c r="E108" s="215" t="inlineStr">
        <is>
          <t>Suggested use</t>
        </is>
      </c>
      <c r="F108" s="214" t="inlineStr">
        <is>
          <t>Status</t>
        </is>
      </c>
      <c r="G108" s="215" t="inlineStr">
        <is>
          <t>Source</t>
        </is>
      </c>
      <c r="H108" s="214" t="inlineStr">
        <is>
          <t>Digest</t>
        </is>
      </c>
      <c r="I108" s="215" t="inlineStr">
        <is>
          <t>Magazine angle / summary</t>
        </is>
      </c>
    </row>
    <row r="109" outlineLevel="1" ht="41.5" customHeight="1">
      <c r="A109" s="186" t="n">
        <v>32</v>
      </c>
      <c r="B109" s="187" t="n">
        <v>3</v>
      </c>
      <c r="C109" s="188" t="inlineStr">
        <is>
          <t>Gia Lai province People's Committee chairman discusses proposal to level Mot Mountain.</t>
        </is>
      </c>
      <c r="D109" s="189" t="inlineStr">
        <is>
          <t>Open article</t>
        </is>
      </c>
      <c r="E109" s="200" t="inlineStr">
        <is>
          <t>Regional insight</t>
        </is>
      </c>
      <c r="F109" s="191">
        <f>IFERROR(INDEX(Stories!$F$4:$F$96,MATCH($A109,Stories!$A$4:$A$96,0))&amp;"","")</f>
        <v/>
      </c>
      <c r="G109" s="192" t="inlineStr">
        <is>
          <t>Vietnam.vn</t>
        </is>
      </c>
      <c r="H109" s="193" t="n">
        <v>46319</v>
      </c>
      <c r="I109" s="192" t="inlineStr">
        <is>
          <t>What are the geotechnical feasibility issues of levelling a hill, including rock quality, slope excavation and stability, compared with preservation?</t>
        </is>
      </c>
    </row>
    <row r="110" outlineLevel="1" ht="54" customHeight="1">
      <c r="A110" s="186" t="n">
        <v>33</v>
      </c>
      <c r="B110" s="187" t="n">
        <v>3</v>
      </c>
      <c r="C110" s="188" t="inlineStr">
        <is>
          <t>What are the options for Mot Mountain in Quy Nhon: level it or preserve the historic site?</t>
        </is>
      </c>
      <c r="D110" s="189" t="inlineStr">
        <is>
          <t>Open article</t>
        </is>
      </c>
      <c r="E110" s="200" t="inlineStr">
        <is>
          <t>Regional insight</t>
        </is>
      </c>
      <c r="F110" s="191">
        <f>IFERROR(INDEX(Stories!$F$4:$F$96,MATCH($A110,Stories!$A$4:$A$96,0))&amp;"","")</f>
        <v/>
      </c>
      <c r="G110" s="192" t="inlineStr">
        <is>
          <t>Vietnam.vn</t>
        </is>
      </c>
      <c r="H110" s="193" t="n">
        <v>46319</v>
      </c>
      <c r="I110" s="192" t="inlineStr">
        <is>
          <t>What geotechnical assessments would be needed to compare levelling Mot Mountain with conserving its historic site, including rock stability and foundation implications?</t>
        </is>
      </c>
    </row>
    <row r="111" outlineLevel="1" ht="10" customHeight="1"/>
  </sheetData>
  <mergeCells count="5">
    <mergeCell ref="A107:I107"/>
    <mergeCell ref="A8:I8"/>
    <mergeCell ref="A4:I4"/>
    <mergeCell ref="A100:I100"/>
    <mergeCell ref="A92:I92"/>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90">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90">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4:B98">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4:F98">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02:B105">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02:F105">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09:B110">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09:F110">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28" r:id="rId20"/>
    <hyperlink xmlns:r="http://schemas.openxmlformats.org/officeDocument/2006/relationships" ref="D29" r:id="rId21"/>
    <hyperlink xmlns:r="http://schemas.openxmlformats.org/officeDocument/2006/relationships" ref="D30" r:id="rId22"/>
    <hyperlink xmlns:r="http://schemas.openxmlformats.org/officeDocument/2006/relationships" ref="D31" r:id="rId23"/>
    <hyperlink xmlns:r="http://schemas.openxmlformats.org/officeDocument/2006/relationships" ref="D32" r:id="rId24"/>
    <hyperlink xmlns:r="http://schemas.openxmlformats.org/officeDocument/2006/relationships" ref="D33" r:id="rId25"/>
    <hyperlink xmlns:r="http://schemas.openxmlformats.org/officeDocument/2006/relationships" ref="D34" r:id="rId26"/>
    <hyperlink xmlns:r="http://schemas.openxmlformats.org/officeDocument/2006/relationships" ref="D35" r:id="rId27"/>
    <hyperlink xmlns:r="http://schemas.openxmlformats.org/officeDocument/2006/relationships" ref="D36" r:id="rId28"/>
    <hyperlink xmlns:r="http://schemas.openxmlformats.org/officeDocument/2006/relationships" ref="D37" r:id="rId29"/>
    <hyperlink xmlns:r="http://schemas.openxmlformats.org/officeDocument/2006/relationships" ref="D38" r:id="rId30"/>
    <hyperlink xmlns:r="http://schemas.openxmlformats.org/officeDocument/2006/relationships" ref="D39" r:id="rId31"/>
    <hyperlink xmlns:r="http://schemas.openxmlformats.org/officeDocument/2006/relationships" ref="D40" r:id="rId32"/>
    <hyperlink xmlns:r="http://schemas.openxmlformats.org/officeDocument/2006/relationships" ref="D41" r:id="rId33"/>
    <hyperlink xmlns:r="http://schemas.openxmlformats.org/officeDocument/2006/relationships" ref="D42" r:id="rId34"/>
    <hyperlink xmlns:r="http://schemas.openxmlformats.org/officeDocument/2006/relationships" ref="D43" r:id="rId35"/>
    <hyperlink xmlns:r="http://schemas.openxmlformats.org/officeDocument/2006/relationships" ref="D44" r:id="rId36"/>
    <hyperlink xmlns:r="http://schemas.openxmlformats.org/officeDocument/2006/relationships" ref="D45" r:id="rId37"/>
    <hyperlink xmlns:r="http://schemas.openxmlformats.org/officeDocument/2006/relationships" ref="D46" r:id="rId38"/>
    <hyperlink xmlns:r="http://schemas.openxmlformats.org/officeDocument/2006/relationships" ref="D47" r:id="rId39"/>
    <hyperlink xmlns:r="http://schemas.openxmlformats.org/officeDocument/2006/relationships" ref="D48" r:id="rId40"/>
    <hyperlink xmlns:r="http://schemas.openxmlformats.org/officeDocument/2006/relationships" ref="D49" r:id="rId41"/>
    <hyperlink xmlns:r="http://schemas.openxmlformats.org/officeDocument/2006/relationships" ref="D50" r:id="rId42"/>
    <hyperlink xmlns:r="http://schemas.openxmlformats.org/officeDocument/2006/relationships" ref="D51" r:id="rId43"/>
    <hyperlink xmlns:r="http://schemas.openxmlformats.org/officeDocument/2006/relationships" ref="D52" r:id="rId44"/>
    <hyperlink xmlns:r="http://schemas.openxmlformats.org/officeDocument/2006/relationships" ref="D53" r:id="rId45"/>
    <hyperlink xmlns:r="http://schemas.openxmlformats.org/officeDocument/2006/relationships" ref="D54" r:id="rId46"/>
    <hyperlink xmlns:r="http://schemas.openxmlformats.org/officeDocument/2006/relationships" ref="D55" r:id="rId47"/>
    <hyperlink xmlns:r="http://schemas.openxmlformats.org/officeDocument/2006/relationships" ref="D56" r:id="rId48"/>
    <hyperlink xmlns:r="http://schemas.openxmlformats.org/officeDocument/2006/relationships" ref="D57" r:id="rId49"/>
    <hyperlink xmlns:r="http://schemas.openxmlformats.org/officeDocument/2006/relationships" ref="D58" r:id="rId50"/>
    <hyperlink xmlns:r="http://schemas.openxmlformats.org/officeDocument/2006/relationships" ref="D59" r:id="rId51"/>
    <hyperlink xmlns:r="http://schemas.openxmlformats.org/officeDocument/2006/relationships" ref="D60" r:id="rId52"/>
    <hyperlink xmlns:r="http://schemas.openxmlformats.org/officeDocument/2006/relationships" ref="D61" r:id="rId53"/>
    <hyperlink xmlns:r="http://schemas.openxmlformats.org/officeDocument/2006/relationships" ref="D62" r:id="rId54"/>
    <hyperlink xmlns:r="http://schemas.openxmlformats.org/officeDocument/2006/relationships" ref="D63" r:id="rId55"/>
    <hyperlink xmlns:r="http://schemas.openxmlformats.org/officeDocument/2006/relationships" ref="D64" r:id="rId56"/>
    <hyperlink xmlns:r="http://schemas.openxmlformats.org/officeDocument/2006/relationships" ref="D65" r:id="rId57"/>
    <hyperlink xmlns:r="http://schemas.openxmlformats.org/officeDocument/2006/relationships" ref="D66" r:id="rId58"/>
    <hyperlink xmlns:r="http://schemas.openxmlformats.org/officeDocument/2006/relationships" ref="D67" r:id="rId59"/>
    <hyperlink xmlns:r="http://schemas.openxmlformats.org/officeDocument/2006/relationships" ref="D68" r:id="rId60"/>
    <hyperlink xmlns:r="http://schemas.openxmlformats.org/officeDocument/2006/relationships" ref="D69" r:id="rId61"/>
    <hyperlink xmlns:r="http://schemas.openxmlformats.org/officeDocument/2006/relationships" ref="D70" r:id="rId62"/>
    <hyperlink xmlns:r="http://schemas.openxmlformats.org/officeDocument/2006/relationships" ref="D71" r:id="rId63"/>
    <hyperlink xmlns:r="http://schemas.openxmlformats.org/officeDocument/2006/relationships" ref="D72" r:id="rId64"/>
    <hyperlink xmlns:r="http://schemas.openxmlformats.org/officeDocument/2006/relationships" ref="D73" r:id="rId65"/>
    <hyperlink xmlns:r="http://schemas.openxmlformats.org/officeDocument/2006/relationships" ref="D74" r:id="rId66"/>
    <hyperlink xmlns:r="http://schemas.openxmlformats.org/officeDocument/2006/relationships" ref="D75" r:id="rId67"/>
    <hyperlink xmlns:r="http://schemas.openxmlformats.org/officeDocument/2006/relationships" ref="D76" r:id="rId68"/>
    <hyperlink xmlns:r="http://schemas.openxmlformats.org/officeDocument/2006/relationships" ref="D77" r:id="rId69"/>
    <hyperlink xmlns:r="http://schemas.openxmlformats.org/officeDocument/2006/relationships" ref="D78" r:id="rId70"/>
    <hyperlink xmlns:r="http://schemas.openxmlformats.org/officeDocument/2006/relationships" ref="D79" r:id="rId71"/>
    <hyperlink xmlns:r="http://schemas.openxmlformats.org/officeDocument/2006/relationships" ref="D80" r:id="rId72"/>
    <hyperlink xmlns:r="http://schemas.openxmlformats.org/officeDocument/2006/relationships" ref="D81" r:id="rId73"/>
    <hyperlink xmlns:r="http://schemas.openxmlformats.org/officeDocument/2006/relationships" ref="D82" r:id="rId74"/>
    <hyperlink xmlns:r="http://schemas.openxmlformats.org/officeDocument/2006/relationships" ref="D83" r:id="rId75"/>
    <hyperlink xmlns:r="http://schemas.openxmlformats.org/officeDocument/2006/relationships" ref="D84"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88" r:id="rId80"/>
    <hyperlink xmlns:r="http://schemas.openxmlformats.org/officeDocument/2006/relationships" ref="D89" r:id="rId81"/>
    <hyperlink xmlns:r="http://schemas.openxmlformats.org/officeDocument/2006/relationships" ref="D90"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102" r:id="rId88"/>
    <hyperlink xmlns:r="http://schemas.openxmlformats.org/officeDocument/2006/relationships" ref="D103" r:id="rId89"/>
    <hyperlink xmlns:r="http://schemas.openxmlformats.org/officeDocument/2006/relationships" ref="D104" r:id="rId90"/>
    <hyperlink xmlns:r="http://schemas.openxmlformats.org/officeDocument/2006/relationships" ref="D105" r:id="rId91"/>
    <hyperlink xmlns:r="http://schemas.openxmlformats.org/officeDocument/2006/relationships" ref="D109" r:id="rId92"/>
    <hyperlink xmlns:r="http://schemas.openxmlformats.org/officeDocument/2006/relationships" ref="D110" r:id="rId9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67"/>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0" t="inlineStr">
        <is>
          <t>Sources · 64 outlets</t>
        </is>
      </c>
      <c r="C1" s="151" t="inlineStr">
        <is>
          <t>← Dashboard</t>
        </is>
      </c>
      <c r="D1" s="151" t="inlineStr">
        <is>
          <t>↑ Start here</t>
        </is>
      </c>
    </row>
    <row r="2" ht="16" customHeight="1">
      <c r="A2" s="152" t="inlineStr">
        <is>
          <t>One row per outlet, most stories first. ‘In current selection’ follows the Dashboard selectors; average relevance counts AI-rated stories only.</t>
        </is>
      </c>
    </row>
    <row r="3" ht="30" customHeight="1">
      <c r="A3" s="154" t="inlineStr">
        <is>
          <t>Source</t>
        </is>
      </c>
      <c r="B3" s="153" t="inlineStr">
        <is>
          <t>Stories</t>
        </is>
      </c>
      <c r="C3" s="153" t="inlineStr">
        <is>
          <t>In current selection</t>
        </is>
      </c>
      <c r="D3" s="153" t="inlineStr">
        <is>
          <t>Average relevance</t>
        </is>
      </c>
      <c r="E3" s="153" t="inlineStr">
        <is>
          <t>Rated 4 or 5</t>
        </is>
      </c>
      <c r="F3" s="154" t="inlineStr">
        <is>
          <t>Most frequent theme</t>
        </is>
      </c>
      <c r="G3" s="153" t="inlineStr">
        <is>
          <t>Themes covered</t>
        </is>
      </c>
      <c r="H3" s="154" t="inlineStr">
        <is>
          <t>Google News editions</t>
        </is>
      </c>
      <c r="I3" s="153" t="inlineStr">
        <is>
          <t>Latest digest</t>
        </is>
      </c>
    </row>
    <row r="4" ht="28" customHeight="1">
      <c r="A4" s="216" t="inlineStr">
        <is>
          <t>Vietnam.vn</t>
        </is>
      </c>
      <c r="B4" s="217" t="n">
        <v>22</v>
      </c>
      <c r="C4" s="218">
        <f>SUMPRODUCT(Stories!$T$4:$T$96,--(Stories!$J$4:$J$96=$A4))</f>
        <v/>
      </c>
      <c r="D4" s="219" t="n">
        <v>3.4</v>
      </c>
      <c r="E4" s="217" t="n">
        <v>3</v>
      </c>
      <c r="F4" s="220" t="inlineStr">
        <is>
          <t>Hazards &amp; Resilience</t>
        </is>
      </c>
      <c r="G4" s="217" t="n">
        <v>4</v>
      </c>
      <c r="H4" s="169" t="inlineStr">
        <is>
          <t>Spain, Brazil, France, Indonesia, Egypt</t>
        </is>
      </c>
      <c r="I4" s="221" t="n">
        <v>46319</v>
      </c>
    </row>
    <row r="5" ht="15.5" customHeight="1">
      <c r="A5" s="216" t="inlineStr">
        <is>
          <t>Canal 9 Bío Bío Televisión</t>
        </is>
      </c>
      <c r="B5" s="217" t="n">
        <v>2</v>
      </c>
      <c r="C5" s="218">
        <f>SUMPRODUCT(Stories!$T$4:$T$96,--(Stories!$J$4:$J$96=$A5))</f>
        <v/>
      </c>
      <c r="D5" s="219" t="inlineStr">
        <is>
          <t>–</t>
        </is>
      </c>
      <c r="E5" s="217" t="n">
        <v>0</v>
      </c>
      <c r="F5" s="220" t="inlineStr">
        <is>
          <t>Hazards &amp; Resilience</t>
        </is>
      </c>
      <c r="G5" s="217" t="n">
        <v>1</v>
      </c>
      <c r="H5" s="169" t="inlineStr">
        <is>
          <t>Spain</t>
        </is>
      </c>
      <c r="I5" s="221" t="n">
        <v>46319</v>
      </c>
    </row>
    <row r="6" ht="15.5" customHeight="1">
      <c r="A6" s="216" t="inlineStr">
        <is>
          <t>Caracol Radio</t>
        </is>
      </c>
      <c r="B6" s="217" t="n">
        <v>2</v>
      </c>
      <c r="C6" s="218">
        <f>SUMPRODUCT(Stories!$T$4:$T$96,--(Stories!$J$4:$J$96=$A6))</f>
        <v/>
      </c>
      <c r="D6" s="219" t="inlineStr">
        <is>
          <t>–</t>
        </is>
      </c>
      <c r="E6" s="217" t="n">
        <v>0</v>
      </c>
      <c r="F6" s="220" t="inlineStr">
        <is>
          <t>Hazards &amp; Resilience</t>
        </is>
      </c>
      <c r="G6" s="217" t="n">
        <v>1</v>
      </c>
      <c r="H6" s="169" t="inlineStr">
        <is>
          <t>Spain</t>
        </is>
      </c>
      <c r="I6" s="221" t="n">
        <v>46319</v>
      </c>
    </row>
    <row r="7" ht="15.5" customHeight="1">
      <c r="A7" s="216" t="inlineStr">
        <is>
          <t>Diario Concepción</t>
        </is>
      </c>
      <c r="B7" s="217" t="n">
        <v>2</v>
      </c>
      <c r="C7" s="218">
        <f>SUMPRODUCT(Stories!$T$4:$T$96,--(Stories!$J$4:$J$96=$A7))</f>
        <v/>
      </c>
      <c r="D7" s="219" t="inlineStr">
        <is>
          <t>–</t>
        </is>
      </c>
      <c r="E7" s="217" t="n">
        <v>0</v>
      </c>
      <c r="F7" s="220" t="inlineStr">
        <is>
          <t>Hazards &amp; Resilience</t>
        </is>
      </c>
      <c r="G7" s="217" t="n">
        <v>1</v>
      </c>
      <c r="H7" s="169" t="inlineStr">
        <is>
          <t>Spain</t>
        </is>
      </c>
      <c r="I7" s="221" t="n">
        <v>46319</v>
      </c>
    </row>
    <row r="8" ht="28" customHeight="1">
      <c r="A8" s="216" t="inlineStr">
        <is>
          <t>El Universo</t>
        </is>
      </c>
      <c r="B8" s="217" t="n">
        <v>2</v>
      </c>
      <c r="C8" s="218">
        <f>SUMPRODUCT(Stories!$T$4:$T$96,--(Stories!$J$4:$J$96=$A8))</f>
        <v/>
      </c>
      <c r="D8" s="219" t="n">
        <v>4</v>
      </c>
      <c r="E8" s="217" t="n">
        <v>1</v>
      </c>
      <c r="F8" s="222" t="inlineStr">
        <is>
          <t>Infrastructure &amp; the Underground City</t>
        </is>
      </c>
      <c r="G8" s="217" t="n">
        <v>2</v>
      </c>
      <c r="H8" s="169" t="inlineStr">
        <is>
          <t>Mexico, Spain</t>
        </is>
      </c>
      <c r="I8" s="221" t="n">
        <v>46319</v>
      </c>
    </row>
    <row r="9" ht="15.5" customHeight="1">
      <c r="A9" s="216" t="inlineStr">
        <is>
          <t>Il Mattino</t>
        </is>
      </c>
      <c r="B9" s="217" t="n">
        <v>2</v>
      </c>
      <c r="C9" s="218">
        <f>SUMPRODUCT(Stories!$T$4:$T$96,--(Stories!$J$4:$J$96=$A9))</f>
        <v/>
      </c>
      <c r="D9" s="219" t="inlineStr">
        <is>
          <t>–</t>
        </is>
      </c>
      <c r="E9" s="217" t="n">
        <v>0</v>
      </c>
      <c r="F9" s="220" t="inlineStr">
        <is>
          <t>Hazards &amp; Resilience</t>
        </is>
      </c>
      <c r="G9" s="217" t="n">
        <v>1</v>
      </c>
      <c r="H9" s="169" t="inlineStr">
        <is>
          <t>France, Spain</t>
        </is>
      </c>
      <c r="I9" s="221" t="n">
        <v>46319</v>
      </c>
    </row>
    <row r="10" ht="15.5" customHeight="1">
      <c r="A10" s="216" t="inlineStr">
        <is>
          <t>N+</t>
        </is>
      </c>
      <c r="B10" s="217" t="n">
        <v>2</v>
      </c>
      <c r="C10" s="218">
        <f>SUMPRODUCT(Stories!$T$4:$T$96,--(Stories!$J$4:$J$96=$A10))</f>
        <v/>
      </c>
      <c r="D10" s="219" t="inlineStr">
        <is>
          <t>–</t>
        </is>
      </c>
      <c r="E10" s="217" t="n">
        <v>0</v>
      </c>
      <c r="F10" s="220" t="inlineStr">
        <is>
          <t>Hazards &amp; Resilience</t>
        </is>
      </c>
      <c r="G10" s="217" t="n">
        <v>1</v>
      </c>
      <c r="H10" s="169" t="inlineStr">
        <is>
          <t>Spain</t>
        </is>
      </c>
      <c r="I10" s="221" t="n">
        <v>46319</v>
      </c>
    </row>
    <row r="11" ht="15.5" customHeight="1">
      <c r="A11" s="216" t="inlineStr">
        <is>
          <t>TV Azteca Baja California</t>
        </is>
      </c>
      <c r="B11" s="217" t="n">
        <v>2</v>
      </c>
      <c r="C11" s="218">
        <f>SUMPRODUCT(Stories!$T$4:$T$96,--(Stories!$J$4:$J$96=$A11))</f>
        <v/>
      </c>
      <c r="D11" s="219" t="inlineStr">
        <is>
          <t>–</t>
        </is>
      </c>
      <c r="E11" s="217" t="n">
        <v>0</v>
      </c>
      <c r="F11" s="220" t="inlineStr">
        <is>
          <t>Hazards &amp; Resilience</t>
        </is>
      </c>
      <c r="G11" s="217" t="n">
        <v>1</v>
      </c>
      <c r="H11" s="169" t="inlineStr">
        <is>
          <t>Spain</t>
        </is>
      </c>
      <c r="I11" s="221" t="n">
        <v>46319</v>
      </c>
    </row>
    <row r="12" ht="15.5" customHeight="1">
      <c r="A12" s="216" t="inlineStr">
        <is>
          <t>生物通</t>
        </is>
      </c>
      <c r="B12" s="217" t="n">
        <v>2</v>
      </c>
      <c r="C12" s="218">
        <f>SUMPRODUCT(Stories!$T$4:$T$96,--(Stories!$J$4:$J$96=$A12))</f>
        <v/>
      </c>
      <c r="D12" s="219" t="n">
        <v>4.5</v>
      </c>
      <c r="E12" s="217" t="n">
        <v>2</v>
      </c>
      <c r="F12" s="223" t="inlineStr">
        <is>
          <t>Digital Geotechnics</t>
        </is>
      </c>
      <c r="G12" s="217" t="n">
        <v>2</v>
      </c>
      <c r="H12" s="169" t="inlineStr">
        <is>
          <t>China</t>
        </is>
      </c>
      <c r="I12" s="221" t="n">
        <v>46319</v>
      </c>
    </row>
    <row r="13" ht="15.5" customHeight="1">
      <c r="A13" s="216" t="inlineStr">
        <is>
          <t>Agencia de Periodismo Investigativo</t>
        </is>
      </c>
      <c r="B13" s="217" t="n">
        <v>1</v>
      </c>
      <c r="C13" s="218">
        <f>SUMPRODUCT(Stories!$T$4:$T$96,--(Stories!$J$4:$J$96=$A13))</f>
        <v/>
      </c>
      <c r="D13" s="219" t="inlineStr">
        <is>
          <t>–</t>
        </is>
      </c>
      <c r="E13" s="217" t="n">
        <v>0</v>
      </c>
      <c r="F13" s="220" t="inlineStr">
        <is>
          <t>Hazards &amp; Resilience</t>
        </is>
      </c>
      <c r="G13" s="217" t="n">
        <v>1</v>
      </c>
      <c r="H13" s="169" t="inlineStr">
        <is>
          <t>Spain</t>
        </is>
      </c>
      <c r="I13" s="221" t="n">
        <v>46319</v>
      </c>
    </row>
    <row r="14" ht="15.5" customHeight="1">
      <c r="A14" s="216" t="inlineStr">
        <is>
          <t>agenzia giornalistica opinione</t>
        </is>
      </c>
      <c r="B14" s="217" t="n">
        <v>1</v>
      </c>
      <c r="C14" s="218">
        <f>SUMPRODUCT(Stories!$T$4:$T$96,--(Stories!$J$4:$J$96=$A14))</f>
        <v/>
      </c>
      <c r="D14" s="219" t="n">
        <v>4</v>
      </c>
      <c r="E14" s="217" t="n">
        <v>1</v>
      </c>
      <c r="F14" s="220" t="inlineStr">
        <is>
          <t>Hazards &amp; Resilience</t>
        </is>
      </c>
      <c r="G14" s="217" t="n">
        <v>1</v>
      </c>
      <c r="H14" s="169" t="inlineStr">
        <is>
          <t>Italy</t>
        </is>
      </c>
      <c r="I14" s="221" t="n">
        <v>46319</v>
      </c>
    </row>
    <row r="15" ht="28" customHeight="1">
      <c r="A15" s="216" t="inlineStr">
        <is>
          <t>AOL.com</t>
        </is>
      </c>
      <c r="B15" s="217" t="n">
        <v>1</v>
      </c>
      <c r="C15" s="218">
        <f>SUMPRODUCT(Stories!$T$4:$T$96,--(Stories!$J$4:$J$96=$A15))</f>
        <v/>
      </c>
      <c r="D15" s="219" t="n">
        <v>3</v>
      </c>
      <c r="E15" s="217" t="n">
        <v>0</v>
      </c>
      <c r="F15" s="222" t="inlineStr">
        <is>
          <t>Infrastructure &amp; the Underground City</t>
        </is>
      </c>
      <c r="G15" s="217" t="n">
        <v>1</v>
      </c>
      <c r="H15" s="169" t="inlineStr">
        <is>
          <t>United Kingdom</t>
        </is>
      </c>
      <c r="I15" s="221" t="n">
        <v>46319</v>
      </c>
    </row>
    <row r="16" ht="15.5" customHeight="1">
      <c r="A16" s="216" t="inlineStr">
        <is>
          <t>Azteca Bajío</t>
        </is>
      </c>
      <c r="B16" s="217" t="n">
        <v>1</v>
      </c>
      <c r="C16" s="218">
        <f>SUMPRODUCT(Stories!$T$4:$T$96,--(Stories!$J$4:$J$96=$A16))</f>
        <v/>
      </c>
      <c r="D16" s="219" t="inlineStr">
        <is>
          <t>–</t>
        </is>
      </c>
      <c r="E16" s="217" t="n">
        <v>0</v>
      </c>
      <c r="F16" s="220" t="inlineStr">
        <is>
          <t>Hazards &amp; Resilience</t>
        </is>
      </c>
      <c r="G16" s="217" t="n">
        <v>1</v>
      </c>
      <c r="H16" s="169" t="inlineStr">
        <is>
          <t>Spain</t>
        </is>
      </c>
      <c r="I16" s="221" t="n">
        <v>46319</v>
      </c>
    </row>
    <row r="17" ht="15.5" customHeight="1">
      <c r="A17" s="216" t="inlineStr">
        <is>
          <t>Baolangson.vn</t>
        </is>
      </c>
      <c r="B17" s="217" t="n">
        <v>1</v>
      </c>
      <c r="C17" s="218">
        <f>SUMPRODUCT(Stories!$T$4:$T$96,--(Stories!$J$4:$J$96=$A17))</f>
        <v/>
      </c>
      <c r="D17" s="219" t="n">
        <v>4</v>
      </c>
      <c r="E17" s="217" t="n">
        <v>1</v>
      </c>
      <c r="F17" s="224" t="inlineStr">
        <is>
          <t>Characterisation &amp; Modelling</t>
        </is>
      </c>
      <c r="G17" s="217" t="n">
        <v>1</v>
      </c>
      <c r="H17" s="169" t="inlineStr">
        <is>
          <t>United Kingdom</t>
        </is>
      </c>
      <c r="I17" s="221" t="n">
        <v>46319</v>
      </c>
    </row>
    <row r="18" ht="15.5" customHeight="1">
      <c r="A18" s="216" t="inlineStr">
        <is>
          <t>BioBioChile</t>
        </is>
      </c>
      <c r="B18" s="217" t="n">
        <v>1</v>
      </c>
      <c r="C18" s="218">
        <f>SUMPRODUCT(Stories!$T$4:$T$96,--(Stories!$J$4:$J$96=$A18))</f>
        <v/>
      </c>
      <c r="D18" s="219" t="inlineStr">
        <is>
          <t>–</t>
        </is>
      </c>
      <c r="E18" s="217" t="n">
        <v>0</v>
      </c>
      <c r="F18" s="220" t="inlineStr">
        <is>
          <t>Hazards &amp; Resilience</t>
        </is>
      </c>
      <c r="G18" s="217" t="n">
        <v>1</v>
      </c>
      <c r="H18" s="169" t="inlineStr">
        <is>
          <t>Spain</t>
        </is>
      </c>
      <c r="I18" s="221" t="n">
        <v>46319</v>
      </c>
    </row>
    <row r="19" ht="15.5" customHeight="1">
      <c r="A19" s="216" t="inlineStr">
        <is>
          <t>CRÍTICA</t>
        </is>
      </c>
      <c r="B19" s="217" t="n">
        <v>1</v>
      </c>
      <c r="C19" s="218">
        <f>SUMPRODUCT(Stories!$T$4:$T$96,--(Stories!$J$4:$J$96=$A19))</f>
        <v/>
      </c>
      <c r="D19" s="219" t="inlineStr">
        <is>
          <t>–</t>
        </is>
      </c>
      <c r="E19" s="217" t="n">
        <v>0</v>
      </c>
      <c r="F19" s="220" t="inlineStr">
        <is>
          <t>Hazards &amp; Resilience</t>
        </is>
      </c>
      <c r="G19" s="217" t="n">
        <v>1</v>
      </c>
      <c r="H19" s="169" t="inlineStr">
        <is>
          <t>Spain</t>
        </is>
      </c>
      <c r="I19" s="221" t="n">
        <v>46319</v>
      </c>
    </row>
    <row r="20" ht="28" customHeight="1">
      <c r="A20" s="216" t="inlineStr">
        <is>
          <t>Deccan Chronicle</t>
        </is>
      </c>
      <c r="B20" s="217" t="n">
        <v>1</v>
      </c>
      <c r="C20" s="218">
        <f>SUMPRODUCT(Stories!$T$4:$T$96,--(Stories!$J$4:$J$96=$A20))</f>
        <v/>
      </c>
      <c r="D20" s="219" t="n">
        <v>3</v>
      </c>
      <c r="E20" s="217" t="n">
        <v>0</v>
      </c>
      <c r="F20" s="222" t="inlineStr">
        <is>
          <t>Infrastructure &amp; the Underground City</t>
        </is>
      </c>
      <c r="G20" s="217" t="n">
        <v>1</v>
      </c>
      <c r="H20" s="169" t="inlineStr">
        <is>
          <t>Singapore</t>
        </is>
      </c>
      <c r="I20" s="221" t="n">
        <v>46319</v>
      </c>
    </row>
    <row r="21" ht="15.5" customHeight="1">
      <c r="A21" s="216" t="inlineStr">
        <is>
          <t>Destino Panamá</t>
        </is>
      </c>
      <c r="B21" s="217" t="n">
        <v>1</v>
      </c>
      <c r="C21" s="218">
        <f>SUMPRODUCT(Stories!$T$4:$T$96,--(Stories!$J$4:$J$96=$A21))</f>
        <v/>
      </c>
      <c r="D21" s="219" t="inlineStr">
        <is>
          <t>–</t>
        </is>
      </c>
      <c r="E21" s="217" t="n">
        <v>0</v>
      </c>
      <c r="F21" s="220" t="inlineStr">
        <is>
          <t>Hazards &amp; Resilience</t>
        </is>
      </c>
      <c r="G21" s="217" t="n">
        <v>1</v>
      </c>
      <c r="H21" s="169" t="inlineStr">
        <is>
          <t>Spain</t>
        </is>
      </c>
      <c r="I21" s="221" t="n">
        <v>46319</v>
      </c>
    </row>
    <row r="22" ht="15.5" customHeight="1">
      <c r="A22" s="216" t="inlineStr">
        <is>
          <t>Diario del Sur</t>
        </is>
      </c>
      <c r="B22" s="217" t="n">
        <v>1</v>
      </c>
      <c r="C22" s="218">
        <f>SUMPRODUCT(Stories!$T$4:$T$96,--(Stories!$J$4:$J$96=$A22))</f>
        <v/>
      </c>
      <c r="D22" s="219" t="inlineStr">
        <is>
          <t>–</t>
        </is>
      </c>
      <c r="E22" s="217" t="n">
        <v>0</v>
      </c>
      <c r="F22" s="220" t="inlineStr">
        <is>
          <t>Hazards &amp; Resilience</t>
        </is>
      </c>
      <c r="G22" s="217" t="n">
        <v>1</v>
      </c>
      <c r="H22" s="169" t="inlineStr">
        <is>
          <t>Spain</t>
        </is>
      </c>
      <c r="I22" s="221" t="n">
        <v>46319</v>
      </c>
    </row>
    <row r="23" ht="15.5" customHeight="1">
      <c r="A23" s="216" t="inlineStr">
        <is>
          <t>Diario Extra</t>
        </is>
      </c>
      <c r="B23" s="217" t="n">
        <v>1</v>
      </c>
      <c r="C23" s="218">
        <f>SUMPRODUCT(Stories!$T$4:$T$96,--(Stories!$J$4:$J$96=$A23))</f>
        <v/>
      </c>
      <c r="D23" s="219" t="inlineStr">
        <is>
          <t>–</t>
        </is>
      </c>
      <c r="E23" s="217" t="n">
        <v>0</v>
      </c>
      <c r="F23" s="220" t="inlineStr">
        <is>
          <t>Hazards &amp; Resilience</t>
        </is>
      </c>
      <c r="G23" s="217" t="n">
        <v>1</v>
      </c>
      <c r="H23" s="169" t="inlineStr">
        <is>
          <t>Mexico</t>
        </is>
      </c>
      <c r="I23" s="221" t="n">
        <v>46319</v>
      </c>
    </row>
    <row r="24" ht="15.5" customHeight="1">
      <c r="A24" s="216" t="inlineStr">
        <is>
          <t>Diario sin Secretos</t>
        </is>
      </c>
      <c r="B24" s="217" t="n">
        <v>1</v>
      </c>
      <c r="C24" s="218">
        <f>SUMPRODUCT(Stories!$T$4:$T$96,--(Stories!$J$4:$J$96=$A24))</f>
        <v/>
      </c>
      <c r="D24" s="219" t="inlineStr">
        <is>
          <t>–</t>
        </is>
      </c>
      <c r="E24" s="217" t="n">
        <v>0</v>
      </c>
      <c r="F24" s="220" t="inlineStr">
        <is>
          <t>Hazards &amp; Resilience</t>
        </is>
      </c>
      <c r="G24" s="217" t="n">
        <v>1</v>
      </c>
      <c r="H24" s="169" t="inlineStr">
        <is>
          <t>Spain</t>
        </is>
      </c>
      <c r="I24" s="221" t="n">
        <v>46319</v>
      </c>
    </row>
    <row r="25" ht="15.5" customHeight="1">
      <c r="A25" s="216" t="inlineStr">
        <is>
          <t>diariolosandes.com.ec</t>
        </is>
      </c>
      <c r="B25" s="217" t="n">
        <v>1</v>
      </c>
      <c r="C25" s="218">
        <f>SUMPRODUCT(Stories!$T$4:$T$96,--(Stories!$J$4:$J$96=$A25))</f>
        <v/>
      </c>
      <c r="D25" s="219" t="inlineStr">
        <is>
          <t>–</t>
        </is>
      </c>
      <c r="E25" s="217" t="n">
        <v>0</v>
      </c>
      <c r="F25" s="220" t="inlineStr">
        <is>
          <t>Hazards &amp; Resilience</t>
        </is>
      </c>
      <c r="G25" s="217" t="n">
        <v>1</v>
      </c>
      <c r="H25" s="169" t="inlineStr">
        <is>
          <t>Spain</t>
        </is>
      </c>
      <c r="I25" s="221" t="n">
        <v>46319</v>
      </c>
    </row>
    <row r="26" ht="15.5" customHeight="1">
      <c r="A26" s="216" t="inlineStr">
        <is>
          <t>El País</t>
        </is>
      </c>
      <c r="B26" s="217" t="n">
        <v>1</v>
      </c>
      <c r="C26" s="218">
        <f>SUMPRODUCT(Stories!$T$4:$T$96,--(Stories!$J$4:$J$96=$A26))</f>
        <v/>
      </c>
      <c r="D26" s="219" t="inlineStr">
        <is>
          <t>–</t>
        </is>
      </c>
      <c r="E26" s="217" t="n">
        <v>0</v>
      </c>
      <c r="F26" s="220" t="inlineStr">
        <is>
          <t>Hazards &amp; Resilience</t>
        </is>
      </c>
      <c r="G26" s="217" t="n">
        <v>1</v>
      </c>
      <c r="H26" s="169" t="inlineStr">
        <is>
          <t>Spain</t>
        </is>
      </c>
      <c r="I26" s="221" t="n">
        <v>46319</v>
      </c>
    </row>
    <row r="27" ht="15.5" customHeight="1">
      <c r="A27" s="216" t="inlineStr">
        <is>
          <t>El Tiempo</t>
        </is>
      </c>
      <c r="B27" s="217" t="n">
        <v>1</v>
      </c>
      <c r="C27" s="218">
        <f>SUMPRODUCT(Stories!$T$4:$T$96,--(Stories!$J$4:$J$96=$A27))</f>
        <v/>
      </c>
      <c r="D27" s="219" t="inlineStr">
        <is>
          <t>–</t>
        </is>
      </c>
      <c r="E27" s="217" t="n">
        <v>0</v>
      </c>
      <c r="F27" s="220" t="inlineStr">
        <is>
          <t>Hazards &amp; Resilience</t>
        </is>
      </c>
      <c r="G27" s="217" t="n">
        <v>1</v>
      </c>
      <c r="H27" s="169" t="inlineStr">
        <is>
          <t>Spain</t>
        </is>
      </c>
      <c r="I27" s="221" t="n">
        <v>46319</v>
      </c>
    </row>
    <row r="28" ht="15.5" customHeight="1">
      <c r="A28" s="216" t="inlineStr">
        <is>
          <t>Estadão</t>
        </is>
      </c>
      <c r="B28" s="217" t="n">
        <v>1</v>
      </c>
      <c r="C28" s="218">
        <f>SUMPRODUCT(Stories!$T$4:$T$96,--(Stories!$J$4:$J$96=$A28))</f>
        <v/>
      </c>
      <c r="D28" s="219" t="inlineStr">
        <is>
          <t>–</t>
        </is>
      </c>
      <c r="E28" s="217" t="n">
        <v>0</v>
      </c>
      <c r="F28" s="220" t="inlineStr">
        <is>
          <t>Hazards &amp; Resilience</t>
        </is>
      </c>
      <c r="G28" s="217" t="n">
        <v>1</v>
      </c>
      <c r="H28" s="169" t="inlineStr">
        <is>
          <t>Brazil</t>
        </is>
      </c>
      <c r="I28" s="221" t="n">
        <v>46319</v>
      </c>
    </row>
    <row r="29" ht="15.5" customHeight="1">
      <c r="A29" s="216" t="inlineStr">
        <is>
          <t>Estrella Digital Colombia</t>
        </is>
      </c>
      <c r="B29" s="217" t="n">
        <v>1</v>
      </c>
      <c r="C29" s="218">
        <f>SUMPRODUCT(Stories!$T$4:$T$96,--(Stories!$J$4:$J$96=$A29))</f>
        <v/>
      </c>
      <c r="D29" s="219" t="inlineStr">
        <is>
          <t>–</t>
        </is>
      </c>
      <c r="E29" s="217" t="n">
        <v>0</v>
      </c>
      <c r="F29" s="220" t="inlineStr">
        <is>
          <t>Hazards &amp; Resilience</t>
        </is>
      </c>
      <c r="G29" s="217" t="n">
        <v>1</v>
      </c>
      <c r="H29" s="169" t="inlineStr">
        <is>
          <t>Spain</t>
        </is>
      </c>
      <c r="I29" s="221" t="n">
        <v>46319</v>
      </c>
    </row>
    <row r="30" ht="15.5" customHeight="1">
      <c r="A30" s="216" t="inlineStr">
        <is>
          <t>Facebook</t>
        </is>
      </c>
      <c r="B30" s="217" t="n">
        <v>1</v>
      </c>
      <c r="C30" s="218">
        <f>SUMPRODUCT(Stories!$T$4:$T$96,--(Stories!$J$4:$J$96=$A30))</f>
        <v/>
      </c>
      <c r="D30" s="219" t="inlineStr">
        <is>
          <t>–</t>
        </is>
      </c>
      <c r="E30" s="217" t="n">
        <v>0</v>
      </c>
      <c r="F30" s="220" t="inlineStr">
        <is>
          <t>Hazards &amp; Resilience</t>
        </is>
      </c>
      <c r="G30" s="217" t="n">
        <v>1</v>
      </c>
      <c r="H30" s="169" t="inlineStr">
        <is>
          <t>Spain</t>
        </is>
      </c>
      <c r="I30" s="221" t="n">
        <v>46319</v>
      </c>
    </row>
    <row r="31" ht="15.5" customHeight="1">
      <c r="A31" s="216" t="inlineStr">
        <is>
          <t>https://investigasi.news/</t>
        </is>
      </c>
      <c r="B31" s="217" t="n">
        <v>1</v>
      </c>
      <c r="C31" s="218">
        <f>SUMPRODUCT(Stories!$T$4:$T$96,--(Stories!$J$4:$J$96=$A31))</f>
        <v/>
      </c>
      <c r="D31" s="219" t="inlineStr">
        <is>
          <t>–</t>
        </is>
      </c>
      <c r="E31" s="217" t="n">
        <v>0</v>
      </c>
      <c r="F31" s="220" t="inlineStr">
        <is>
          <t>Hazards &amp; Resilience</t>
        </is>
      </c>
      <c r="G31" s="217" t="n">
        <v>1</v>
      </c>
      <c r="H31" s="169" t="inlineStr">
        <is>
          <t>Indonesia</t>
        </is>
      </c>
      <c r="I31" s="221" t="n">
        <v>46319</v>
      </c>
    </row>
    <row r="32" ht="15.5" customHeight="1">
      <c r="A32" s="216" t="inlineStr">
        <is>
          <t>Hub News</t>
        </is>
      </c>
      <c r="B32" s="217" t="n">
        <v>1</v>
      </c>
      <c r="C32" s="218">
        <f>SUMPRODUCT(Stories!$T$4:$T$96,--(Stories!$J$4:$J$96=$A32))</f>
        <v/>
      </c>
      <c r="D32" s="219" t="n">
        <v>3</v>
      </c>
      <c r="E32" s="217" t="n">
        <v>0</v>
      </c>
      <c r="F32" s="220" t="inlineStr">
        <is>
          <t>Hazards &amp; Resilience</t>
        </is>
      </c>
      <c r="G32" s="217" t="n">
        <v>1</v>
      </c>
      <c r="H32" s="169" t="inlineStr">
        <is>
          <t>India</t>
        </is>
      </c>
      <c r="I32" s="221" t="n">
        <v>46319</v>
      </c>
    </row>
    <row r="33" ht="15.5" customHeight="1">
      <c r="A33" s="216" t="inlineStr">
        <is>
          <t>Il Giornale dei Castelli Romani</t>
        </is>
      </c>
      <c r="B33" s="217" t="n">
        <v>1</v>
      </c>
      <c r="C33" s="218">
        <f>SUMPRODUCT(Stories!$T$4:$T$96,--(Stories!$J$4:$J$96=$A33))</f>
        <v/>
      </c>
      <c r="D33" s="219" t="n">
        <v>4</v>
      </c>
      <c r="E33" s="217" t="n">
        <v>1</v>
      </c>
      <c r="F33" s="220" t="inlineStr">
        <is>
          <t>Hazards &amp; Resilience</t>
        </is>
      </c>
      <c r="G33" s="217" t="n">
        <v>1</v>
      </c>
      <c r="H33" s="169" t="inlineStr">
        <is>
          <t>Italy</t>
        </is>
      </c>
      <c r="I33" s="221" t="n">
        <v>46319</v>
      </c>
    </row>
    <row r="34" ht="15.5" customHeight="1">
      <c r="A34" s="216" t="inlineStr">
        <is>
          <t>Infobae</t>
        </is>
      </c>
      <c r="B34" s="217" t="n">
        <v>1</v>
      </c>
      <c r="C34" s="218">
        <f>SUMPRODUCT(Stories!$T$4:$T$96,--(Stories!$J$4:$J$96=$A34))</f>
        <v/>
      </c>
      <c r="D34" s="219" t="inlineStr">
        <is>
          <t>–</t>
        </is>
      </c>
      <c r="E34" s="217" t="n">
        <v>0</v>
      </c>
      <c r="F34" s="220" t="inlineStr">
        <is>
          <t>Hazards &amp; Resilience</t>
        </is>
      </c>
      <c r="G34" s="217" t="n">
        <v>1</v>
      </c>
      <c r="H34" s="169" t="inlineStr">
        <is>
          <t>Mexico</t>
        </is>
      </c>
      <c r="I34" s="221" t="n">
        <v>46319</v>
      </c>
    </row>
    <row r="35" ht="15.5" customHeight="1">
      <c r="A35" s="216" t="inlineStr">
        <is>
          <t>La Tribuna</t>
        </is>
      </c>
      <c r="B35" s="217" t="n">
        <v>1</v>
      </c>
      <c r="C35" s="218">
        <f>SUMPRODUCT(Stories!$T$4:$T$96,--(Stories!$J$4:$J$96=$A35))</f>
        <v/>
      </c>
      <c r="D35" s="219" t="inlineStr">
        <is>
          <t>–</t>
        </is>
      </c>
      <c r="E35" s="217" t="n">
        <v>0</v>
      </c>
      <c r="F35" s="220" t="inlineStr">
        <is>
          <t>Hazards &amp; Resilience</t>
        </is>
      </c>
      <c r="G35" s="217" t="n">
        <v>1</v>
      </c>
      <c r="H35" s="169" t="inlineStr">
        <is>
          <t>Spain</t>
        </is>
      </c>
      <c r="I35" s="221" t="n">
        <v>46319</v>
      </c>
    </row>
    <row r="36" ht="15.5" customHeight="1">
      <c r="A36" s="216" t="inlineStr">
        <is>
          <t>lacronaca24.it</t>
        </is>
      </c>
      <c r="B36" s="217" t="n">
        <v>1</v>
      </c>
      <c r="C36" s="218">
        <f>SUMPRODUCT(Stories!$T$4:$T$96,--(Stories!$J$4:$J$96=$A36))</f>
        <v/>
      </c>
      <c r="D36" s="219" t="n">
        <v>4</v>
      </c>
      <c r="E36" s="217" t="n">
        <v>1</v>
      </c>
      <c r="F36" s="220" t="inlineStr">
        <is>
          <t>Hazards &amp; Resilience</t>
        </is>
      </c>
      <c r="G36" s="217" t="n">
        <v>1</v>
      </c>
      <c r="H36" s="169" t="inlineStr">
        <is>
          <t>Italy</t>
        </is>
      </c>
      <c r="I36" s="221" t="n">
        <v>46319</v>
      </c>
    </row>
    <row r="37" ht="15.5" customHeight="1">
      <c r="A37" s="216" t="inlineStr">
        <is>
          <t>Lost Coast Outpost</t>
        </is>
      </c>
      <c r="B37" s="217" t="n">
        <v>1</v>
      </c>
      <c r="C37" s="218">
        <f>SUMPRODUCT(Stories!$T$4:$T$96,--(Stories!$J$4:$J$96=$A37))</f>
        <v/>
      </c>
      <c r="D37" s="219" t="inlineStr">
        <is>
          <t>–</t>
        </is>
      </c>
      <c r="E37" s="217" t="n">
        <v>0</v>
      </c>
      <c r="F37" s="220" t="inlineStr">
        <is>
          <t>Hazards &amp; Resilience</t>
        </is>
      </c>
      <c r="G37" s="217" t="n">
        <v>1</v>
      </c>
      <c r="H37" s="169" t="inlineStr">
        <is>
          <t>Spain</t>
        </is>
      </c>
      <c r="I37" s="221" t="n">
        <v>46319</v>
      </c>
    </row>
    <row r="38" ht="15.5" customHeight="1">
      <c r="A38" s="216" t="inlineStr">
        <is>
          <t>Masrawy</t>
        </is>
      </c>
      <c r="B38" s="217" t="n">
        <v>1</v>
      </c>
      <c r="C38" s="218">
        <f>SUMPRODUCT(Stories!$T$4:$T$96,--(Stories!$J$4:$J$96=$A38))</f>
        <v/>
      </c>
      <c r="D38" s="219" t="n">
        <v>4</v>
      </c>
      <c r="E38" s="217" t="n">
        <v>1</v>
      </c>
      <c r="F38" s="220" t="inlineStr">
        <is>
          <t>Hazards &amp; Resilience</t>
        </is>
      </c>
      <c r="G38" s="217" t="n">
        <v>1</v>
      </c>
      <c r="H38" s="169" t="inlineStr">
        <is>
          <t>Egypt</t>
        </is>
      </c>
      <c r="I38" s="221" t="n">
        <v>46319</v>
      </c>
    </row>
    <row r="39" ht="15.5" customHeight="1">
      <c r="A39" s="216" t="inlineStr">
        <is>
          <t>Meganoticias</t>
        </is>
      </c>
      <c r="B39" s="217" t="n">
        <v>1</v>
      </c>
      <c r="C39" s="218">
        <f>SUMPRODUCT(Stories!$T$4:$T$96,--(Stories!$J$4:$J$96=$A39))</f>
        <v/>
      </c>
      <c r="D39" s="219" t="inlineStr">
        <is>
          <t>–</t>
        </is>
      </c>
      <c r="E39" s="217" t="n">
        <v>0</v>
      </c>
      <c r="F39" s="220" t="inlineStr">
        <is>
          <t>Hazards &amp; Resilience</t>
        </is>
      </c>
      <c r="G39" s="217" t="n">
        <v>1</v>
      </c>
      <c r="H39" s="169" t="inlineStr">
        <is>
          <t>Spain</t>
        </is>
      </c>
      <c r="I39" s="221" t="n">
        <v>46319</v>
      </c>
    </row>
    <row r="40" ht="15.5" customHeight="1">
      <c r="A40" s="216" t="inlineStr">
        <is>
          <t>Mi Radio</t>
        </is>
      </c>
      <c r="B40" s="217" t="n">
        <v>1</v>
      </c>
      <c r="C40" s="218">
        <f>SUMPRODUCT(Stories!$T$4:$T$96,--(Stories!$J$4:$J$96=$A40))</f>
        <v/>
      </c>
      <c r="D40" s="219" t="inlineStr">
        <is>
          <t>–</t>
        </is>
      </c>
      <c r="E40" s="217" t="n">
        <v>0</v>
      </c>
      <c r="F40" s="220" t="inlineStr">
        <is>
          <t>Hazards &amp; Resilience</t>
        </is>
      </c>
      <c r="G40" s="217" t="n">
        <v>1</v>
      </c>
      <c r="H40" s="169" t="inlineStr">
        <is>
          <t>Spain</t>
        </is>
      </c>
      <c r="I40" s="221" t="n">
        <v>46319</v>
      </c>
    </row>
    <row r="41" ht="15.5" customHeight="1">
      <c r="A41" s="216" t="inlineStr">
        <is>
          <t>Minuto30</t>
        </is>
      </c>
      <c r="B41" s="217" t="n">
        <v>1</v>
      </c>
      <c r="C41" s="218">
        <f>SUMPRODUCT(Stories!$T$4:$T$96,--(Stories!$J$4:$J$96=$A41))</f>
        <v/>
      </c>
      <c r="D41" s="219" t="inlineStr">
        <is>
          <t>–</t>
        </is>
      </c>
      <c r="E41" s="217" t="n">
        <v>0</v>
      </c>
      <c r="F41" s="220" t="inlineStr">
        <is>
          <t>Hazards &amp; Resilience</t>
        </is>
      </c>
      <c r="G41" s="217" t="n">
        <v>1</v>
      </c>
      <c r="H41" s="169" t="inlineStr">
        <is>
          <t>Spain</t>
        </is>
      </c>
      <c r="I41" s="221" t="n">
        <v>46319</v>
      </c>
    </row>
    <row r="42" ht="15.5" customHeight="1">
      <c r="A42" s="216" t="inlineStr">
        <is>
          <t>ND Mais</t>
        </is>
      </c>
      <c r="B42" s="217" t="n">
        <v>1</v>
      </c>
      <c r="C42" s="218">
        <f>SUMPRODUCT(Stories!$T$4:$T$96,--(Stories!$J$4:$J$96=$A42))</f>
        <v/>
      </c>
      <c r="D42" s="219" t="inlineStr">
        <is>
          <t>–</t>
        </is>
      </c>
      <c r="E42" s="217" t="n">
        <v>0</v>
      </c>
      <c r="F42" s="220" t="inlineStr">
        <is>
          <t>Hazards &amp; Resilience</t>
        </is>
      </c>
      <c r="G42" s="217" t="n">
        <v>1</v>
      </c>
      <c r="H42" s="169" t="inlineStr">
        <is>
          <t>Brazil</t>
        </is>
      </c>
      <c r="I42" s="221" t="n">
        <v>46319</v>
      </c>
    </row>
    <row r="43" ht="15.5" customHeight="1">
      <c r="A43" s="216" t="inlineStr">
        <is>
          <t>NewsRadio WFLA</t>
        </is>
      </c>
      <c r="B43" s="217" t="n">
        <v>1</v>
      </c>
      <c r="C43" s="218">
        <f>SUMPRODUCT(Stories!$T$4:$T$96,--(Stories!$J$4:$J$96=$A43))</f>
        <v/>
      </c>
      <c r="D43" s="219" t="n">
        <v>3</v>
      </c>
      <c r="E43" s="217" t="n">
        <v>0</v>
      </c>
      <c r="F43" s="220" t="inlineStr">
        <is>
          <t>Hazards &amp; Resilience</t>
        </is>
      </c>
      <c r="G43" s="217" t="n">
        <v>1</v>
      </c>
      <c r="H43" s="169" t="inlineStr">
        <is>
          <t>Australia</t>
        </is>
      </c>
      <c r="I43" s="221" t="n">
        <v>46319</v>
      </c>
    </row>
    <row r="44" ht="15.5" customHeight="1">
      <c r="A44" s="216" t="inlineStr">
        <is>
          <t>Noticias Caracol</t>
        </is>
      </c>
      <c r="B44" s="217" t="n">
        <v>1</v>
      </c>
      <c r="C44" s="218">
        <f>SUMPRODUCT(Stories!$T$4:$T$96,--(Stories!$J$4:$J$96=$A44))</f>
        <v/>
      </c>
      <c r="D44" s="219" t="inlineStr">
        <is>
          <t>–</t>
        </is>
      </c>
      <c r="E44" s="217" t="n">
        <v>0</v>
      </c>
      <c r="F44" s="220" t="inlineStr">
        <is>
          <t>Hazards &amp; Resilience</t>
        </is>
      </c>
      <c r="G44" s="217" t="n">
        <v>1</v>
      </c>
      <c r="H44" s="169" t="inlineStr">
        <is>
          <t>Mexico</t>
        </is>
      </c>
      <c r="I44" s="221" t="n">
        <v>46319</v>
      </c>
    </row>
    <row r="45" ht="15.5" customHeight="1">
      <c r="A45" s="216" t="inlineStr">
        <is>
          <t>Periódico del Meta</t>
        </is>
      </c>
      <c r="B45" s="217" t="n">
        <v>1</v>
      </c>
      <c r="C45" s="218">
        <f>SUMPRODUCT(Stories!$T$4:$T$96,--(Stories!$J$4:$J$96=$A45))</f>
        <v/>
      </c>
      <c r="D45" s="219" t="inlineStr">
        <is>
          <t>–</t>
        </is>
      </c>
      <c r="E45" s="217" t="n">
        <v>0</v>
      </c>
      <c r="F45" s="220" t="inlineStr">
        <is>
          <t>Hazards &amp; Resilience</t>
        </is>
      </c>
      <c r="G45" s="217" t="n">
        <v>1</v>
      </c>
      <c r="H45" s="169" t="inlineStr">
        <is>
          <t>Spain</t>
        </is>
      </c>
      <c r="I45" s="221" t="n">
        <v>46319</v>
      </c>
    </row>
    <row r="46" ht="15.5" customHeight="1">
      <c r="A46" s="216" t="inlineStr">
        <is>
          <t>Pikiran-Rakyat.com</t>
        </is>
      </c>
      <c r="B46" s="217" t="n">
        <v>1</v>
      </c>
      <c r="C46" s="218">
        <f>SUMPRODUCT(Stories!$T$4:$T$96,--(Stories!$J$4:$J$96=$A46))</f>
        <v/>
      </c>
      <c r="D46" s="219" t="n">
        <v>4</v>
      </c>
      <c r="E46" s="217" t="n">
        <v>1</v>
      </c>
      <c r="F46" s="220" t="inlineStr">
        <is>
          <t>Hazards &amp; Resilience</t>
        </is>
      </c>
      <c r="G46" s="217" t="n">
        <v>1</v>
      </c>
      <c r="H46" s="169" t="inlineStr">
        <is>
          <t>Indonesia</t>
        </is>
      </c>
      <c r="I46" s="221" t="n">
        <v>46319</v>
      </c>
    </row>
    <row r="47" ht="15.5" customHeight="1">
      <c r="A47" s="216" t="inlineStr">
        <is>
          <t>RCG Media</t>
        </is>
      </c>
      <c r="B47" s="217" t="n">
        <v>1</v>
      </c>
      <c r="C47" s="218">
        <f>SUMPRODUCT(Stories!$T$4:$T$96,--(Stories!$J$4:$J$96=$A47))</f>
        <v/>
      </c>
      <c r="D47" s="219" t="inlineStr">
        <is>
          <t>–</t>
        </is>
      </c>
      <c r="E47" s="217" t="n">
        <v>0</v>
      </c>
      <c r="F47" s="220" t="inlineStr">
        <is>
          <t>Hazards &amp; Resilience</t>
        </is>
      </c>
      <c r="G47" s="217" t="n">
        <v>1</v>
      </c>
      <c r="H47" s="169" t="inlineStr">
        <is>
          <t>Spain</t>
        </is>
      </c>
      <c r="I47" s="221" t="n">
        <v>46319</v>
      </c>
    </row>
    <row r="48" ht="15.5" customHeight="1">
      <c r="A48" s="216" t="inlineStr">
        <is>
          <t>Revista Semana</t>
        </is>
      </c>
      <c r="B48" s="217" t="n">
        <v>1</v>
      </c>
      <c r="C48" s="218">
        <f>SUMPRODUCT(Stories!$T$4:$T$96,--(Stories!$J$4:$J$96=$A48))</f>
        <v/>
      </c>
      <c r="D48" s="219" t="inlineStr">
        <is>
          <t>–</t>
        </is>
      </c>
      <c r="E48" s="217" t="n">
        <v>0</v>
      </c>
      <c r="F48" s="220" t="inlineStr">
        <is>
          <t>Hazards &amp; Resilience</t>
        </is>
      </c>
      <c r="G48" s="217" t="n">
        <v>1</v>
      </c>
      <c r="H48" s="169" t="inlineStr">
        <is>
          <t>Spain</t>
        </is>
      </c>
      <c r="I48" s="221" t="n">
        <v>46319</v>
      </c>
    </row>
    <row r="49" ht="15.5" customHeight="1">
      <c r="A49" s="216" t="inlineStr">
        <is>
          <t>RRI.co.id</t>
        </is>
      </c>
      <c r="B49" s="217" t="n">
        <v>1</v>
      </c>
      <c r="C49" s="218">
        <f>SUMPRODUCT(Stories!$T$4:$T$96,--(Stories!$J$4:$J$96=$A49))</f>
        <v/>
      </c>
      <c r="D49" s="219" t="n">
        <v>4</v>
      </c>
      <c r="E49" s="217" t="n">
        <v>1</v>
      </c>
      <c r="F49" s="220" t="inlineStr">
        <is>
          <t>Hazards &amp; Resilience</t>
        </is>
      </c>
      <c r="G49" s="217" t="n">
        <v>1</v>
      </c>
      <c r="H49" s="169" t="inlineStr">
        <is>
          <t>Indonesia</t>
        </is>
      </c>
      <c r="I49" s="221" t="n">
        <v>46319</v>
      </c>
    </row>
    <row r="50" ht="15.5" customHeight="1">
      <c r="A50" s="216" t="inlineStr">
        <is>
          <t>Rádio Mirador</t>
        </is>
      </c>
      <c r="B50" s="217" t="n">
        <v>1</v>
      </c>
      <c r="C50" s="218">
        <f>SUMPRODUCT(Stories!$T$4:$T$96,--(Stories!$J$4:$J$96=$A50))</f>
        <v/>
      </c>
      <c r="D50" s="219" t="inlineStr">
        <is>
          <t>–</t>
        </is>
      </c>
      <c r="E50" s="217" t="n">
        <v>0</v>
      </c>
      <c r="F50" s="220" t="inlineStr">
        <is>
          <t>Hazards &amp; Resilience</t>
        </is>
      </c>
      <c r="G50" s="217" t="n">
        <v>1</v>
      </c>
      <c r="H50" s="169" t="inlineStr">
        <is>
          <t>Brazil</t>
        </is>
      </c>
      <c r="I50" s="221" t="n">
        <v>46319</v>
      </c>
    </row>
    <row r="51" ht="15.5" customHeight="1">
      <c r="A51" s="216" t="inlineStr">
        <is>
          <t>Savona News</t>
        </is>
      </c>
      <c r="B51" s="217" t="n">
        <v>1</v>
      </c>
      <c r="C51" s="218">
        <f>SUMPRODUCT(Stories!$T$4:$T$96,--(Stories!$J$4:$J$96=$A51))</f>
        <v/>
      </c>
      <c r="D51" s="219" t="n">
        <v>3</v>
      </c>
      <c r="E51" s="217" t="n">
        <v>0</v>
      </c>
      <c r="F51" s="220" t="inlineStr">
        <is>
          <t>Hazards &amp; Resilience</t>
        </is>
      </c>
      <c r="G51" s="217" t="n">
        <v>1</v>
      </c>
      <c r="H51" s="169" t="inlineStr">
        <is>
          <t>Italy</t>
        </is>
      </c>
      <c r="I51" s="221" t="n">
        <v>46319</v>
      </c>
    </row>
    <row r="52" ht="15.5" customHeight="1">
      <c r="A52" s="216" t="inlineStr">
        <is>
          <t>Seven Radio</t>
        </is>
      </c>
      <c r="B52" s="217" t="n">
        <v>1</v>
      </c>
      <c r="C52" s="218">
        <f>SUMPRODUCT(Stories!$T$4:$T$96,--(Stories!$J$4:$J$96=$A52))</f>
        <v/>
      </c>
      <c r="D52" s="219" t="inlineStr">
        <is>
          <t>–</t>
        </is>
      </c>
      <c r="E52" s="217" t="n">
        <v>0</v>
      </c>
      <c r="F52" s="220" t="inlineStr">
        <is>
          <t>Hazards &amp; Resilience</t>
        </is>
      </c>
      <c r="G52" s="217" t="n">
        <v>1</v>
      </c>
      <c r="H52" s="169" t="inlineStr">
        <is>
          <t>France</t>
        </is>
      </c>
      <c r="I52" s="221" t="n">
        <v>46319</v>
      </c>
    </row>
    <row r="53" ht="15.5" customHeight="1">
      <c r="A53" s="216" t="inlineStr">
        <is>
          <t>South West Farmer</t>
        </is>
      </c>
      <c r="B53" s="217" t="n">
        <v>1</v>
      </c>
      <c r="C53" s="218">
        <f>SUMPRODUCT(Stories!$T$4:$T$96,--(Stories!$J$4:$J$96=$A53))</f>
        <v/>
      </c>
      <c r="D53" s="219" t="n">
        <v>4</v>
      </c>
      <c r="E53" s="217" t="n">
        <v>1</v>
      </c>
      <c r="F53" s="220" t="inlineStr">
        <is>
          <t>Hazards &amp; Resilience</t>
        </is>
      </c>
      <c r="G53" s="217" t="n">
        <v>1</v>
      </c>
      <c r="H53" s="169" t="inlineStr">
        <is>
          <t>United Kingdom</t>
        </is>
      </c>
      <c r="I53" s="221" t="n">
        <v>46319</v>
      </c>
    </row>
    <row r="54" ht="15.5" customHeight="1">
      <c r="A54" s="216" t="inlineStr">
        <is>
          <t>Telangana Today</t>
        </is>
      </c>
      <c r="B54" s="217" t="n">
        <v>1</v>
      </c>
      <c r="C54" s="218">
        <f>SUMPRODUCT(Stories!$T$4:$T$96,--(Stories!$J$4:$J$96=$A54))</f>
        <v/>
      </c>
      <c r="D54" s="219" t="n">
        <v>4</v>
      </c>
      <c r="E54" s="217" t="n">
        <v>1</v>
      </c>
      <c r="F54" s="220" t="inlineStr">
        <is>
          <t>Hazards &amp; Resilience</t>
        </is>
      </c>
      <c r="G54" s="217" t="n">
        <v>1</v>
      </c>
      <c r="H54" s="169" t="inlineStr">
        <is>
          <t>United States</t>
        </is>
      </c>
      <c r="I54" s="221" t="n">
        <v>46319</v>
      </c>
    </row>
    <row r="55" ht="15.5" customHeight="1">
      <c r="A55" s="216" t="inlineStr">
        <is>
          <t>Teleamazonas</t>
        </is>
      </c>
      <c r="B55" s="217" t="n">
        <v>1</v>
      </c>
      <c r="C55" s="218">
        <f>SUMPRODUCT(Stories!$T$4:$T$96,--(Stories!$J$4:$J$96=$A55))</f>
        <v/>
      </c>
      <c r="D55" s="219" t="inlineStr">
        <is>
          <t>–</t>
        </is>
      </c>
      <c r="E55" s="217" t="n">
        <v>0</v>
      </c>
      <c r="F55" s="220" t="inlineStr">
        <is>
          <t>Hazards &amp; Resilience</t>
        </is>
      </c>
      <c r="G55" s="217" t="n">
        <v>1</v>
      </c>
      <c r="H55" s="169" t="inlineStr">
        <is>
          <t>Spain</t>
        </is>
      </c>
      <c r="I55" s="221" t="n">
        <v>46319</v>
      </c>
    </row>
    <row r="56" ht="15.5" customHeight="1">
      <c r="A56" s="216" t="inlineStr">
        <is>
          <t>Telemetro</t>
        </is>
      </c>
      <c r="B56" s="217" t="n">
        <v>1</v>
      </c>
      <c r="C56" s="218">
        <f>SUMPRODUCT(Stories!$T$4:$T$96,--(Stories!$J$4:$J$96=$A56))</f>
        <v/>
      </c>
      <c r="D56" s="219" t="inlineStr">
        <is>
          <t>–</t>
        </is>
      </c>
      <c r="E56" s="217" t="n">
        <v>0</v>
      </c>
      <c r="F56" s="220" t="inlineStr">
        <is>
          <t>Hazards &amp; Resilience</t>
        </is>
      </c>
      <c r="G56" s="217" t="n">
        <v>1</v>
      </c>
      <c r="H56" s="169" t="inlineStr">
        <is>
          <t>Spain</t>
        </is>
      </c>
      <c r="I56" s="221" t="n">
        <v>46319</v>
      </c>
    </row>
    <row r="57" ht="15.5" customHeight="1">
      <c r="A57" s="216" t="inlineStr">
        <is>
          <t>The Hindu</t>
        </is>
      </c>
      <c r="B57" s="217" t="n">
        <v>1</v>
      </c>
      <c r="C57" s="218">
        <f>SUMPRODUCT(Stories!$T$4:$T$96,--(Stories!$J$4:$J$96=$A57))</f>
        <v/>
      </c>
      <c r="D57" s="219" t="n">
        <v>4</v>
      </c>
      <c r="E57" s="217" t="n">
        <v>1</v>
      </c>
      <c r="F57" s="220" t="inlineStr">
        <is>
          <t>Hazards &amp; Resilience</t>
        </is>
      </c>
      <c r="G57" s="217" t="n">
        <v>1</v>
      </c>
      <c r="H57" s="169" t="inlineStr">
        <is>
          <t>United Kingdom</t>
        </is>
      </c>
      <c r="I57" s="221" t="n">
        <v>46319</v>
      </c>
    </row>
    <row r="58" ht="15.5" customHeight="1">
      <c r="A58" s="216" t="inlineStr">
        <is>
          <t>Tv7 Benevento</t>
        </is>
      </c>
      <c r="B58" s="217" t="n">
        <v>1</v>
      </c>
      <c r="C58" s="218">
        <f>SUMPRODUCT(Stories!$T$4:$T$96,--(Stories!$J$4:$J$96=$A58))</f>
        <v/>
      </c>
      <c r="D58" s="219" t="n">
        <v>4</v>
      </c>
      <c r="E58" s="217" t="n">
        <v>1</v>
      </c>
      <c r="F58" s="220" t="inlineStr">
        <is>
          <t>Hazards &amp; Resilience</t>
        </is>
      </c>
      <c r="G58" s="217" t="n">
        <v>1</v>
      </c>
      <c r="H58" s="169" t="inlineStr">
        <is>
          <t>Italy</t>
        </is>
      </c>
      <c r="I58" s="221" t="n">
        <v>46319</v>
      </c>
    </row>
    <row r="59" ht="15.5" customHeight="1">
      <c r="A59" s="216" t="inlineStr">
        <is>
          <t>VnExpress International</t>
        </is>
      </c>
      <c r="B59" s="217" t="n">
        <v>1</v>
      </c>
      <c r="C59" s="218">
        <f>SUMPRODUCT(Stories!$T$4:$T$96,--(Stories!$J$4:$J$96=$A59))</f>
        <v/>
      </c>
      <c r="D59" s="219" t="n">
        <v>4</v>
      </c>
      <c r="E59" s="217" t="n">
        <v>1</v>
      </c>
      <c r="F59" s="224" t="inlineStr">
        <is>
          <t>Characterisation &amp; Modelling</t>
        </is>
      </c>
      <c r="G59" s="217" t="n">
        <v>1</v>
      </c>
      <c r="H59" s="169" t="inlineStr">
        <is>
          <t>United Kingdom</t>
        </is>
      </c>
      <c r="I59" s="221" t="n">
        <v>46319</v>
      </c>
    </row>
    <row r="60" ht="15.5" customHeight="1">
      <c r="A60" s="216" t="inlineStr">
        <is>
          <t>VOI.ID</t>
        </is>
      </c>
      <c r="B60" s="217" t="n">
        <v>1</v>
      </c>
      <c r="C60" s="218">
        <f>SUMPRODUCT(Stories!$T$4:$T$96,--(Stories!$J$4:$J$96=$A60))</f>
        <v/>
      </c>
      <c r="D60" s="219" t="inlineStr">
        <is>
          <t>–</t>
        </is>
      </c>
      <c r="E60" s="217" t="n">
        <v>0</v>
      </c>
      <c r="F60" s="220" t="inlineStr">
        <is>
          <t>Hazards &amp; Resilience</t>
        </is>
      </c>
      <c r="G60" s="217" t="n">
        <v>1</v>
      </c>
      <c r="H60" s="169" t="inlineStr">
        <is>
          <t>France</t>
        </is>
      </c>
      <c r="I60" s="221" t="n">
        <v>46319</v>
      </c>
    </row>
    <row r="61" ht="15.5" customHeight="1">
      <c r="A61" s="216" t="inlineStr">
        <is>
          <t>XPOSE TV</t>
        </is>
      </c>
      <c r="B61" s="217" t="n">
        <v>1</v>
      </c>
      <c r="C61" s="218">
        <f>SUMPRODUCT(Stories!$T$4:$T$96,--(Stories!$J$4:$J$96=$A61))</f>
        <v/>
      </c>
      <c r="D61" s="219" t="inlineStr">
        <is>
          <t>–</t>
        </is>
      </c>
      <c r="E61" s="217" t="n">
        <v>0</v>
      </c>
      <c r="F61" s="220" t="inlineStr">
        <is>
          <t>Hazards &amp; Resilience</t>
        </is>
      </c>
      <c r="G61" s="217" t="n">
        <v>1</v>
      </c>
      <c r="H61" s="169" t="inlineStr">
        <is>
          <t>Indonesia</t>
        </is>
      </c>
      <c r="I61" s="221" t="n">
        <v>46319</v>
      </c>
    </row>
    <row r="62" ht="15.5" customHeight="1">
      <c r="A62" s="216" t="inlineStr">
        <is>
          <t>Yahoo</t>
        </is>
      </c>
      <c r="B62" s="217" t="n">
        <v>1</v>
      </c>
      <c r="C62" s="218">
        <f>SUMPRODUCT(Stories!$T$4:$T$96,--(Stories!$J$4:$J$96=$A62))</f>
        <v/>
      </c>
      <c r="D62" s="219" t="n">
        <v>4</v>
      </c>
      <c r="E62" s="217" t="n">
        <v>1</v>
      </c>
      <c r="F62" s="220" t="inlineStr">
        <is>
          <t>Hazards &amp; Resilience</t>
        </is>
      </c>
      <c r="G62" s="217" t="n">
        <v>1</v>
      </c>
      <c r="H62" s="169" t="inlineStr">
        <is>
          <t>United Kingdom</t>
        </is>
      </c>
      <c r="I62" s="221" t="n">
        <v>46319</v>
      </c>
    </row>
    <row r="63" ht="15.5" customHeight="1">
      <c r="A63" s="216" t="inlineStr">
        <is>
          <t>Yahoo!ニュース</t>
        </is>
      </c>
      <c r="B63" s="217" t="n">
        <v>1</v>
      </c>
      <c r="C63" s="218">
        <f>SUMPRODUCT(Stories!$T$4:$T$96,--(Stories!$J$4:$J$96=$A63))</f>
        <v/>
      </c>
      <c r="D63" s="219" t="n">
        <v>4</v>
      </c>
      <c r="E63" s="217" t="n">
        <v>1</v>
      </c>
      <c r="F63" s="220" t="inlineStr">
        <is>
          <t>Hazards &amp; Resilience</t>
        </is>
      </c>
      <c r="G63" s="217" t="n">
        <v>1</v>
      </c>
      <c r="H63" s="169" t="inlineStr">
        <is>
          <t>Japan</t>
        </is>
      </c>
      <c r="I63" s="221" t="n">
        <v>46319</v>
      </c>
    </row>
    <row r="64" ht="15.5" customHeight="1">
      <c r="A64" s="216" t="inlineStr">
        <is>
          <t>Zazoom Social News</t>
        </is>
      </c>
      <c r="B64" s="217" t="n">
        <v>1</v>
      </c>
      <c r="C64" s="218">
        <f>SUMPRODUCT(Stories!$T$4:$T$96,--(Stories!$J$4:$J$96=$A64))</f>
        <v/>
      </c>
      <c r="D64" s="219" t="n">
        <v>4</v>
      </c>
      <c r="E64" s="217" t="n">
        <v>1</v>
      </c>
      <c r="F64" s="220" t="inlineStr">
        <is>
          <t>Hazards &amp; Resilience</t>
        </is>
      </c>
      <c r="G64" s="217" t="n">
        <v>1</v>
      </c>
      <c r="H64" s="169" t="inlineStr">
        <is>
          <t>Italy</t>
        </is>
      </c>
      <c r="I64" s="221" t="n">
        <v>46319</v>
      </c>
    </row>
    <row r="65" ht="15.5" customHeight="1">
      <c r="A65" s="216" t="inlineStr">
        <is>
          <t>凤凰网</t>
        </is>
      </c>
      <c r="B65" s="217" t="n">
        <v>1</v>
      </c>
      <c r="C65" s="218">
        <f>SUMPRODUCT(Stories!$T$4:$T$96,--(Stories!$J$4:$J$96=$A65))</f>
        <v/>
      </c>
      <c r="D65" s="219" t="n">
        <v>3</v>
      </c>
      <c r="E65" s="217" t="n">
        <v>0</v>
      </c>
      <c r="F65" s="220" t="inlineStr">
        <is>
          <t>Hazards &amp; Resilience</t>
        </is>
      </c>
      <c r="G65" s="217" t="n">
        <v>1</v>
      </c>
      <c r="H65" s="169" t="inlineStr">
        <is>
          <t>China</t>
        </is>
      </c>
      <c r="I65" s="221" t="n">
        <v>46319</v>
      </c>
    </row>
    <row r="66" ht="15.5" customHeight="1">
      <c r="A66" s="216" t="inlineStr">
        <is>
          <t>新唐人電視台</t>
        </is>
      </c>
      <c r="B66" s="217" t="n">
        <v>1</v>
      </c>
      <c r="C66" s="218">
        <f>SUMPRODUCT(Stories!$T$4:$T$96,--(Stories!$J$4:$J$96=$A66))</f>
        <v/>
      </c>
      <c r="D66" s="219" t="n">
        <v>4</v>
      </c>
      <c r="E66" s="217" t="n">
        <v>1</v>
      </c>
      <c r="F66" s="220" t="inlineStr">
        <is>
          <t>Hazards &amp; Resilience</t>
        </is>
      </c>
      <c r="G66" s="217" t="n">
        <v>1</v>
      </c>
      <c r="H66" s="169" t="inlineStr">
        <is>
          <t>China</t>
        </is>
      </c>
      <c r="I66" s="221" t="n">
        <v>46319</v>
      </c>
    </row>
    <row r="67" ht="28" customHeight="1">
      <c r="A67" s="216" t="inlineStr">
        <is>
          <t>아시아경제</t>
        </is>
      </c>
      <c r="B67" s="217" t="n">
        <v>1</v>
      </c>
      <c r="C67" s="218">
        <f>SUMPRODUCT(Stories!$T$4:$T$96,--(Stories!$J$4:$J$96=$A67))</f>
        <v/>
      </c>
      <c r="D67" s="219" t="n">
        <v>4</v>
      </c>
      <c r="E67" s="217" t="n">
        <v>1</v>
      </c>
      <c r="F67" s="222" t="inlineStr">
        <is>
          <t>Infrastructure &amp; the Underground City</t>
        </is>
      </c>
      <c r="G67" s="217" t="n">
        <v>1</v>
      </c>
      <c r="H67" s="169" t="inlineStr">
        <is>
          <t>United Kingdom</t>
        </is>
      </c>
      <c r="I67" s="221" t="n">
        <v>46319</v>
      </c>
    </row>
  </sheetData>
  <conditionalFormatting sqref="B4:B67">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5" t="inlineStr">
        <is>
          <t>Theme selector</t>
        </is>
      </c>
      <c r="B1" s="225" t="inlineStr">
        <is>
          <t>Use selector</t>
        </is>
      </c>
      <c r="C1" s="225" t="inlineStr">
        <is>
          <t>Relevance selector</t>
        </is>
      </c>
      <c r="D1" s="225" t="inlineStr">
        <is>
          <t>Window selector</t>
        </is>
      </c>
      <c r="E1" s="225" t="inlineStr">
        <is>
          <t>Status</t>
        </is>
      </c>
      <c r="G1" s="225" t="inlineStr">
        <is>
          <t>Setting</t>
        </is>
      </c>
      <c r="H1" s="225" t="inlineStr">
        <is>
          <t>Value</t>
        </is>
      </c>
      <c r="J1" s="225" t="inlineStr">
        <is>
          <t>Digest date</t>
        </is>
      </c>
      <c r="K1" s="225" t="inlineStr">
        <is>
          <t>Stories in the selection</t>
        </is>
      </c>
      <c r="M1" s="225" t="inlineStr">
        <is>
          <t>Rank</t>
        </is>
      </c>
      <c r="N1" s="225" t="inlineStr">
        <is>
          <t>Key</t>
        </is>
      </c>
      <c r="O1" s="225" t="inlineStr">
        <is>
          <t>Row in Stories</t>
        </is>
      </c>
      <c r="P1" s="225" t="inlineStr">
        <is>
          <t>Article URL</t>
        </is>
      </c>
      <c r="Q1" s="225" t="inlineStr">
        <is>
          <t>Headline shown</t>
        </is>
      </c>
    </row>
    <row r="2">
      <c r="A2" s="226" t="inlineStr">
        <is>
          <t>All themes</t>
        </is>
      </c>
      <c r="B2" s="226" t="inlineStr">
        <is>
          <t>All uses</t>
        </is>
      </c>
      <c r="C2" s="226" t="inlineStr">
        <is>
          <t>Any</t>
        </is>
      </c>
      <c r="D2" s="226" t="inlineStr">
        <is>
          <t>All windows</t>
        </is>
      </c>
      <c r="E2" s="226" t="inlineStr">
        <is>
          <t>To review</t>
        </is>
      </c>
      <c r="G2" s="226" t="inlineStr">
        <is>
          <t>Minimum relevance (number)</t>
        </is>
      </c>
      <c r="H2" s="226">
        <f>IF(ISNUMBER(Dashboard!$K$5),Dashboard!$K$5,IFERROR(VALUE(Dashboard!$K$5),0))</f>
        <v/>
      </c>
      <c r="J2" s="227" t="n">
        <v>46319</v>
      </c>
      <c r="K2" s="226">
        <f>COUNTIFS(Stories!$T$4:$T$96,1,Stories!$K$4:$K$96,J2)</f>
        <v/>
      </c>
      <c r="M2" s="226" t="n">
        <v>1</v>
      </c>
      <c r="N2" s="228">
        <f>IFERROR(LARGE(Stories!$U$4:$U$96,M2),"")</f>
        <v/>
      </c>
      <c r="O2" s="226">
        <f>IF(N2="","",MATCH(N2,Stories!$U$4:$U$96,0))</f>
        <v/>
      </c>
      <c r="P2" s="226">
        <f>IF(O2="","",INDEX(Stories!$S$4:$S$96,O2)&amp;"")</f>
        <v/>
      </c>
      <c r="Q2" s="226">
        <f>IF(O2="","",IF(LEN(INDEX(Stories!$B$4:$B$96,O2))&gt;120,LEFT(INDEX(Stories!$B$4:$B$96,O2),118)&amp;"…",INDEX(Stories!$B$4:$B$96,O2)&amp;""))</f>
        <v/>
      </c>
    </row>
    <row r="3">
      <c r="A3" s="226" t="inlineStr">
        <is>
          <t>Sustainability &amp; the Energy Transition</t>
        </is>
      </c>
      <c r="B3" s="226" t="inlineStr">
        <is>
          <t>Feature lead</t>
        </is>
      </c>
      <c r="C3" s="226" t="n">
        <v>3</v>
      </c>
      <c r="D3" s="226" t="inlineStr">
        <is>
          <t>2026-Q4</t>
        </is>
      </c>
      <c r="E3" s="226" t="inlineStr">
        <is>
          <t>Shortlisted</t>
        </is>
      </c>
      <c r="G3" s="226" t="inlineStr">
        <is>
          <t>Daily digests in this workbook</t>
        </is>
      </c>
      <c r="H3" s="226" t="n">
        <v>1</v>
      </c>
      <c r="M3" s="226" t="n">
        <v>2</v>
      </c>
      <c r="N3" s="228">
        <f>IFERROR(LARGE(Stories!$U$4:$U$96,M3),"")</f>
        <v/>
      </c>
      <c r="O3" s="226">
        <f>IF(N3="","",MATCH(N3,Stories!$U$4:$U$96,0))</f>
        <v/>
      </c>
      <c r="P3" s="226">
        <f>IF(O3="","",INDEX(Stories!$S$4:$S$96,O3)&amp;"")</f>
        <v/>
      </c>
      <c r="Q3" s="226">
        <f>IF(O3="","",IF(LEN(INDEX(Stories!$B$4:$B$96,O3))&gt;120,LEFT(INDEX(Stories!$B$4:$B$96,O3),118)&amp;"…",INDEX(Stories!$B$4:$B$96,O3)&amp;""))</f>
        <v/>
      </c>
    </row>
    <row r="4">
      <c r="A4" s="226" t="inlineStr">
        <is>
          <t>Digital Geotechnics</t>
        </is>
      </c>
      <c r="B4" s="226" t="inlineStr">
        <is>
          <t>News brief</t>
        </is>
      </c>
      <c r="C4" s="226" t="n">
        <v>4</v>
      </c>
      <c r="E4" s="226" t="inlineStr">
        <is>
          <t>Commissioned</t>
        </is>
      </c>
      <c r="G4" s="226" t="inlineStr">
        <is>
          <t>Stories in this workbook</t>
        </is>
      </c>
      <c r="H4" s="226" t="n">
        <v>93</v>
      </c>
      <c r="M4" s="226" t="n">
        <v>3</v>
      </c>
      <c r="N4" s="228">
        <f>IFERROR(LARGE(Stories!$U$4:$U$96,M4),"")</f>
        <v/>
      </c>
      <c r="O4" s="226">
        <f>IF(N4="","",MATCH(N4,Stories!$U$4:$U$96,0))</f>
        <v/>
      </c>
      <c r="P4" s="226">
        <f>IF(O4="","",INDEX(Stories!$S$4:$S$96,O4)&amp;"")</f>
        <v/>
      </c>
      <c r="Q4" s="226">
        <f>IF(O4="","",IF(LEN(INDEX(Stories!$B$4:$B$96,O4))&gt;120,LEFT(INDEX(Stories!$B$4:$B$96,O4),118)&amp;"…",INDEX(Stories!$B$4:$B$96,O4)&amp;""))</f>
        <v/>
      </c>
    </row>
    <row r="5">
      <c r="A5" s="226" t="inlineStr">
        <is>
          <t>Hazards &amp; Resilience</t>
        </is>
      </c>
      <c r="B5" s="226" t="inlineStr">
        <is>
          <t>Academia-to-Industry topic</t>
        </is>
      </c>
      <c r="C5" s="226" t="n">
        <v>5</v>
      </c>
      <c r="E5" s="226" t="inlineStr">
        <is>
          <t>Published</t>
        </is>
      </c>
      <c r="G5" s="226" t="inlineStr">
        <is>
          <t>No selector set</t>
        </is>
      </c>
      <c r="H5" s="226">
        <f>AND(OR(Dashboard!$B$5="All themes",Dashboard!$B$5=""),OR(Dashboard!$G$5="All uses",Dashboard!$G$5=""),$H$2=0,OR(Dashboard!$N$5="All windows",Dashboard!$N$5=""))</f>
        <v/>
      </c>
      <c r="M5" s="226" t="n">
        <v>4</v>
      </c>
      <c r="N5" s="228">
        <f>IFERROR(LARGE(Stories!$U$4:$U$96,M5),"")</f>
        <v/>
      </c>
      <c r="O5" s="226">
        <f>IF(N5="","",MATCH(N5,Stories!$U$4:$U$96,0))</f>
        <v/>
      </c>
      <c r="P5" s="226">
        <f>IF(O5="","",INDEX(Stories!$S$4:$S$96,O5)&amp;"")</f>
        <v/>
      </c>
      <c r="Q5" s="226">
        <f>IF(O5="","",IF(LEN(INDEX(Stories!$B$4:$B$96,O5))&gt;120,LEFT(INDEX(Stories!$B$4:$B$96,O5),118)&amp;"…",INDEX(Stories!$B$4:$B$96,O5)&amp;""))</f>
        <v/>
      </c>
    </row>
    <row r="6">
      <c r="A6" s="226" t="inlineStr">
        <is>
          <t>Ground Improvement &amp; Innovation</t>
        </is>
      </c>
      <c r="B6" s="226" t="inlineStr">
        <is>
          <t>Regional insight</t>
        </is>
      </c>
      <c r="E6" s="226" t="inlineStr">
        <is>
          <t>Not used</t>
        </is>
      </c>
      <c r="G6" s="226" t="inlineStr">
        <is>
          <t>Stories in the selection</t>
        </is>
      </c>
      <c r="H6" s="226">
        <f>COUNTIF(Stories!$T$4:$T$96,1)</f>
        <v/>
      </c>
      <c r="M6" s="226" t="n">
        <v>5</v>
      </c>
      <c r="N6" s="228">
        <f>IFERROR(LARGE(Stories!$U$4:$U$96,M6),"")</f>
        <v/>
      </c>
      <c r="O6" s="226">
        <f>IF(N6="","",MATCH(N6,Stories!$U$4:$U$96,0))</f>
        <v/>
      </c>
      <c r="P6" s="226">
        <f>IF(O6="","",INDEX(Stories!$S$4:$S$96,O6)&amp;"")</f>
        <v/>
      </c>
      <c r="Q6" s="226">
        <f>IF(O6="","",IF(LEN(INDEX(Stories!$B$4:$B$96,O6))&gt;120,LEFT(INDEX(Stories!$B$4:$B$96,O6),118)&amp;"…",INDEX(Stories!$B$4:$B$96,O6)&amp;""))</f>
        <v/>
      </c>
    </row>
    <row r="7">
      <c r="A7" s="226" t="inlineStr">
        <is>
          <t>Infrastructure &amp; the Underground City</t>
        </is>
      </c>
      <c r="B7" s="226" t="inlineStr">
        <is>
          <t>Watch only</t>
        </is>
      </c>
      <c r="M7" s="226" t="n">
        <v>6</v>
      </c>
      <c r="N7" s="228">
        <f>IFERROR(LARGE(Stories!$U$4:$U$96,M7),"")</f>
        <v/>
      </c>
      <c r="O7" s="226">
        <f>IF(N7="","",MATCH(N7,Stories!$U$4:$U$96,0))</f>
        <v/>
      </c>
      <c r="P7" s="226">
        <f>IF(O7="","",INDEX(Stories!$S$4:$S$96,O7)&amp;"")</f>
        <v/>
      </c>
      <c r="Q7" s="226">
        <f>IF(O7="","",IF(LEN(INDEX(Stories!$B$4:$B$96,O7))&gt;120,LEFT(INDEX(Stories!$B$4:$B$96,O7),118)&amp;"…",INDEX(Stories!$B$4:$B$96,O7)&amp;""))</f>
        <v/>
      </c>
    </row>
    <row r="8">
      <c r="A8" s="226" t="inlineStr">
        <is>
          <t>Offshore, Coasts &amp; Water</t>
        </is>
      </c>
      <c r="B8" s="226" t="inlineStr">
        <is>
          <t>Not rated</t>
        </is>
      </c>
      <c r="M8" s="226" t="n">
        <v>7</v>
      </c>
      <c r="N8" s="228">
        <f>IFERROR(LARGE(Stories!$U$4:$U$96,M8),"")</f>
        <v/>
      </c>
      <c r="O8" s="226">
        <f>IF(N8="","",MATCH(N8,Stories!$U$4:$U$96,0))</f>
        <v/>
      </c>
      <c r="P8" s="226">
        <f>IF(O8="","",INDEX(Stories!$S$4:$S$96,O8)&amp;"")</f>
        <v/>
      </c>
      <c r="Q8" s="226">
        <f>IF(O8="","",IF(LEN(INDEX(Stories!$B$4:$B$96,O8))&gt;120,LEFT(INDEX(Stories!$B$4:$B$96,O8),118)&amp;"…",INDEX(Stories!$B$4:$B$96,O8)&amp;""))</f>
        <v/>
      </c>
    </row>
    <row r="9">
      <c r="A9" s="226" t="inlineStr">
        <is>
          <t>Characterisation &amp; Modelling</t>
        </is>
      </c>
      <c r="M9" s="226" t="n">
        <v>8</v>
      </c>
      <c r="N9" s="228">
        <f>IFERROR(LARGE(Stories!$U$4:$U$96,M9),"")</f>
        <v/>
      </c>
      <c r="O9" s="226">
        <f>IF(N9="","",MATCH(N9,Stories!$U$4:$U$96,0))</f>
        <v/>
      </c>
      <c r="P9" s="226">
        <f>IF(O9="","",INDEX(Stories!$S$4:$S$96,O9)&amp;"")</f>
        <v/>
      </c>
      <c r="Q9" s="226">
        <f>IF(O9="","",IF(LEN(INDEX(Stories!$B$4:$B$96,O9))&gt;120,LEFT(INDEX(Stories!$B$4:$B$96,O9),118)&amp;"…",INDEX(Stories!$B$4:$B$96,O9)&amp;""))</f>
        <v/>
      </c>
    </row>
    <row r="10">
      <c r="A10" s="226" t="inlineStr">
        <is>
          <t>Geotechnics &amp; Society</t>
        </is>
      </c>
      <c r="M10" s="226" t="n">
        <v>9</v>
      </c>
      <c r="N10" s="228">
        <f>IFERROR(LARGE(Stories!$U$4:$U$96,M10),"")</f>
        <v/>
      </c>
      <c r="O10" s="226">
        <f>IF(N10="","",MATCH(N10,Stories!$U$4:$U$96,0))</f>
        <v/>
      </c>
      <c r="P10" s="226">
        <f>IF(O10="","",INDEX(Stories!$S$4:$S$96,O10)&amp;"")</f>
        <v/>
      </c>
      <c r="Q10" s="226">
        <f>IF(O10="","",IF(LEN(INDEX(Stories!$B$4:$B$96,O10))&gt;120,LEFT(INDEX(Stories!$B$4:$B$96,O10),118)&amp;"…",INDEX(Stories!$B$4:$B$96,O10)&amp;""))</f>
        <v/>
      </c>
    </row>
    <row r="11">
      <c r="A11" s="226" t="inlineStr">
        <is>
          <t>General</t>
        </is>
      </c>
      <c r="M11" s="226" t="n">
        <v>10</v>
      </c>
      <c r="N11" s="228">
        <f>IFERROR(LARGE(Stories!$U$4:$U$96,M11),"")</f>
        <v/>
      </c>
      <c r="O11" s="226">
        <f>IF(N11="","",MATCH(N11,Stories!$U$4:$U$96,0))</f>
        <v/>
      </c>
      <c r="P11" s="226">
        <f>IF(O11="","",INDEX(Stories!$S$4:$S$96,O11)&amp;"")</f>
        <v/>
      </c>
      <c r="Q11" s="226">
        <f>IF(O11="","",IF(LEN(INDEX(Stories!$B$4:$B$96,O11))&gt;120,LEFT(INDEX(Stories!$B$4:$B$96,O11),118)&amp;"…",INDEX(Stories!$B$4:$B$96,O11)&amp;""))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2026-10-24T13:43:30Z</dcterms:created>
  <dcterms:modified xmlns:dcterms="http://purl.org/dc/terms/" xmlns:xsi="http://www.w3.org/2001/XMLSchema-instance" xsi:type="dcterms:W3CDTF">2026-10-24T13:43:30Z</dcterms:modified>
</cp:coreProperties>
</file>