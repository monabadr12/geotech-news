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'Stories'!$A$1:$K$103</definedName>
    <definedName name="_xlnm.Print_Titles" localSheetId="3">'By theme'!$1:$2</definedName>
    <definedName name="_xlnm.Print_Titles" localSheetId="4">'Research'!$3:$3</definedName>
    <definedName name="_xlnm.Print_Area" localSheetId="4">'Research'!$A$1:$K$25</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4">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5A2B"/>
      <sz val="9"/>
    </font>
    <font>
      <name val="Arial"/>
      <b val="1"/>
      <color rgb="008A94A3"/>
      <sz val="9"/>
    </font>
    <font>
      <name val="Arial"/>
      <b val="1"/>
      <color rgb="001F9D63"/>
      <sz val="9"/>
    </font>
    <font>
      <name val="Arial"/>
      <b val="1"/>
      <color rgb="00E04F2C"/>
      <sz val="10"/>
    </font>
    <font>
      <name val="Arial"/>
      <b val="1"/>
      <color rgb="000B97A5"/>
      <sz val="10"/>
    </font>
    <font>
      <name val="Arial"/>
      <b val="1"/>
      <color rgb="00C23D7B"/>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39" fillId="2" borderId="0" applyAlignment="1" pivotButton="0" quotePrefix="0" xfId="0">
      <alignment vertical="center"/>
    </xf>
    <xf numFmtId="0" fontId="0" fillId="29" borderId="0" pivotButton="0" quotePrefix="0" xfId="0"/>
    <xf numFmtId="0" fontId="40" fillId="29" borderId="0" applyAlignment="1" pivotButton="0" quotePrefix="0" xfId="0">
      <alignment vertical="center"/>
    </xf>
    <xf numFmtId="0" fontId="0" fillId="3" borderId="0" pivotButton="0" quotePrefix="0" xfId="0"/>
    <xf numFmtId="0" fontId="65"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9" fillId="37" borderId="3" applyAlignment="1" pivotButton="0" quotePrefix="0" xfId="0">
      <alignment horizontal="center" vertical="top"/>
    </xf>
    <xf numFmtId="0" fontId="60" fillId="38" borderId="3" applyAlignment="1" pivotButton="0" quotePrefix="0" xfId="0">
      <alignment horizontal="center" vertical="top"/>
    </xf>
    <xf numFmtId="0" fontId="61" fillId="39" borderId="3" applyAlignment="1" pivotButton="0" quotePrefix="0" xfId="0">
      <alignment horizontal="center" vertical="top"/>
    </xf>
    <xf numFmtId="0" fontId="62" fillId="40" borderId="3" applyAlignment="1" pivotButton="0" quotePrefix="0" xfId="0">
      <alignment horizontal="center" vertical="top"/>
    </xf>
    <xf numFmtId="0" fontId="63"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6" fillId="14" borderId="3" applyAlignment="1" pivotButton="0" quotePrefix="0" xfId="0">
      <alignment horizontal="left" vertical="top" indent="1"/>
    </xf>
    <xf numFmtId="0" fontId="67" fillId="16" borderId="3" applyAlignment="1" pivotButton="0" quotePrefix="0" xfId="0">
      <alignment horizontal="left" vertical="top" indent="1"/>
    </xf>
    <xf numFmtId="0" fontId="68" fillId="18" borderId="3" applyAlignment="1" pivotButton="0" quotePrefix="0" xfId="0">
      <alignment horizontal="left" vertical="top" indent="1"/>
    </xf>
    <xf numFmtId="0" fontId="69" fillId="20" borderId="3" applyAlignment="1" pivotButton="0" quotePrefix="0" xfId="0">
      <alignment horizontal="left" vertical="top" indent="1"/>
    </xf>
    <xf numFmtId="0" fontId="70" fillId="22" borderId="3" applyAlignment="1" pivotButton="0" quotePrefix="0" xfId="0">
      <alignment horizontal="left" vertical="top" indent="1"/>
    </xf>
    <xf numFmtId="0" fontId="71" fillId="24" borderId="3" applyAlignment="1" pivotButton="0" quotePrefix="0" xfId="0">
      <alignment horizontal="left" vertical="top" indent="1"/>
    </xf>
    <xf numFmtId="0" fontId="72" fillId="26" borderId="3" applyAlignment="1" pivotButton="0" quotePrefix="0" xfId="0">
      <alignment horizontal="left" vertical="top" indent="1"/>
    </xf>
    <xf numFmtId="0" fontId="73" fillId="28" borderId="3" applyAlignment="1" pivotButton="0" quotePrefix="0" xfId="0">
      <alignment horizontal="left" vertical="top" indent="1"/>
    </xf>
    <xf numFmtId="0" fontId="52" fillId="0" borderId="3" applyAlignment="1" pivotButton="0" quotePrefix="0" xfId="0">
      <alignment horizontal="left" vertical="top"/>
    </xf>
    <xf numFmtId="0" fontId="9" fillId="0" borderId="3" applyAlignment="1" pivotButton="0" quotePrefix="0" xfId="0">
      <alignment horizontal="left" vertical="top"/>
    </xf>
    <xf numFmtId="0" fontId="41" fillId="0" borderId="0" applyAlignment="1" pivotButton="0" quotePrefix="0" xfId="0">
      <alignment vertical="bottom"/>
    </xf>
    <xf numFmtId="0" fontId="43" fillId="31" borderId="0" applyAlignment="1" pivotButton="0" quotePrefix="0" xfId="0">
      <alignment vertical="center" wrapText="1" indent="1"/>
    </xf>
    <xf numFmtId="0" fontId="0" fillId="31" borderId="0" pivotButton="0" quotePrefix="0" xfId="0"/>
    <xf numFmtId="0" fontId="42"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4" fillId="2" borderId="14" applyAlignment="1" pivotButton="0" quotePrefix="0" xfId="0">
      <alignment horizontal="center" vertical="center"/>
    </xf>
    <xf numFmtId="0" fontId="0" fillId="2" borderId="14" pivotButton="0" quotePrefix="0" xfId="0"/>
    <xf numFmtId="3" fontId="44" fillId="23" borderId="14" applyAlignment="1" pivotButton="0" quotePrefix="0" xfId="0">
      <alignment horizontal="center" vertical="center"/>
    </xf>
    <xf numFmtId="0" fontId="0" fillId="23" borderId="14" pivotButton="0" quotePrefix="0" xfId="0"/>
    <xf numFmtId="3" fontId="44" fillId="33" borderId="14" applyAlignment="1" pivotButton="0" quotePrefix="0" xfId="0">
      <alignment horizontal="center" vertical="center"/>
    </xf>
    <xf numFmtId="0" fontId="0" fillId="33" borderId="14" pivotButton="0" quotePrefix="0" xfId="0"/>
    <xf numFmtId="3" fontId="44" fillId="19" borderId="14" applyAlignment="1" pivotButton="0" quotePrefix="0" xfId="0">
      <alignment horizontal="center" vertical="center"/>
    </xf>
    <xf numFmtId="0" fontId="0" fillId="19" borderId="14" pivotButton="0" quotePrefix="0" xfId="0"/>
    <xf numFmtId="3" fontId="44" fillId="15" borderId="14" applyAlignment="1" pivotButton="0" quotePrefix="0" xfId="0">
      <alignment horizontal="center" vertical="center"/>
    </xf>
    <xf numFmtId="0" fontId="0" fillId="15" borderId="14" pivotButton="0" quotePrefix="0" xfId="0"/>
    <xf numFmtId="3" fontId="44" fillId="21" borderId="14" applyAlignment="1" pivotButton="0" quotePrefix="0" xfId="0">
      <alignment horizontal="center" vertical="center"/>
    </xf>
    <xf numFmtId="0" fontId="0" fillId="21" borderId="14" pivotButton="0" quotePrefix="0" xfId="0"/>
    <xf numFmtId="0" fontId="45" fillId="32" borderId="14" applyAlignment="1" pivotButton="0" quotePrefix="0" xfId="0">
      <alignment horizontal="center" vertical="center"/>
    </xf>
    <xf numFmtId="0" fontId="0" fillId="32" borderId="14" pivotButton="0" quotePrefix="0" xfId="0"/>
    <xf numFmtId="0" fontId="46" fillId="24" borderId="14" applyAlignment="1" pivotButton="0" quotePrefix="0" xfId="0">
      <alignment horizontal="center" vertical="center"/>
    </xf>
    <xf numFmtId="0" fontId="0" fillId="24" borderId="14" pivotButton="0" quotePrefix="0" xfId="0"/>
    <xf numFmtId="0" fontId="47" fillId="34" borderId="14" applyAlignment="1" pivotButton="0" quotePrefix="0" xfId="0">
      <alignment horizontal="center" vertical="center"/>
    </xf>
    <xf numFmtId="0" fontId="0" fillId="34" borderId="14" pivotButton="0" quotePrefix="0" xfId="0"/>
    <xf numFmtId="0" fontId="48" fillId="20" borderId="14" applyAlignment="1" pivotButton="0" quotePrefix="0" xfId="0">
      <alignment horizontal="center" vertical="center"/>
    </xf>
    <xf numFmtId="0" fontId="0" fillId="20" borderId="14" pivotButton="0" quotePrefix="0" xfId="0"/>
    <xf numFmtId="0" fontId="49" fillId="16" borderId="14" applyAlignment="1" pivotButton="0" quotePrefix="0" xfId="0">
      <alignment horizontal="center" vertical="center"/>
    </xf>
    <xf numFmtId="0" fontId="0" fillId="16" borderId="14" pivotButton="0" quotePrefix="0" xfId="0"/>
    <xf numFmtId="0" fontId="50"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1" fillId="35" borderId="3" applyAlignment="1" pivotButton="0" quotePrefix="0" xfId="0">
      <alignment horizontal="center" vertical="center"/>
    </xf>
    <xf numFmtId="0" fontId="52"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3"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4" fillId="35" borderId="3" applyAlignment="1" pivotButton="0" quotePrefix="0" xfId="0">
      <alignment horizontal="center" vertical="center"/>
    </xf>
    <xf numFmtId="0" fontId="51" fillId="31" borderId="3" applyAlignment="1" pivotButton="0" quotePrefix="0" xfId="0">
      <alignment horizontal="center" vertical="center"/>
    </xf>
    <xf numFmtId="0" fontId="52"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3"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4" fillId="31" borderId="3" applyAlignment="1" pivotButton="0" quotePrefix="0" xfId="0">
      <alignment horizontal="center" vertical="center"/>
    </xf>
    <xf numFmtId="0" fontId="43" fillId="0" borderId="0" applyAlignment="1" pivotButton="0" quotePrefix="0" xfId="0">
      <alignment vertical="center"/>
    </xf>
    <xf numFmtId="0" fontId="27"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8"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6"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5" fillId="26" borderId="21" applyAlignment="1" pivotButton="0" quotePrefix="0" xfId="0">
      <alignment vertical="center" indent="1"/>
    </xf>
    <xf numFmtId="0" fontId="0" fillId="26" borderId="21" pivotButton="0" quotePrefix="0" xfId="0"/>
    <xf numFmtId="0" fontId="29" fillId="28" borderId="22" applyAlignment="1" pivotButton="0" quotePrefix="0" xfId="0">
      <alignment vertical="center" indent="1"/>
    </xf>
    <xf numFmtId="0" fontId="0" fillId="28" borderId="22" pivotButton="0" quotePrefix="0" xfId="0"/>
    <xf numFmtId="0" fontId="55"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59" fillId="37" borderId="3" applyAlignment="1" pivotButton="0" quotePrefix="0" xfId="0">
      <alignment vertical="center" indent="1"/>
    </xf>
    <xf numFmtId="0" fontId="0" fillId="37"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8" borderId="3" applyAlignment="1" pivotButton="0" quotePrefix="0" xfId="0">
      <alignment vertical="center" indent="1"/>
    </xf>
    <xf numFmtId="0" fontId="0" fillId="38" borderId="3" pivotButton="0" quotePrefix="0" xfId="0"/>
    <xf numFmtId="0" fontId="28" fillId="0" borderId="3" applyAlignment="1" pivotButton="0" quotePrefix="0" xfId="0">
      <alignment vertical="center" indent="1"/>
    </xf>
    <xf numFmtId="0" fontId="58" fillId="0" borderId="3" applyAlignment="1" pivotButton="0" quotePrefix="0" xfId="0">
      <alignment vertical="center" indent="1"/>
    </xf>
    <xf numFmtId="0" fontId="61" fillId="39" borderId="3" applyAlignment="1" pivotButton="0" quotePrefix="0" xfId="0">
      <alignment vertical="center" indent="1"/>
    </xf>
    <xf numFmtId="0" fontId="0" fillId="39" borderId="3" pivotButton="0" quotePrefix="0" xfId="0"/>
    <xf numFmtId="0" fontId="27" fillId="0" borderId="3" applyAlignment="1" pivotButton="0" quotePrefix="0" xfId="0">
      <alignment vertical="center" indent="1"/>
    </xf>
    <xf numFmtId="0" fontId="62" fillId="40" borderId="3" applyAlignment="1" pivotButton="0" quotePrefix="0" xfId="0">
      <alignment vertical="center" indent="1"/>
    </xf>
    <xf numFmtId="0" fontId="0" fillId="40" borderId="3" pivotButton="0" quotePrefix="0" xfId="0"/>
    <xf numFmtId="0" fontId="56" fillId="0" borderId="3" applyAlignment="1" pivotButton="0" quotePrefix="0" xfId="0">
      <alignment vertical="center" indent="1"/>
    </xf>
    <xf numFmtId="0" fontId="63" fillId="41" borderId="3" applyAlignment="1" pivotButton="0" quotePrefix="0" xfId="0">
      <alignment vertical="center" indent="1"/>
    </xf>
    <xf numFmtId="0" fontId="0" fillId="41" borderId="3" pivotButton="0" quotePrefix="0" xfId="0"/>
    <xf numFmtId="0" fontId="27"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8"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6"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5" fillId="0" borderId="21" applyAlignment="1" pivotButton="0" quotePrefix="0" xfId="0">
      <alignment vertical="center" indent="1"/>
    </xf>
    <xf numFmtId="0" fontId="0" fillId="0" borderId="21" pivotButton="0" quotePrefix="0" xfId="0"/>
    <xf numFmtId="0" fontId="29" fillId="0" borderId="22" applyAlignment="1" pivotButton="0" quotePrefix="0" xfId="0">
      <alignment vertical="center" indent="1"/>
    </xf>
    <xf numFmtId="0" fontId="0" fillId="0" borderId="22" pivotButton="0" quotePrefix="0" xfId="0"/>
    <xf numFmtId="0" fontId="55"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4"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38"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38"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38"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38"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8"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21" fillId="0" borderId="3" applyAlignment="1" pivotButton="0" quotePrefix="0" xfId="0">
      <alignment vertical="top" wrapText="1"/>
    </xf>
    <xf numFmtId="0" fontId="38"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38"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8"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03" headerRowCount="1">
  <autoFilter ref="A3:X10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5" headerRowCount="1">
  <autoFilter ref="A3:N25"/>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2" headerRowCount="1">
  <autoFilter ref="A3:I72"/>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WEFVX3lxTFBTQ25tOTZGZzZsUWdHamNXa3hxMGdGTG8ySno0dWhQSzl1SnVtZHBuSUtrM3d3VTJPekZvbFZXRDY0TWhFZ1NDWDllM3RSeDI5SUZkRWZtQzU?oc=5" TargetMode="External" Id="rId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0"/><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5"/><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16"/><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17"/><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18"/><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1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20"/><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21"/><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22"/><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23"/><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24"/><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25"/><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2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2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28"/><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9"/><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1"/><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2"/><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3"/><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4"/><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5"/><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36"/><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37"/><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38"/><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3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www.geplus.co.uk/key-topics/sustainability/floating-wind-needs-grounded-solutions-23-10-2026/"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4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6"/><Relationship Type="http://schemas.openxmlformats.org/officeDocument/2006/relationships/hyperlink" Target="https://www.geplus.co.uk/news/project-news/m4-landslip-work-begins-as-part-of-wider-repair-programme-23-10-2026/" TargetMode="External" Id="rId4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4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4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5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5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5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5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5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5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5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6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6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7"/><Relationship Type="http://schemas.openxmlformats.org/officeDocument/2006/relationships/hyperlink" Target="https://news.google.com/rss/articles/CBMiUkFVX3lxTFBBaDhzbmpCUVV6Y1lGN3hyYllJRGRHNkUta1M3SVpkamJ5MGktVWZHdDJqLWloWW40SmVzTldUSWc0UXliVXJOVWR2VmJoWUtGc0E?oc=5" TargetMode="External" Id="rId6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6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7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7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7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3"/><Relationship Type="http://schemas.openxmlformats.org/officeDocument/2006/relationships/hyperlink" Target="https://www.tunnelsandtunnelling.com/news/snowy-2-0-cost-and-completion-date-revised/" TargetMode="External" Id="rId84"/><Relationship Type="http://schemas.openxmlformats.org/officeDocument/2006/relationships/hyperlink" Target="https://tunnellingjournal.com/mobile-shield-deployed-for-a14-vinci-tunnel-reconstruction/" TargetMode="External" Id="rId8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6"/><Relationship Type="http://schemas.openxmlformats.org/officeDocument/2006/relationships/hyperlink" Target="https://www.tunnelsandtunnelling.com/news/abergeldie-awarded-patent-for-underground-hydrogen-storage-solution/" TargetMode="External" Id="rId87"/><Relationship Type="http://schemas.openxmlformats.org/officeDocument/2006/relationships/hyperlink" Target="https://tunnellingjournal.com/snowy-2-0-cost-rises-to-a22-2bn-as-tunnelling-reaches-65-completion/" TargetMode="External" Id="rId8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8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1"/><Relationship Type="http://schemas.openxmlformats.org/officeDocument/2006/relationships/hyperlink" Target="https://news.google.com/rss/articles/CBMiREFVX3lxTE9KcGh5bWlxWEhKT3FXdU5qVjNOd3c3clQ1bGw1YWFmaHljV0U3ckZYcndLVTgtakJFSHZZQ3ViYXg2QnV4?oc=5" TargetMode="External" Id="rId9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9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9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9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9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9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0"/><Relationship Type="http://schemas.openxmlformats.org/officeDocument/2006/relationships/table" Target="/xl/tables/table1.xml" Id="rId10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30"/><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31"/><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32"/><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3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34"/><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35"/><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36"/><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37"/><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38"/><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39"/><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4"/><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5"/><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6"/><Relationship Type="http://schemas.openxmlformats.org/officeDocument/2006/relationships/hyperlink" Target="https://tunnellingjournal.com/mobile-shield-deployed-for-a14-vinci-tunnel-reconstruction/" TargetMode="External" Id="rId5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5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3"/><Relationship Type="http://schemas.openxmlformats.org/officeDocument/2006/relationships/hyperlink" Target="https://news.google.com/rss/articles/CBMiREFVX3lxTE9KcGh5bWlxWEhKT3FXdU5qVjNOd3c3clQ1bGw1YWFmaHljV0U3ckZYcndLVTgtakJFSHZZQ3ViYXg2QnV4?oc=5" TargetMode="External" Id="rId64"/><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5"/><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6"/><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7"/><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8"/><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6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0"/><Relationship Type="http://schemas.openxmlformats.org/officeDocument/2006/relationships/hyperlink" Target="https://www.geplus.co.uk/key-topics/sustainability/floating-wind-needs-grounded-solutions-23-10-2026/" TargetMode="External" Id="rId71"/><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2"/><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3"/><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77"/><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78"/><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79"/><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1"/><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2"/><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3"/><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4"/><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85"/><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86"/><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87"/><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88"/><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8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1"/><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2"/><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3"/><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4"/><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9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9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9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680/jgeot.25.00605" TargetMode="External" Id="rId13"/><Relationship Type="http://schemas.openxmlformats.org/officeDocument/2006/relationships/hyperlink" Target="https://doi.org/10.1016/j.soildyn.2026.110782" TargetMode="External" Id="rId14"/><Relationship Type="http://schemas.openxmlformats.org/officeDocument/2006/relationships/hyperlink" Target="https://doi.org/10.1061/jggefk.gteng-15142" TargetMode="External" Id="rId15"/><Relationship Type="http://schemas.openxmlformats.org/officeDocument/2006/relationships/hyperlink" Target="https://doi.org/10.1080/17499518.2026.2750358" TargetMode="External" Id="rId16"/><Relationship Type="http://schemas.openxmlformats.org/officeDocument/2006/relationships/hyperlink" Target="https://doi.org/10.1016/j.tust.2026.108241" TargetMode="External" Id="rId17"/><Relationship Type="http://schemas.openxmlformats.org/officeDocument/2006/relationships/hyperlink" Target="https://doi.org/10.1016/j.enggeo.2026.109168" TargetMode="External" Id="rId18"/><Relationship Type="http://schemas.openxmlformats.org/officeDocument/2006/relationships/hyperlink" Target="https://doi.org/10.1016/j.compgeo.2026.108765" TargetMode="External" Id="rId19"/><Relationship Type="http://schemas.openxmlformats.org/officeDocument/2006/relationships/hyperlink" Target="https://doi.org/10.1016/j.trgeo.2026.102482" TargetMode="External" Id="rId20"/><Relationship Type="http://schemas.openxmlformats.org/officeDocument/2006/relationships/hyperlink" Target="https://doi.org/10.1061/jggefk.gteng-15428" TargetMode="External" Id="rId21"/><Relationship Type="http://schemas.openxmlformats.org/officeDocument/2006/relationships/hyperlink" Target="https://doi.org/10.1016/j.undsp.2026.09.005" TargetMode="External" Id="rId22"/><Relationship Type="http://schemas.openxmlformats.org/officeDocument/2006/relationships/table" Target="/xl/tables/table2.xml" Id="rId23"/></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100 stories from 2 daily digests, 24 Oct 2026 to 25 Oct 2026, in 8 themes and from 69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22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18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28 stories · 1 rated 5 / 5 · 8 feature leads</t>
        </is>
      </c>
      <c r="D42" s="11" t="n"/>
    </row>
    <row r="43" ht="18" customHeight="1">
      <c r="B43" s="29" t="inlineStr">
        <is>
          <t>Offshore, Coasts &amp; Water</t>
        </is>
      </c>
      <c r="C43" s="10" t="inlineStr">
        <is>
          <t>16 stories · 1 rated 5 / 5 · 5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5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89" display="Offshore, Coasts &amp; Water"/>
    <hyperlink ref="B44" location="'By theme'!A108" display="Characterisation &amp; Modelling"/>
    <hyperlink ref="B45" location="'By theme'!A120"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COUNTIFS(Stories!$W$4:$W$103,1,Stories!$D$4:$D$103,5)</f>
        <v/>
      </c>
      <c r="I8" s="46" t="n"/>
      <c r="J8" s="46" t="n"/>
      <c r="K8" s="47">
        <f>COUNTIFS(Stories!$W$4:$W$103,1,Stories!$E$4:$E$103,"Feature lead")</f>
        <v/>
      </c>
      <c r="L8" s="48" t="n"/>
      <c r="M8" s="48" t="n"/>
      <c r="N8" s="49">
        <f>COUNTIFS(Stories!$W$4:$W$103,1,Stories!$F$4:$F$103,"Shortlisted")+COUNTIFS(Stories!$W$4:$W$103,1,Stories!$F$4:$F$103,"Commissioned")+COUNTIFS(Stories!$W$4:$W$103,1,Stories!$F$4:$F$103,"Published")</f>
        <v/>
      </c>
      <c r="O8" s="50" t="n"/>
      <c r="P8" s="50" t="n"/>
      <c r="Q8" s="51">
        <f>COUNTIF(Sources!$C$4:$C$72,"&gt;0")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"&amp;COUNTIFS(Stories!$W$4:$W$103,1,Stories!$D$4:$D$103,4)</f>
        <v/>
      </c>
      <c r="I10" s="58" t="n"/>
      <c r="J10" s="58" t="n"/>
      <c r="K10" s="68">
        <f>"news briefs: "&amp;COUNTIFS(Stories!$W$4:$W$103,1,Stories!$E$4:$E$103,"News brief")</f>
        <v/>
      </c>
      <c r="L10" s="60" t="n"/>
      <c r="M10" s="60" t="n"/>
      <c r="N10" s="69">
        <f>"shortlisted or later · to review: "&amp;COUNTIFS(Stories!$W$4:$W$103,1,Stories!$F$4:$F$103,"To review")</f>
        <v/>
      </c>
      <c r="O10" s="62" t="n"/>
      <c r="P10" s="62" t="n"/>
      <c r="Q10" s="70">
        <f>"of 69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IF(Lists!$O$2="","",INDEX(Stories!$K$4:$K$103,Lists!$O$2))</f>
        <v/>
      </c>
      <c r="J14" s="77">
        <f>IF(Lists!$O$2="","",INDEX(Stories!$C$4:$C$103,Lists!$O$2)&amp;"")</f>
        <v/>
      </c>
      <c r="K14" s="75" t="n"/>
      <c r="L14" s="75" t="n"/>
      <c r="M14" s="78">
        <f>IF(Lists!$O$2="","",INDEX(Stories!$D$4:$D$103,Lists!$O$2))</f>
        <v/>
      </c>
      <c r="N14" s="79">
        <f>IF(Lists!$O$2="","",INDEX(Stories!$E$4:$E$103,Lists!$O$2)&amp;"")</f>
        <v/>
      </c>
      <c r="O14" s="75" t="n"/>
      <c r="P14" s="79">
        <f>IF(Lists!$O$2="","",INDEX(Stories!$J$4:$J$103,Lists!$O$2)&amp;"")</f>
        <v/>
      </c>
      <c r="Q14" s="75" t="n"/>
      <c r="R14" s="80">
        <f>IF(Lists!$O$2="","",INDEX(Stories!$A$4:$A$103,Lists!$O$2))</f>
        <v/>
      </c>
      <c r="S14" s="81">
        <f>IF(Lists!$O$2="","",INDEX(Stories!$F$4:$F$103,Lists!$O$2)&amp;"")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IF(Lists!$O$3="","",INDEX(Stories!$K$4:$K$103,Lists!$O$3))</f>
        <v/>
      </c>
      <c r="J15" s="86">
        <f>IF(Lists!$O$3="","",INDEX(Stories!$C$4:$C$103,Lists!$O$3)&amp;"")</f>
        <v/>
      </c>
      <c r="K15" s="84" t="n"/>
      <c r="L15" s="84" t="n"/>
      <c r="M15" s="87">
        <f>IF(Lists!$O$3="","",INDEX(Stories!$D$4:$D$103,Lists!$O$3))</f>
        <v/>
      </c>
      <c r="N15" s="88">
        <f>IF(Lists!$O$3="","",INDEX(Stories!$E$4:$E$103,Lists!$O$3)&amp;"")</f>
        <v/>
      </c>
      <c r="O15" s="84" t="n"/>
      <c r="P15" s="88">
        <f>IF(Lists!$O$3="","",INDEX(Stories!$J$4:$J$103,Lists!$O$3)&amp;"")</f>
        <v/>
      </c>
      <c r="Q15" s="84" t="n"/>
      <c r="R15" s="89">
        <f>IF(Lists!$O$3="","",INDEX(Stories!$A$4:$A$103,Lists!$O$3))</f>
        <v/>
      </c>
      <c r="S15" s="90">
        <f>IF(Lists!$O$3="","",INDEX(Stories!$F$4:$F$103,Lists!$O$3)&amp;"")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IF(Lists!$O$4="","",INDEX(Stories!$K$4:$K$103,Lists!$O$4))</f>
        <v/>
      </c>
      <c r="J16" s="77">
        <f>IF(Lists!$O$4="","",INDEX(Stories!$C$4:$C$103,Lists!$O$4)&amp;"")</f>
        <v/>
      </c>
      <c r="K16" s="75" t="n"/>
      <c r="L16" s="75" t="n"/>
      <c r="M16" s="78">
        <f>IF(Lists!$O$4="","",INDEX(Stories!$D$4:$D$103,Lists!$O$4))</f>
        <v/>
      </c>
      <c r="N16" s="79">
        <f>IF(Lists!$O$4="","",INDEX(Stories!$E$4:$E$103,Lists!$O$4)&amp;"")</f>
        <v/>
      </c>
      <c r="O16" s="75" t="n"/>
      <c r="P16" s="79">
        <f>IF(Lists!$O$4="","",INDEX(Stories!$J$4:$J$103,Lists!$O$4)&amp;"")</f>
        <v/>
      </c>
      <c r="Q16" s="75" t="n"/>
      <c r="R16" s="80">
        <f>IF(Lists!$O$4="","",INDEX(Stories!$A$4:$A$103,Lists!$O$4))</f>
        <v/>
      </c>
      <c r="S16" s="81">
        <f>IF(Lists!$O$4="","",INDEX(Stories!$F$4:$F$103,Lists!$O$4)&amp;"")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IF(Lists!$O$5="","",INDEX(Stories!$K$4:$K$103,Lists!$O$5))</f>
        <v/>
      </c>
      <c r="J17" s="86">
        <f>IF(Lists!$O$5="","",INDEX(Stories!$C$4:$C$103,Lists!$O$5)&amp;"")</f>
        <v/>
      </c>
      <c r="K17" s="84" t="n"/>
      <c r="L17" s="84" t="n"/>
      <c r="M17" s="87">
        <f>IF(Lists!$O$5="","",INDEX(Stories!$D$4:$D$103,Lists!$O$5))</f>
        <v/>
      </c>
      <c r="N17" s="88">
        <f>IF(Lists!$O$5="","",INDEX(Stories!$E$4:$E$103,Lists!$O$5)&amp;"")</f>
        <v/>
      </c>
      <c r="O17" s="84" t="n"/>
      <c r="P17" s="88">
        <f>IF(Lists!$O$5="","",INDEX(Stories!$J$4:$J$103,Lists!$O$5)&amp;"")</f>
        <v/>
      </c>
      <c r="Q17" s="84" t="n"/>
      <c r="R17" s="89">
        <f>IF(Lists!$O$5="","",INDEX(Stories!$A$4:$A$103,Lists!$O$5))</f>
        <v/>
      </c>
      <c r="S17" s="90">
        <f>IF(Lists!$O$5="","",INDEX(Stories!$F$4:$F$103,Lists!$O$5)&amp;"")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IF(Lists!$O$6="","",INDEX(Stories!$K$4:$K$103,Lists!$O$6))</f>
        <v/>
      </c>
      <c r="J18" s="77">
        <f>IF(Lists!$O$6="","",INDEX(Stories!$C$4:$C$103,Lists!$O$6)&amp;"")</f>
        <v/>
      </c>
      <c r="K18" s="75" t="n"/>
      <c r="L18" s="75" t="n"/>
      <c r="M18" s="78">
        <f>IF(Lists!$O$6="","",INDEX(Stories!$D$4:$D$103,Lists!$O$6))</f>
        <v/>
      </c>
      <c r="N18" s="79">
        <f>IF(Lists!$O$6="","",INDEX(Stories!$E$4:$E$103,Lists!$O$6)&amp;"")</f>
        <v/>
      </c>
      <c r="O18" s="75" t="n"/>
      <c r="P18" s="79">
        <f>IF(Lists!$O$6="","",INDEX(Stories!$J$4:$J$103,Lists!$O$6)&amp;"")</f>
        <v/>
      </c>
      <c r="Q18" s="75" t="n"/>
      <c r="R18" s="80">
        <f>IF(Lists!$O$6="","",INDEX(Stories!$A$4:$A$103,Lists!$O$6))</f>
        <v/>
      </c>
      <c r="S18" s="81">
        <f>IF(Lists!$O$6="","",INDEX(Stories!$F$4:$F$103,Lists!$O$6)&amp;"")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IF(Lists!$O$7="","",INDEX(Stories!$K$4:$K$103,Lists!$O$7))</f>
        <v/>
      </c>
      <c r="J19" s="86">
        <f>IF(Lists!$O$7="","",INDEX(Stories!$C$4:$C$103,Lists!$O$7)&amp;"")</f>
        <v/>
      </c>
      <c r="K19" s="84" t="n"/>
      <c r="L19" s="84" t="n"/>
      <c r="M19" s="87">
        <f>IF(Lists!$O$7="","",INDEX(Stories!$D$4:$D$103,Lists!$O$7))</f>
        <v/>
      </c>
      <c r="N19" s="88">
        <f>IF(Lists!$O$7="","",INDEX(Stories!$E$4:$E$103,Lists!$O$7)&amp;"")</f>
        <v/>
      </c>
      <c r="O19" s="84" t="n"/>
      <c r="P19" s="88">
        <f>IF(Lists!$O$7="","",INDEX(Stories!$J$4:$J$103,Lists!$O$7)&amp;"")</f>
        <v/>
      </c>
      <c r="Q19" s="84" t="n"/>
      <c r="R19" s="89">
        <f>IF(Lists!$O$7="","",INDEX(Stories!$A$4:$A$103,Lists!$O$7))</f>
        <v/>
      </c>
      <c r="S19" s="90">
        <f>IF(Lists!$O$7="","",INDEX(Stories!$F$4:$F$103,Lists!$O$7)&amp;"")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IF(Lists!$O$8="","",INDEX(Stories!$K$4:$K$103,Lists!$O$8))</f>
        <v/>
      </c>
      <c r="J20" s="77">
        <f>IF(Lists!$O$8="","",INDEX(Stories!$C$4:$C$103,Lists!$O$8)&amp;"")</f>
        <v/>
      </c>
      <c r="K20" s="75" t="n"/>
      <c r="L20" s="75" t="n"/>
      <c r="M20" s="78">
        <f>IF(Lists!$O$8="","",INDEX(Stories!$D$4:$D$103,Lists!$O$8))</f>
        <v/>
      </c>
      <c r="N20" s="79">
        <f>IF(Lists!$O$8="","",INDEX(Stories!$E$4:$E$103,Lists!$O$8)&amp;"")</f>
        <v/>
      </c>
      <c r="O20" s="75" t="n"/>
      <c r="P20" s="79">
        <f>IF(Lists!$O$8="","",INDEX(Stories!$J$4:$J$103,Lists!$O$8)&amp;"")</f>
        <v/>
      </c>
      <c r="Q20" s="75" t="n"/>
      <c r="R20" s="80">
        <f>IF(Lists!$O$8="","",INDEX(Stories!$A$4:$A$103,Lists!$O$8))</f>
        <v/>
      </c>
      <c r="S20" s="81">
        <f>IF(Lists!$O$8="","",INDEX(Stories!$F$4:$F$103,Lists!$O$8)&amp;"")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IF(Lists!$O$9="","",INDEX(Stories!$K$4:$K$103,Lists!$O$9))</f>
        <v/>
      </c>
      <c r="J21" s="86">
        <f>IF(Lists!$O$9="","",INDEX(Stories!$C$4:$C$103,Lists!$O$9)&amp;"")</f>
        <v/>
      </c>
      <c r="K21" s="84" t="n"/>
      <c r="L21" s="84" t="n"/>
      <c r="M21" s="87">
        <f>IF(Lists!$O$9="","",INDEX(Stories!$D$4:$D$103,Lists!$O$9))</f>
        <v/>
      </c>
      <c r="N21" s="88">
        <f>IF(Lists!$O$9="","",INDEX(Stories!$E$4:$E$103,Lists!$O$9)&amp;"")</f>
        <v/>
      </c>
      <c r="O21" s="84" t="n"/>
      <c r="P21" s="88">
        <f>IF(Lists!$O$9="","",INDEX(Stories!$J$4:$J$103,Lists!$O$9)&amp;"")</f>
        <v/>
      </c>
      <c r="Q21" s="84" t="n"/>
      <c r="R21" s="89">
        <f>IF(Lists!$O$9="","",INDEX(Stories!$A$4:$A$103,Lists!$O$9))</f>
        <v/>
      </c>
      <c r="S21" s="90">
        <f>IF(Lists!$O$9="","",INDEX(Stories!$F$4:$F$103,Lists!$O$9)&amp;"")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IF(Lists!$O$10="","",INDEX(Stories!$K$4:$K$103,Lists!$O$10))</f>
        <v/>
      </c>
      <c r="J22" s="77">
        <f>IF(Lists!$O$10="","",INDEX(Stories!$C$4:$C$103,Lists!$O$10)&amp;"")</f>
        <v/>
      </c>
      <c r="K22" s="75" t="n"/>
      <c r="L22" s="75" t="n"/>
      <c r="M22" s="78">
        <f>IF(Lists!$O$10="","",INDEX(Stories!$D$4:$D$103,Lists!$O$10))</f>
        <v/>
      </c>
      <c r="N22" s="79">
        <f>IF(Lists!$O$10="","",INDEX(Stories!$E$4:$E$103,Lists!$O$10)&amp;"")</f>
        <v/>
      </c>
      <c r="O22" s="75" t="n"/>
      <c r="P22" s="79">
        <f>IF(Lists!$O$10="","",INDEX(Stories!$J$4:$J$103,Lists!$O$10)&amp;"")</f>
        <v/>
      </c>
      <c r="Q22" s="75" t="n"/>
      <c r="R22" s="80">
        <f>IF(Lists!$O$10="","",INDEX(Stories!$A$4:$A$103,Lists!$O$10))</f>
        <v/>
      </c>
      <c r="S22" s="81">
        <f>IF(Lists!$O$10="","",INDEX(Stories!$F$4:$F$103,Lists!$O$10)&amp;"")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IF(Lists!$O$11="","",INDEX(Stories!$K$4:$K$103,Lists!$O$11))</f>
        <v/>
      </c>
      <c r="J23" s="86">
        <f>IF(Lists!$O$11="","",INDEX(Stories!$C$4:$C$103,Lists!$O$11)&amp;"")</f>
        <v/>
      </c>
      <c r="K23" s="84" t="n"/>
      <c r="L23" s="84" t="n"/>
      <c r="M23" s="87">
        <f>IF(Lists!$O$11="","",INDEX(Stories!$D$4:$D$103,Lists!$O$11))</f>
        <v/>
      </c>
      <c r="N23" s="88">
        <f>IF(Lists!$O$11="","",INDEX(Stories!$E$4:$E$103,Lists!$O$11)&amp;"")</f>
        <v/>
      </c>
      <c r="O23" s="84" t="n"/>
      <c r="P23" s="88">
        <f>IF(Lists!$O$11="","",INDEX(Stories!$J$4:$J$103,Lists!$O$11)&amp;"")</f>
        <v/>
      </c>
      <c r="Q23" s="84" t="n"/>
      <c r="R23" s="89">
        <f>IF(Lists!$O$11="","",INDEX(Stories!$A$4:$A$103,Lists!$O$11))</f>
        <v/>
      </c>
      <c r="S23" s="90">
        <f>IF(Lists!$O$11="","",INDEX(Stories!$F$4:$F$103,Lists!$O$11)&amp;"")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SUMPRODUCT(Stories!$W$4:$W$103,--(Stories!$C$4:$C$103=$B28))</f>
        <v/>
      </c>
      <c r="G28" s="95">
        <f>SUMPRODUCT(Stories!$W$4:$W$103,--(Stories!$C$4:$C$103=$B28),--(Stories!$D$4:$D$103=5))</f>
        <v/>
      </c>
      <c r="H28" s="95">
        <f>SUMPRODUCT(Stories!$W$4:$W$103,--(Stories!$C$4:$C$103=$B28),--(Stories!$D$4:$D$103=4))</f>
        <v/>
      </c>
      <c r="I28" s="95">
        <f>SUMPRODUCT(Stories!$W$4:$W$103,--(Stories!$C$4:$C$103=$B28),--(Stories!$E$4:$E$103="Feature lead"))</f>
        <v/>
      </c>
      <c r="J28" s="96">
        <f>IF(Lists!$H$6=0,0,F28/Lists!$H$6)</f>
        <v/>
      </c>
    </row>
    <row r="29" ht="18" customHeight="1">
      <c r="B29" s="97" t="inlineStr">
        <is>
          <t>Digital Geotechnics</t>
        </is>
      </c>
      <c r="C29" s="98" t="n"/>
      <c r="D29" s="98" t="n"/>
      <c r="E29" s="98" t="n"/>
      <c r="F29" s="94">
        <f>SUMPRODUCT(Stories!$W$4:$W$103,--(Stories!$C$4:$C$103=$B29))</f>
        <v/>
      </c>
      <c r="G29" s="95">
        <f>SUMPRODUCT(Stories!$W$4:$W$103,--(Stories!$C$4:$C$103=$B29),--(Stories!$D$4:$D$103=5))</f>
        <v/>
      </c>
      <c r="H29" s="95">
        <f>SUMPRODUCT(Stories!$W$4:$W$103,--(Stories!$C$4:$C$103=$B29),--(Stories!$D$4:$D$103=4))</f>
        <v/>
      </c>
      <c r="I29" s="95">
        <f>SUMPRODUCT(Stories!$W$4:$W$103,--(Stories!$C$4:$C$103=$B29),--(Stories!$E$4:$E$103="Feature lead"))</f>
        <v/>
      </c>
      <c r="J29" s="96">
        <f>IF(Lists!$H$6=0,0,F29/Lists!$H$6)</f>
        <v/>
      </c>
    </row>
    <row r="30" ht="18" customHeight="1">
      <c r="B30" s="99" t="inlineStr">
        <is>
          <t>Hazards &amp; Resilience</t>
        </is>
      </c>
      <c r="C30" s="100" t="n"/>
      <c r="D30" s="100" t="n"/>
      <c r="E30" s="100" t="n"/>
      <c r="F30" s="94">
        <f>SUMPRODUCT(Stories!$W$4:$W$103,--(Stories!$C$4:$C$103=$B30))</f>
        <v/>
      </c>
      <c r="G30" s="95">
        <f>SUMPRODUCT(Stories!$W$4:$W$103,--(Stories!$C$4:$C$103=$B30),--(Stories!$D$4:$D$103=5))</f>
        <v/>
      </c>
      <c r="H30" s="95">
        <f>SUMPRODUCT(Stories!$W$4:$W$103,--(Stories!$C$4:$C$103=$B30),--(Stories!$D$4:$D$103=4))</f>
        <v/>
      </c>
      <c r="I30" s="95">
        <f>SUMPRODUCT(Stories!$W$4:$W$103,--(Stories!$C$4:$C$103=$B30),--(Stories!$E$4:$E$103="Feature lead"))</f>
        <v/>
      </c>
      <c r="J30" s="96">
        <f>IF(Lists!$H$6=0,0,F30/Lists!$H$6)</f>
        <v/>
      </c>
    </row>
    <row r="31" ht="18" customHeight="1">
      <c r="B31" s="101" t="inlineStr">
        <is>
          <t>Ground Improvement &amp; Innovation</t>
        </is>
      </c>
      <c r="C31" s="102" t="n"/>
      <c r="D31" s="102" t="n"/>
      <c r="E31" s="102" t="n"/>
      <c r="F31" s="94">
        <f>SUMPRODUCT(Stories!$W$4:$W$103,--(Stories!$C$4:$C$103=$B31))</f>
        <v/>
      </c>
      <c r="G31" s="95">
        <f>SUMPRODUCT(Stories!$W$4:$W$103,--(Stories!$C$4:$C$103=$B31),--(Stories!$D$4:$D$103=5))</f>
        <v/>
      </c>
      <c r="H31" s="95">
        <f>SUMPRODUCT(Stories!$W$4:$W$103,--(Stories!$C$4:$C$103=$B31),--(Stories!$D$4:$D$103=4))</f>
        <v/>
      </c>
      <c r="I31" s="95">
        <f>SUMPRODUCT(Stories!$W$4:$W$103,--(Stories!$C$4:$C$103=$B31),--(Stories!$E$4:$E$103="Feature lead"))</f>
        <v/>
      </c>
      <c r="J31" s="96">
        <f>IF(Lists!$H$6=0,0,F31/Lists!$H$6)</f>
        <v/>
      </c>
    </row>
    <row r="32" ht="18" customHeight="1">
      <c r="B32" s="103" t="inlineStr">
        <is>
          <t>Infrastructure &amp; the Underground City</t>
        </is>
      </c>
      <c r="C32" s="104" t="n"/>
      <c r="D32" s="104" t="n"/>
      <c r="E32" s="104" t="n"/>
      <c r="F32" s="94">
        <f>SUMPRODUCT(Stories!$W$4:$W$103,--(Stories!$C$4:$C$103=$B32))</f>
        <v/>
      </c>
      <c r="G32" s="95">
        <f>SUMPRODUCT(Stories!$W$4:$W$103,--(Stories!$C$4:$C$103=$B32),--(Stories!$D$4:$D$103=5))</f>
        <v/>
      </c>
      <c r="H32" s="95">
        <f>SUMPRODUCT(Stories!$W$4:$W$103,--(Stories!$C$4:$C$103=$B32),--(Stories!$D$4:$D$103=4))</f>
        <v/>
      </c>
      <c r="I32" s="95">
        <f>SUMPRODUCT(Stories!$W$4:$W$103,--(Stories!$C$4:$C$103=$B32),--(Stories!$E$4:$E$103="Feature lead"))</f>
        <v/>
      </c>
      <c r="J32" s="96">
        <f>IF(Lists!$H$6=0,0,F32/Lists!$H$6)</f>
        <v/>
      </c>
    </row>
    <row r="33" ht="18" customHeight="1">
      <c r="B33" s="105" t="inlineStr">
        <is>
          <t>Offshore, Coasts &amp; Water</t>
        </is>
      </c>
      <c r="C33" s="106" t="n"/>
      <c r="D33" s="106" t="n"/>
      <c r="E33" s="106" t="n"/>
      <c r="F33" s="94">
        <f>SUMPRODUCT(Stories!$W$4:$W$103,--(Stories!$C$4:$C$103=$B33))</f>
        <v/>
      </c>
      <c r="G33" s="95">
        <f>SUMPRODUCT(Stories!$W$4:$W$103,--(Stories!$C$4:$C$103=$B33),--(Stories!$D$4:$D$103=5))</f>
        <v/>
      </c>
      <c r="H33" s="95">
        <f>SUMPRODUCT(Stories!$W$4:$W$103,--(Stories!$C$4:$C$103=$B33),--(Stories!$D$4:$D$103=4))</f>
        <v/>
      </c>
      <c r="I33" s="95">
        <f>SUMPRODUCT(Stories!$W$4:$W$103,--(Stories!$C$4:$C$103=$B33),--(Stories!$E$4:$E$103="Feature lead"))</f>
        <v/>
      </c>
      <c r="J33" s="96">
        <f>IF(Lists!$H$6=0,0,F33/Lists!$H$6)</f>
        <v/>
      </c>
    </row>
    <row r="34" ht="18" customHeight="1">
      <c r="B34" s="107" t="inlineStr">
        <is>
          <t>Characterisation &amp; Modelling</t>
        </is>
      </c>
      <c r="C34" s="108" t="n"/>
      <c r="D34" s="108" t="n"/>
      <c r="E34" s="108" t="n"/>
      <c r="F34" s="94">
        <f>SUMPRODUCT(Stories!$W$4:$W$103,--(Stories!$C$4:$C$103=$B34))</f>
        <v/>
      </c>
      <c r="G34" s="95">
        <f>SUMPRODUCT(Stories!$W$4:$W$103,--(Stories!$C$4:$C$103=$B34),--(Stories!$D$4:$D$103=5))</f>
        <v/>
      </c>
      <c r="H34" s="95">
        <f>SUMPRODUCT(Stories!$W$4:$W$103,--(Stories!$C$4:$C$103=$B34),--(Stories!$D$4:$D$103=4))</f>
        <v/>
      </c>
      <c r="I34" s="95">
        <f>SUMPRODUCT(Stories!$W$4:$W$103,--(Stories!$C$4:$C$103=$B34),--(Stories!$E$4:$E$103="Feature lead"))</f>
        <v/>
      </c>
      <c r="J34" s="96">
        <f>IF(Lists!$H$6=0,0,F34/Lists!$H$6)</f>
        <v/>
      </c>
    </row>
    <row r="35" ht="18" customHeight="1">
      <c r="B35" s="109" t="inlineStr">
        <is>
          <t>Geotechnics &amp; Society</t>
        </is>
      </c>
      <c r="C35" s="110" t="n"/>
      <c r="D35" s="110" t="n"/>
      <c r="E35" s="110" t="n"/>
      <c r="F35" s="94">
        <f>SUMPRODUCT(Stories!$W$4:$W$103,--(Stories!$C$4:$C$103=$B35))</f>
        <v/>
      </c>
      <c r="G35" s="95">
        <f>SUMPRODUCT(Stories!$W$4:$W$103,--(Stories!$C$4:$C$103=$B35),--(Stories!$D$4:$D$103=5))</f>
        <v/>
      </c>
      <c r="H35" s="95">
        <f>SUMPRODUCT(Stories!$W$4:$W$103,--(Stories!$C$4:$C$103=$B35),--(Stories!$D$4:$D$103=4))</f>
        <v/>
      </c>
      <c r="I35" s="95">
        <f>SUMPRODUCT(Stories!$W$4:$W$103,--(Stories!$C$4:$C$103=$B35),--(Stories!$E$4:$E$103="Feature lead"))</f>
        <v/>
      </c>
      <c r="J35" s="96">
        <f>IF(Lists!$H$6=0,0,F35/Lists!$H$6)</f>
        <v/>
      </c>
    </row>
    <row r="36" ht="18" customHeight="1">
      <c r="B36" s="111" t="inlineStr">
        <is>
          <t>General</t>
        </is>
      </c>
      <c r="C36" s="112" t="n"/>
      <c r="D36" s="112" t="n"/>
      <c r="E36" s="112" t="n"/>
      <c r="F36" s="94">
        <f>SUMPRODUCT(Stories!$W$4:$W$103,--(Stories!$C$4:$C$103=$B36))</f>
        <v/>
      </c>
      <c r="G36" s="95">
        <f>SUMPRODUCT(Stories!$W$4:$W$103,--(Stories!$C$4:$C$103=$B36),--(Stories!$D$4:$D$103=5))</f>
        <v/>
      </c>
      <c r="H36" s="95">
        <f>SUMPRODUCT(Stories!$W$4:$W$103,--(Stories!$C$4:$C$103=$B36),--(Stories!$D$4:$D$103=4))</f>
        <v/>
      </c>
      <c r="I36" s="95">
        <f>SUMPRODUCT(Stories!$W$4:$W$103,--(Stories!$C$4:$C$103=$B36),--(Stories!$E$4:$E$103="Feature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SUMPRODUCT(Stories!$W$4:$W$103,--(Stories!$E$4:$E$103=$B40))</f>
        <v/>
      </c>
      <c r="F40" s="96">
        <f>IF(Lists!$H$6=0,0,E40/Lists!$H$6)</f>
        <v/>
      </c>
      <c r="H40" s="114" t="inlineStr">
        <is>
          <t>5 / 5</t>
        </is>
      </c>
      <c r="I40" s="11" t="n"/>
      <c r="J40" s="11" t="n"/>
      <c r="K40" s="94">
        <f>COUNTIFS(Stories!$W$4:$W$103,1,Stories!$D$4:$D$103,5)</f>
        <v/>
      </c>
      <c r="L40" s="96">
        <f>IF(Lists!$H$6=0,0,K40/Lists!$H$6)</f>
        <v/>
      </c>
      <c r="N40" s="115" t="inlineStr">
        <is>
          <t>To review</t>
        </is>
      </c>
      <c r="O40" s="116" t="n"/>
      <c r="P40" s="116" t="n"/>
      <c r="Q40" s="94">
        <f>COUNTIFS(Stories!$W$4:$W$103,1,Stories!$F$4:$F$103,"To review")</f>
        <v/>
      </c>
      <c r="R40" s="96">
        <f>IF(Lists!$H$6=0,0,Q40/Lists!$H$6)</f>
        <v/>
      </c>
    </row>
    <row r="41" ht="18" customHeight="1">
      <c r="B41" s="117" t="inlineStr">
        <is>
          <t>News brief</t>
        </is>
      </c>
      <c r="C41" s="11" t="n"/>
      <c r="D41" s="11" t="n"/>
      <c r="E41" s="94">
        <f>SUMPRODUCT(Stories!$W$4:$W$103,--(Stories!$E$4:$E$103=$B41))</f>
        <v/>
      </c>
      <c r="F41" s="96">
        <f>IF(Lists!$H$6=0,0,E41/Lists!$H$6)</f>
        <v/>
      </c>
      <c r="H41" s="118" t="inlineStr">
        <is>
          <t>4 / 5</t>
        </is>
      </c>
      <c r="I41" s="11" t="n"/>
      <c r="J41" s="11" t="n"/>
      <c r="K41" s="94">
        <f>COUNTIFS(Stories!$W$4:$W$103,1,Stories!$D$4:$D$103,4)</f>
        <v/>
      </c>
      <c r="L41" s="96">
        <f>IF(Lists!$H$6=0,0,K41/Lists!$H$6)</f>
        <v/>
      </c>
      <c r="N41" s="119" t="inlineStr">
        <is>
          <t>Shortlisted</t>
        </is>
      </c>
      <c r="O41" s="120" t="n"/>
      <c r="P41" s="120" t="n"/>
      <c r="Q41" s="94">
        <f>COUNTIFS(Stories!$W$4:$W$103,1,Stories!$F$4:$F$103,"Shortlisted")</f>
        <v/>
      </c>
      <c r="R41" s="96">
        <f>IF(Lists!$H$6=0,0,Q41/Lists!$H$6)</f>
        <v/>
      </c>
    </row>
    <row r="42" ht="18" customHeight="1">
      <c r="B42" s="121" t="inlineStr">
        <is>
          <t>Academia-to-Industry topic</t>
        </is>
      </c>
      <c r="C42" s="11" t="n"/>
      <c r="D42" s="11" t="n"/>
      <c r="E42" s="94">
        <f>SUMPRODUCT(Stories!$W$4:$W$103,--(Stories!$E$4:$E$103=$B42))</f>
        <v/>
      </c>
      <c r="F42" s="96">
        <f>IF(Lists!$H$6=0,0,E42/Lists!$H$6)</f>
        <v/>
      </c>
      <c r="H42" s="122" t="inlineStr">
        <is>
          <t>3 / 5</t>
        </is>
      </c>
      <c r="I42" s="11" t="n"/>
      <c r="J42" s="11" t="n"/>
      <c r="K42" s="94">
        <f>COUNTIFS(Stories!$W$4:$W$103,1,Stories!$D$4:$D$103,3)</f>
        <v/>
      </c>
      <c r="L42" s="96">
        <f>IF(Lists!$H$6=0,0,K42/Lists!$H$6)</f>
        <v/>
      </c>
      <c r="N42" s="123" t="inlineStr">
        <is>
          <t>Commissioned</t>
        </is>
      </c>
      <c r="O42" s="124" t="n"/>
      <c r="P42" s="124" t="n"/>
      <c r="Q42" s="94">
        <f>COUNTIFS(Stories!$W$4:$W$103,1,Stories!$F$4:$F$103,"Commissioned")</f>
        <v/>
      </c>
      <c r="R42" s="96">
        <f>IF(Lists!$H$6=0,0,Q42/Lists!$H$6)</f>
        <v/>
      </c>
    </row>
    <row r="43" ht="18" customHeight="1">
      <c r="B43" s="125" t="inlineStr">
        <is>
          <t>Regional insight</t>
        </is>
      </c>
      <c r="C43" s="11" t="n"/>
      <c r="D43" s="11" t="n"/>
      <c r="E43" s="94">
        <f>SUMPRODUCT(Stories!$W$4:$W$103,--(Stories!$E$4:$E$103=$B43))</f>
        <v/>
      </c>
      <c r="F43" s="96">
        <f>IF(Lists!$H$6=0,0,E43/Lists!$H$6)</f>
        <v/>
      </c>
      <c r="N43" s="126" t="inlineStr">
        <is>
          <t>Published</t>
        </is>
      </c>
      <c r="O43" s="127" t="n"/>
      <c r="P43" s="127" t="n"/>
      <c r="Q43" s="94">
        <f>COUNTIFS(Stories!$W$4:$W$103,1,Stories!$F$4:$F$103,"Published")</f>
        <v/>
      </c>
      <c r="R43" s="96">
        <f>IF(Lists!$H$6=0,0,Q43/Lists!$H$6)</f>
        <v/>
      </c>
    </row>
    <row r="44" ht="18" customHeight="1">
      <c r="B44" s="128" t="inlineStr">
        <is>
          <t>Watch only</t>
        </is>
      </c>
      <c r="C44" s="11" t="n"/>
      <c r="D44" s="11" t="n"/>
      <c r="E44" s="94">
        <f>SUMPRODUCT(Stories!$W$4:$W$103,--(Stories!$E$4:$E$103=$B44))</f>
        <v/>
      </c>
      <c r="F44" s="96">
        <f>IF(Lists!$H$6=0,0,E44/Lists!$H$6)</f>
        <v/>
      </c>
      <c r="N44" s="129" t="inlineStr">
        <is>
          <t>Not used</t>
        </is>
      </c>
      <c r="O44" s="130" t="n"/>
      <c r="P44" s="130" t="n"/>
      <c r="Q44" s="94">
        <f>COUNTIFS(Stories!$W$4:$W$103,1,Stories!$F$4:$F$103,"Not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SUMPRODUCT(Stories!$W$4:$W$103,--(Stories!$C$4:$C$103=$B61),--(Stories!$E$4:$E$103=F$60))</f>
        <v/>
      </c>
      <c r="G61" s="133">
        <f>SUMPRODUCT(Stories!$W$4:$W$103,--(Stories!$C$4:$C$103=$B61),--(Stories!$E$4:$E$103=G$60))</f>
        <v/>
      </c>
      <c r="H61" s="133">
        <f>SUMPRODUCT(Stories!$W$4:$W$103,--(Stories!$C$4:$C$103=$B61),--(Stories!$E$4:$E$103=H$60))</f>
        <v/>
      </c>
      <c r="I61" s="133">
        <f>SUMPRODUCT(Stories!$W$4:$W$103,--(Stories!$C$4:$C$103=$B61),--(Stories!$E$4:$E$103=I$60))</f>
        <v/>
      </c>
      <c r="J61" s="133">
        <f>SUMPRODUCT(Stories!$W$4:$W$103,--(Stories!$C$4:$C$103=$B61),--(Stories!$E$4:$E$103=J$60))</f>
        <v/>
      </c>
      <c r="K61" s="94">
        <f>SUM(F61:J61)</f>
        <v/>
      </c>
    </row>
    <row r="62" ht="18" customHeight="1">
      <c r="B62" s="134" t="inlineStr">
        <is>
          <t>Digital Geotechnics</t>
        </is>
      </c>
      <c r="C62" s="135" t="n"/>
      <c r="D62" s="135" t="n"/>
      <c r="E62" s="135" t="n"/>
      <c r="F62" s="133">
        <f>SUMPRODUCT(Stories!$W$4:$W$103,--(Stories!$C$4:$C$103=$B62),--(Stories!$E$4:$E$103=F$60))</f>
        <v/>
      </c>
      <c r="G62" s="133">
        <f>SUMPRODUCT(Stories!$W$4:$W$103,--(Stories!$C$4:$C$103=$B62),--(Stories!$E$4:$E$103=G$60))</f>
        <v/>
      </c>
      <c r="H62" s="133">
        <f>SUMPRODUCT(Stories!$W$4:$W$103,--(Stories!$C$4:$C$103=$B62),--(Stories!$E$4:$E$103=H$60))</f>
        <v/>
      </c>
      <c r="I62" s="133">
        <f>SUMPRODUCT(Stories!$W$4:$W$103,--(Stories!$C$4:$C$103=$B62),--(Stories!$E$4:$E$103=I$60))</f>
        <v/>
      </c>
      <c r="J62" s="133">
        <f>SUMPRODUCT(Stories!$W$4:$W$103,--(Stories!$C$4:$C$103=$B62),--(Stories!$E$4:$E$103=J$60))</f>
        <v/>
      </c>
      <c r="K62" s="94">
        <f>SUM(F62:J62)</f>
        <v/>
      </c>
    </row>
    <row r="63" ht="18" customHeight="1">
      <c r="B63" s="136" t="inlineStr">
        <is>
          <t>Hazards &amp; Resilience</t>
        </is>
      </c>
      <c r="C63" s="137" t="n"/>
      <c r="D63" s="137" t="n"/>
      <c r="E63" s="137" t="n"/>
      <c r="F63" s="133">
        <f>SUMPRODUCT(Stories!$W$4:$W$103,--(Stories!$C$4:$C$103=$B63),--(Stories!$E$4:$E$103=F$60))</f>
        <v/>
      </c>
      <c r="G63" s="133">
        <f>SUMPRODUCT(Stories!$W$4:$W$103,--(Stories!$C$4:$C$103=$B63),--(Stories!$E$4:$E$103=G$60))</f>
        <v/>
      </c>
      <c r="H63" s="133">
        <f>SUMPRODUCT(Stories!$W$4:$W$103,--(Stories!$C$4:$C$103=$B63),--(Stories!$E$4:$E$103=H$60))</f>
        <v/>
      </c>
      <c r="I63" s="133">
        <f>SUMPRODUCT(Stories!$W$4:$W$103,--(Stories!$C$4:$C$103=$B63),--(Stories!$E$4:$E$103=I$60))</f>
        <v/>
      </c>
      <c r="J63" s="133">
        <f>SUMPRODUCT(Stories!$W$4:$W$103,--(Stories!$C$4:$C$103=$B63),--(Stories!$E$4:$E$103=J$60))</f>
        <v/>
      </c>
      <c r="K63" s="94">
        <f>SUM(F63:J63)</f>
        <v/>
      </c>
    </row>
    <row r="64" ht="18" customHeight="1">
      <c r="B64" s="138" t="inlineStr">
        <is>
          <t>Ground Improvement &amp; Innovation</t>
        </is>
      </c>
      <c r="C64" s="139" t="n"/>
      <c r="D64" s="139" t="n"/>
      <c r="E64" s="139" t="n"/>
      <c r="F64" s="133">
        <f>SUMPRODUCT(Stories!$W$4:$W$103,--(Stories!$C$4:$C$103=$B64),--(Stories!$E$4:$E$103=F$60))</f>
        <v/>
      </c>
      <c r="G64" s="133">
        <f>SUMPRODUCT(Stories!$W$4:$W$103,--(Stories!$C$4:$C$103=$B64),--(Stories!$E$4:$E$103=G$60))</f>
        <v/>
      </c>
      <c r="H64" s="133">
        <f>SUMPRODUCT(Stories!$W$4:$W$103,--(Stories!$C$4:$C$103=$B64),--(Stories!$E$4:$E$103=H$60))</f>
        <v/>
      </c>
      <c r="I64" s="133">
        <f>SUMPRODUCT(Stories!$W$4:$W$103,--(Stories!$C$4:$C$103=$B64),--(Stories!$E$4:$E$103=I$60))</f>
        <v/>
      </c>
      <c r="J64" s="133">
        <f>SUMPRODUCT(Stories!$W$4:$W$103,--(Stories!$C$4:$C$103=$B64),--(Stories!$E$4:$E$103=J$60))</f>
        <v/>
      </c>
      <c r="K64" s="94">
        <f>SUM(F64:J64)</f>
        <v/>
      </c>
    </row>
    <row r="65" ht="18" customHeight="1">
      <c r="B65" s="140" t="inlineStr">
        <is>
          <t>Infrastructure &amp; the Underground City</t>
        </is>
      </c>
      <c r="C65" s="141" t="n"/>
      <c r="D65" s="141" t="n"/>
      <c r="E65" s="141" t="n"/>
      <c r="F65" s="133">
        <f>SUMPRODUCT(Stories!$W$4:$W$103,--(Stories!$C$4:$C$103=$B65),--(Stories!$E$4:$E$103=F$60))</f>
        <v/>
      </c>
      <c r="G65" s="133">
        <f>SUMPRODUCT(Stories!$W$4:$W$103,--(Stories!$C$4:$C$103=$B65),--(Stories!$E$4:$E$103=G$60))</f>
        <v/>
      </c>
      <c r="H65" s="133">
        <f>SUMPRODUCT(Stories!$W$4:$W$103,--(Stories!$C$4:$C$103=$B65),--(Stories!$E$4:$E$103=H$60))</f>
        <v/>
      </c>
      <c r="I65" s="133">
        <f>SUMPRODUCT(Stories!$W$4:$W$103,--(Stories!$C$4:$C$103=$B65),--(Stories!$E$4:$E$103=I$60))</f>
        <v/>
      </c>
      <c r="J65" s="133">
        <f>SUMPRODUCT(Stories!$W$4:$W$103,--(Stories!$C$4:$C$103=$B65),--(Stories!$E$4:$E$103=J$60))</f>
        <v/>
      </c>
      <c r="K65" s="94">
        <f>SUM(F65:J65)</f>
        <v/>
      </c>
    </row>
    <row r="66" ht="18" customHeight="1">
      <c r="B66" s="142" t="inlineStr">
        <is>
          <t>Offshore, Coasts &amp; Water</t>
        </is>
      </c>
      <c r="C66" s="143" t="n"/>
      <c r="D66" s="143" t="n"/>
      <c r="E66" s="143" t="n"/>
      <c r="F66" s="133">
        <f>SUMPRODUCT(Stories!$W$4:$W$103,--(Stories!$C$4:$C$103=$B66),--(Stories!$E$4:$E$103=F$60))</f>
        <v/>
      </c>
      <c r="G66" s="133">
        <f>SUMPRODUCT(Stories!$W$4:$W$103,--(Stories!$C$4:$C$103=$B66),--(Stories!$E$4:$E$103=G$60))</f>
        <v/>
      </c>
      <c r="H66" s="133">
        <f>SUMPRODUCT(Stories!$W$4:$W$103,--(Stories!$C$4:$C$103=$B66),--(Stories!$E$4:$E$103=H$60))</f>
        <v/>
      </c>
      <c r="I66" s="133">
        <f>SUMPRODUCT(Stories!$W$4:$W$103,--(Stories!$C$4:$C$103=$B66),--(Stories!$E$4:$E$103=I$60))</f>
        <v/>
      </c>
      <c r="J66" s="133">
        <f>SUMPRODUCT(Stories!$W$4:$W$103,--(Stories!$C$4:$C$103=$B66),--(Stories!$E$4:$E$103=J$60))</f>
        <v/>
      </c>
      <c r="K66" s="94">
        <f>SUM(F66:J66)</f>
        <v/>
      </c>
    </row>
    <row r="67" ht="18" customHeight="1">
      <c r="B67" s="144" t="inlineStr">
        <is>
          <t>Characterisation &amp; Modelling</t>
        </is>
      </c>
      <c r="C67" s="145" t="n"/>
      <c r="D67" s="145" t="n"/>
      <c r="E67" s="145" t="n"/>
      <c r="F67" s="133">
        <f>SUMPRODUCT(Stories!$W$4:$W$103,--(Stories!$C$4:$C$103=$B67),--(Stories!$E$4:$E$103=F$60))</f>
        <v/>
      </c>
      <c r="G67" s="133">
        <f>SUMPRODUCT(Stories!$W$4:$W$103,--(Stories!$C$4:$C$103=$B67),--(Stories!$E$4:$E$103=G$60))</f>
        <v/>
      </c>
      <c r="H67" s="133">
        <f>SUMPRODUCT(Stories!$W$4:$W$103,--(Stories!$C$4:$C$103=$B67),--(Stories!$E$4:$E$103=H$60))</f>
        <v/>
      </c>
      <c r="I67" s="133">
        <f>SUMPRODUCT(Stories!$W$4:$W$103,--(Stories!$C$4:$C$103=$B67),--(Stories!$E$4:$E$103=I$60))</f>
        <v/>
      </c>
      <c r="J67" s="133">
        <f>SUMPRODUCT(Stories!$W$4:$W$103,--(Stories!$C$4:$C$103=$B67),--(Stories!$E$4:$E$103=J$60))</f>
        <v/>
      </c>
      <c r="K67" s="94">
        <f>SUM(F67:J67)</f>
        <v/>
      </c>
    </row>
    <row r="68" ht="18" customHeight="1">
      <c r="B68" s="146" t="inlineStr">
        <is>
          <t>Geotechnics &amp; Society</t>
        </is>
      </c>
      <c r="C68" s="147" t="n"/>
      <c r="D68" s="147" t="n"/>
      <c r="E68" s="147" t="n"/>
      <c r="F68" s="133">
        <f>SUMPRODUCT(Stories!$W$4:$W$103,--(Stories!$C$4:$C$103=$B68),--(Stories!$E$4:$E$103=F$60))</f>
        <v/>
      </c>
      <c r="G68" s="133">
        <f>SUMPRODUCT(Stories!$W$4:$W$103,--(Stories!$C$4:$C$103=$B68),--(Stories!$E$4:$E$103=G$60))</f>
        <v/>
      </c>
      <c r="H68" s="133">
        <f>SUMPRODUCT(Stories!$W$4:$W$103,--(Stories!$C$4:$C$103=$B68),--(Stories!$E$4:$E$103=H$60))</f>
        <v/>
      </c>
      <c r="I68" s="133">
        <f>SUMPRODUCT(Stories!$W$4:$W$103,--(Stories!$C$4:$C$103=$B68),--(Stories!$E$4:$E$103=I$60))</f>
        <v/>
      </c>
      <c r="J68" s="133">
        <f>SUMPRODUCT(Stories!$W$4:$W$103,--(Stories!$C$4:$C$103=$B68),--(Stories!$E$4:$E$103=J$60))</f>
        <v/>
      </c>
      <c r="K68" s="94">
        <f>SUM(F68:J68)</f>
        <v/>
      </c>
    </row>
    <row r="69" ht="18" customHeight="1">
      <c r="B69" s="148" t="inlineStr">
        <is>
          <t>General</t>
        </is>
      </c>
      <c r="C69" s="149" t="n"/>
      <c r="D69" s="149" t="n"/>
      <c r="E69" s="149" t="n"/>
      <c r="F69" s="133">
        <f>SUMPRODUCT(Stories!$W$4:$W$103,--(Stories!$C$4:$C$103=$B69),--(Stories!$E$4:$E$103=F$60))</f>
        <v/>
      </c>
      <c r="G69" s="133">
        <f>SUMPRODUCT(Stories!$W$4:$W$103,--(Stories!$C$4:$C$103=$B69),--(Stories!$E$4:$E$103=G$60))</f>
        <v/>
      </c>
      <c r="H69" s="133">
        <f>SUMPRODUCT(Stories!$W$4:$W$103,--(Stories!$C$4:$C$103=$B69),--(Stories!$E$4:$E$103=H$60))</f>
        <v/>
      </c>
      <c r="I69" s="133">
        <f>SUMPRODUCT(Stories!$W$4:$W$103,--(Stories!$C$4:$C$103=$B69),--(Stories!$E$4:$E$103=I$60))</f>
        <v/>
      </c>
      <c r="J69" s="133">
        <f>SUMPRODUCT(Stories!$W$4:$W$103,--(Stories!$C$4:$C$103=$B69),--(Stories!$E$4:$E$103=J$60))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100</v>
      </c>
      <c r="G74" s="94">
        <f>COUNTIFS(Stories!$W$4:$W$103,1,Stories!$S$4:$S$103,"2026-Q4")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0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Survived against the odds: home destroyed in typhoon No. 25 landslide in Kamogawa; Iimura Hiroshi says fear comes with consciousness</t>
        </is>
      </c>
      <c r="C11" s="160" t="inlineStr">
        <is>
          <t>Hazards &amp; Resilience</t>
        </is>
      </c>
      <c r="D11" s="161" t="n">
        <v>4</v>
      </c>
      <c r="E11" s="175" t="inlineStr">
        <is>
          <t>News brief</t>
        </is>
      </c>
      <c r="F11" s="163" t="inlineStr">
        <is>
          <t>To review</t>
        </is>
      </c>
      <c r="G11" s="164" t="n"/>
      <c r="H11" s="165" t="n"/>
      <c r="I11" s="166" t="inlineStr">
        <is>
          <t>What slope and saturation conditions cause houses on hillsides to be destroyed by debris slides during typhoon rainfall, and how can early warning address them?</t>
        </is>
      </c>
      <c r="J11" s="166" t="inlineStr">
        <is>
          <t>千葉日報オンライン</t>
        </is>
      </c>
      <c r="K11" s="167" t="n">
        <v>46320</v>
      </c>
      <c r="L11" s="166" t="inlineStr">
        <is>
          <t>自宅崩壊“九死に一生” 台風２５号 鴨川で土砂崩れ多発 生き埋めから生還 飯村浩さん 意識あるからこそ恐怖</t>
        </is>
      </c>
      <c r="M11" s="168" t="n"/>
      <c r="N11" s="169" t="inlineStr">
        <is>
          <t>Japan</t>
        </is>
      </c>
      <c r="O11" s="166" t="inlineStr">
        <is>
          <t>Kamogawa, Chiba</t>
        </is>
      </c>
      <c r="P11" s="166" t="n"/>
      <c r="Q11" s="170" t="inlineStr">
        <is>
          <t>Japan</t>
        </is>
      </c>
      <c r="R11" s="167" t="n">
        <v>46319</v>
      </c>
      <c r="S11" s="169" t="inlineStr">
        <is>
          <t>2026-Q4</t>
        </is>
      </c>
      <c r="T11" s="171" t="inlineStr">
        <is>
          <t>landslide, collapse</t>
        </is>
      </c>
      <c r="U11" s="158" t="n">
        <v>5</v>
      </c>
      <c r="V11" s="172" t="inlineStr">
        <is>
          <t>https://news.google.com/rss/articles/CBMiWEFVX3lxTFBTQ25tOTZGZzZsUWdHamNXa3hxMGdGTG8ySno0dWhQSzl1SnVtZHBuSUtrM3d3VTJPekZvbFZXRDY0TWhFZ1NDWDllM3RSeDI5SUZkRWZtQzU?oc=5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Four guests fall into sinkhole at Occidental Cozumel hotel</t>
        </is>
      </c>
      <c r="C12" s="177" t="inlineStr">
        <is>
          <t>Infrastructure &amp; the Underground City</t>
        </is>
      </c>
      <c r="D12" s="161" t="n">
        <v>4</v>
      </c>
      <c r="E12" s="175" t="inlineStr">
        <is>
          <t>News brief</t>
        </is>
      </c>
      <c r="F12" s="163" t="inlineStr">
        <is>
          <t>To review</t>
        </is>
      </c>
      <c r="G12" s="164" t="n"/>
      <c r="H12" s="165" t="n"/>
      <c r="I12" s="166" t="inlineStr">
        <is>
          <t>How do karst cavities and dissolution features in coastal limestone create sudden collapses beneath hotel and tourist structures?</t>
        </is>
      </c>
      <c r="J12" s="166" t="inlineStr">
        <is>
          <t>Quintana Roo Hoy</t>
        </is>
      </c>
      <c r="K12" s="167" t="n">
        <v>46320</v>
      </c>
      <c r="L12" s="166" t="inlineStr">
        <is>
          <t>Cuatro huéspedes caen en socavón del hotel Occidental Cozumel</t>
        </is>
      </c>
      <c r="M12" s="168" t="n"/>
      <c r="N12" s="169" t="inlineStr">
        <is>
          <t>Mexico</t>
        </is>
      </c>
      <c r="O12" s="166" t="inlineStr">
        <is>
          <t>Cozumel, Quintana Roo</t>
        </is>
      </c>
      <c r="P12" s="166" t="n"/>
      <c r="Q12" s="170" t="inlineStr">
        <is>
          <t>Colombia</t>
        </is>
      </c>
      <c r="R12" s="167" t="n">
        <v>46319</v>
      </c>
      <c r="S12" s="169" t="inlineStr">
        <is>
          <t>2026-Q4</t>
        </is>
      </c>
      <c r="T12" s="171" t="inlineStr">
        <is>
          <t>sinkhole</t>
        </is>
      </c>
      <c r="U12" s="158" t="n">
        <v>4</v>
      </c>
      <c r="V12"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40.5" customHeight="1">
      <c r="A13" s="158" t="n">
        <v>10</v>
      </c>
      <c r="B13" s="159" t="inlineStr">
        <is>
          <t>Close-up of giant 120 m deep sinkhole just discovered in Phong Nha-Ke Bang</t>
        </is>
      </c>
      <c r="C13" s="178" t="inlineStr">
        <is>
          <t>Characterisation &amp; Modelling</t>
        </is>
      </c>
      <c r="D13" s="161" t="n">
        <v>4</v>
      </c>
      <c r="E13" s="162" t="inlineStr">
        <is>
          <t>Feature lead</t>
        </is>
      </c>
      <c r="F13" s="163" t="inlineStr">
        <is>
          <t>To review</t>
        </is>
      </c>
      <c r="G13" s="164" t="n"/>
      <c r="H13" s="165" t="n"/>
      <c r="I13" s="166" t="inlineStr">
        <is>
          <t>How are very deep karst sinkholes investigated, and what does their formation reveal about hazards around cave systems?</t>
        </is>
      </c>
      <c r="J13" s="166" t="inlineStr">
        <is>
          <t>Laodong.vn</t>
        </is>
      </c>
      <c r="K13" s="167" t="n">
        <v>46320</v>
      </c>
      <c r="L13" s="166" t="inlineStr">
        <is>
          <t>퐁냐케방에서 방금 발견된 깊이 120m의 거대한 싱크홀 근접 촬영</t>
        </is>
      </c>
      <c r="M13" s="168" t="n"/>
      <c r="N13" s="169" t="inlineStr">
        <is>
          <t>Vietnam</t>
        </is>
      </c>
      <c r="O13" s="166" t="inlineStr">
        <is>
          <t>Phong Nha-Ke Bang</t>
        </is>
      </c>
      <c r="P13" s="166" t="inlineStr">
        <is>
          <t>Phong Nha-Ke Bang 120 m sinkhole discovery, Vietnam · Update · 3 reports</t>
        </is>
      </c>
      <c r="Q13" s="170" t="inlineStr">
        <is>
          <t>South Korea</t>
        </is>
      </c>
      <c r="R13" s="167" t="n">
        <v>46320</v>
      </c>
      <c r="S13" s="169" t="inlineStr">
        <is>
          <t>2026-Q4</t>
        </is>
      </c>
      <c r="T13" s="171" t="inlineStr">
        <is>
          <t>sinkhole</t>
        </is>
      </c>
      <c r="U13" s="158" t="n">
        <v>4</v>
      </c>
      <c r="V13"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Using AI to provide early warning of landslide risks.</t>
        </is>
      </c>
      <c r="C14" s="179" t="inlineStr">
        <is>
          <t>Digital Geotechnics</t>
        </is>
      </c>
      <c r="D14" s="161" t="n">
        <v>4</v>
      </c>
      <c r="E14" s="162" t="inlineStr">
        <is>
          <t>Feature lead</t>
        </is>
      </c>
      <c r="F14" s="163" t="inlineStr">
        <is>
          <t>To review</t>
        </is>
      </c>
      <c r="G14" s="164" t="n"/>
      <c r="H14" s="165" t="n"/>
      <c r="I14" s="166" t="inlineStr">
        <is>
          <t>How reliable are AI-based landslide early-warning models when trained on sparse ground monitoring data?</t>
        </is>
      </c>
      <c r="J14" s="166" t="inlineStr">
        <is>
          <t>Vietnam.vn</t>
        </is>
      </c>
      <c r="K14" s="167" t="n">
        <v>46320</v>
      </c>
      <c r="L14" s="166" t="n"/>
      <c r="M14" s="168" t="n"/>
      <c r="N14" s="169" t="n"/>
      <c r="O14" s="166" t="n"/>
      <c r="P14" s="166" t="n"/>
      <c r="Q14" s="170" t="inlineStr">
        <is>
          <t>United Kingdom</t>
        </is>
      </c>
      <c r="R14" s="167" t="n">
        <v>46319</v>
      </c>
      <c r="S14" s="169" t="inlineStr">
        <is>
          <t>2026-Q4</t>
        </is>
      </c>
      <c r="T14" s="171" t="inlineStr">
        <is>
          <t>landslide</t>
        </is>
      </c>
      <c r="U14" s="158" t="n">
        <v>4</v>
      </c>
      <c r="V14" s="172" t="inlineStr">
        <is>
          <t>https://news.google.com/rss/articles/CBMibkFVX3lxTFBHcTd0RXlKUzRRSnNZS2RrSFdQSTlnajJrcWxrUWt4S2E5cDNqSkhzRDNiRl84eW1Obll6MDJiLTUxSURzUG5GVWtnOVR3TlhyMUpPMzNHYW1XNlNyRFNweHlQMDA1RjNqQS1KZnRn?oc=5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Can Tho to invest over 500 billion dong in dykes against erosion at Cu Lao Dung</t>
        </is>
      </c>
      <c r="C15" s="176" t="inlineStr">
        <is>
          <t>Offshore, Coasts &amp; Water</t>
        </is>
      </c>
      <c r="D15" s="161" t="n">
        <v>4</v>
      </c>
      <c r="E15" s="162" t="inlineStr">
        <is>
          <t>Feature lead</t>
        </is>
      </c>
      <c r="F15" s="163" t="inlineStr">
        <is>
          <t>To review</t>
        </is>
      </c>
      <c r="G15" s="164" t="n"/>
      <c r="H15" s="165" t="n"/>
      <c r="I15" s="166" t="inlineStr">
        <is>
          <t>How should dyke and bank protection balance erosion control against settlement and stability on soft deltaic soils?</t>
        </is>
      </c>
      <c r="J15" s="166" t="inlineStr">
        <is>
          <t>Báo Nhân Dân điện tử</t>
        </is>
      </c>
      <c r="K15" s="167" t="n">
        <v>46320</v>
      </c>
      <c r="L15" s="166" t="inlineStr">
        <is>
          <t>Cần Thơ đầu tư hơn 500 tỷ đồng xây dựng đê phòng, chống sạt lở ở Cù Lao Dung</t>
        </is>
      </c>
      <c r="M15" s="168" t="n"/>
      <c r="N15" s="169" t="inlineStr">
        <is>
          <t>Vietnam</t>
        </is>
      </c>
      <c r="O15" s="166" t="inlineStr">
        <is>
          <t>Cu Lao Dung, Can Tho</t>
        </is>
      </c>
      <c r="P15" s="166" t="n"/>
      <c r="Q15" s="170" t="inlineStr">
        <is>
          <t>Vietnam</t>
        </is>
      </c>
      <c r="R15" s="167" t="n">
        <v>46319</v>
      </c>
      <c r="S15" s="169" t="inlineStr">
        <is>
          <t>2026-Q4</t>
        </is>
      </c>
      <c r="T15" s="171" t="inlineStr">
        <is>
          <t>landslide</t>
        </is>
      </c>
      <c r="U15" s="158" t="n">
        <v>4</v>
      </c>
      <c r="V15"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3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Krong No river erosion in Lam Dong threatens irrigation works and farmland</t>
        </is>
      </c>
      <c r="C18" s="176" t="inlineStr">
        <is>
          <t>Offshore, Coasts &amp; Water</t>
        </is>
      </c>
      <c r="D18" s="161" t="n">
        <v>4</v>
      </c>
      <c r="E18" s="162" t="inlineStr">
        <is>
          <t>Feature lead</t>
        </is>
      </c>
      <c r="F18" s="163" t="inlineStr">
        <is>
          <t>To review</t>
        </is>
      </c>
      <c r="G18" s="164" t="n"/>
      <c r="H18" s="165" t="n"/>
      <c r="I18" s="166" t="inlineStr">
        <is>
          <t>How can riverbank erosion be assessed and countered to protect irrigation infrastructure and farmland?</t>
        </is>
      </c>
      <c r="J18" s="166" t="inlineStr">
        <is>
          <t>tin.skydoor.net</t>
        </is>
      </c>
      <c r="K18" s="167" t="n">
        <v>46320</v>
      </c>
      <c r="L18" s="166" t="inlineStr">
        <is>
          <t>Sạt lở sông Krông Nô tại Lâm Đồng đe dọa công trình thủy lợi và đất canh tác</t>
        </is>
      </c>
      <c r="M18" s="168" t="n"/>
      <c r="N18" s="169" t="inlineStr">
        <is>
          <t>Vietnam</t>
        </is>
      </c>
      <c r="O18" s="166" t="inlineStr">
        <is>
          <t>Krong No River, Lam Dong</t>
        </is>
      </c>
      <c r="P18" s="166" t="n"/>
      <c r="Q18" s="170" t="inlineStr">
        <is>
          <t>Vietnam</t>
        </is>
      </c>
      <c r="R18" s="167" t="n">
        <v>46319</v>
      </c>
      <c r="S18" s="169" t="inlineStr">
        <is>
          <t>2026-Q4</t>
        </is>
      </c>
      <c r="T18" s="171" t="inlineStr">
        <is>
          <t>landslide</t>
        </is>
      </c>
      <c r="U18" s="158" t="n">
        <v>4</v>
      </c>
      <c r="V18" s="172" t="inlineStr">
        <is>
          <t>https://news.google.com/rss/articles/CBMihAFBVV95cUxPVlNqT093MU81eURKNm9vZDdtTTNRdkRYZ0J2SXdSeHZqQXV1QUZCbEtiVVplNy1MTGdxbkk1a2hkN0toZ0NPakFvOENXYkRnT2JWQWczUVVLOGpYZ0dtZ1NweXUzb1NxM29TWmhUcUdOVXZfT1dBV3ZuZU5uVXhvaWpXR3Q?oc=5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Three months after the landslide, L'Ascension still waiting to fill its sinkhole</t>
        </is>
      </c>
      <c r="C19" s="160" t="inlineStr">
        <is>
          <t>Hazards &amp; Resilience</t>
        </is>
      </c>
      <c r="D19" s="161" t="n">
        <v>4</v>
      </c>
      <c r="E19" s="162" t="inlineStr">
        <is>
          <t>Feature lead</t>
        </is>
      </c>
      <c r="F19" s="163" t="inlineStr">
        <is>
          <t>To review</t>
        </is>
      </c>
      <c r="G19" s="164" t="n"/>
      <c r="H19" s="165" t="n"/>
      <c r="I19" s="166" t="inlineStr">
        <is>
          <t>How should engineers decide between backfilling and monitoring when a landslide has left a large sinkhole or gouffre in sensitive clay terrain?</t>
        </is>
      </c>
      <c r="J19" s="166" t="inlineStr">
        <is>
          <t>Radio-Canada</t>
        </is>
      </c>
      <c r="K19" s="167" t="n">
        <v>46320</v>
      </c>
      <c r="L19" s="166" t="inlineStr">
        <is>
          <t>3 mois après le glissement de terrain, L’Ascension attend encore de remplir son gouffre</t>
        </is>
      </c>
      <c r="M19" s="168" t="n"/>
      <c r="N19" s="169" t="inlineStr">
        <is>
          <t>Canada</t>
        </is>
      </c>
      <c r="O19" s="166" t="inlineStr">
        <is>
          <t>L'Ascension, Quebec</t>
        </is>
      </c>
      <c r="P19" s="166" t="n"/>
      <c r="Q19" s="170" t="inlineStr">
        <is>
          <t>France</t>
        </is>
      </c>
      <c r="R19" s="167" t="n">
        <v>46319</v>
      </c>
      <c r="S19" s="169" t="inlineStr">
        <is>
          <t>2026-Q4</t>
        </is>
      </c>
      <c r="T19" s="171" t="inlineStr">
        <is>
          <t>landslide</t>
        </is>
      </c>
      <c r="U19" s="158" t="n">
        <v>4</v>
      </c>
      <c r="V19" s="172" t="inlineStr">
        <is>
          <t>https://news.google.com/rss/articles/CBMikAFBVV95cUxPeE85VThESFZJcFpISDcxMTFvUmpaYkNVNWhKZUNLNVc1ekxqdmFtWjdYeXJOMkM3NFh4ZHl3ODhOWFFkWGVkRkJ4WXBWRUlINERJMlJGQ3ZzTmo3NHFwb3lUZVVuLVRlbFA0dmJ3YTNYbENGNk40SUdiTFF6NmU2dXNqM3FtNDFPTk12eU11VEI?oc=5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Accelerate restoration works on landslides along provincial road 160 along the Chay River</t>
        </is>
      </c>
      <c r="C20" s="160" t="inlineStr">
        <is>
          <t>Hazards &amp; Resilience</t>
        </is>
      </c>
      <c r="D20" s="161" t="n">
        <v>4</v>
      </c>
      <c r="E20" s="175" t="inlineStr">
        <is>
          <t>News brief</t>
        </is>
      </c>
      <c r="F20" s="163" t="inlineStr">
        <is>
          <t>To review</t>
        </is>
      </c>
      <c r="G20" s="164" t="n"/>
      <c r="H20" s="165" t="n"/>
      <c r="I20" s="166" t="inlineStr">
        <is>
          <t>What remediation methods suit repeated landslides along a river-side provincial road, and how should repair schedules balance speed and durability?</t>
        </is>
      </c>
      <c r="J20" s="166" t="inlineStr">
        <is>
          <t>Vietnam.vn</t>
        </is>
      </c>
      <c r="K20" s="167" t="n">
        <v>46320</v>
      </c>
      <c r="L20" s="166" t="inlineStr">
        <is>
          <t>Accélérer les travaux de remise en état des glissements de terrain sur la route provinciale 160 le long de la rivière Chay.</t>
        </is>
      </c>
      <c r="M20" s="168" t="n"/>
      <c r="N20" s="169" t="inlineStr">
        <is>
          <t>Vietnam</t>
        </is>
      </c>
      <c r="O20" s="166" t="inlineStr">
        <is>
          <t>Provincial Road 160, Chay River</t>
        </is>
      </c>
      <c r="P20" s="166" t="n"/>
      <c r="Q20" s="170" t="inlineStr">
        <is>
          <t>France</t>
        </is>
      </c>
      <c r="R20" s="167" t="n">
        <v>46320</v>
      </c>
      <c r="S20" s="169" t="inlineStr">
        <is>
          <t>2026-Q4</t>
        </is>
      </c>
      <c r="T20" s="171" t="inlineStr">
        <is>
          <t>landslide</t>
        </is>
      </c>
      <c r="U20" s="158" t="n">
        <v>4</v>
      </c>
      <c r="V20" s="172" t="inlineStr">
        <is>
          <t>https://news.google.com/rss/articles/CBMiiwFBVV95cUxQZnJ5NFc5eUpiZzJtV1JlWnlUQ3NBN01oQVliSFhPcVJKZHkwbUFLZWVma0hkdU53RzVWRldkbDJ6aGRCOHotVk1xUUNjVnNXam85ZlpORUNBY0tRME9zZlVQeTNMZ0lvWTBDZWg3eWtkNnhrV2hSMllNZGk1dkxUZ2VoSm4tZkI3NXZz?oc=5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Remedying landslides on the national road leading to the Tuyên Quang highlands</t>
        </is>
      </c>
      <c r="C21" s="160" t="inlineStr">
        <is>
          <t>Hazards &amp; Resilience</t>
        </is>
      </c>
      <c r="D21" s="161" t="n">
        <v>4</v>
      </c>
      <c r="E21" s="175" t="inlineStr">
        <is>
          <t>News brief</t>
        </is>
      </c>
      <c r="F21" s="163" t="inlineStr">
        <is>
          <t>To review</t>
        </is>
      </c>
      <c r="G21" s="164" t="n"/>
      <c r="H21" s="165" t="n"/>
      <c r="I21" s="166" t="inlineStr">
        <is>
          <t>What mountain-road landslide remediation approaches are most durable on steep, rain-saturated slopes in northern highland terrain?</t>
        </is>
      </c>
      <c r="J21" s="166" t="inlineStr">
        <is>
          <t>Laodong.vn</t>
        </is>
      </c>
      <c r="K21" s="167" t="n">
        <v>46320</v>
      </c>
      <c r="L21" s="166" t="inlineStr">
        <is>
          <t>Remédier aux glissements de terrain sur la route nationale menant aux hauts plateaux de Tuyên Quang</t>
        </is>
      </c>
      <c r="M21" s="168" t="n"/>
      <c r="N21" s="169" t="inlineStr">
        <is>
          <t>Vietnam</t>
        </is>
      </c>
      <c r="O21" s="166" t="inlineStr">
        <is>
          <t>Tuyên Quang highlands</t>
        </is>
      </c>
      <c r="P21" s="166" t="n"/>
      <c r="Q21" s="170" t="inlineStr">
        <is>
          <t>France</t>
        </is>
      </c>
      <c r="R21" s="167" t="n">
        <v>46320</v>
      </c>
      <c r="S21" s="169" t="inlineStr">
        <is>
          <t>2026-Q4</t>
        </is>
      </c>
      <c r="T21" s="171" t="inlineStr">
        <is>
          <t>landslide</t>
        </is>
      </c>
      <c r="U21" s="158" t="n">
        <v>4</v>
      </c>
      <c r="V21" s="172" t="inlineStr">
        <is>
          <t>https://news.google.com/rss/articles/CBMiqAFBVV95cUxQdHN1cTZvdmhQQ3FtMGVmakRwX1haNVo4Vm1TRktBVzJINmU1cDUzWTVibm4zNHNoaFhyS1V5amlTbjZiaUFFQUdiM0hGWm1wZlBnNHA5eUQwLU9PTVVHMm02bkZucmxKaDZqMEVEcDNRbVA4cHBOZGlhdkdiWGlKamJxa3pBRXVkS1dma2taVGlyaHAzUklaUVkzUHQycWoybUN0dm13cUo?oc=5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53" customHeight="1">
      <c r="A22" s="158" t="n">
        <v>19</v>
      </c>
      <c r="B22" s="159" t="inlineStr">
        <is>
          <t>'It swallowed an entire farm': large landslide in Boyacá leaves three families evacuated</t>
        </is>
      </c>
      <c r="C22" s="160" t="inlineStr">
        <is>
          <t>Hazards &amp; Resilience</t>
        </is>
      </c>
      <c r="D22" s="161" t="n">
        <v>4</v>
      </c>
      <c r="E22" s="175" t="inlineStr">
        <is>
          <t>News brief</t>
        </is>
      </c>
      <c r="F22" s="163" t="inlineStr">
        <is>
          <t>To review</t>
        </is>
      </c>
      <c r="G22" s="164" t="n"/>
      <c r="H22" s="165" t="n"/>
      <c r="I22" s="166" t="inlineStr">
        <is>
          <t>What triggers very large translational landslides in Andean soils and how should evacuation decisions be based on ground monitoring?</t>
        </is>
      </c>
      <c r="J22" s="166" t="inlineStr">
        <is>
          <t>La FM</t>
        </is>
      </c>
      <c r="K22" s="167" t="n">
        <v>46320</v>
      </c>
      <c r="L22" s="166" t="inlineStr">
        <is>
          <t>“Se tragó una finca completa”: deslizamiento de gran magnitud en Boyacá deja tres familias evacuadas</t>
        </is>
      </c>
      <c r="M22" s="168" t="n"/>
      <c r="N22" s="169" t="inlineStr">
        <is>
          <t>Colombia</t>
        </is>
      </c>
      <c r="O22" s="166" t="inlineStr">
        <is>
          <t>Boyacá</t>
        </is>
      </c>
      <c r="P22" s="166" t="n"/>
      <c r="Q22" s="170" t="inlineStr">
        <is>
          <t>Spain</t>
        </is>
      </c>
      <c r="R22" s="167" t="n">
        <v>46319</v>
      </c>
      <c r="S22" s="169" t="inlineStr">
        <is>
          <t>2026-Q4</t>
        </is>
      </c>
      <c r="T22" s="171" t="inlineStr">
        <is>
          <t>landslide</t>
        </is>
      </c>
      <c r="U22" s="158" t="n">
        <v>4</v>
      </c>
      <c r="V22" s="172" t="inlineStr">
        <is>
          <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53" customHeight="1">
      <c r="A23" s="158" t="n">
        <v>20</v>
      </c>
      <c r="B23" s="159" t="inlineStr">
        <is>
          <t>SMS alerts, signage and evacuation routes: La Reina's plan for future aluviones</t>
        </is>
      </c>
      <c r="C23" s="160" t="inlineStr">
        <is>
          <t>Hazards &amp; Resilience</t>
        </is>
      </c>
      <c r="D23" s="161" t="n">
        <v>4</v>
      </c>
      <c r="E23" s="162" t="inlineStr">
        <is>
          <t>Feature lead</t>
        </is>
      </c>
      <c r="F23" s="163" t="inlineStr">
        <is>
          <t>To review</t>
        </is>
      </c>
      <c r="G23" s="164" t="n"/>
      <c r="H23" s="165" t="n"/>
      <c r="I23" s="166" t="inlineStr">
        <is>
          <t>How effective are early-warning systems, signage and evacuation routing compared with structural debris-flow barriers in mitigating alluvial hazards?</t>
        </is>
      </c>
      <c r="J23" s="166" t="inlineStr">
        <is>
          <t>Cooperativa</t>
        </is>
      </c>
      <c r="K23" s="167" t="n">
        <v>46320</v>
      </c>
      <c r="L23" s="166" t="inlineStr">
        <is>
          <t>Alertas SMS, señaléticas y rutas de evacuación: el plan de La Reina ante futuros aluviones</t>
        </is>
      </c>
      <c r="M23" s="168" t="n"/>
      <c r="N23" s="169" t="inlineStr">
        <is>
          <t>Chile</t>
        </is>
      </c>
      <c r="O23" s="166" t="inlineStr">
        <is>
          <t>La Reina, Santiago</t>
        </is>
      </c>
      <c r="P23" s="166" t="n"/>
      <c r="Q23" s="170" t="inlineStr">
        <is>
          <t>Chile</t>
        </is>
      </c>
      <c r="R23" s="167" t="n">
        <v>46319</v>
      </c>
      <c r="S23" s="169" t="inlineStr">
        <is>
          <t>2026-Q4</t>
        </is>
      </c>
      <c r="T23" s="171" t="inlineStr">
        <is>
          <t>debris flow</t>
        </is>
      </c>
      <c r="U23" s="158" t="n">
        <v>4</v>
      </c>
      <c r="V23"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8" t="n">
        <v>21</v>
      </c>
      <c r="B24" s="159" t="inlineStr">
        <is>
          <t>Alert in San Juan due to El Niño: how aluviones are triggered</t>
        </is>
      </c>
      <c r="C24" s="160" t="inlineStr">
        <is>
          <t>Hazards &amp; Resilience</t>
        </is>
      </c>
      <c r="D24" s="161" t="n">
        <v>4</v>
      </c>
      <c r="E24" s="162" t="inlineStr">
        <is>
          <t>Feature lead</t>
        </is>
      </c>
      <c r="F24" s="163" t="inlineStr">
        <is>
          <t>To review</t>
        </is>
      </c>
      <c r="G24" s="164" t="n"/>
      <c r="H24" s="165" t="n"/>
      <c r="I24" s="166" t="inlineStr">
        <is>
          <t>How does El Niño rainfall change the triggering of aluviones in arid Andean catchments, and what hazard assessment should inform local planning?</t>
        </is>
      </c>
      <c r="J24" s="166" t="inlineStr">
        <is>
          <t>Diario 13 San Juan</t>
        </is>
      </c>
      <c r="K24" s="167" t="n">
        <v>46320</v>
      </c>
      <c r="L24" s="166" t="inlineStr">
        <is>
          <t>Alerta en San Juan por El Niño: cómo se desencadenan los aluviones</t>
        </is>
      </c>
      <c r="M24" s="168" t="n"/>
      <c r="N24" s="169" t="inlineStr">
        <is>
          <t>Argentina</t>
        </is>
      </c>
      <c r="O24" s="166" t="inlineStr">
        <is>
          <t>San Juan</t>
        </is>
      </c>
      <c r="P24" s="166" t="n"/>
      <c r="Q24" s="170" t="inlineStr">
        <is>
          <t>Chile</t>
        </is>
      </c>
      <c r="R24" s="167" t="n">
        <v>46318</v>
      </c>
      <c r="S24" s="169" t="inlineStr">
        <is>
          <t>2026-Q4</t>
        </is>
      </c>
      <c r="T24" s="171" t="inlineStr">
        <is>
          <t>debris flow</t>
        </is>
      </c>
      <c r="U24" s="158" t="n">
        <v>4</v>
      </c>
      <c r="V24" s="172" t="inlineStr">
        <is>
          <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53" customHeight="1">
      <c r="A25" s="158" t="n">
        <v>22</v>
      </c>
      <c r="B25" s="159" t="inlineStr">
        <is>
          <t>194.8 mm of rain causes landslides in Pato Branco</t>
        </is>
      </c>
      <c r="C25" s="160" t="inlineStr">
        <is>
          <t>Hazards &amp; Resilience</t>
        </is>
      </c>
      <c r="D25" s="161" t="n">
        <v>4</v>
      </c>
      <c r="E25" s="162" t="inlineStr">
        <is>
          <t>Feature lead</t>
        </is>
      </c>
      <c r="F25" s="163" t="inlineStr">
        <is>
          <t>To review</t>
        </is>
      </c>
      <c r="G25" s="164" t="n"/>
      <c r="H25" s="165" t="n"/>
      <c r="I25" s="166" t="inlineStr">
        <is>
          <t>What rainfall intensity and antecedent conditions, such as 194.8 mm, are needed to trigger multiple slope failures in urban Paraná hillsides?</t>
        </is>
      </c>
      <c r="J25" s="166" t="inlineStr">
        <is>
          <t>Diário do Sudoeste</t>
        </is>
      </c>
      <c r="K25" s="167" t="n">
        <v>46320</v>
      </c>
      <c r="L25" s="166" t="inlineStr">
        <is>
          <t>Chuva de 194,8 mm causa deslizamentos em Pato Branco</t>
        </is>
      </c>
      <c r="M25" s="168" t="n"/>
      <c r="N25" s="169" t="inlineStr">
        <is>
          <t>Brazil</t>
        </is>
      </c>
      <c r="O25" s="166" t="inlineStr">
        <is>
          <t>Pato Branco, Paraná</t>
        </is>
      </c>
      <c r="P25" s="166" t="n"/>
      <c r="Q25" s="170" t="inlineStr">
        <is>
          <t>Brazil</t>
        </is>
      </c>
      <c r="R25" s="167" t="n">
        <v>46319</v>
      </c>
      <c r="S25" s="169" t="inlineStr">
        <is>
          <t>2026-Q4</t>
        </is>
      </c>
      <c r="T25" s="171" t="inlineStr">
        <is>
          <t>landslide</t>
        </is>
      </c>
      <c r="U25" s="158" t="n">
        <v>4</v>
      </c>
      <c r="V25" s="172" t="inlineStr">
        <is>
          <t>https://news.google.com/rss/articles/CBMijAFBVV95cUxNaEEySTZsWDBaWS0teTRpZHR1R180YVBONlJXOTlBakJhT0hpbmlTbzB6VlRuRzF2ejFpcTNzdmFVS1dmS1drU3FwMnhjS3ZMMEh0MHY4YjJkT3ZoaUhsUHpUUXczRnJYZkZCR3YtazBlQWh4VjNfTVlvZjBLa01nXzVoUEdyS3VWX3RIUw?oc=5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Castellammare: storms and landslide, reserve funds unlocked for emergency works after disaster</t>
        </is>
      </c>
      <c r="C26" s="160" t="inlineStr">
        <is>
          <t>Hazards &amp; Resilience</t>
        </is>
      </c>
      <c r="D26" s="161" t="n">
        <v>4</v>
      </c>
      <c r="E26" s="175" t="inlineStr">
        <is>
          <t>News brief</t>
        </is>
      </c>
      <c r="F26" s="163" t="inlineStr">
        <is>
          <t>To review</t>
        </is>
      </c>
      <c r="G26" s="164" t="n"/>
      <c r="H26" s="165" t="n"/>
      <c r="I26" s="166" t="inlineStr">
        <is>
          <t>How quickly can emergency reserve funds mobilise urgent slope stabilisation after a landslide, and what ground investigation should precede permanent works?</t>
        </is>
      </c>
      <c r="J26" s="166" t="inlineStr">
        <is>
          <t>StabiaChannel.it</t>
        </is>
      </c>
      <c r="K26" s="167" t="n">
        <v>46320</v>
      </c>
      <c r="L26" s="166" t="inlineStr">
        <is>
          <t>Castellammare - Maltempo e frana, sbloccati i fondi di riserva per i lavori di somma urgenza dopo il disastro</t>
        </is>
      </c>
      <c r="M26" s="168" t="n"/>
      <c r="N26" s="169" t="inlineStr">
        <is>
          <t>Italy</t>
        </is>
      </c>
      <c r="O26" s="166" t="inlineStr">
        <is>
          <t>Castellammare di Stabia, Campania</t>
        </is>
      </c>
      <c r="P26" s="166" t="n"/>
      <c r="Q26" s="170" t="inlineStr">
        <is>
          <t>Italy</t>
        </is>
      </c>
      <c r="R26" s="167" t="n">
        <v>46318</v>
      </c>
      <c r="S26" s="169" t="inlineStr">
        <is>
          <t>2026-Q4</t>
        </is>
      </c>
      <c r="T26" s="171" t="inlineStr">
        <is>
          <t>landslide</t>
        </is>
      </c>
      <c r="U26" s="158" t="n">
        <v>4</v>
      </c>
      <c r="V26" s="172" t="inlineStr">
        <is>
          <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Landslide pressure and relocation challenges in Ca Mau</t>
        </is>
      </c>
      <c r="C27" s="160" t="inlineStr">
        <is>
          <t>Hazards &amp; Resilience</t>
        </is>
      </c>
      <c r="D27" s="161" t="n">
        <v>4</v>
      </c>
      <c r="E27" s="162" t="inlineStr">
        <is>
          <t>Feature lead</t>
        </is>
      </c>
      <c r="F27" s="163" t="inlineStr">
        <is>
          <t>To review</t>
        </is>
      </c>
      <c r="G27" s="164" t="n"/>
      <c r="H27" s="165" t="n"/>
      <c r="I27" s="166" t="inlineStr">
        <is>
          <t>How do soil saturation and bank erosion drive landslides in low-lying deltaic land, and what geotechnical criteria should guide resident relocation?</t>
        </is>
      </c>
      <c r="J27" s="166" t="inlineStr">
        <is>
          <t>Vietnam.vn</t>
        </is>
      </c>
      <c r="K27" s="167" t="n">
        <v>46320</v>
      </c>
      <c r="L27" s="166" t="inlineStr">
        <is>
          <t>Tekanan tanah longsor dan tantangan relokasi penduduk di Ca Mau.</t>
        </is>
      </c>
      <c r="M27" s="168" t="n"/>
      <c r="N27" s="169" t="inlineStr">
        <is>
          <t>Vietnam</t>
        </is>
      </c>
      <c r="O27" s="166" t="inlineStr">
        <is>
          <t>Ca Mau Province</t>
        </is>
      </c>
      <c r="P27" s="166" t="n"/>
      <c r="Q27" s="170" t="inlineStr">
        <is>
          <t>Indonesia</t>
        </is>
      </c>
      <c r="R27" s="167" t="n">
        <v>46319</v>
      </c>
      <c r="S27" s="169" t="inlineStr">
        <is>
          <t>2026-Q4</t>
        </is>
      </c>
      <c r="T27" s="171" t="inlineStr">
        <is>
          <t>landslide</t>
        </is>
      </c>
      <c r="U27" s="158" t="n">
        <v>4</v>
      </c>
      <c r="V27" s="172" t="inlineStr">
        <is>
          <t>https://news.google.com/rss/articles/CBMiggFBVV95cUxOdGVOQklSRU5xaXNLeW85amlKLVdkdm44QUFINnA3QTRUXzF2TUZrWlFnTXFxSzM0b21reE1VWTVKM3hqQXFyQ2Jxd0ozNm5oYkpFelJGWVJ2UEJmdFBHOFVIZnhpNjdwYXkzZUYxaElPeXJGaDZOckxXNnlaT2pUQ3N3?oc=5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Paya Terubong landslide leaves one dead, two unhurt</t>
        </is>
      </c>
      <c r="C28" s="160" t="inlineStr">
        <is>
          <t>Hazards &amp; Resilience</t>
        </is>
      </c>
      <c r="D28" s="161" t="n">
        <v>4</v>
      </c>
      <c r="E28" s="175" t="inlineStr">
        <is>
          <t>News brief</t>
        </is>
      </c>
      <c r="F28" s="163" t="inlineStr">
        <is>
          <t>To review</t>
        </is>
      </c>
      <c r="G28" s="164" t="n"/>
      <c r="H28" s="165" t="n"/>
      <c r="I28" s="166" t="inlineStr">
        <is>
          <t>What slope failure mechanisms and rainfall triggers were involved in this fatal landslide on a Penang hill slope?</t>
        </is>
      </c>
      <c r="J28" s="166" t="inlineStr">
        <is>
          <t>The Star</t>
        </is>
      </c>
      <c r="K28" s="167" t="n">
        <v>46320</v>
      </c>
      <c r="L28" s="166" t="n"/>
      <c r="M28" s="168" t="n"/>
      <c r="N28" s="169" t="inlineStr">
        <is>
          <t>Malaysia</t>
        </is>
      </c>
      <c r="O28" s="166" t="inlineStr">
        <is>
          <t>Paya Terubong, Penang</t>
        </is>
      </c>
      <c r="P28" s="166" t="n"/>
      <c r="Q28" s="170" t="inlineStr">
        <is>
          <t>United Kingdom</t>
        </is>
      </c>
      <c r="R28" s="167" t="n">
        <v>46320</v>
      </c>
      <c r="S28" s="169" t="inlineStr">
        <is>
          <t>2026-Q4</t>
        </is>
      </c>
      <c r="T28" s="171" t="inlineStr">
        <is>
          <t>landslide</t>
        </is>
      </c>
      <c r="U28" s="158" t="n">
        <v>4</v>
      </c>
      <c r="V28" s="172" t="inlineStr">
        <is>
          <t>https://news.google.com/rss/articles/CBMiogFBVV95cUxPdl9oUFRfZzk0bW5DRzNaLTNwUWVNMWZXVFMxTlRPazBhT2tIUjdnLXZWMmNnYWVPMHp2UGhzZ2dMOVZMTXp1YjNkM1Z5dFR5M2JSbkp5TWtySE9jd3RzUmF1NWI4bEFkbmM3ZjYzbXlBbjhSSE1CMllYVjVTbVU4M2YtMVJWbUtING85Yms3TExHdU0yWlExX0RsVTdlc0toNnc?oc=5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TN: Two NDRF Teams Sent To Ooty As Landslides Disrupt Nilgiris Traffic</t>
        </is>
      </c>
      <c r="C29" s="160" t="inlineStr">
        <is>
          <t>Hazards &amp; Resilience</t>
        </is>
      </c>
      <c r="D29" s="161" t="n">
        <v>4</v>
      </c>
      <c r="E29" s="175" t="inlineStr">
        <is>
          <t>News brief</t>
        </is>
      </c>
      <c r="F29" s="163" t="inlineStr">
        <is>
          <t>To review</t>
        </is>
      </c>
      <c r="G29" s="164" t="n"/>
      <c r="H29" s="165" t="n"/>
      <c r="I29" s="166" t="inlineStr">
        <is>
          <t>How should hill-slope monitoring and early warning be designed for monsoon landslides that repeatedly cut access routes in the Nilgiris?</t>
        </is>
      </c>
      <c r="J29" s="166" t="inlineStr">
        <is>
          <t>The Weekend Leader</t>
        </is>
      </c>
      <c r="K29" s="167" t="n">
        <v>46320</v>
      </c>
      <c r="L29" s="166" t="n"/>
      <c r="M29" s="168" t="n"/>
      <c r="N29" s="169" t="inlineStr">
        <is>
          <t>India</t>
        </is>
      </c>
      <c r="O29" s="166" t="inlineStr">
        <is>
          <t>Ooty, Nilgiris</t>
        </is>
      </c>
      <c r="P29" s="166" t="n"/>
      <c r="Q29" s="170" t="inlineStr">
        <is>
          <t>South Africa</t>
        </is>
      </c>
      <c r="R29" s="167" t="n">
        <v>46319</v>
      </c>
      <c r="S29" s="169" t="inlineStr">
        <is>
          <t>2026-Q4</t>
        </is>
      </c>
      <c r="T29" s="171" t="inlineStr">
        <is>
          <t>landslide</t>
        </is>
      </c>
      <c r="U29" s="158" t="n">
        <v>4</v>
      </c>
      <c r="V29" s="172" t="inlineStr">
        <is>
          <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Experts comment on the plan to level Mot mountain in Quy Nhon</t>
        </is>
      </c>
      <c r="C30" s="177" t="inlineStr">
        <is>
          <t>Infrastructure &amp; the Underground City</t>
        </is>
      </c>
      <c r="D30" s="161" t="n">
        <v>4</v>
      </c>
      <c r="E30" s="162" t="inlineStr">
        <is>
          <t>Feature lead</t>
        </is>
      </c>
      <c r="F30" s="163" t="inlineStr">
        <is>
          <t>To review</t>
        </is>
      </c>
      <c r="G30" s="164" t="n"/>
      <c r="H30" s="165" t="n"/>
      <c r="I30" s="166" t="inlineStr">
        <is>
          <t>What are the slope stability, rock-cutting and environmental trade-offs in levelling a granite mountain inside an urban area, and how should experts weigh them?</t>
        </is>
      </c>
      <c r="J30" s="166" t="inlineStr">
        <is>
          <t>Vietnam.vn</t>
        </is>
      </c>
      <c r="K30" s="167" t="n">
        <v>46320</v>
      </c>
      <c r="L30" s="166" t="inlineStr">
        <is>
          <t>Des experts s'expriment sur le projet de rasage du mont Mot à Quy Nhon.</t>
        </is>
      </c>
      <c r="M30" s="168" t="n"/>
      <c r="N30" s="169" t="inlineStr">
        <is>
          <t>Vietnam</t>
        </is>
      </c>
      <c r="O30" s="166" t="inlineStr">
        <is>
          <t>Mot Mountain, Quy Nhon</t>
        </is>
      </c>
      <c r="P30" s="166" t="inlineStr">
        <is>
          <t>Mot Mountain levelling proposal, Quy Nhon, Vietnam · Update · 2 reports</t>
        </is>
      </c>
      <c r="Q30" s="170" t="inlineStr">
        <is>
          <t>France</t>
        </is>
      </c>
      <c r="R30" s="167" t="n">
        <v>46318</v>
      </c>
      <c r="S30" s="169" t="inlineStr">
        <is>
          <t>2026-Q4</t>
        </is>
      </c>
      <c r="T30" s="171" t="n"/>
      <c r="U30" s="158" t="n">
        <v>0</v>
      </c>
      <c r="V30" s="172" t="inlineStr">
        <is>
          <t>https://news.google.com/rss/articles/CBMijwFBVV95cUxNVGtiZ0lmT1lzdnltdVZfN1RsaGl0c3g2Sll0bDJUMHd6UDdFQXN3VlJteWJjTTNHZ1R1TXVJcVBZTl94UDFaczBDUjdObXpScmpZeFZPVkpHRjBUSXFteDJ2dlhFeWxPdVgzamFWaFFRQ1lhSG55VFJKQnRWV1pkNE5TcEs1WWlIT25qbUxVbw?oc=5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Imperial advances planning of block caving method at Red Chris mine</t>
        </is>
      </c>
      <c r="C31" s="177" t="inlineStr">
        <is>
          <t>Infrastructure &amp; the Underground City</t>
        </is>
      </c>
      <c r="D31" s="161" t="n">
        <v>4</v>
      </c>
      <c r="E31" s="180" t="inlineStr">
        <is>
          <t>Academia-to-Industry topic</t>
        </is>
      </c>
      <c r="F31" s="163" t="inlineStr">
        <is>
          <t>To review</t>
        </is>
      </c>
      <c r="G31" s="164" t="n"/>
      <c r="H31" s="165" t="n"/>
      <c r="I31" s="166" t="inlineStr">
        <is>
          <t>What geomechanical data and rock mass characterisation are needed to plan block caving sequences safely in a large porphyry copper mine?</t>
        </is>
      </c>
      <c r="J31" s="166" t="inlineStr">
        <is>
          <t>MarketScreener España</t>
        </is>
      </c>
      <c r="K31" s="167" t="n">
        <v>46320</v>
      </c>
      <c r="L31" s="166" t="inlineStr">
        <is>
          <t>Imperial avanza en la planificación del método de hundimiento por bloques en la mina Red Chris</t>
        </is>
      </c>
      <c r="M31" s="168" t="n"/>
      <c r="N31" s="169" t="inlineStr">
        <is>
          <t>Canada</t>
        </is>
      </c>
      <c r="O31" s="166" t="inlineStr">
        <is>
          <t>Red Chris mine</t>
        </is>
      </c>
      <c r="P31" s="166" t="n"/>
      <c r="Q31" s="170" t="inlineStr">
        <is>
          <t>Argentina</t>
        </is>
      </c>
      <c r="R31" s="167" t="n">
        <v>46318</v>
      </c>
      <c r="S31" s="169" t="inlineStr">
        <is>
          <t>2026-Q4</t>
        </is>
      </c>
      <c r="T31" s="171" t="n"/>
      <c r="U31" s="158" t="n">
        <v>0</v>
      </c>
      <c r="V31"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'The 1956 Landslide and the Church of San Pietro': photographic exhibition extended</t>
        </is>
      </c>
      <c r="C32" s="181" t="inlineStr">
        <is>
          <t>Geotechnics &amp; Society</t>
        </is>
      </c>
      <c r="D32" s="161" t="n">
        <v>3</v>
      </c>
      <c r="E32" s="182" t="inlineStr">
        <is>
          <t>Watch only</t>
        </is>
      </c>
      <c r="F32" s="163" t="inlineStr">
        <is>
          <t>To review</t>
        </is>
      </c>
      <c r="G32" s="164" t="n"/>
      <c r="H32" s="165" t="n"/>
      <c r="I32" s="166" t="inlineStr">
        <is>
          <t>How did the 1956 landslide shape settlement decisions and church site safety, and what does that history teach about landslide memory?</t>
        </is>
      </c>
      <c r="J32" s="166" t="inlineStr">
        <is>
          <t>Trigno.net</t>
        </is>
      </c>
      <c r="K32" s="167" t="n">
        <v>46320</v>
      </c>
      <c r="L32" s="166" t="inlineStr">
        <is>
          <t>"La Frana del 1956 e la Chiesa di San Pietro", prorogata la mostra fotografica</t>
        </is>
      </c>
      <c r="M32" s="168" t="n"/>
      <c r="N32" s="169" t="inlineStr">
        <is>
          <t>Italy</t>
        </is>
      </c>
      <c r="O32" s="166" t="n"/>
      <c r="P32" s="166" t="n"/>
      <c r="Q32" s="170" t="inlineStr">
        <is>
          <t>Italy</t>
        </is>
      </c>
      <c r="R32" s="167" t="n">
        <v>46319</v>
      </c>
      <c r="S32" s="169" t="inlineStr">
        <is>
          <t>2026-Q4</t>
        </is>
      </c>
      <c r="T32" s="171" t="inlineStr">
        <is>
          <t>landslide</t>
        </is>
      </c>
      <c r="U32" s="158" t="n">
        <v>4</v>
      </c>
      <c r="V32"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Exploring Phong Nha-Ke Bang’s famous sinkholes</t>
        </is>
      </c>
      <c r="C33" s="178" t="inlineStr">
        <is>
          <t>Characterisation &amp; Modelling</t>
        </is>
      </c>
      <c r="D33" s="161" t="n">
        <v>3</v>
      </c>
      <c r="E33" s="183" t="inlineStr">
        <is>
          <t>Regional insight</t>
        </is>
      </c>
      <c r="F33" s="163" t="inlineStr">
        <is>
          <t>To review</t>
        </is>
      </c>
      <c r="G33" s="164" t="n"/>
      <c r="H33" s="165" t="n"/>
      <c r="I33" s="166" t="inlineStr">
        <is>
          <t>How can karst cave systems and sinkhole susceptibility be mapped and characterised in tropical limestone terrain for tourism and infrastructure?</t>
        </is>
      </c>
      <c r="J33" s="166" t="inlineStr">
        <is>
          <t>DTiNews</t>
        </is>
      </c>
      <c r="K33" s="167" t="n">
        <v>46320</v>
      </c>
      <c r="L33" s="166" t="n"/>
      <c r="M33" s="168" t="n"/>
      <c r="N33" s="169" t="inlineStr">
        <is>
          <t>Vietnam</t>
        </is>
      </c>
      <c r="O33" s="166" t="inlineStr">
        <is>
          <t>Phong Nha-Ke Bang</t>
        </is>
      </c>
      <c r="P33" s="166" t="n"/>
      <c r="Q33" s="170" t="inlineStr">
        <is>
          <t>United Kingdom</t>
        </is>
      </c>
      <c r="R33" s="167" t="n">
        <v>46320</v>
      </c>
      <c r="S33" s="169" t="inlineStr">
        <is>
          <t>2026-Q4</t>
        </is>
      </c>
      <c r="T33" s="171" t="inlineStr">
        <is>
          <t>sinkhole</t>
        </is>
      </c>
      <c r="U33" s="158" t="n">
        <v>4</v>
      </c>
      <c r="V33"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40.5" customHeight="1">
      <c r="A34" s="158" t="n">
        <v>31</v>
      </c>
      <c r="B34" s="159" t="inlineStr">
        <is>
          <t>Dong Thap province spends 330 billion dong to tackle landslide-hit areas</t>
        </is>
      </c>
      <c r="C34" s="176" t="inlineStr">
        <is>
          <t>Offshore, Coasts &amp; Water</t>
        </is>
      </c>
      <c r="D34" s="161" t="n">
        <v>3</v>
      </c>
      <c r="E34" s="183" t="inlineStr">
        <is>
          <t>Regional insight</t>
        </is>
      </c>
      <c r="F34" s="163" t="inlineStr">
        <is>
          <t>To review</t>
        </is>
      </c>
      <c r="G34" s="164" t="n"/>
      <c r="H34" s="165" t="n"/>
      <c r="I34" s="166" t="inlineStr">
        <is>
          <t>How does riverbank failure in the Mekong delta drive the cost and design choice between revetments and managed retreat?</t>
        </is>
      </c>
      <c r="J34" s="166" t="inlineStr">
        <is>
          <t>Vietnam.vn</t>
        </is>
      </c>
      <c r="K34" s="167" t="n">
        <v>46320</v>
      </c>
      <c r="L34" s="166" t="inlineStr">
        <is>
          <t>La provincia di Dong Thap spende 330 miliardi di dong vietnamiti per affrontare le zone colpite dalle frane.</t>
        </is>
      </c>
      <c r="M34" s="168" t="n"/>
      <c r="N34" s="169" t="inlineStr">
        <is>
          <t>Vietnam</t>
        </is>
      </c>
      <c r="O34" s="166" t="inlineStr">
        <is>
          <t>Dong Thap province</t>
        </is>
      </c>
      <c r="P34" s="166" t="n"/>
      <c r="Q34" s="170" t="inlineStr">
        <is>
          <t>Italy</t>
        </is>
      </c>
      <c r="R34" s="167" t="n">
        <v>46318</v>
      </c>
      <c r="S34" s="169" t="inlineStr">
        <is>
          <t>2026-Q4</t>
        </is>
      </c>
      <c r="T34" s="171" t="inlineStr">
        <is>
          <t>landslide</t>
        </is>
      </c>
      <c r="U34" s="158" t="n">
        <v>4</v>
      </c>
      <c r="V34" s="172" t="inlineStr">
        <is>
          <t>https://news.google.com/rss/articles/CBMifkFVX3lxTE1VN2xaNDhXeTdHWkRoTGZuYXhscnI4SnFCeDFqTVdEWHl1anViQ0hlemlUN1FIN1RaSTl0RjRJUlJ2Y2NmWVZuajROZzdULVVZWTRKV2gyeElnWkZ0MUNILXdPeWEwUlNyMldoZkU4MFJEODZSY3dYYnlFOXZ4dw?oc=5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Un socavón en Cerro se llena de agua y amenaza a peatones y conductores tras las lluvias</t>
        </is>
      </c>
      <c r="C35" s="177" t="inlineStr">
        <is>
          <t>Infrastructure &amp; the Underground City</t>
        </is>
      </c>
      <c r="D35" s="161" t="n">
        <v>3</v>
      </c>
      <c r="E35" s="175" t="inlineStr">
        <is>
          <t>News brief</t>
        </is>
      </c>
      <c r="F35" s="163" t="inlineStr">
        <is>
          <t>To review</t>
        </is>
      </c>
      <c r="G35" s="164" t="n"/>
      <c r="H35" s="165" t="n"/>
      <c r="I35" s="166" t="inlineStr">
        <is>
          <t>What causes water-filled sinkholes to form in urban ground after rainfall, and how should pedestrian and traffic exclusion zones be set?</t>
        </is>
      </c>
      <c r="J35" s="166" t="inlineStr">
        <is>
          <t>Infobae</t>
        </is>
      </c>
      <c r="K35" s="167" t="n">
        <v>46320</v>
      </c>
      <c r="L35" s="166" t="n"/>
      <c r="M35" s="168" t="n"/>
      <c r="N35" s="169" t="n"/>
      <c r="O35" s="166" t="inlineStr">
        <is>
          <t>Cerro</t>
        </is>
      </c>
      <c r="P35" s="166" t="n"/>
      <c r="Q35" s="170" t="inlineStr">
        <is>
          <t>Colombia</t>
        </is>
      </c>
      <c r="R35" s="167" t="n">
        <v>46319</v>
      </c>
      <c r="S35" s="169" t="inlineStr">
        <is>
          <t>2026-Q4</t>
        </is>
      </c>
      <c r="T35" s="171" t="inlineStr">
        <is>
          <t>sinkhole</t>
        </is>
      </c>
      <c r="U35" s="158" t="n">
        <v>4</v>
      </c>
      <c r="V35"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8" t="n">
        <v>33</v>
      </c>
      <c r="B36" s="159" t="inlineStr">
        <is>
          <t>A sinkhole trapped an ambulance transporting a patient</t>
        </is>
      </c>
      <c r="C36" s="177" t="inlineStr">
        <is>
          <t>Infrastructure &amp; the Underground City</t>
        </is>
      </c>
      <c r="D36" s="161" t="n">
        <v>3</v>
      </c>
      <c r="E36" s="175" t="inlineStr">
        <is>
          <t>News brief</t>
        </is>
      </c>
      <c r="F36" s="163" t="inlineStr">
        <is>
          <t>To review</t>
        </is>
      </c>
      <c r="G36" s="164" t="n"/>
      <c r="H36" s="165" t="n"/>
      <c r="I36" s="166" t="inlineStr">
        <is>
          <t>What ground investigation is needed to explain sudden road sinkholes that trap emergency vehicles on mountain-road pavements?</t>
        </is>
      </c>
      <c r="J36" s="166" t="inlineStr">
        <is>
          <t>Diario 7 lagos</t>
        </is>
      </c>
      <c r="K36" s="167" t="n">
        <v>46320</v>
      </c>
      <c r="L36" s="166" t="inlineStr">
        <is>
          <t>Un socavón dejó atrapada a una ambulancia que trasladaba a una paciente</t>
        </is>
      </c>
      <c r="M36" s="168" t="n"/>
      <c r="N36" s="169" t="inlineStr">
        <is>
          <t>Argentina</t>
        </is>
      </c>
      <c r="O36" s="166" t="inlineStr">
        <is>
          <t>Siete Lagos, Patagonia</t>
        </is>
      </c>
      <c r="P36" s="166" t="inlineStr">
        <is>
          <t>Aucapán road sinkhole traps ambulance, Argentina (Oct 2026) · Event · 2 reports</t>
        </is>
      </c>
      <c r="Q36" s="170" t="inlineStr">
        <is>
          <t>Colombia</t>
        </is>
      </c>
      <c r="R36" s="167" t="n">
        <v>46319</v>
      </c>
      <c r="S36" s="169" t="inlineStr">
        <is>
          <t>2026-Q4</t>
        </is>
      </c>
      <c r="T36" s="171" t="inlineStr">
        <is>
          <t>sinkhole</t>
        </is>
      </c>
      <c r="U36" s="158" t="n">
        <v>4</v>
      </c>
      <c r="V36"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Sinkhole endangers motorists and pedestrians in the 21 de Marzo neighbourhood</t>
        </is>
      </c>
      <c r="C37" s="177" t="inlineStr">
        <is>
          <t>Infrastructure &amp; the Underground City</t>
        </is>
      </c>
      <c r="D37" s="161" t="n">
        <v>3</v>
      </c>
      <c r="E37" s="175" t="inlineStr">
        <is>
          <t>News brief</t>
        </is>
      </c>
      <c r="F37" s="163" t="inlineStr">
        <is>
          <t>To review</t>
        </is>
      </c>
      <c r="G37" s="164" t="n"/>
      <c r="H37" s="165" t="n"/>
      <c r="I37" s="166" t="inlineStr">
        <is>
          <t>What are the likely causes of urban road sinkholes, such as leaking pipes or subsurface erosion, and how should they be detected early?</t>
        </is>
      </c>
      <c r="J37" s="166" t="inlineStr">
        <is>
          <t>El Sol de México</t>
        </is>
      </c>
      <c r="K37" s="167" t="n">
        <v>46320</v>
      </c>
      <c r="L37" s="166" t="inlineStr">
        <is>
          <t>Socavón pone en riesgo a automovilistas y peatones en la colonia 21 de Marzo</t>
        </is>
      </c>
      <c r="M37" s="168" t="n"/>
      <c r="N37" s="169" t="inlineStr">
        <is>
          <t>Mexico</t>
        </is>
      </c>
      <c r="O37" s="166" t="inlineStr">
        <is>
          <t>Colonia 21 de Marzo</t>
        </is>
      </c>
      <c r="P37" s="166" t="n"/>
      <c r="Q37" s="170" t="inlineStr">
        <is>
          <t>Colombia</t>
        </is>
      </c>
      <c r="R37" s="167" t="n">
        <v>46320</v>
      </c>
      <c r="S37" s="169" t="inlineStr">
        <is>
          <t>2026-Q4</t>
        </is>
      </c>
      <c r="T37" s="171" t="inlineStr">
        <is>
          <t>sinkhole</t>
        </is>
      </c>
      <c r="U37" s="158" t="n">
        <v>4</v>
      </c>
      <c r="V37"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Government abandons community with an enormous sinkhole</t>
        </is>
      </c>
      <c r="C38" s="177" t="inlineStr">
        <is>
          <t>Infrastructure &amp; the Underground City</t>
        </is>
      </c>
      <c r="D38" s="161" t="n">
        <v>3</v>
      </c>
      <c r="E38" s="182" t="inlineStr">
        <is>
          <t>Watch only</t>
        </is>
      </c>
      <c r="F38" s="163" t="inlineStr">
        <is>
          <t>To review</t>
        </is>
      </c>
      <c r="G38" s="164" t="n"/>
      <c r="H38" s="165" t="n"/>
      <c r="I38" s="166" t="inlineStr">
        <is>
          <t>Large community sinkhole left without official remediation; the geotechnical cause and responsibility for investigation remain open.</t>
        </is>
      </c>
      <c r="J38" s="166" t="inlineStr">
        <is>
          <t>emsavalles.com</t>
        </is>
      </c>
      <c r="K38" s="167" t="n">
        <v>46320</v>
      </c>
      <c r="L38" s="166" t="inlineStr">
        <is>
          <t>Gobierno abandona comunidad con un enorme socavón</t>
        </is>
      </c>
      <c r="M38" s="168" t="n"/>
      <c r="N38" s="169" t="n"/>
      <c r="O38" s="166" t="n"/>
      <c r="P38" s="166" t="n"/>
      <c r="Q38" s="170" t="inlineStr">
        <is>
          <t>Colombia</t>
        </is>
      </c>
      <c r="R38" s="167" t="n">
        <v>46319</v>
      </c>
      <c r="S38" s="169" t="inlineStr">
        <is>
          <t>2026-Q4</t>
        </is>
      </c>
      <c r="T38" s="171" t="inlineStr">
        <is>
          <t>sinkhole</t>
        </is>
      </c>
      <c r="U38" s="158" t="n">
        <v>4</v>
      </c>
      <c r="V38" s="172" t="inlineStr">
        <is>
          <t>https://news.google.com/rss/articles/CBMiiAFBVV95cUxOM3hmcTdXVUJhd1hTblR3RXJ5ZzRQbm80a1dYa21RTlo0T1VmWVUwN1htemlUYnlUbWlxcFZzbjZsQWo2UzZsbGozVHNXRG1MNndqdkJRb1BSVW1GcWFQd1BNdzF0NWNJZGxpWGF0Q3hGNkl3R3E2QnhidTZ1SElMUDFFMm9Ib1lf?oc=5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Sinkhole repair will close Route 241 in Lebanon County for a week</t>
        </is>
      </c>
      <c r="C39" s="177" t="inlineStr">
        <is>
          <t>Infrastructure &amp; the Underground City</t>
        </is>
      </c>
      <c r="D39" s="161" t="n">
        <v>3</v>
      </c>
      <c r="E39" s="175" t="inlineStr">
        <is>
          <t>News brief</t>
        </is>
      </c>
      <c r="F39" s="163" t="inlineStr">
        <is>
          <t>To review</t>
        </is>
      </c>
      <c r="G39" s="164" t="n"/>
      <c r="H39" s="165" t="n"/>
      <c r="I39" s="166" t="inlineStr">
        <is>
          <t>What causes sinkholes under pavement in karst or mined ground, and which investigation methods would have identified the void before the road failed?</t>
        </is>
      </c>
      <c r="J39" s="166" t="inlineStr">
        <is>
          <t>ABC27</t>
        </is>
      </c>
      <c r="K39" s="167" t="n">
        <v>46320</v>
      </c>
      <c r="L39" s="166" t="n"/>
      <c r="M39" s="168" t="n"/>
      <c r="N39" s="169" t="inlineStr">
        <is>
          <t>United States</t>
        </is>
      </c>
      <c r="O39" s="166" t="inlineStr">
        <is>
          <t>Route 241, Lebanon County</t>
        </is>
      </c>
      <c r="P39" s="166" t="n"/>
      <c r="Q39" s="170" t="inlineStr">
        <is>
          <t>United Kingdom</t>
        </is>
      </c>
      <c r="R39" s="167" t="n">
        <v>46319</v>
      </c>
      <c r="S39" s="169" t="inlineStr">
        <is>
          <t>2026-Q4</t>
        </is>
      </c>
      <c r="T39" s="171" t="inlineStr">
        <is>
          <t>sinkhole</t>
        </is>
      </c>
      <c r="U39" s="158" t="n">
        <v>4</v>
      </c>
      <c r="V39"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TBMs to be produced under Aatmanirbhar Bharat, says Ashwini Vaishnaw</t>
        </is>
      </c>
      <c r="C40" s="177" t="inlineStr">
        <is>
          <t>Infrastructure &amp; the Underground City</t>
        </is>
      </c>
      <c r="D40" s="161" t="n">
        <v>3</v>
      </c>
      <c r="E40" s="175" t="inlineStr">
        <is>
          <t>News brief</t>
        </is>
      </c>
      <c r="F40" s="163" t="inlineStr">
        <is>
          <t>To review</t>
        </is>
      </c>
      <c r="G40" s="164" t="n"/>
      <c r="H40" s="165" t="n"/>
      <c r="I40" s="166" t="inlineStr">
        <is>
          <t>How does local manufacturing of tunnel boring machines affect the technical adaptation of TBMs to varied ground conditions in India's tunnelling projects?</t>
        </is>
      </c>
      <c r="J40" s="166" t="inlineStr">
        <is>
          <t>The Hindu</t>
        </is>
      </c>
      <c r="K40" s="167" t="n">
        <v>46320</v>
      </c>
      <c r="L40" s="166" t="n"/>
      <c r="M40" s="168" t="n"/>
      <c r="N40" s="169" t="inlineStr">
        <is>
          <t>India</t>
        </is>
      </c>
      <c r="O40" s="166" t="n"/>
      <c r="P40" s="166" t="n"/>
      <c r="Q40" s="170" t="inlineStr">
        <is>
          <t>United Kingdom</t>
        </is>
      </c>
      <c r="R40" s="167" t="n">
        <v>46318</v>
      </c>
      <c r="S40" s="169" t="inlineStr">
        <is>
          <t>2026-Q4</t>
        </is>
      </c>
      <c r="T40" s="171" t="inlineStr">
        <is>
          <t>tbm</t>
        </is>
      </c>
      <c r="U40" s="158" t="n">
        <v>3</v>
      </c>
      <c r="V40"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A section of the Esquina waterfront promenade closed due to subsidence</t>
        </is>
      </c>
      <c r="C41" s="176" t="inlineStr">
        <is>
          <t>Offshore, Coasts &amp; Water</t>
        </is>
      </c>
      <c r="D41" s="161" t="n">
        <v>3</v>
      </c>
      <c r="E41" s="175" t="inlineStr">
        <is>
          <t>News brief</t>
        </is>
      </c>
      <c r="F41" s="163" t="inlineStr">
        <is>
          <t>To review</t>
        </is>
      </c>
      <c r="G41" s="164" t="n"/>
      <c r="H41" s="165" t="n"/>
      <c r="I41" s="166" t="inlineStr">
        <is>
          <t>What causes subsidence along a riverfront promenade, and what ground investigation would identify the weak or eroded soils behind it?</t>
        </is>
      </c>
      <c r="J41" s="166" t="inlineStr">
        <is>
          <t>Diario 1588</t>
        </is>
      </c>
      <c r="K41" s="167" t="n">
        <v>46320</v>
      </c>
      <c r="L41" s="166" t="inlineStr">
        <is>
          <t>Cerraron un sector de la costanera de Esquina por hundimiento</t>
        </is>
      </c>
      <c r="M41" s="168" t="n"/>
      <c r="N41" s="169" t="inlineStr">
        <is>
          <t>Argentina</t>
        </is>
      </c>
      <c r="O41" s="166" t="inlineStr">
        <is>
          <t>Esquina costanera</t>
        </is>
      </c>
      <c r="P41" s="166" t="inlineStr">
        <is>
          <t>Esquina riverfront promenade subsidence, Argentina (Oct 2026) · Event · 2 reports</t>
        </is>
      </c>
      <c r="Q41" s="170" t="inlineStr">
        <is>
          <t>Argentina</t>
        </is>
      </c>
      <c r="R41" s="167" t="n">
        <v>46317</v>
      </c>
      <c r="S41" s="169" t="inlineStr">
        <is>
          <t>2026-Q4</t>
        </is>
      </c>
      <c r="T41" s="171" t="n"/>
      <c r="U41" s="158" t="n">
        <v>0</v>
      </c>
      <c r="V41" s="172" t="inlineStr">
        <is>
          <t>https://news.google.com/rss/articles/CBMiR0FVX3lxTE5mbFg4a3ZhOWpyZElUSEpyVUR4NllITUlLeGFWV1B2V2JUQng0WUltSk9ENGNmQk1EWVdhM0tjejVqWjJvb0tF0gFHQVVfeXFMTmZsWDhrdmE5anJkSVRISnJVRHg2WUhNSUt4YVZXUHZXYlRCeDRZSW1KT0Q0Y2ZCTURZV2EzS2N6NWpaMm9vS0U?oc=5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Experts from Hong Kong propose solutions to counter sea-level rise in Vietnam</t>
        </is>
      </c>
      <c r="C42" s="176" t="inlineStr">
        <is>
          <t>Offshore, Coasts &amp; Water</t>
        </is>
      </c>
      <c r="D42" s="161" t="n">
        <v>3</v>
      </c>
      <c r="E42" s="183" t="inlineStr">
        <is>
          <t>Regional insight</t>
        </is>
      </c>
      <c r="F42" s="163" t="inlineStr">
        <is>
          <t>To review</t>
        </is>
      </c>
      <c r="G42" s="164" t="n"/>
      <c r="H42" s="165" t="n"/>
      <c r="I42" s="166" t="inlineStr">
        <is>
          <t>Which ground-engineering measures, such as seawalls and soft-soil improvement, best protect low-lying deltas and coasts facing sea-level rise and subsidence?</t>
        </is>
      </c>
      <c r="J42" s="166" t="inlineStr">
        <is>
          <t>Vietnam.vn</t>
        </is>
      </c>
      <c r="K42" s="167" t="n">
        <v>46320</v>
      </c>
      <c r="L42" s="166" t="inlineStr">
        <is>
          <t>来自中国香港的专家为应对越南海平面上升提出了解决方案。</t>
        </is>
      </c>
      <c r="M42" s="168" t="n"/>
      <c r="N42" s="169" t="inlineStr">
        <is>
          <t>Vietnam</t>
        </is>
      </c>
      <c r="O42" s="166" t="inlineStr">
        <is>
          <t>Vietnam coast</t>
        </is>
      </c>
      <c r="P42" s="166" t="n"/>
      <c r="Q42" s="170" t="inlineStr">
        <is>
          <t>China</t>
        </is>
      </c>
      <c r="R42" s="167" t="n">
        <v>46319</v>
      </c>
      <c r="S42" s="169" t="inlineStr">
        <is>
          <t>2026-Q4</t>
        </is>
      </c>
      <c r="T42" s="171" t="n"/>
      <c r="U42" s="158" t="n">
        <v>0</v>
      </c>
      <c r="V42"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Experts weigh in on proposal to level Mot Mountain in Quy Nhon</t>
        </is>
      </c>
      <c r="C43" s="177" t="inlineStr">
        <is>
          <t>Infrastructure &amp; the Underground City</t>
        </is>
      </c>
      <c r="D43" s="161" t="n">
        <v>3</v>
      </c>
      <c r="E43" s="183" t="inlineStr">
        <is>
          <t>Regional insight</t>
        </is>
      </c>
      <c r="F43" s="163" t="inlineStr">
        <is>
          <t>To review</t>
        </is>
      </c>
      <c r="G43" s="164" t="n"/>
      <c r="H43" s="165" t="n"/>
      <c r="I43" s="166" t="inlineStr">
        <is>
          <t>How can slope stability, rock cutting and geohazard risks be assessed when a coastal hill is proposed for levelling in an urban area?</t>
        </is>
      </c>
      <c r="J43" s="166" t="inlineStr">
        <is>
          <t>Vietnam.vn</t>
        </is>
      </c>
      <c r="K43" s="167" t="n">
        <v>46320</v>
      </c>
      <c r="L43" s="166" t="inlineStr">
        <is>
          <t>Para ahli angkat bicara tentang usulan untuk meratakan Gunung Mot di Quy Nhon.</t>
        </is>
      </c>
      <c r="M43" s="168" t="n"/>
      <c r="N43" s="169" t="inlineStr">
        <is>
          <t>Vietnam</t>
        </is>
      </c>
      <c r="O43" s="166" t="inlineStr">
        <is>
          <t>Mot Mountain, Quy Nhon</t>
        </is>
      </c>
      <c r="P43" s="166" t="n"/>
      <c r="Q43" s="170" t="inlineStr">
        <is>
          <t>Indonesia</t>
        </is>
      </c>
      <c r="R43" s="167" t="n">
        <v>46319</v>
      </c>
      <c r="S43" s="169" t="inlineStr">
        <is>
          <t>2026-Q4</t>
        </is>
      </c>
      <c r="T43" s="171" t="n"/>
      <c r="U43" s="158" t="n">
        <v>0</v>
      </c>
      <c r="V43" s="172" t="inlineStr">
        <is>
          <t>https://news.google.com/rss/articles/CBMijwFBVV95cUxQbVc4RlhHZWJTeHV3YlBWTjYzSURERHpMLTJuWHUwU3lpdWdvcS04WlZBYUNwY01aNEVkQmJpZzBqYXhQRXlTWEVpMHlPcUhjb3lvM3h1YWhNQXVJSWhqTEFYVmRkMGpmRTlkN0FPRW5SZzM1YW4xVXRmMVFpYzlkMk5YMUhabnk2eURnN0NJNA?oc=5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Behavior of Square-Round Shaft Combination Helical Piles and Anchors</t>
        </is>
      </c>
      <c r="C44" s="184" t="inlineStr">
        <is>
          <t>Ground Improvement &amp; Innovation</t>
        </is>
      </c>
      <c r="D44" s="161" t="n">
        <v>5</v>
      </c>
      <c r="E44" s="180" t="inlineStr">
        <is>
          <t>Academia-to-Industry topic</t>
        </is>
      </c>
      <c r="F44" s="163" t="inlineStr">
        <is>
          <t>To review</t>
        </is>
      </c>
      <c r="G44" s="164" t="n"/>
      <c r="H44" s="165" t="n"/>
      <c r="I44" s="166" t="inlineStr">
        <is>
          <t>How do square-round shaft combination helical piles and anchors behave under load, and how can their capacity be predicted reliably?</t>
        </is>
      </c>
      <c r="J44" s="166" t="inlineStr">
        <is>
          <t>Geoengineer.org</t>
        </is>
      </c>
      <c r="K44" s="167" t="n">
        <v>46319</v>
      </c>
      <c r="L44" s="166" t="n"/>
      <c r="M44" s="168" t="n"/>
      <c r="N44" s="169" t="n"/>
      <c r="O44" s="166" t="n"/>
      <c r="P44" s="166" t="n"/>
      <c r="Q44" s="170" t="inlineStr">
        <is>
          <t>United States</t>
        </is>
      </c>
      <c r="R44" s="167" t="n">
        <v>46318</v>
      </c>
      <c r="S44" s="169" t="inlineStr">
        <is>
          <t>2026-Q4</t>
        </is>
      </c>
      <c r="T44" s="171" t="inlineStr">
        <is>
          <t>pile, shaft</t>
        </is>
      </c>
      <c r="U44" s="158" t="n">
        <v>7</v>
      </c>
      <c r="V4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65.5" customHeight="1">
      <c r="A45" s="158" t="n">
        <v>42</v>
      </c>
      <c r="B45" s="159" t="inlineStr">
        <is>
          <t>Floating wind needs grounded solutions</t>
        </is>
      </c>
      <c r="C45" s="176" t="inlineStr">
        <is>
          <t>Offshore, Coasts &amp; Water</t>
        </is>
      </c>
      <c r="D45" s="161" t="n">
        <v>5</v>
      </c>
      <c r="E45" s="162" t="inlineStr">
        <is>
          <t>Feature lead</t>
        </is>
      </c>
      <c r="F45" s="163" t="inlineStr">
        <is>
          <t>To review</t>
        </is>
      </c>
      <c r="G45" s="164" t="n"/>
      <c r="H45" s="165" t="n"/>
      <c r="I45" s="166" t="inlineStr">
        <is>
          <t>What geotechnical challenges arise in anchoring floating offshore wind foundations in variable seabed soils under extreme loading?</t>
        </is>
      </c>
      <c r="J45" s="166" t="inlineStr">
        <is>
          <t>Ground Engineering</t>
        </is>
      </c>
      <c r="K45" s="167" t="n">
        <v>46319</v>
      </c>
      <c r="L45" s="166" t="n"/>
      <c r="M4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45" s="169" t="n"/>
      <c r="O45" s="166" t="n"/>
      <c r="P45" s="166" t="n"/>
      <c r="Q45" s="170" t="n"/>
      <c r="R45" s="167" t="n">
        <v>46318</v>
      </c>
      <c r="S45" s="169" t="inlineStr">
        <is>
          <t>2026-Q4</t>
        </is>
      </c>
      <c r="T45" s="171" t="inlineStr">
        <is>
          <t>offshore wind</t>
        </is>
      </c>
      <c r="U45" s="158" t="n">
        <v>6</v>
      </c>
      <c r="V45" s="172" t="inlineStr">
        <is>
          <t>https://www.geplus.co.uk/key-topics/sustainability/floating-wind-needs-grounded-solutions-23-10-2026/</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Sinkhole at excavation site: ground sank even after underground safety assessment</t>
        </is>
      </c>
      <c r="C46" s="177" t="inlineStr">
        <is>
          <t>Infrastructure &amp; the Underground City</t>
        </is>
      </c>
      <c r="D46" s="161" t="n">
        <v>5</v>
      </c>
      <c r="E46" s="162" t="inlineStr">
        <is>
          <t>Feature lead</t>
        </is>
      </c>
      <c r="F46" s="163" t="inlineStr">
        <is>
          <t>To review</t>
        </is>
      </c>
      <c r="G46" s="164" t="n"/>
      <c r="H46" s="165" t="n"/>
      <c r="I46" s="166" t="inlineStr">
        <is>
          <t>Why did ground sink at an excavation despite a completed underground safety assessment, and what gaps exist in such assessments?</t>
        </is>
      </c>
      <c r="J46" s="166" t="inlineStr">
        <is>
          <t>충청신문</t>
        </is>
      </c>
      <c r="K46" s="167" t="n">
        <v>46319</v>
      </c>
      <c r="L46" s="166" t="inlineStr">
        <is>
          <t>장종태, "굴착 현장 싱크홀...지하안전평가 받고도 땅 꺼졌다"</t>
        </is>
      </c>
      <c r="M46" s="168" t="n"/>
      <c r="N46" s="169" t="inlineStr">
        <is>
          <t>South Korea</t>
        </is>
      </c>
      <c r="O46" s="166" t="n"/>
      <c r="P46" s="166" t="n"/>
      <c r="Q46" s="170" t="inlineStr">
        <is>
          <t>South Korea</t>
        </is>
      </c>
      <c r="R46" s="167" t="n">
        <v>46317</v>
      </c>
      <c r="S46" s="169" t="inlineStr">
        <is>
          <t>2026-Q4</t>
        </is>
      </c>
      <c r="T46" s="171" t="inlineStr">
        <is>
          <t>sinkhole, excavation</t>
        </is>
      </c>
      <c r="U46" s="158" t="n">
        <v>6</v>
      </c>
      <c r="V4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Mussolini's engineers drilled 361 holes under Pisa's foundations in 1934 to straighten it, making it lean more.</t>
        </is>
      </c>
      <c r="C47" s="184" t="inlineStr">
        <is>
          <t>Ground Improvement &amp; Innovation</t>
        </is>
      </c>
      <c r="D47" s="161" t="n">
        <v>5</v>
      </c>
      <c r="E47" s="162" t="inlineStr">
        <is>
          <t>Feature lead</t>
        </is>
      </c>
      <c r="F47" s="163" t="inlineStr">
        <is>
          <t>To review</t>
        </is>
      </c>
      <c r="G47" s="164" t="n"/>
      <c r="H47" s="165" t="n"/>
      <c r="I47" s="166" t="inlineStr">
        <is>
          <t>Why did drilling holes beneath Pisa's foundations to correct its tilt backfire, and what does this teach about controlled soil removal and differential settlement in stabilisation works?</t>
        </is>
      </c>
      <c r="J47" s="166" t="inlineStr">
        <is>
          <t>Sciencepost</t>
        </is>
      </c>
      <c r="K47" s="167" t="n">
        <v>46319</v>
      </c>
      <c r="L47" s="166" t="inlineStr">
        <is>
          <t>En perçant 361 trous dans ses fondations en 1934 pour la redresser, les ingénieurs de Mussolini ont littéralement fait pencher la tour de Pise encore plus</t>
        </is>
      </c>
      <c r="M47" s="168" t="n"/>
      <c r="N47" s="169" t="inlineStr">
        <is>
          <t>Italy</t>
        </is>
      </c>
      <c r="O47" s="166" t="inlineStr">
        <is>
          <t>Pisa</t>
        </is>
      </c>
      <c r="P47" s="166" t="n"/>
      <c r="Q47" s="170" t="inlineStr">
        <is>
          <t>Senegal</t>
        </is>
      </c>
      <c r="R47" s="167" t="n">
        <v>46319</v>
      </c>
      <c r="S47" s="169" t="inlineStr">
        <is>
          <t>2026-Q4</t>
        </is>
      </c>
      <c r="T47" s="171" t="inlineStr">
        <is>
          <t>foundation</t>
        </is>
      </c>
      <c r="U47" s="158" t="n">
        <v>2</v>
      </c>
      <c r="V4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Serious landslides in South Gia Nghia</t>
        </is>
      </c>
      <c r="C48" s="160" t="inlineStr">
        <is>
          <t>Hazards &amp; Resilience</t>
        </is>
      </c>
      <c r="D48" s="161" t="n">
        <v>5</v>
      </c>
      <c r="E48" s="162" t="inlineStr">
        <is>
          <t>Feature lead</t>
        </is>
      </c>
      <c r="F48" s="163" t="inlineStr">
        <is>
          <t>To review</t>
        </is>
      </c>
      <c r="G48" s="164" t="n"/>
      <c r="H48" s="165" t="n"/>
      <c r="I48" s="166" t="inlineStr">
        <is>
          <t>What rainfall and slope geometry triggered this serious landslide in Nam Gia Nghia, and how should weathered residual soils on such slopes be investigated and stabilised?</t>
        </is>
      </c>
      <c r="J48" s="166" t="inlineStr">
        <is>
          <t>Vietnam.vn</t>
        </is>
      </c>
      <c r="K48" s="167" t="n">
        <v>46319</v>
      </c>
      <c r="L48" s="166" t="inlineStr">
        <is>
          <t>Sụt trượt đất nghiêm trọng ở Nam Gia Nghĩa</t>
        </is>
      </c>
      <c r="M48" s="168" t="n"/>
      <c r="N48" s="169" t="inlineStr">
        <is>
          <t>Vietnam</t>
        </is>
      </c>
      <c r="O48" s="166" t="inlineStr">
        <is>
          <t>Nam Gia Nghia, Dak Nong</t>
        </is>
      </c>
      <c r="P48" s="166" t="n"/>
      <c r="Q48" s="170" t="inlineStr">
        <is>
          <t>Vietnam</t>
        </is>
      </c>
      <c r="R48" s="167" t="n">
        <v>46317</v>
      </c>
      <c r="S48" s="169" t="inlineStr">
        <is>
          <t>2026-Q4</t>
        </is>
      </c>
      <c r="T48" s="171" t="n"/>
      <c r="U48" s="158" t="n">
        <v>0</v>
      </c>
      <c r="V48" s="172" t="inlineStr">
        <is>
          <t>https://news.google.com/rss/articles/CBMic0FVX3lxTE1zSGZTbjJtMlg2SGZxUUtTSjJMZVdlSUkxSjZBeEV1WExBUUh4ZjdOZWIzcGRHczE1dVZiOWgyQUxTdkZWOEJfM0Y1dk1mcGpKekl0dGR4VE1YRVhoYTFjV09IZGQ3dUNQcl9BSlN0QzhUSkE?oc=5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Automatic segmentation of rock mass fracture networks from UAV imagery using cross-domain transfer learning under scarce labels.</t>
        </is>
      </c>
      <c r="C49" s="179" t="inlineStr">
        <is>
          <t>Digital Geotechnics</t>
        </is>
      </c>
      <c r="D49" s="161" t="n">
        <v>5</v>
      </c>
      <c r="E49" s="180" t="inlineStr">
        <is>
          <t>Academia-to-Industry topic</t>
        </is>
      </c>
      <c r="F49" s="163" t="inlineStr">
        <is>
          <t>To review</t>
        </is>
      </c>
      <c r="G49" s="164" t="n"/>
      <c r="H49" s="165" t="n"/>
      <c r="I49" s="166" t="inlineStr">
        <is>
          <t>Can transfer learning from related image domains reliably segment rock fracture networks in UAV imagery when labelled data are scarce, and how accurate are the results?</t>
        </is>
      </c>
      <c r="J49" s="166" t="inlineStr">
        <is>
          <t>生物通</t>
        </is>
      </c>
      <c r="K49" s="167" t="n">
        <v>46319</v>
      </c>
      <c r="L49" s="166" t="inlineStr">
        <is>
          <t>标签稀缺条件下基于跨域迁移学习的无人机岩体裂隙网络自动分割方法</t>
        </is>
      </c>
      <c r="M49" s="168" t="n"/>
      <c r="N49" s="169" t="n"/>
      <c r="O49" s="166" t="n"/>
      <c r="P49" s="166" t="n"/>
      <c r="Q49" s="170" t="inlineStr">
        <is>
          <t>China</t>
        </is>
      </c>
      <c r="R49" s="167" t="n">
        <v>46318</v>
      </c>
      <c r="S49" s="169" t="inlineStr">
        <is>
          <t>2026-Q4</t>
        </is>
      </c>
      <c r="T49" s="171" t="n"/>
      <c r="U49" s="158" t="n">
        <v>0</v>
      </c>
      <c r="V49" s="172" t="inlineStr">
        <is>
          <t>https://news.google.com/rss/articles/CBMibkFVX3lxTE8wdVhYVXYyQ3RwMHAtOTNnUkh5TnhCcEtVem9XenhDMFo2UVFHbWtIaGIzVHhLb1BFQmd2akRLZkFMd1pQNWJDRElESUY1SUdvLWFfd1ZaUW5tZ0ZFcmIxckZxbXg1Z1RrbXI5V0Zn?oc=5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M4 landslip work begins as part of wider repair programme</t>
        </is>
      </c>
      <c r="C50" s="160" t="inlineStr">
        <is>
          <t>Hazards &amp; Resilience</t>
        </is>
      </c>
      <c r="D50" s="161" t="n">
        <v>4</v>
      </c>
      <c r="E50" s="162" t="inlineStr">
        <is>
          <t>Feature lead</t>
        </is>
      </c>
      <c r="F50" s="163" t="inlineStr">
        <is>
          <t>To review</t>
        </is>
      </c>
      <c r="G50" s="164" t="n"/>
      <c r="H50" s="165" t="n"/>
      <c r="I50" s="166" t="inlineStr">
        <is>
          <t>How should engineers diagnose and stabilise a landslipped motorway embankment, and what drainage and monitoring measures prevent recurrence?</t>
        </is>
      </c>
      <c r="J50" s="166" t="inlineStr">
        <is>
          <t>Ground Engineering</t>
        </is>
      </c>
      <c r="K50" s="167" t="n">
        <v>46319</v>
      </c>
      <c r="L50" s="166" t="n"/>
      <c r="M5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0" s="169" t="inlineStr">
        <is>
          <t>United Kingdom</t>
        </is>
      </c>
      <c r="O50" s="166" t="inlineStr">
        <is>
          <t>M4 Wiltshire</t>
        </is>
      </c>
      <c r="P50" s="166" t="n"/>
      <c r="Q50" s="170" t="n"/>
      <c r="R50" s="167" t="n">
        <v>46318</v>
      </c>
      <c r="S50" s="169" t="inlineStr">
        <is>
          <t>2026-Q4</t>
        </is>
      </c>
      <c r="T50" s="171" t="inlineStr">
        <is>
          <t>landslide, landslip, embankment</t>
        </is>
      </c>
      <c r="U50" s="158" t="n">
        <v>14</v>
      </c>
      <c r="V50" s="172" t="inlineStr">
        <is>
          <t>https://www.geplus.co.uk/news/project-news/m4-landslip-work-begins-as-part-of-wider-repair-programme-23-10-2026/</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Landslide-prevention embankment threatens residential area</t>
        </is>
      </c>
      <c r="C51" s="160" t="inlineStr">
        <is>
          <t>Hazards &amp; Resilience</t>
        </is>
      </c>
      <c r="D51" s="161" t="n">
        <v>4</v>
      </c>
      <c r="E51" s="162" t="inlineStr">
        <is>
          <t>Feature lead</t>
        </is>
      </c>
      <c r="F51" s="163" t="inlineStr">
        <is>
          <t>To review</t>
        </is>
      </c>
      <c r="G51" s="164" t="n"/>
      <c r="H51" s="165" t="n"/>
      <c r="I51" s="166" t="inlineStr">
        <is>
          <t>Can retaining and protective embankments be designed to resist landslide loading from upslope slopes beside settlements, and how should such risk be assessed?</t>
        </is>
      </c>
      <c r="J51" s="166" t="inlineStr">
        <is>
          <t>Vietnam.vn</t>
        </is>
      </c>
      <c r="K51" s="167" t="n">
        <v>46319</v>
      </c>
      <c r="L51" s="166" t="inlineStr">
        <is>
          <t>Tanggul pencegah tanah longsor 'mengancam' kawasan permukiman.</t>
        </is>
      </c>
      <c r="M51" s="168" t="n"/>
      <c r="N51" s="169" t="inlineStr">
        <is>
          <t>Indonesia</t>
        </is>
      </c>
      <c r="O51" s="166" t="n"/>
      <c r="P51" s="166" t="n"/>
      <c r="Q51" s="170" t="inlineStr">
        <is>
          <t>Indonesia</t>
        </is>
      </c>
      <c r="R51" s="167" t="n">
        <v>46318</v>
      </c>
      <c r="S51" s="169" t="inlineStr">
        <is>
          <t>2026-Q4</t>
        </is>
      </c>
      <c r="T51" s="171" t="inlineStr">
        <is>
          <t>landslide, embankment</t>
        </is>
      </c>
      <c r="U51" s="158" t="n">
        <v>13</v>
      </c>
      <c r="V51" s="172" t="inlineStr">
        <is>
          <t>https://news.google.com/rss/articles/CBMia0FVX3lxTE45UVhrbTdIV2NXaVloOTBleGdWeThGbHNoSTJtMTE3cFlfalpoYVBnUEFoUVRJQUp5Z2pVOEZvaGZzRUtjRWtOMzY3Wll0RHJOUTB6c0JYdGEzOXk2VXltZUFkc3RURDBUYUg4?oc=5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Storms in Liguria, major landslide in Savona: the collapse destroyed a city road</t>
        </is>
      </c>
      <c r="C52" s="160" t="inlineStr">
        <is>
          <t>Hazards &amp; Resilience</t>
        </is>
      </c>
      <c r="D52" s="161" t="n">
        <v>4</v>
      </c>
      <c r="E52" s="175" t="inlineStr">
        <is>
          <t>News brief</t>
        </is>
      </c>
      <c r="F52" s="163" t="inlineStr">
        <is>
          <t>To review</t>
        </is>
      </c>
      <c r="G52" s="164" t="n"/>
      <c r="H52" s="165" t="n"/>
      <c r="I52" s="166" t="inlineStr">
        <is>
          <t>What triggered this large rock or soil slope failure in Savona during heavy rain, and what does the collapse reveal about slope stability in Liguria?</t>
        </is>
      </c>
      <c r="J52" s="166" t="inlineStr">
        <is>
          <t>agenzia giornalistica opinione</t>
        </is>
      </c>
      <c r="K52" s="167" t="n">
        <v>46319</v>
      </c>
      <c r="L52" s="166" t="inlineStr">
        <is>
          <t>RAINEWS * CRONACA: «MALTEMPO IN LIGURIA, GRANDE FRANA A SAVONA: IL CROLLO HA DISTRUTTO UNA STRADA CITTADINA</t>
        </is>
      </c>
      <c r="M52" s="168" t="n"/>
      <c r="N52" s="169" t="inlineStr">
        <is>
          <t>Italy</t>
        </is>
      </c>
      <c r="O52" s="166" t="inlineStr">
        <is>
          <t>Savona, Liguria</t>
        </is>
      </c>
      <c r="P52" s="166" t="n"/>
      <c r="Q52" s="170" t="inlineStr">
        <is>
          <t>Italy</t>
        </is>
      </c>
      <c r="R52" s="167" t="n">
        <v>46317</v>
      </c>
      <c r="S52" s="169" t="inlineStr">
        <is>
          <t>2026-Q4</t>
        </is>
      </c>
      <c r="T52" s="171" t="inlineStr">
        <is>
          <t>landslide, collapse</t>
        </is>
      </c>
      <c r="U52" s="158" t="n">
        <v>11</v>
      </c>
      <c r="V5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65.5" customHeight="1">
      <c r="A53" s="158" t="n">
        <v>50</v>
      </c>
      <c r="B53" s="159" t="inlineStr">
        <is>
          <t>At Khanh Le pass, traffic will be interrupted at 30-minute intervals to deal with landslides; road users should plan accordingly</t>
        </is>
      </c>
      <c r="C53" s="160" t="inlineStr">
        <is>
          <t>Hazards &amp; Resilience</t>
        </is>
      </c>
      <c r="D53" s="161" t="n">
        <v>4</v>
      </c>
      <c r="E53" s="162" t="inlineStr">
        <is>
          <t>Feature lead</t>
        </is>
      </c>
      <c r="F53" s="163" t="inlineStr">
        <is>
          <t>To review</t>
        </is>
      </c>
      <c r="G53" s="164" t="n"/>
      <c r="H53" s="165" t="n"/>
      <c r="I53" s="166" t="inlineStr">
        <is>
          <t>How should traffic management and monitoring be combined with slope stabilisation on mountain passes subject to recurrent landslides?</t>
        </is>
      </c>
      <c r="J53" s="166" t="inlineStr">
        <is>
          <t>Vietnam.vn</t>
        </is>
      </c>
      <c r="K53" s="167" t="n">
        <v>46319</v>
      </c>
      <c r="L53" s="166" t="inlineStr">
        <is>
          <t>En el paso de Khanh Le, el tráfico se interrumpirá a intervalos de 30 minutos para hacer frente a los deslizamientos de tierra; los usuarios de la carretera deben tenerlo en cuenta.</t>
        </is>
      </c>
      <c r="M53" s="168" t="n"/>
      <c r="N53" s="169" t="inlineStr">
        <is>
          <t>Vietnam</t>
        </is>
      </c>
      <c r="O53" s="166" t="inlineStr">
        <is>
          <t>Khanh Le pass</t>
        </is>
      </c>
      <c r="P53" s="166" t="n"/>
      <c r="Q53" s="170" t="inlineStr">
        <is>
          <t>Spain</t>
        </is>
      </c>
      <c r="R53" s="167" t="n">
        <v>46319</v>
      </c>
      <c r="S53" s="169" t="inlineStr">
        <is>
          <t>2026-Q4</t>
        </is>
      </c>
      <c r="T53" s="171" t="inlineStr">
        <is>
          <t>landslide</t>
        </is>
      </c>
      <c r="U53" s="158" t="n">
        <v>10</v>
      </c>
      <c r="V5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8" t="n">
        <v>51</v>
      </c>
      <c r="B54" s="159" t="inlineStr">
        <is>
          <t>Valmontone, bad weather: tuff slope collapses onto Prenestina road, road partially closed</t>
        </is>
      </c>
      <c r="C54" s="160" t="inlineStr">
        <is>
          <t>Hazards &amp; Resilience</t>
        </is>
      </c>
      <c r="D54" s="161" t="n">
        <v>4</v>
      </c>
      <c r="E54" s="175" t="inlineStr">
        <is>
          <t>News brief</t>
        </is>
      </c>
      <c r="F54" s="163" t="inlineStr">
        <is>
          <t>To review</t>
        </is>
      </c>
      <c r="G54" s="164" t="n"/>
      <c r="H54" s="165" t="n"/>
      <c r="I54" s="166" t="inlineStr">
        <is>
          <t>What causes tuff cliff collapse in volcanic deposits under rainfall, and how can such slopes be assessed and stabilised near roads?</t>
        </is>
      </c>
      <c r="J54" s="166" t="inlineStr">
        <is>
          <t>Il Giornale dei Castelli Romani</t>
        </is>
      </c>
      <c r="K54" s="167" t="n">
        <v>46319</v>
      </c>
      <c r="L54" s="166" t="inlineStr">
        <is>
          <t>Valmontone, maltempo: frana costone di tufo sulla via Prenestina, strada parzialmente chiusa</t>
        </is>
      </c>
      <c r="M54" s="168" t="n"/>
      <c r="N54" s="169" t="inlineStr">
        <is>
          <t>Italy</t>
        </is>
      </c>
      <c r="O54" s="166" t="inlineStr">
        <is>
          <t>Valmontone, Prenestina road</t>
        </is>
      </c>
      <c r="P54" s="166" t="n"/>
      <c r="Q54" s="170" t="inlineStr">
        <is>
          <t>Italy</t>
        </is>
      </c>
      <c r="R54" s="167" t="n">
        <v>46319</v>
      </c>
      <c r="S54" s="169" t="inlineStr">
        <is>
          <t>2026-Q4</t>
        </is>
      </c>
      <c r="T54" s="171" t="inlineStr">
        <is>
          <t>landslide</t>
        </is>
      </c>
      <c r="U54" s="158" t="n">
        <v>10</v>
      </c>
      <c r="V5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Bonea, landslide in Capo locality: mayor closes three roads by urgent order</t>
        </is>
      </c>
      <c r="C55" s="160" t="inlineStr">
        <is>
          <t>Hazards &amp; Resilience</t>
        </is>
      </c>
      <c r="D55" s="161" t="n">
        <v>4</v>
      </c>
      <c r="E55" s="175" t="inlineStr">
        <is>
          <t>News brief</t>
        </is>
      </c>
      <c r="F55" s="163" t="inlineStr">
        <is>
          <t>To review</t>
        </is>
      </c>
      <c r="G55" s="164" t="n"/>
      <c r="H55" s="165" t="n"/>
      <c r="I55" s="166" t="inlineStr">
        <is>
          <t>What ground investigation would confirm the landslide mechanism at Capo locality and guide safe reopening of the three closed roads?</t>
        </is>
      </c>
      <c r="J55" s="166" t="inlineStr">
        <is>
          <t>Tv7 Benevento</t>
        </is>
      </c>
      <c r="K55" s="167" t="n">
        <v>46319</v>
      </c>
      <c r="L55" s="166" t="inlineStr">
        <is>
          <t>BONEA, FRANA IN LOCALITÀ CAPO: IL SINDACO CHIUDE TRE STRADE CON ORDINANZA URGENTE</t>
        </is>
      </c>
      <c r="M55" s="168" t="n"/>
      <c r="N55" s="169" t="inlineStr">
        <is>
          <t>Italy</t>
        </is>
      </c>
      <c r="O55" s="166" t="inlineStr">
        <is>
          <t>Bonea, Capo locality</t>
        </is>
      </c>
      <c r="P55" s="166" t="n"/>
      <c r="Q55" s="170" t="inlineStr">
        <is>
          <t>Italy</t>
        </is>
      </c>
      <c r="R55" s="167" t="n">
        <v>46319</v>
      </c>
      <c r="S55" s="169" t="inlineStr">
        <is>
          <t>2026-Q4</t>
        </is>
      </c>
      <c r="T55" s="171" t="inlineStr">
        <is>
          <t>landslide</t>
        </is>
      </c>
      <c r="U55" s="158" t="n">
        <v>10</v>
      </c>
      <c r="V5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La frana del Cencione Tra fango e polemiche Le ruspe sono al lavoro</t>
        </is>
      </c>
      <c r="C56" s="160" t="inlineStr">
        <is>
          <t>Hazards &amp; Resilience</t>
        </is>
      </c>
      <c r="D56" s="161" t="n">
        <v>4</v>
      </c>
      <c r="E56" s="162" t="inlineStr">
        <is>
          <t>Feature lead</t>
        </is>
      </c>
      <c r="F56" s="163" t="inlineStr">
        <is>
          <t>To review</t>
        </is>
      </c>
      <c r="G56" s="164" t="n"/>
      <c r="H56" s="165" t="n"/>
      <c r="I56" s="166" t="inlineStr">
        <is>
          <t>How should authorities balance urgent earthworks with geotechnical investigation and accountability when a landslide site becomes politically contested?</t>
        </is>
      </c>
      <c r="J56" s="166" t="inlineStr">
        <is>
          <t>Zazoom Social News</t>
        </is>
      </c>
      <c r="K56" s="167" t="n">
        <v>46319</v>
      </c>
      <c r="L56" s="166" t="n"/>
      <c r="M56" s="168" t="n"/>
      <c r="N56" s="169" t="inlineStr">
        <is>
          <t>Italy</t>
        </is>
      </c>
      <c r="O56" s="166" t="inlineStr">
        <is>
          <t>Cencione</t>
        </is>
      </c>
      <c r="P56" s="166" t="n"/>
      <c r="Q56" s="170" t="inlineStr">
        <is>
          <t>Italy</t>
        </is>
      </c>
      <c r="R56" s="167" t="n">
        <v>46318</v>
      </c>
      <c r="S56" s="169" t="inlineStr">
        <is>
          <t>2026-Q4</t>
        </is>
      </c>
      <c r="T56" s="171" t="inlineStr">
        <is>
          <t>landslide</t>
        </is>
      </c>
      <c r="U56" s="158" t="n">
        <v>10</v>
      </c>
      <c r="V5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TNI helps landslide victims in Lae Ikan, Subulussalam</t>
        </is>
      </c>
      <c r="C57" s="160" t="inlineStr">
        <is>
          <t>Hazards &amp; Resilience</t>
        </is>
      </c>
      <c r="D57" s="161" t="n">
        <v>4</v>
      </c>
      <c r="E57" s="175" t="inlineStr">
        <is>
          <t>News brief</t>
        </is>
      </c>
      <c r="F57" s="163" t="inlineStr">
        <is>
          <t>To review</t>
        </is>
      </c>
      <c r="G57" s="164" t="n"/>
      <c r="H57" s="165" t="n"/>
      <c r="I57" s="166" t="inlineStr">
        <is>
          <t>What role can emergency response and rapid geotechnical assessment play after a landslide in a mountainous Indonesian village?</t>
        </is>
      </c>
      <c r="J57" s="166" t="inlineStr">
        <is>
          <t>RRI.co.id</t>
        </is>
      </c>
      <c r="K57" s="167" t="n">
        <v>46319</v>
      </c>
      <c r="L57" s="166" t="inlineStr">
        <is>
          <t>TNI Bantu Korban Longsor di Lae Ikan Subulussalam</t>
        </is>
      </c>
      <c r="M57" s="168" t="n"/>
      <c r="N57" s="169" t="inlineStr">
        <is>
          <t>Indonesia</t>
        </is>
      </c>
      <c r="O57" s="166" t="inlineStr">
        <is>
          <t>Lae Ikan, Subulussalam</t>
        </is>
      </c>
      <c r="P57" s="166" t="n"/>
      <c r="Q57" s="170" t="inlineStr">
        <is>
          <t>Indonesia</t>
        </is>
      </c>
      <c r="R57" s="167" t="n">
        <v>46319</v>
      </c>
      <c r="S57" s="169" t="inlineStr">
        <is>
          <t>2026-Q4</t>
        </is>
      </c>
      <c r="T57" s="171" t="inlineStr">
        <is>
          <t>landslide</t>
        </is>
      </c>
      <c r="U57" s="158" t="n">
        <v>10</v>
      </c>
      <c r="V5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Intense rains cause alluvion in rural sector of Concepción: residents fear new landslides</t>
        </is>
      </c>
      <c r="C58" s="160" t="inlineStr">
        <is>
          <t>Hazards &amp; Resilience</t>
        </is>
      </c>
      <c r="D58" s="161" t="n">
        <v>4</v>
      </c>
      <c r="E58" s="162" t="inlineStr">
        <is>
          <t>Feature lead</t>
        </is>
      </c>
      <c r="F58" s="163" t="inlineStr">
        <is>
          <t>To review</t>
        </is>
      </c>
      <c r="G58" s="164" t="n"/>
      <c r="H58" s="165" t="n"/>
      <c r="I58" s="166" t="inlineStr">
        <is>
          <t>What triggered the rain-induced debris flow and slope failure in this rural hillside, and how can residents' risk of further slides be assessed?</t>
        </is>
      </c>
      <c r="J58" s="166" t="inlineStr">
        <is>
          <t>Meganoticias</t>
        </is>
      </c>
      <c r="K58" s="167" t="n">
        <v>46319</v>
      </c>
      <c r="L58" s="166" t="inlineStr">
        <is>
          <t>Intensas lluvias provocan aluvión en sector rural de Concepción: Vecinos temen nuevos deslizamientos</t>
        </is>
      </c>
      <c r="M58" s="168" t="n"/>
      <c r="N58" s="169" t="inlineStr">
        <is>
          <t>Chile</t>
        </is>
      </c>
      <c r="O58" s="166" t="inlineStr">
        <is>
          <t>Concepción</t>
        </is>
      </c>
      <c r="P58" s="166" t="n"/>
      <c r="Q58" s="170" t="inlineStr">
        <is>
          <t>Chile</t>
        </is>
      </c>
      <c r="R58" s="167" t="n">
        <v>46317</v>
      </c>
      <c r="S58" s="169" t="inlineStr">
        <is>
          <t>2026-Q4</t>
        </is>
      </c>
      <c r="T58" s="171" t="inlineStr">
        <is>
          <t>landslide, debris flow</t>
        </is>
      </c>
      <c r="U58" s="158" t="n">
        <v>8</v>
      </c>
      <c r="V5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Rockfall onto houses in Chi Lang commune, Lang Son province</t>
        </is>
      </c>
      <c r="C59" s="160" t="inlineStr">
        <is>
          <t>Hazards &amp; Resilience</t>
        </is>
      </c>
      <c r="D59" s="161" t="n">
        <v>4</v>
      </c>
      <c r="E59" s="175" t="inlineStr">
        <is>
          <t>News brief</t>
        </is>
      </c>
      <c r="F59" s="163" t="inlineStr">
        <is>
          <t>To review</t>
        </is>
      </c>
      <c r="G59" s="164" t="n"/>
      <c r="H59" s="165" t="n"/>
      <c r="I59" s="166" t="inlineStr">
        <is>
          <t>What mechanisms cause rockfall onto houses below steep slopes, and how should hazard mitigation be designed for rural settlements?</t>
        </is>
      </c>
      <c r="J59" s="166" t="inlineStr">
        <is>
          <t>Baolangson.vn</t>
        </is>
      </c>
      <c r="K59" s="167" t="n">
        <v>46319</v>
      </c>
      <c r="L59" s="166" t="inlineStr">
        <is>
          <t>Sạt lở đá xuống nhà dân tại xã Chi Lăng - Báo và Phát thanh, Truyền hình Lạng Sơn</t>
        </is>
      </c>
      <c r="M59" s="168" t="n"/>
      <c r="N59" s="169" t="inlineStr">
        <is>
          <t>Vietnam</t>
        </is>
      </c>
      <c r="O59" s="166" t="inlineStr">
        <is>
          <t>Chi Lang commune, Lang Son</t>
        </is>
      </c>
      <c r="P59" s="166" t="n"/>
      <c r="Q59" s="170" t="inlineStr">
        <is>
          <t>Vietnam</t>
        </is>
      </c>
      <c r="R59" s="167" t="n">
        <v>46317</v>
      </c>
      <c r="S59" s="169" t="inlineStr">
        <is>
          <t>2026-Q4</t>
        </is>
      </c>
      <c r="T59" s="171" t="inlineStr">
        <is>
          <t>landslide, rockfall</t>
        </is>
      </c>
      <c r="U59" s="158" t="n">
        <v>8</v>
      </c>
      <c r="V59" s="172" t="inlineStr">
        <is>
          <t>https://news.google.com/rss/articles/CBMif0FVX3lxTE4zQm1aVUtwTUM2RWlZZXpKOEdDX0xZYk41cGNLaDNFNDNlQko2SGxxTmVtLVBBQm9VZkFIOFBmUE1PSE1KclNSUHNQMDhUTGRiWnE0R0ZPcDFFV3E4R3U4M19FZzI2akVUNFRvRkgwSkxuMkZpWmU4Tlh5WTNoQ2M?oc=5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Close-up of a 500-metre street section in Lam Dong province severely damaged by subsidence and landslides</t>
        </is>
      </c>
      <c r="C60" s="160" t="inlineStr">
        <is>
          <t>Hazards &amp; Resilience</t>
        </is>
      </c>
      <c r="D60" s="161" t="n">
        <v>4</v>
      </c>
      <c r="E60" s="183" t="inlineStr">
        <is>
          <t>Regional insight</t>
        </is>
      </c>
      <c r="F60" s="163" t="inlineStr">
        <is>
          <t>To review</t>
        </is>
      </c>
      <c r="G60" s="164" t="n"/>
      <c r="H60" s="165" t="n"/>
      <c r="I60" s="166" t="inlineStr">
        <is>
          <t>What combination of subsidence and landslide processes damaged this 500 m road, and how should such ground be investigated and repaired?</t>
        </is>
      </c>
      <c r="J60" s="166" t="inlineStr">
        <is>
          <t>Vietnam.vn</t>
        </is>
      </c>
      <c r="K60" s="167" t="n">
        <v>46319</v>
      </c>
      <c r="L60" s="166" t="inlineStr">
        <is>
          <t>Крупный план участка улицы длиной 500 метров в провинции Ламдонг, сильно пострадавшего от проседания грунта и оползней.</t>
        </is>
      </c>
      <c r="M60" s="168" t="n"/>
      <c r="N60" s="169" t="inlineStr">
        <is>
          <t>Vietnam</t>
        </is>
      </c>
      <c r="O60" s="166" t="inlineStr">
        <is>
          <t>Lam Dong province</t>
        </is>
      </c>
      <c r="P60" s="166" t="n"/>
      <c r="Q60" s="170" t="inlineStr">
        <is>
          <t>Russia</t>
        </is>
      </c>
      <c r="R60" s="167" t="n">
        <v>46317</v>
      </c>
      <c r="S60" s="169" t="inlineStr">
        <is>
          <t>2026-Q4</t>
        </is>
      </c>
      <c r="T60" s="171" t="inlineStr">
        <is>
          <t>landslide, subsidence, soil</t>
        </is>
      </c>
      <c r="U60" s="158" t="n">
        <v>8</v>
      </c>
      <c r="V60" s="172" t="inlineStr">
        <is>
          <t>https://news.google.com/rss/articles/CBMimwFBVV95cUxPLTkyck5DaWR1VmtTV3hIeXVJaWNDUnNpR1AzZDlLbVdzdC1kSmJfTjM3T000WGlLSWt5S2hfSzItS3Y5MkFJZWRZaktBTlNVVFFyRjNHRndpczhWYkdvNFBFY1MxbXA4VTRWWlpCeVdqTWFNbG9HTldyRlRwQkdUYVV2SDNBOGFRUU9WM3pIMG16RUZBWGttYTRmVQ?oc=5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8" t="n">
        <v>58</v>
      </c>
      <c r="B61" s="159" t="inlineStr">
        <is>
          <t>Quang Tri: Severe coastal erosion threatens dikes, embankments, and people's lives.</t>
        </is>
      </c>
      <c r="C61" s="176" t="inlineStr">
        <is>
          <t>Offshore, Coasts &amp; Water</t>
        </is>
      </c>
      <c r="D61" s="161" t="n">
        <v>4</v>
      </c>
      <c r="E61" s="183" t="inlineStr">
        <is>
          <t>Regional insight</t>
        </is>
      </c>
      <c r="F61" s="163" t="inlineStr">
        <is>
          <t>To review</t>
        </is>
      </c>
      <c r="G61" s="164" t="n"/>
      <c r="H61" s="165" t="n"/>
      <c r="I61" s="166" t="inlineStr">
        <is>
          <t>What processes drive severe coastal erosion undermining dikes, and what protection measures suit such shorelines?</t>
        </is>
      </c>
      <c r="J61" s="166" t="inlineStr">
        <is>
          <t>Vietnam.vn</t>
        </is>
      </c>
      <c r="K61" s="167" t="n">
        <v>46319</v>
      </c>
      <c r="L61" s="166" t="n"/>
      <c r="M61" s="168" t="n"/>
      <c r="N61" s="169" t="inlineStr">
        <is>
          <t>Vietnam</t>
        </is>
      </c>
      <c r="O61" s="166" t="inlineStr">
        <is>
          <t>Quang Tri</t>
        </is>
      </c>
      <c r="P61" s="166" t="n"/>
      <c r="Q61" s="170" t="inlineStr">
        <is>
          <t>Vietnam</t>
        </is>
      </c>
      <c r="R61" s="167" t="n">
        <v>46318</v>
      </c>
      <c r="S61" s="169" t="inlineStr">
        <is>
          <t>2026-Q4</t>
        </is>
      </c>
      <c r="T61" s="171" t="inlineStr">
        <is>
          <t>embankment, dike, erosion</t>
        </is>
      </c>
      <c r="U61" s="158" t="n">
        <v>7</v>
      </c>
      <c r="V6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8" t="n">
        <v>59</v>
      </c>
      <c r="B62" s="159" t="inlineStr">
        <is>
          <t>Nghe An: urgent measures needed to prevent landslide on embankment along coastal road</t>
        </is>
      </c>
      <c r="C62" s="176" t="inlineStr">
        <is>
          <t>Offshore, Coasts &amp; Water</t>
        </is>
      </c>
      <c r="D62" s="161" t="n">
        <v>4</v>
      </c>
      <c r="E62" s="183" t="inlineStr">
        <is>
          <t>Regional insight</t>
        </is>
      </c>
      <c r="F62" s="163" t="inlineStr">
        <is>
          <t>To review</t>
        </is>
      </c>
      <c r="G62" s="164" t="n"/>
      <c r="H62" s="165" t="n"/>
      <c r="I62" s="166" t="inlineStr">
        <is>
          <t>What urgent stabilisation options suit a failing embankment on a coastal road, and how should slope failure risk be assessed?</t>
        </is>
      </c>
      <c r="J62" s="166" t="inlineStr">
        <is>
          <t>Vietnam.vn</t>
        </is>
      </c>
      <c r="K62" s="167" t="n">
        <v>46319</v>
      </c>
      <c r="L62" s="166" t="inlineStr">
        <is>
          <t>Нге Ан: Необходимы срочные меры для предотвращения оползня на насыпи вдоль прибрежной дороги.</t>
        </is>
      </c>
      <c r="M62" s="168" t="n"/>
      <c r="N62" s="169" t="inlineStr">
        <is>
          <t>Vietnam</t>
        </is>
      </c>
      <c r="O62" s="166" t="inlineStr">
        <is>
          <t>Nghe An</t>
        </is>
      </c>
      <c r="P62" s="166" t="n"/>
      <c r="Q62" s="170" t="inlineStr">
        <is>
          <t>Russia</t>
        </is>
      </c>
      <c r="R62" s="167" t="n">
        <v>46318</v>
      </c>
      <c r="S62" s="169" t="inlineStr">
        <is>
          <t>2026-Q4</t>
        </is>
      </c>
      <c r="T62" s="171" t="inlineStr">
        <is>
          <t>landslide, embankment</t>
        </is>
      </c>
      <c r="U62" s="158" t="n">
        <v>7</v>
      </c>
      <c r="V62" s="172" t="inlineStr">
        <is>
          <t>https://news.google.com/rss/articles/CBMilwFBVV95cUxNcG13NlMtVlJSQ0ZDYTM0cGN0NmZzaEtGVDFnV2ZGNkIzM1p0MU0wdUFpbnNDdFFDa0l6M1F6NW5hX2pMNFViN2lfWE80dlJFUGpiOWRfSFhBRWN1d1g2b3o5a1kxNUhIVHRNUUJ6TG5EMXdxcnE2bG9TTWxIc2dDUjBLTlpmNjg5WFVtZE15SWhRY0sxSWtv?oc=5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57-billion-dong erosion revetment in Thanh Hoa subsides and cracks right after completion</t>
        </is>
      </c>
      <c r="C63" s="160" t="inlineStr">
        <is>
          <t>Hazards &amp; Resilience</t>
        </is>
      </c>
      <c r="D63" s="161" t="n">
        <v>4</v>
      </c>
      <c r="E63" s="162" t="inlineStr">
        <is>
          <t>Feature lead</t>
        </is>
      </c>
      <c r="F63" s="163" t="inlineStr">
        <is>
          <t>To review</t>
        </is>
      </c>
      <c r="G63" s="164" t="n"/>
      <c r="H63" s="165" t="n"/>
      <c r="I63" s="166" t="inlineStr">
        <is>
          <t>Why did a newly completed revetment subside and crack so soon, and what foundation or design checks could have prevented it?</t>
        </is>
      </c>
      <c r="J63" s="166" t="inlineStr">
        <is>
          <t>Báo Thanh Niên</t>
        </is>
      </c>
      <c r="K63" s="167" t="n">
        <v>46319</v>
      </c>
      <c r="L63" s="166" t="inlineStr">
        <is>
          <t>Kè chống sạt lở hơn 57 tỉ đồng ở Thanh Hóa vừa làm xong đã sụt lún, đứt gãy</t>
        </is>
      </c>
      <c r="M63" s="168" t="n"/>
      <c r="N63" s="169" t="inlineStr">
        <is>
          <t>Vietnam</t>
        </is>
      </c>
      <c r="O63" s="166" t="inlineStr">
        <is>
          <t>Thanh Hoa</t>
        </is>
      </c>
      <c r="P63" s="166" t="n"/>
      <c r="Q63" s="170" t="inlineStr">
        <is>
          <t>Vietnam</t>
        </is>
      </c>
      <c r="R63" s="167" t="n">
        <v>46319</v>
      </c>
      <c r="S63" s="169" t="inlineStr">
        <is>
          <t>2026-Q4</t>
        </is>
      </c>
      <c r="T63" s="171" t="inlineStr">
        <is>
          <t>landslide, subsidence</t>
        </is>
      </c>
      <c r="U63" s="158" t="n">
        <v>7</v>
      </c>
      <c r="V6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Lam Dong warns of serious subsidence and sliding on city streets</t>
        </is>
      </c>
      <c r="C64" s="160" t="inlineStr">
        <is>
          <t>Hazards &amp; Resilience</t>
        </is>
      </c>
      <c r="D64" s="161" t="n">
        <v>4</v>
      </c>
      <c r="E64" s="183" t="inlineStr">
        <is>
          <t>Regional insight</t>
        </is>
      </c>
      <c r="F64" s="163" t="inlineStr">
        <is>
          <t>To review</t>
        </is>
      </c>
      <c r="G64" s="164" t="n"/>
      <c r="H64" s="165" t="n"/>
      <c r="I64" s="166" t="inlineStr">
        <is>
          <t>What causes urban street subsidence and sliding in this highland city, and how should authorities monitor and warn residents?</t>
        </is>
      </c>
      <c r="J64" s="166" t="inlineStr">
        <is>
          <t>Báo và phát thanh, truyền hình Đồng Tháp</t>
        </is>
      </c>
      <c r="K64" s="167" t="n">
        <v>46319</v>
      </c>
      <c r="L64" s="166" t="inlineStr">
        <is>
          <t>Lâm Đồng: Cảnh báo sụt lún, sạt trượt nghiêm trọng đường phố</t>
        </is>
      </c>
      <c r="M64" s="168" t="n"/>
      <c r="N64" s="169" t="inlineStr">
        <is>
          <t>Vietnam</t>
        </is>
      </c>
      <c r="O64" s="166" t="inlineStr">
        <is>
          <t>Da Lat, Lam Dong</t>
        </is>
      </c>
      <c r="P64" s="166" t="n"/>
      <c r="Q64" s="170" t="inlineStr">
        <is>
          <t>Vietnam</t>
        </is>
      </c>
      <c r="R64" s="167" t="n">
        <v>46318</v>
      </c>
      <c r="S64" s="169" t="inlineStr">
        <is>
          <t>2026-Q4</t>
        </is>
      </c>
      <c r="T64" s="171" t="inlineStr">
        <is>
          <t>landslide, subsidence</t>
        </is>
      </c>
      <c r="U64" s="158" t="n">
        <v>7</v>
      </c>
      <c r="V64" s="172" t="inlineStr">
        <is>
          <t>https://news.google.com/rss/articles/CBMiigFBVV95cUxPZWVidFMzVlYxMDdISl9EQ2U0U3hiaVU2NmFPN09jYzZUem1CaXB3N1I4S1l0VW9Ka1l1LU9kVnY2bDQzUnFKWUFiNnF3azVkeEZoUGpxREdXNExtd2ZwRWVtNmZPTUkxUnA5TmFsczUyX3hkLUpJYmtFVU5yeTRONV9nb2VfNjVPZnc?oc=5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8" t="n">
        <v>62</v>
      </c>
      <c r="B65" s="159" t="inlineStr">
        <is>
          <t>Identifying a huge sinkhole in Phong Nha-Ke Bang National Park; exploring Thien Ha cave in Ninh Binh</t>
        </is>
      </c>
      <c r="C65" s="160" t="inlineStr">
        <is>
          <t>Hazards &amp; Resilience</t>
        </is>
      </c>
      <c r="D65" s="161" t="n">
        <v>4</v>
      </c>
      <c r="E65" s="162" t="inlineStr">
        <is>
          <t>Feature lead</t>
        </is>
      </c>
      <c r="F65" s="163" t="inlineStr">
        <is>
          <t>To review</t>
        </is>
      </c>
      <c r="G65" s="164" t="n"/>
      <c r="H65" s="165" t="n"/>
      <c r="I65" s="166" t="inlineStr">
        <is>
          <t>What karst processes produce giant sinkholes, and how can they be detected and assessed in limestone terrain?</t>
        </is>
      </c>
      <c r="J65" s="166" t="inlineStr">
        <is>
          <t>Kenh14.vn</t>
        </is>
      </c>
      <c r="K65" s="167" t="n">
        <v>46319</v>
      </c>
      <c r="L65" s="166" t="inlineStr">
        <is>
          <t>Xác định hố sụt lún “khủng” ở Vườn quốc gia Phong Nha-Kẻ Bàng Khám phá hang động Thiên Hà huyền ảo ở Ninh Bình</t>
        </is>
      </c>
      <c r="M65" s="168" t="n"/>
      <c r="N65" s="169" t="inlineStr">
        <is>
          <t>Vietnam</t>
        </is>
      </c>
      <c r="O65" s="166" t="inlineStr">
        <is>
          <t>Phong Nha-Ke Bang National Park</t>
        </is>
      </c>
      <c r="P65" s="166" t="n"/>
      <c r="Q65" s="170" t="inlineStr">
        <is>
          <t>Vietnam</t>
        </is>
      </c>
      <c r="R65" s="167" t="n">
        <v>46318</v>
      </c>
      <c r="S65" s="169" t="inlineStr">
        <is>
          <t>2026-Q4</t>
        </is>
      </c>
      <c r="T65" s="171" t="inlineStr">
        <is>
          <t>sinkhole, subsidence</t>
        </is>
      </c>
      <c r="U65" s="158" t="n">
        <v>7</v>
      </c>
      <c r="V6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Close-up of a 500-metre street in Lam Dong province, badly hit by subsidence and landslides</t>
        </is>
      </c>
      <c r="C66" s="160" t="inlineStr">
        <is>
          <t>Hazards &amp; Resilience</t>
        </is>
      </c>
      <c r="D66" s="161" t="n">
        <v>4</v>
      </c>
      <c r="E66" s="183" t="inlineStr">
        <is>
          <t>Regional insight</t>
        </is>
      </c>
      <c r="F66" s="163" t="inlineStr">
        <is>
          <t>To review</t>
        </is>
      </c>
      <c r="G66" s="164" t="n"/>
      <c r="H66" s="165" t="n"/>
      <c r="I66" s="166" t="inlineStr">
        <is>
          <t>What combination of subsidence and landslide processes damaged this 500 m road, and how should such ground be investigated and repaired?</t>
        </is>
      </c>
      <c r="J66" s="166" t="inlineStr">
        <is>
          <t>Vietnam.vn</t>
        </is>
      </c>
      <c r="K66" s="167" t="n">
        <v>46319</v>
      </c>
      <c r="L66" s="166" t="inlineStr">
        <is>
          <t>Gros plan sur 500 mètres de rue dans la province de Lam Dong, gravement touchée par des affaissements et des glissements de terrain.</t>
        </is>
      </c>
      <c r="M66" s="168" t="n"/>
      <c r="N66" s="169" t="inlineStr">
        <is>
          <t>Vietnam</t>
        </is>
      </c>
      <c r="O66" s="166" t="inlineStr">
        <is>
          <t>Lam Dong province</t>
        </is>
      </c>
      <c r="P66" s="166" t="n"/>
      <c r="Q66" s="170" t="inlineStr">
        <is>
          <t>Vietnam</t>
        </is>
      </c>
      <c r="R66" s="167" t="n">
        <v>46317</v>
      </c>
      <c r="S66" s="169" t="inlineStr">
        <is>
          <t>2026-Q4</t>
        </is>
      </c>
      <c r="T66" s="171" t="inlineStr">
        <is>
          <t>landslide, subsidence</t>
        </is>
      </c>
      <c r="U66" s="158" t="n">
        <v>7</v>
      </c>
      <c r="V66" s="172" t="inlineStr">
        <is>
          <t>https://news.google.com/rss/articles/CBMimwFBVV95cUxPMFBaWmJuQ3NGTklKMkNGckRqWFA0WW1sLXlvY1QxanR4YkN6YVVpejBld3ctZVREbkVPWnVab2FBOEZtTXoyeVRmTDE3TXF3ck5IRzNkNFJRZ0lmZmlqLTIwWGZhV0N0RFFiNGVPMnJBcHc4RXBBdjRqdmh5WnZSb1VkZ3B2Q3hva0JybF8tbVI0WjVQVFVsNHUxTQ?oc=5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Anti-landslide embankment threatens residential area</t>
        </is>
      </c>
      <c r="C67" s="160" t="inlineStr">
        <is>
          <t>Hazards &amp; Resilience</t>
        </is>
      </c>
      <c r="D67" s="161" t="n">
        <v>4</v>
      </c>
      <c r="E67" s="183" t="inlineStr">
        <is>
          <t>Regional insight</t>
        </is>
      </c>
      <c r="F67" s="163" t="inlineStr">
        <is>
          <t>To review</t>
        </is>
      </c>
      <c r="G67" s="164" t="n"/>
      <c r="H67" s="165" t="n"/>
      <c r="I67" s="166" t="inlineStr">
        <is>
          <t>Why does this anti-landslide embankment threaten housing, and what stability checks should apply to embankments near settlements?</t>
        </is>
      </c>
      <c r="J67" s="166" t="inlineStr">
        <is>
          <t>Vietnam.vn</t>
        </is>
      </c>
      <c r="K67" s="167" t="n">
        <v>46319</v>
      </c>
      <c r="L67" s="166" t="inlineStr">
        <is>
          <t>산사태 방지 제방이 주거 지역을 위협하고 있다.</t>
        </is>
      </c>
      <c r="M67" s="168" t="n"/>
      <c r="N67" s="169" t="inlineStr">
        <is>
          <t>Vietnam</t>
        </is>
      </c>
      <c r="O67" s="166" t="n"/>
      <c r="P67" s="166" t="n"/>
      <c r="Q67" s="170" t="inlineStr">
        <is>
          <t>South Korea</t>
        </is>
      </c>
      <c r="R67" s="167" t="n">
        <v>46319</v>
      </c>
      <c r="S67" s="169" t="inlineStr">
        <is>
          <t>2026-Q4</t>
        </is>
      </c>
      <c r="T67" s="171" t="inlineStr">
        <is>
          <t>landslide, embankment</t>
        </is>
      </c>
      <c r="U67" s="158" t="n">
        <v>7</v>
      </c>
      <c r="V67" s="172" t="inlineStr">
        <is>
          <t>https://news.google.com/rss/articles/CBMia0FVX3lxTE5yN3NxbVRJdUpIaWRZaHJQMGx1MktYUTdSRHlXd0xCR0tiSkhtNEotVmltaFRvVzFvY3Qxcm1JOFVCb1RBWXVtMTZRVWRtdC1DMERha1RoblFxTjhBT01GR1hWQ1JLTlRFMW1V?oc=5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Nghe An: early treatment needed for slope failure on coastal road cut</t>
        </is>
      </c>
      <c r="C68" s="176" t="inlineStr">
        <is>
          <t>Offshore, Coasts &amp; Water</t>
        </is>
      </c>
      <c r="D68" s="161" t="n">
        <v>4</v>
      </c>
      <c r="E68" s="183" t="inlineStr">
        <is>
          <t>Regional insight</t>
        </is>
      </c>
      <c r="F68" s="163" t="inlineStr">
        <is>
          <t>To review</t>
        </is>
      </c>
      <c r="G68" s="164" t="n"/>
      <c r="H68" s="165" t="n"/>
      <c r="I68" s="166" t="inlineStr">
        <is>
          <t>What causes slope failure in coastal road cuts, and which stabilisation methods are most suitable for weathered coastal soils?</t>
        </is>
      </c>
      <c r="J68" s="166" t="inlineStr">
        <is>
          <t>Vietnam.vn</t>
        </is>
      </c>
      <c r="K68" s="167" t="n">
        <v>46319</v>
      </c>
      <c r="L68" s="166" t="inlineStr">
        <is>
          <t>Nghệ An: Cần sớm xử lý sạt lở taluy dương trên tuyến đường ven biển</t>
        </is>
      </c>
      <c r="M68" s="168" t="n"/>
      <c r="N68" s="169" t="inlineStr">
        <is>
          <t>Vietnam</t>
        </is>
      </c>
      <c r="O68" s="166" t="inlineStr">
        <is>
          <t>Nghe An</t>
        </is>
      </c>
      <c r="P68" s="166" t="inlineStr">
        <is>
          <t>Nghe An coastal road embankment landslide, Vietnam (Oct 2026) · Event · 2 reports</t>
        </is>
      </c>
      <c r="Q68" s="170" t="inlineStr">
        <is>
          <t>Vietnam</t>
        </is>
      </c>
      <c r="R68" s="167" t="n">
        <v>46318</v>
      </c>
      <c r="S68" s="169" t="inlineStr">
        <is>
          <t>2026-Q4</t>
        </is>
      </c>
      <c r="T68" s="171" t="inlineStr">
        <is>
          <t>landslide, slope</t>
        </is>
      </c>
      <c r="U68" s="158" t="n">
        <v>6</v>
      </c>
      <c r="V68" s="172" t="inlineStr">
        <is>
          <t>https://news.google.com/rss/articles/CBMikwFBVV95cUxOUmJPNnl3dVdQRml6UUt3S1Joa05VaE9sdjdhNWZZeVN6QUdqdnFIS2NiMWdGMl9KN093Wm1naTRFcDRoek1UTVQxNGJkZ2lkajUyVnhRRFF4ZTV1UlhsS3NodG80YlpGdlpuOHRaaGFnaXJ5cDN4eTd0VFZJdldPMlczVVZ1NmZZdExSemVKM3lXWUk?oc=5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Osan: Jo Yong-ho's restoration of Seobu-ro retaining wall after road collapse, aiming to restore public trust</t>
        </is>
      </c>
      <c r="C69" s="177" t="inlineStr">
        <is>
          <t>Infrastructure &amp; the Underground City</t>
        </is>
      </c>
      <c r="D69" s="161" t="n">
        <v>4</v>
      </c>
      <c r="E69" s="162" t="inlineStr">
        <is>
          <t>Feature lead</t>
        </is>
      </c>
      <c r="F69" s="163" t="inlineStr">
        <is>
          <t>To review</t>
        </is>
      </c>
      <c r="G69" s="164" t="n"/>
      <c r="H69" s="165" t="n"/>
      <c r="I69" s="166" t="inlineStr">
        <is>
          <t>What caused the road collapse behind this retaining wall, and how should wall reconstruction address backfill and drainage?</t>
        </is>
      </c>
      <c r="J69" s="166" t="inlineStr">
        <is>
          <t>아주경제</t>
        </is>
      </c>
      <c r="K69" s="167" t="n">
        <v>46319</v>
      </c>
      <c r="L69" s="166" t="inlineStr">
        <is>
          <t>[강대웅의 정문일침(頂門一鍼)] 조용호 시장의 오산시 서부로 옹벽 복구...무너진 도로 넘어 시민 신뢰 회복</t>
        </is>
      </c>
      <c r="M69" s="168" t="n"/>
      <c r="N69" s="169" t="inlineStr">
        <is>
          <t>South Korea</t>
        </is>
      </c>
      <c r="O69" s="166" t="inlineStr">
        <is>
          <t>Osan, Seobu-ro</t>
        </is>
      </c>
      <c r="P69" s="166" t="n"/>
      <c r="Q69" s="170" t="inlineStr">
        <is>
          <t>South Korea</t>
        </is>
      </c>
      <c r="R69" s="167" t="n">
        <v>46319</v>
      </c>
      <c r="S69" s="169" t="inlineStr">
        <is>
          <t>2026-Q4</t>
        </is>
      </c>
      <c r="T69" s="171" t="inlineStr">
        <is>
          <t>retaining wall, collapse</t>
        </is>
      </c>
      <c r="U69" s="158" t="n">
        <v>5</v>
      </c>
      <c r="V6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53" customHeight="1">
      <c r="A70" s="158" t="n">
        <v>67</v>
      </c>
      <c r="B70" s="159" t="inlineStr">
        <is>
          <t>Lawmakers warn of major accidents as retaining wall near apartments repeatedly collapses; drainage and private land issues</t>
        </is>
      </c>
      <c r="C70" s="177" t="inlineStr">
        <is>
          <t>Infrastructure &amp; the Underground City</t>
        </is>
      </c>
      <c r="D70" s="161" t="n">
        <v>4</v>
      </c>
      <c r="E70" s="183" t="inlineStr">
        <is>
          <t>Regional insight</t>
        </is>
      </c>
      <c r="F70" s="163" t="inlineStr">
        <is>
          <t>To review</t>
        </is>
      </c>
      <c r="G70" s="164" t="n"/>
      <c r="H70" s="165" t="n"/>
      <c r="I70" s="166" t="inlineStr">
        <is>
          <t>Why do retaining walls beside apartments collapse repeatedly, and how do drainage and private land ownership complicate remediation?</t>
        </is>
      </c>
      <c r="J70" s="166" t="inlineStr">
        <is>
          <t>Naver Blog</t>
        </is>
      </c>
      <c r="K70" s="167" t="n">
        <v>46319</v>
      </c>
      <c r="L70" s="166" t="inlineStr">
        <is>
          <t>반주영 의원 “인명피해로 이어지면 큰 사고”…황성석 의원도 고촌 옹벽 안전대책 촉구 | 아파트 인접 옹벽 반복 붕괴 우려…상부 배수로·사유지 문제에 시의 적극적인 협의 주문</t>
        </is>
      </c>
      <c r="M70" s="168" t="n"/>
      <c r="N70" s="169" t="inlineStr">
        <is>
          <t>South Korea</t>
        </is>
      </c>
      <c r="O70" s="166" t="inlineStr">
        <is>
          <t>Gochon, Gimpo</t>
        </is>
      </c>
      <c r="P70" s="166" t="n"/>
      <c r="Q70" s="170" t="inlineStr">
        <is>
          <t>South Korea</t>
        </is>
      </c>
      <c r="R70" s="167" t="n">
        <v>46318</v>
      </c>
      <c r="S70" s="169" t="inlineStr">
        <is>
          <t>2026-Q4</t>
        </is>
      </c>
      <c r="T70" s="171" t="inlineStr">
        <is>
          <t>retaining wall, collapse</t>
        </is>
      </c>
      <c r="U70" s="158" t="n">
        <v>5</v>
      </c>
      <c r="V70" s="172" t="inlineStr">
        <is>
          <t>https://news.google.com/rss/articles/CBMikgFBVV95cUxPcTFMNDFOcFc5MjJHLWgxTldJbW9TT3doRG10TDRuSzlYNGNSSU5DOU1Razc0dkRYY0IyeVN1OHoyT3U2WG9wNUh5VW81UEd6anIwMDF1Ym1yQ3VlVk4wZ05saEh2VFFBMnZqOV9nbkFud0NMbWZ6NW9UU0pha0E3enQxdHQtU3JaNktBMlNxWTg2Zw?oc=5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Part of a retaining wall collapsed near Pioneer Park in Yalta after rains</t>
        </is>
      </c>
      <c r="C71" s="177" t="inlineStr">
        <is>
          <t>Infrastructure &amp; the Underground City</t>
        </is>
      </c>
      <c r="D71" s="161" t="n">
        <v>4</v>
      </c>
      <c r="E71" s="183" t="inlineStr">
        <is>
          <t>Regional insight</t>
        </is>
      </c>
      <c r="F71" s="163" t="inlineStr">
        <is>
          <t>To review</t>
        </is>
      </c>
      <c r="G71" s="164" t="n"/>
      <c r="H71" s="165" t="n"/>
      <c r="I71" s="166" t="inlineStr">
        <is>
          <t>Why did this retaining wall fail after heavy rain, and what drainage and wall design checks should coastal slopes receive?</t>
        </is>
      </c>
      <c r="J71" s="166" t="inlineStr">
        <is>
          <t>Крыминформ</t>
        </is>
      </c>
      <c r="K71" s="167" t="n">
        <v>46319</v>
      </c>
      <c r="L71" s="166" t="inlineStr">
        <is>
          <t>После ливней у Пионерского парка в Ялте обрушилась часть подпорной стены</t>
        </is>
      </c>
      <c r="M71" s="168" t="n"/>
      <c r="N71" s="169" t="inlineStr">
        <is>
          <t>Ukraine</t>
        </is>
      </c>
      <c r="O71" s="166" t="inlineStr">
        <is>
          <t>Yalta, Pioneer Park</t>
        </is>
      </c>
      <c r="P71" s="166" t="n"/>
      <c r="Q71" s="170" t="inlineStr">
        <is>
          <t>Russia</t>
        </is>
      </c>
      <c r="R71" s="167" t="n">
        <v>46317</v>
      </c>
      <c r="S71" s="169" t="inlineStr">
        <is>
          <t>2026-Q4</t>
        </is>
      </c>
      <c r="T71" s="171" t="inlineStr">
        <is>
          <t>retaining wall, collapse</t>
        </is>
      </c>
      <c r="U71" s="158" t="n">
        <v>5</v>
      </c>
      <c r="V71" s="172" t="inlineStr">
        <is>
          <t>https://news.google.com/rss/articles/CBMiUkFVX3lxTFBBaDhzbmpCUVV6Y1lGN3hyYllJRGRHNkUta1M3SVpkamJ5MGktVWZHdDJqLWloWW40SmVzTldUSWc0UXliVXJOVWR2VmJoWUtGc0E?oc=5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Two houses collapse due to Tien River bank erosion</t>
        </is>
      </c>
      <c r="C72" s="176" t="inlineStr">
        <is>
          <t>Offshore, Coasts &amp; Water</t>
        </is>
      </c>
      <c r="D72" s="161" t="n">
        <v>4</v>
      </c>
      <c r="E72" s="175" t="inlineStr">
        <is>
          <t>News brief</t>
        </is>
      </c>
      <c r="F72" s="163" t="inlineStr">
        <is>
          <t>To review</t>
        </is>
      </c>
      <c r="G72" s="164" t="n"/>
      <c r="H72" s="165" t="n"/>
      <c r="I72" s="166" t="inlineStr">
        <is>
          <t>What riverbank erosion processes undermined these houses, and how can bank stability be assessed near settlements?</t>
        </is>
      </c>
      <c r="J72" s="166" t="inlineStr">
        <is>
          <t>VTV.vn</t>
        </is>
      </c>
      <c r="K72" s="167" t="n">
        <v>46319</v>
      </c>
      <c r="L72" s="166" t="inlineStr">
        <is>
          <t>Hai căn nhà đổ sập do sạt lở bờ sông Tiền</t>
        </is>
      </c>
      <c r="M72" s="168" t="n"/>
      <c r="N72" s="169" t="inlineStr">
        <is>
          <t>Vietnam</t>
        </is>
      </c>
      <c r="O72" s="166" t="inlineStr">
        <is>
          <t>Tien River</t>
        </is>
      </c>
      <c r="P72" s="166" t="n"/>
      <c r="Q72" s="170" t="inlineStr">
        <is>
          <t>Vietnam</t>
        </is>
      </c>
      <c r="R72" s="167" t="n">
        <v>46318</v>
      </c>
      <c r="S72" s="169" t="inlineStr">
        <is>
          <t>2026-Q4</t>
        </is>
      </c>
      <c r="T72" s="171" t="inlineStr">
        <is>
          <t>landslide, collapse</t>
        </is>
      </c>
      <c r="U72" s="158" t="n">
        <v>5</v>
      </c>
      <c r="V72" s="172" t="inlineStr">
        <is>
          <t>https://news.google.com/rss/articles/CBMihgFBVV95cUxNZlBjUzdTUHFfNm9fQnZtclVPRG1ZdWtERFVpMHRYYzRrTGV1alZYeU4yR240ZnM4bFZEMkhFMEtJbk1fakR3dzgyRm12YkZZdkpnTjE4UGNBR2otMlpsbkVpdDdGbXBPbUdYaU5ldjBqUnA1c1hwcFF4Yjl3NXVFcHRacHlTZw?oc=5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Gochang-Buan Noeuldaegyo Enters Geotechnical Survey Phase; Construction Targeted for January 2028</t>
        </is>
      </c>
      <c r="C73" s="177" t="inlineStr">
        <is>
          <t>Infrastructure &amp; the Underground City</t>
        </is>
      </c>
      <c r="D73" s="161" t="n">
        <v>4</v>
      </c>
      <c r="E73" s="175" t="inlineStr">
        <is>
          <t>News brief</t>
        </is>
      </c>
      <c r="F73" s="163" t="inlineStr">
        <is>
          <t>To review</t>
        </is>
      </c>
      <c r="G73" s="164" t="n"/>
      <c r="H73" s="165" t="n"/>
      <c r="I73" s="166" t="inlineStr">
        <is>
          <t>What ground conditions will the geotechnical survey reveal for this Korean nuclear-related or major construction project, and how will they shape the 2028 schedule?</t>
        </is>
      </c>
      <c r="J73" s="166" t="inlineStr">
        <is>
          <t>아시아경제</t>
        </is>
      </c>
      <c r="K73" s="167" t="n">
        <v>46319</v>
      </c>
      <c r="L73" s="166" t="n"/>
      <c r="M73" s="168" t="n"/>
      <c r="N73" s="169" t="inlineStr">
        <is>
          <t>South Korea</t>
        </is>
      </c>
      <c r="O73" s="166" t="inlineStr">
        <is>
          <t>Gochang-Buan</t>
        </is>
      </c>
      <c r="P73" s="166" t="n"/>
      <c r="Q73" s="170" t="inlineStr">
        <is>
          <t>United Kingdom</t>
        </is>
      </c>
      <c r="R73" s="167" t="n">
        <v>46317</v>
      </c>
      <c r="S73" s="169" t="inlineStr">
        <is>
          <t>2026-Q4</t>
        </is>
      </c>
      <c r="T73" s="171" t="inlineStr">
        <is>
          <t>geotechnical</t>
        </is>
      </c>
      <c r="U73" s="158" t="n">
        <v>5</v>
      </c>
      <c r="V73" s="172" t="inlineStr">
        <is>
          <t>https://news.google.com/rss/articles/CBMibEFVX3lxTE9qd0p2T2p3a1lzbEg5TnFXNDZ2VXRhLWIzbGk1U0pnQlFCUk1RU2tqdFFXeEt4RkM3bThuVUUyelBfNHJMdlFmMThyZG9UakhLLTFqTGJBTDBKVmN1bXlqQmYyX1U3eHIyWTNfTw?oc=5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Se ha descubierto un socavón del tamaño de casi tres campos de fútbol en Phong Nha Ke Bang.</t>
        </is>
      </c>
      <c r="C74" s="178" t="inlineStr">
        <is>
          <t>Characterisation &amp; Modelling</t>
        </is>
      </c>
      <c r="D74" s="161" t="n">
        <v>4</v>
      </c>
      <c r="E74" s="162" t="inlineStr">
        <is>
          <t>Feature lead</t>
        </is>
      </c>
      <c r="F74" s="163" t="inlineStr">
        <is>
          <t>To review</t>
        </is>
      </c>
      <c r="G74" s="164" t="n"/>
      <c r="H74" s="165" t="n"/>
      <c r="I74" s="166" t="inlineStr">
        <is>
          <t>How do karst dissolution and roof collapse produce giant dolines like the one in Phong Nha Ke Bang, and how can such cavities be characterised?</t>
        </is>
      </c>
      <c r="J74" s="166" t="inlineStr">
        <is>
          <t>Vietnam.vn</t>
        </is>
      </c>
      <c r="K74" s="167" t="n">
        <v>46319</v>
      </c>
      <c r="L74" s="166" t="n"/>
      <c r="M74" s="168" t="n"/>
      <c r="N74" s="169" t="inlineStr">
        <is>
          <t>Vietnam</t>
        </is>
      </c>
      <c r="O74" s="166" t="inlineStr">
        <is>
          <t>Phong Nha Ke Bang</t>
        </is>
      </c>
      <c r="P74" s="166" t="n"/>
      <c r="Q74" s="170" t="inlineStr">
        <is>
          <t>Colombia</t>
        </is>
      </c>
      <c r="R74" s="167" t="n">
        <v>46318</v>
      </c>
      <c r="S74" s="169" t="inlineStr">
        <is>
          <t>2026-Q4</t>
        </is>
      </c>
      <c r="T74" s="171" t="inlineStr">
        <is>
          <t>sinkhole</t>
        </is>
      </c>
      <c r="U74" s="158" t="n">
        <v>4</v>
      </c>
      <c r="V74" s="172" t="inlineStr">
        <is>
          <t>https://news.google.com/rss/articles/CBMilgFBVV95cUxPaWJCQW9La1Z3UklqdWVaNWVLV3l0TFplUEg0R3h5ZzBSNlJtZnpNb2FONml5V3FqbnJGTnZvQ2JZSllHZGRoX3NWR0l6Q0oyWE02RXlncnRfREVCa0xBRnVMTDNhcWRxLURrVTNJUEl5UkdlU0RtdU9UcUpVdVFzblQ0UmdOVlR0YTBfTVpDbjZud2p5d1E?oc=5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8" t="n">
        <v>72</v>
      </c>
      <c r="B75" s="159" t="inlineStr">
        <is>
          <t>CEDH finds negligence by Guasave municipality in death of teacher who fell into sinkhole</t>
        </is>
      </c>
      <c r="C75" s="181" t="inlineStr">
        <is>
          <t>Geotechnics &amp; Society</t>
        </is>
      </c>
      <c r="D75" s="161" t="n">
        <v>4</v>
      </c>
      <c r="E75" s="162" t="inlineStr">
        <is>
          <t>Feature lead</t>
        </is>
      </c>
      <c r="F75" s="163" t="inlineStr">
        <is>
          <t>To review</t>
        </is>
      </c>
      <c r="G75" s="164" t="n"/>
      <c r="H75" s="165" t="n"/>
      <c r="I75" s="166" t="inlineStr">
        <is>
          <t>What duty of care should municipalities meet in managing known ground-collapse hazards in urban areas, as the Guasave case suggests?</t>
        </is>
      </c>
      <c r="J75" s="166" t="inlineStr">
        <is>
          <t>www.noroeste.com.mx</t>
        </is>
      </c>
      <c r="K75" s="167" t="n">
        <v>46319</v>
      </c>
      <c r="L75" s="166" t="inlineStr">
        <is>
          <t>CEDH acredita negligencia del Ayuntamiento de Guasave por muerte de profesor que cayó en socavón</t>
        </is>
      </c>
      <c r="M75" s="168" t="n"/>
      <c r="N75" s="169" t="inlineStr">
        <is>
          <t>Mexico</t>
        </is>
      </c>
      <c r="O75" s="166" t="inlineStr">
        <is>
          <t>Guasave, Sinaloa</t>
        </is>
      </c>
      <c r="P75" s="166" t="n"/>
      <c r="Q75" s="170" t="inlineStr">
        <is>
          <t>Colombia</t>
        </is>
      </c>
      <c r="R75" s="167" t="n">
        <v>46317</v>
      </c>
      <c r="S75" s="169" t="inlineStr">
        <is>
          <t>2026-Q4</t>
        </is>
      </c>
      <c r="T75" s="171" t="inlineStr">
        <is>
          <t>sinkhole</t>
        </is>
      </c>
      <c r="U75" s="158" t="n">
        <v>4</v>
      </c>
      <c r="V7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8" t="n">
        <v>73</v>
      </c>
      <c r="B76" s="159" t="inlineStr">
        <is>
          <t>Vista de cerca del gigantesco socavón de 120 metros de profundidad descubierto recientemente en Vietnam.</t>
        </is>
      </c>
      <c r="C76" s="178" t="inlineStr">
        <is>
          <t>Characterisation &amp; Modelling</t>
        </is>
      </c>
      <c r="D76" s="161" t="n">
        <v>4</v>
      </c>
      <c r="E76" s="162" t="inlineStr">
        <is>
          <t>Feature lead</t>
        </is>
      </c>
      <c r="F76" s="163" t="inlineStr">
        <is>
          <t>To review</t>
        </is>
      </c>
      <c r="G76" s="164" t="n"/>
      <c r="H76" s="165" t="n"/>
      <c r="I76" s="166" t="inlineStr">
        <is>
          <t>Which geomorphological and hydrogeological processes produced a 120 m deep collapse, and how can the stability of its steep walls be assessed?</t>
        </is>
      </c>
      <c r="J76" s="166" t="inlineStr">
        <is>
          <t>Vietnam.vn</t>
        </is>
      </c>
      <c r="K76" s="167" t="n">
        <v>46319</v>
      </c>
      <c r="L76" s="166" t="n"/>
      <c r="M76" s="168" t="n"/>
      <c r="N76" s="169" t="inlineStr">
        <is>
          <t>Vietnam</t>
        </is>
      </c>
      <c r="O76" s="166" t="inlineStr">
        <is>
          <t>Quang Binh</t>
        </is>
      </c>
      <c r="P76" s="166" t="n"/>
      <c r="Q76" s="170" t="inlineStr">
        <is>
          <t>Colombia</t>
        </is>
      </c>
      <c r="R76" s="167" t="n">
        <v>46318</v>
      </c>
      <c r="S76" s="169" t="inlineStr">
        <is>
          <t>2026-Q4</t>
        </is>
      </c>
      <c r="T76" s="171" t="inlineStr">
        <is>
          <t>sinkhole</t>
        </is>
      </c>
      <c r="U76" s="158" t="n">
        <v>4</v>
      </c>
      <c r="V76" s="172" t="inlineStr">
        <is>
          <t>https://news.google.com/rss/articles/CBMijgFBVV95cUxORHhvYWNuVVRGRXIybWtsektBWDRYYkhhLWlYd2FwS0pBV2wzWklDdzN3UGxXLWZpa1ZLT0lWM0RZa1RXY0ZDRS1HYUdDV1RJU2dWWFpWalZ3cEhkaGJsYjk2WUZrWXQ3M2hXTWFVSGxSYjFhUzBOVlNnSUYxdVhtMGNBellTcmV4Q295SDJ3?oc=5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Primeval forest grows at bottom of 120-meter-deep sinkhole in central Vietnam</t>
        </is>
      </c>
      <c r="C77" s="178" t="inlineStr">
        <is>
          <t>Characterisation &amp; Modelling</t>
        </is>
      </c>
      <c r="D77" s="161" t="n">
        <v>4</v>
      </c>
      <c r="E77" s="162" t="inlineStr">
        <is>
          <t>Feature lead</t>
        </is>
      </c>
      <c r="F77" s="163" t="inlineStr">
        <is>
          <t>To review</t>
        </is>
      </c>
      <c r="G77" s="164" t="n"/>
      <c r="H77" s="165" t="n"/>
      <c r="I77" s="166" t="inlineStr">
        <is>
          <t>How do karst collapse sinkholes form in limestone terrain, and what do such deep features reveal about cave ground stability and hazard mapping?</t>
        </is>
      </c>
      <c r="J77" s="166" t="inlineStr">
        <is>
          <t>VnExpress International</t>
        </is>
      </c>
      <c r="K77" s="167" t="n">
        <v>46319</v>
      </c>
      <c r="L77" s="166" t="n"/>
      <c r="M77" s="168" t="n"/>
      <c r="N77" s="169" t="inlineStr">
        <is>
          <t>Vietnam</t>
        </is>
      </c>
      <c r="O77" s="166" t="inlineStr">
        <is>
          <t>Quang Binh</t>
        </is>
      </c>
      <c r="P77" s="166" t="inlineStr">
        <is>
          <t>Phong Nha-Ke Bang 120 m sinkhole discovery, Vietnam · Event · 3 reports</t>
        </is>
      </c>
      <c r="Q77" s="170" t="inlineStr">
        <is>
          <t>United Kingdom</t>
        </is>
      </c>
      <c r="R77" s="167" t="n">
        <v>46319</v>
      </c>
      <c r="S77" s="169" t="inlineStr">
        <is>
          <t>2026-Q4</t>
        </is>
      </c>
      <c r="T77" s="171" t="inlineStr">
        <is>
          <t>sinkhole</t>
        </is>
      </c>
      <c r="U77" s="158" t="n">
        <v>4</v>
      </c>
      <c r="V7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53" customHeight="1">
      <c r="A78" s="158" t="n">
        <v>75</v>
      </c>
      <c r="B78" s="159" t="inlineStr">
        <is>
          <t>Mystery in El Bosque: sinkhole appears amid rain and swallows a car</t>
        </is>
      </c>
      <c r="C78" s="177" t="inlineStr">
        <is>
          <t>Infrastructure &amp; the Underground City</t>
        </is>
      </c>
      <c r="D78" s="161" t="n">
        <v>4</v>
      </c>
      <c r="E78" s="175" t="inlineStr">
        <is>
          <t>News brief</t>
        </is>
      </c>
      <c r="F78" s="163" t="inlineStr">
        <is>
          <t>To review</t>
        </is>
      </c>
      <c r="G78" s="164" t="n"/>
      <c r="H78" s="165" t="n"/>
      <c r="I78" s="166" t="inlineStr">
        <is>
          <t>How do rainfall, leaking pipes and soil erosion combine to create sudden road sinkholes that swallow vehicles, as in El Bosque?</t>
        </is>
      </c>
      <c r="J78" s="166" t="inlineStr">
        <is>
          <t>BioBioChile</t>
        </is>
      </c>
      <c r="K78" s="167" t="n">
        <v>46319</v>
      </c>
      <c r="L78" s="166" t="inlineStr">
        <is>
          <t>Misterio en El Bosque: socavón aparece en medio de la lluvia y se traga un auto</t>
        </is>
      </c>
      <c r="M78" s="168" t="n"/>
      <c r="N78" s="169" t="inlineStr">
        <is>
          <t>Chile</t>
        </is>
      </c>
      <c r="O78" s="166" t="inlineStr">
        <is>
          <t>El Bosque, Santiago</t>
        </is>
      </c>
      <c r="P78" s="166" t="n"/>
      <c r="Q78" s="170" t="inlineStr">
        <is>
          <t>Colombia</t>
        </is>
      </c>
      <c r="R78" s="167" t="n">
        <v>46317</v>
      </c>
      <c r="S78" s="169" t="inlineStr">
        <is>
          <t>2026-Q4</t>
        </is>
      </c>
      <c r="T78" s="171" t="inlineStr">
        <is>
          <t>sinkhole</t>
        </is>
      </c>
      <c r="U78" s="158" t="n">
        <v>4</v>
      </c>
      <c r="V7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8" t="n">
        <v>76</v>
      </c>
      <c r="B79" s="159" t="inlineStr">
        <is>
          <t>More than 300 neighbourhoods at risk from rain; Eloy Alfaro sinkhole casts doubt on Quito's underground infrastructure</t>
        </is>
      </c>
      <c r="C79" s="177" t="inlineStr">
        <is>
          <t>Infrastructure &amp; the Underground City</t>
        </is>
      </c>
      <c r="D79" s="161" t="n">
        <v>4</v>
      </c>
      <c r="E79" s="162" t="inlineStr">
        <is>
          <t>Feature lead</t>
        </is>
      </c>
      <c r="F79" s="163" t="inlineStr">
        <is>
          <t>To review</t>
        </is>
      </c>
      <c r="G79" s="164" t="n"/>
      <c r="H79" s="165" t="n"/>
      <c r="I79" s="166" t="inlineStr">
        <is>
          <t>What does the Eloy Alfaro sinkhole reveal about the condition of Quito's buried infrastructure and the ground beneath rain-affected neighbourhoods?</t>
        </is>
      </c>
      <c r="J79" s="166" t="inlineStr">
        <is>
          <t>El Universo</t>
        </is>
      </c>
      <c r="K79" s="167" t="n">
        <v>46319</v>
      </c>
      <c r="L79" s="166" t="inlineStr">
        <is>
          <t>Más de 300 barrios en riesgo por las lluvias, socavón en la Eloy Alfaro pone en duda la infraestructura subterránea de Quito</t>
        </is>
      </c>
      <c r="M79" s="168" t="n"/>
      <c r="N79" s="169" t="inlineStr">
        <is>
          <t>Ecuador</t>
        </is>
      </c>
      <c r="O79" s="166" t="inlineStr">
        <is>
          <t>Eloy Alfaro, Quito</t>
        </is>
      </c>
      <c r="P79" s="166" t="n"/>
      <c r="Q79" s="170" t="inlineStr">
        <is>
          <t>Colombia</t>
        </is>
      </c>
      <c r="R79" s="167" t="n">
        <v>46318</v>
      </c>
      <c r="S79" s="169" t="inlineStr">
        <is>
          <t>2026-Q4</t>
        </is>
      </c>
      <c r="T79" s="171" t="inlineStr">
        <is>
          <t>sinkhole</t>
        </is>
      </c>
      <c r="U79" s="158" t="n">
        <v>4</v>
      </c>
      <c r="V7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Presidential delegate on Arauco sinkhole: 'It was built on land that was not optimal'</t>
        </is>
      </c>
      <c r="C80" s="177" t="inlineStr">
        <is>
          <t>Infrastructure &amp; the Underground City</t>
        </is>
      </c>
      <c r="D80" s="161" t="n">
        <v>4</v>
      </c>
      <c r="E80" s="162" t="inlineStr">
        <is>
          <t>Feature lead</t>
        </is>
      </c>
      <c r="F80" s="163" t="inlineStr">
        <is>
          <t>To review</t>
        </is>
      </c>
      <c r="G80" s="164" t="n"/>
      <c r="H80" s="165" t="n"/>
      <c r="I80" s="166" t="inlineStr">
        <is>
          <t>What ground investigation and foundation decisions should be scrutinised when a structure is built on unsuitable terrain, as officials claim in Arauco?</t>
        </is>
      </c>
      <c r="J80" s="166" t="inlineStr">
        <is>
          <t>Cooperativa</t>
        </is>
      </c>
      <c r="K80" s="167" t="n">
        <v>46319</v>
      </c>
      <c r="L80" s="166" t="inlineStr">
        <is>
          <t>Delegado presidencial y el socavón en Arauco: "Aquí se construyó en un terreno que no era óptimo"</t>
        </is>
      </c>
      <c r="M80" s="168" t="n"/>
      <c r="N80" s="169" t="inlineStr">
        <is>
          <t>Chile</t>
        </is>
      </c>
      <c r="O80" s="166" t="inlineStr">
        <is>
          <t>Arauco</t>
        </is>
      </c>
      <c r="P80" s="166" t="n"/>
      <c r="Q80" s="170" t="inlineStr">
        <is>
          <t>Colombia</t>
        </is>
      </c>
      <c r="R80" s="167" t="n">
        <v>46319</v>
      </c>
      <c r="S80" s="169" t="inlineStr">
        <is>
          <t>2026-Q4</t>
        </is>
      </c>
      <c r="T80" s="171" t="inlineStr">
        <is>
          <t>sinkhole</t>
        </is>
      </c>
      <c r="U80" s="158" t="n">
        <v>4</v>
      </c>
      <c r="V8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8" t="n">
        <v>78</v>
      </c>
      <c r="B81" s="159" t="inlineStr">
        <is>
          <t>JUMAPAM and Pemex evaluate underground network after sinkhole on Emilio Barragán avenue in Mazatlán</t>
        </is>
      </c>
      <c r="C81" s="177" t="inlineStr">
        <is>
          <t>Infrastructure &amp; the Underground City</t>
        </is>
      </c>
      <c r="D81" s="161" t="n">
        <v>4</v>
      </c>
      <c r="E81" s="162" t="inlineStr">
        <is>
          <t>Feature lead</t>
        </is>
      </c>
      <c r="F81" s="163" t="inlineStr">
        <is>
          <t>To review</t>
        </is>
      </c>
      <c r="G81" s="164" t="n"/>
      <c r="H81" s="165" t="n"/>
      <c r="I81" s="166" t="inlineStr">
        <is>
          <t>How can utilities mapping and leak detection clarify whether pipe defects caused the Emilio Barragán sinkhole in Mazatlán?</t>
        </is>
      </c>
      <c r="J81" s="166" t="inlineStr">
        <is>
          <t>Debate</t>
        </is>
      </c>
      <c r="K81" s="167" t="n">
        <v>46319</v>
      </c>
      <c r="L81" s="166" t="inlineStr">
        <is>
          <t>JUMAPAM y Pemex evalúan red subterránea tras socavón en la avenida Emilio Barragán en Mazatlán</t>
        </is>
      </c>
      <c r="M81" s="168" t="n"/>
      <c r="N81" s="169" t="inlineStr">
        <is>
          <t>Mexico</t>
        </is>
      </c>
      <c r="O81" s="166" t="inlineStr">
        <is>
          <t>Mazatlan, Emilio Barragan avenue</t>
        </is>
      </c>
      <c r="P81" s="166" t="n"/>
      <c r="Q81" s="170" t="inlineStr">
        <is>
          <t>Colombia</t>
        </is>
      </c>
      <c r="R81" s="167" t="n">
        <v>46317</v>
      </c>
      <c r="S81" s="169" t="inlineStr">
        <is>
          <t>2026-Q4</t>
        </is>
      </c>
      <c r="T81" s="171" t="inlineStr">
        <is>
          <t>sinkhole</t>
        </is>
      </c>
      <c r="U81" s="158" t="n">
        <v>4</v>
      </c>
      <c r="V8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65.5" customHeight="1">
      <c r="A82" s="158" t="n">
        <v>79</v>
      </c>
      <c r="B82" s="159" t="inlineStr">
        <is>
          <t>What lies inside the hole over two hectares wide in the middle of Phong Nha-Ke Bang forest?</t>
        </is>
      </c>
      <c r="C82" s="178" t="inlineStr">
        <is>
          <t>Characterisation &amp; Modelling</t>
        </is>
      </c>
      <c r="D82" s="161" t="n">
        <v>4</v>
      </c>
      <c r="E82" s="162" t="inlineStr">
        <is>
          <t>Feature lead</t>
        </is>
      </c>
      <c r="F82" s="163" t="inlineStr">
        <is>
          <t>To review</t>
        </is>
      </c>
      <c r="G82" s="164" t="n"/>
      <c r="H82" s="165" t="n"/>
      <c r="I82" s="166" t="inlineStr">
        <is>
          <t>What karst processes, such as collapse or dissolution, could create a large sinkhole of over two hectares in a tropical forest, and how should it be investigated and monitored?</t>
        </is>
      </c>
      <c r="J82" s="166" t="inlineStr">
        <is>
          <t>Vietnam.vn</t>
        </is>
      </c>
      <c r="K82" s="167" t="n">
        <v>46319</v>
      </c>
      <c r="L82" s="166" t="inlineStr">
        <is>
          <t>ما الذي يوجد داخل الحفرة التي تزيد مساحتها عن هكتارين في وسط غابة فونغ نها - كي بانغ؟</t>
        </is>
      </c>
      <c r="M82" s="168" t="n"/>
      <c r="N82" s="169" t="inlineStr">
        <is>
          <t>Vietnam</t>
        </is>
      </c>
      <c r="O82" s="166" t="inlineStr">
        <is>
          <t>Phong Nha-Ke Bang</t>
        </is>
      </c>
      <c r="P82" s="166" t="n"/>
      <c r="Q82" s="170" t="inlineStr">
        <is>
          <t>Egypt</t>
        </is>
      </c>
      <c r="R82" s="167" t="n">
        <v>46319</v>
      </c>
      <c r="S82" s="169" t="inlineStr">
        <is>
          <t>2026-Q4</t>
        </is>
      </c>
      <c r="T82" s="171" t="n"/>
      <c r="U82" s="158" t="n">
        <v>0</v>
      </c>
      <c r="V82" s="172" t="inlineStr">
        <is>
          <t>https://news.google.com/rss/articles/CBMijAFBVV95cUxOLWcwOXFBTWY2NnVDYW5EVi1yMldxeWpKd3NNTjB6SjMtS2FFRjBYQUd6ek1FYkVnVndOX0J3YXk1a3dVZW9KRWFCaV9KaHc4a25tdDBTWmFXc2hnU09sWEtNb2gxVjFhQ3RJaEJpVWhURWowRjNwVlV6ZG9RWVRlb1lpYXBrUV9YU0dDOQ?oc=5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Analytical study of 3D transient dynamic response of a cylindrical cavity in an elastic medium under triangular pulse load.</t>
        </is>
      </c>
      <c r="C83" s="178" t="inlineStr">
        <is>
          <t>Characterisation &amp; Modelling</t>
        </is>
      </c>
      <c r="D83" s="161" t="n">
        <v>4</v>
      </c>
      <c r="E83" s="180" t="inlineStr">
        <is>
          <t>Academia-to-Industry topic</t>
        </is>
      </c>
      <c r="F83" s="163" t="inlineStr">
        <is>
          <t>To review</t>
        </is>
      </c>
      <c r="G83" s="164" t="n"/>
      <c r="H83" s="165" t="n"/>
      <c r="I83" s="166" t="inlineStr">
        <is>
          <t>How do analytical solutions for a cylindrical cavity under triangular pulse loads inform the validation of numerical models for underground openings under impact?</t>
        </is>
      </c>
      <c r="J83" s="166" t="inlineStr">
        <is>
          <t>生物通</t>
        </is>
      </c>
      <c r="K83" s="167" t="n">
        <v>46319</v>
      </c>
      <c r="L83" s="166" t="inlineStr">
        <is>
          <t>弹性介质中圆柱形空腔受三角形脉冲冲击载荷的三维瞬态动力响应解析研究</t>
        </is>
      </c>
      <c r="M83" s="168" t="n"/>
      <c r="N83" s="169" t="n"/>
      <c r="O83" s="166" t="n"/>
      <c r="P83" s="166" t="n"/>
      <c r="Q83" s="170" t="inlineStr">
        <is>
          <t>China</t>
        </is>
      </c>
      <c r="R83" s="167" t="n">
        <v>46318</v>
      </c>
      <c r="S83" s="169" t="inlineStr">
        <is>
          <t>2026-Q4</t>
        </is>
      </c>
      <c r="T83" s="171" t="n"/>
      <c r="U83" s="158" t="n">
        <v>0</v>
      </c>
      <c r="V83" s="172" t="inlineStr">
        <is>
          <t>https://news.google.com/rss/articles/CBMibkFVX3lxTE5PclBzMHZTYkNxbkRYVWFacWgzMjRTdE1JdmNYSi1xbTlBaVZLRTVjTHpCTlQ4c2lEQ2xoMk9kcEdROGxBOFI4Zk9YV3JGSXdUZDg1blVlelJzbU54VjkzTkUySEV5Z2x2aHY5R0xB?oc=5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Concerns over riverbank erosion leading to loss of farmland</t>
        </is>
      </c>
      <c r="C84" s="176" t="inlineStr">
        <is>
          <t>Offshore, Coasts &amp; Water</t>
        </is>
      </c>
      <c r="D84" s="161" t="n">
        <v>4</v>
      </c>
      <c r="E84" s="162" t="inlineStr">
        <is>
          <t>Feature lead</t>
        </is>
      </c>
      <c r="F84" s="163" t="inlineStr">
        <is>
          <t>To review</t>
        </is>
      </c>
      <c r="G84" s="164" t="n"/>
      <c r="H84" s="165" t="n"/>
      <c r="I84" s="166" t="inlineStr">
        <is>
          <t>What bank erosion mechanisms and protection measures are effective for riverbanks threatening farmland, and how can they be monitored over time?</t>
        </is>
      </c>
      <c r="J84" s="166" t="inlineStr">
        <is>
          <t>Vietnam.vn</t>
        </is>
      </c>
      <c r="K84" s="167" t="n">
        <v>46319</v>
      </c>
      <c r="L84" s="166" t="inlineStr">
        <is>
          <t>مخاوف بشأن تآكل ضفاف الأنهار مما يؤدي إلى فقدان الأراضي الزراعية.</t>
        </is>
      </c>
      <c r="M84" s="168" t="n"/>
      <c r="N84" s="169" t="inlineStr">
        <is>
          <t>Vietnam</t>
        </is>
      </c>
      <c r="O84" s="166" t="n"/>
      <c r="P84" s="166" t="n"/>
      <c r="Q84" s="170" t="inlineStr">
        <is>
          <t>Egypt</t>
        </is>
      </c>
      <c r="R84" s="167" t="n">
        <v>46318</v>
      </c>
      <c r="S84" s="169" t="inlineStr">
        <is>
          <t>2026-Q4</t>
        </is>
      </c>
      <c r="T84" s="171" t="n"/>
      <c r="U84" s="158" t="n">
        <v>0</v>
      </c>
      <c r="V84" s="172" t="inlineStr">
        <is>
          <t>https://news.google.com/rss/articles/CBMic0FVX3lxTE85MmNnNDd2QkUzaFV4QTZmTmJXNTAzbUZfMjdpdlNaSjEyODN0eW51ZUp0RzE3SHY2NzRuQlZtOHdtcnFQLWlBOGQ5eVQ3QTU1REJMWTRvZm1qTFZHZWZ0ZU9WTGRiYkhJNGVEaEliZW9GZWc?oc=5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Quang Tri: Severe sea erosion threatens dykes and residents' livelihoods</t>
        </is>
      </c>
      <c r="C85" s="176" t="inlineStr">
        <is>
          <t>Offshore, Coasts &amp; Water</t>
        </is>
      </c>
      <c r="D85" s="161" t="n">
        <v>4</v>
      </c>
      <c r="E85" s="162" t="inlineStr">
        <is>
          <t>Feature lead</t>
        </is>
      </c>
      <c r="F85" s="163" t="inlineStr">
        <is>
          <t>To review</t>
        </is>
      </c>
      <c r="G85" s="164" t="n"/>
      <c r="H85" s="165" t="n"/>
      <c r="I85" s="166" t="inlineStr">
        <is>
          <t>How do sea-level-driven erosion and scour undermine sea dyke foundations in Quang Tri, and which revetment and foundation designs suit eroding sandy coastal soils?</t>
        </is>
      </c>
      <c r="J85" s="166" t="inlineStr">
        <is>
          <t>Người Đưa Tin</t>
        </is>
      </c>
      <c r="K85" s="167" t="n">
        <v>46319</v>
      </c>
      <c r="L85" s="166" t="inlineStr">
        <is>
          <t>Quảng Trị: Biển xâm thực nghiêm trọng đe dọa đê kè và đời sống người dân</t>
        </is>
      </c>
      <c r="M85" s="168" t="n"/>
      <c r="N85" s="169" t="inlineStr">
        <is>
          <t>Vietnam</t>
        </is>
      </c>
      <c r="O85" s="166" t="inlineStr">
        <is>
          <t>Quang Tri</t>
        </is>
      </c>
      <c r="P85" s="166" t="n"/>
      <c r="Q85" s="170" t="inlineStr">
        <is>
          <t>Vietnam</t>
        </is>
      </c>
      <c r="R85" s="167" t="n">
        <v>46318</v>
      </c>
      <c r="S85" s="169" t="inlineStr">
        <is>
          <t>2026-Q4</t>
        </is>
      </c>
      <c r="T85" s="171" t="n"/>
      <c r="U85" s="158" t="n">
        <v>0</v>
      </c>
      <c r="V8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65.5" customHeight="1">
      <c r="A86" s="158" t="n">
        <v>83</v>
      </c>
      <c r="B86" s="159" t="inlineStr">
        <is>
          <t>Ben Thanh - Tham Luong metro to have all 11 stations completed by end of 2026</t>
        </is>
      </c>
      <c r="C86" s="177" t="inlineStr">
        <is>
          <t>Infrastructure &amp; the Underground City</t>
        </is>
      </c>
      <c r="D86" s="161" t="n">
        <v>4</v>
      </c>
      <c r="E86" s="162" t="inlineStr">
        <is>
          <t>Feature lead</t>
        </is>
      </c>
      <c r="F86" s="163" t="inlineStr">
        <is>
          <t>To review</t>
        </is>
      </c>
      <c r="G86" s="164" t="n"/>
      <c r="H86" s="165" t="n"/>
      <c r="I86" s="166" t="inlineStr">
        <is>
          <t>What ground conditions and deep excavation and tunnelling methods are used for metro stations in soft Ho Chi Minh City clays with high groundwater, and what risks follow?</t>
        </is>
      </c>
      <c r="J86" s="166" t="inlineStr">
        <is>
          <t>VOH</t>
        </is>
      </c>
      <c r="K86" s="167" t="n">
        <v>46319</v>
      </c>
      <c r="L86" s="166" t="inlineStr">
        <is>
          <t>Metro Bến Thành - Tham Lương cuối năm 2026 làm cả 11 nhà ga</t>
        </is>
      </c>
      <c r="M86" s="168" t="n"/>
      <c r="N86" s="169" t="inlineStr">
        <is>
          <t>Vietnam</t>
        </is>
      </c>
      <c r="O86" s="166" t="inlineStr">
        <is>
          <t>Ho Chi Minh City</t>
        </is>
      </c>
      <c r="P86" s="166" t="n"/>
      <c r="Q86" s="170" t="inlineStr">
        <is>
          <t>Vietnam</t>
        </is>
      </c>
      <c r="R86" s="167" t="n">
        <v>46318</v>
      </c>
      <c r="S86" s="169" t="inlineStr">
        <is>
          <t>2026-Q4</t>
        </is>
      </c>
      <c r="T86" s="171" t="n"/>
      <c r="U86" s="158" t="n">
        <v>0</v>
      </c>
      <c r="V8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65.5" customHeight="1">
      <c r="A87" s="158" t="n">
        <v>84</v>
      </c>
      <c r="B87" s="159" t="inlineStr">
        <is>
          <t>Snowy 2.0 cost and completion date revised</t>
        </is>
      </c>
      <c r="C87" s="185" t="inlineStr">
        <is>
          <t>Sustainability &amp; the Energy Transition</t>
        </is>
      </c>
      <c r="D87" s="161" t="n">
        <v>3</v>
      </c>
      <c r="E87" s="175" t="inlineStr">
        <is>
          <t>News brief</t>
        </is>
      </c>
      <c r="F87" s="163" t="inlineStr">
        <is>
          <t>To review</t>
        </is>
      </c>
      <c r="G87" s="164" t="n"/>
      <c r="H87" s="165" t="n"/>
      <c r="I87" s="166" t="inlineStr">
        <is>
          <t>What ground-related risks drive cost and schedule overruns in large pumped hydro cavern and tunnel excavations?</t>
        </is>
      </c>
      <c r="J87" s="166" t="inlineStr">
        <is>
          <t>Tunnels &amp; Tunnelling</t>
        </is>
      </c>
      <c r="K87" s="167" t="n">
        <v>46319</v>
      </c>
      <c r="L87" s="166" t="n"/>
      <c r="M87" s="168" t="inlineStr">
        <is>
          <t>Snowy 2.0 cost and completion date revised TBM-driven tunnelling is 65% complete and cavern excavation 90% complete. The post Snowy 2.0 cost and completion date revised appeared first on Tunnels and Tunnelling .</t>
        </is>
      </c>
      <c r="N87" s="169" t="inlineStr">
        <is>
          <t>Australia</t>
        </is>
      </c>
      <c r="O87" s="166" t="inlineStr">
        <is>
          <t>Snowy Mountains</t>
        </is>
      </c>
      <c r="P87" s="166" t="n"/>
      <c r="Q87" s="170" t="n"/>
      <c r="R87" s="167" t="n">
        <v>46318</v>
      </c>
      <c r="S87" s="169" t="inlineStr">
        <is>
          <t>2026-Q4</t>
        </is>
      </c>
      <c r="T87" s="171" t="inlineStr">
        <is>
          <t>excavation, tbm, tunnelling, tunnel</t>
        </is>
      </c>
      <c r="U87" s="158" t="n">
        <v>10</v>
      </c>
      <c r="V87" s="172" t="inlineStr">
        <is>
          <t>https://www.tunnelsandtunnelling.com/news/snowy-2-0-cost-and-completion-date-revised/</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65.5" customHeight="1">
      <c r="A88" s="158" t="n">
        <v>85</v>
      </c>
      <c r="B88" s="159" t="inlineStr">
        <is>
          <t>Mobile shield deployed for A14 Vinci Tunnel reconstruction</t>
        </is>
      </c>
      <c r="C88" s="177" t="inlineStr">
        <is>
          <t>Infrastructure &amp; the Underground City</t>
        </is>
      </c>
      <c r="D88" s="161" t="n">
        <v>3</v>
      </c>
      <c r="E88" s="175" t="inlineStr">
        <is>
          <t>News brief</t>
        </is>
      </c>
      <c r="F88" s="163" t="inlineStr">
        <is>
          <t>To review</t>
        </is>
      </c>
      <c r="G88" s="164" t="n"/>
      <c r="H88" s="165" t="n"/>
      <c r="I88" s="166" t="inlineStr">
        <is>
          <t>How does a mobile shield enable tunnel reconstruction within an operating motorway tunnel, and what ground support issues arise?</t>
        </is>
      </c>
      <c r="J88" s="166" t="inlineStr">
        <is>
          <t>Tunnelling Journal</t>
        </is>
      </c>
      <c r="K88" s="167" t="n">
        <v>46319</v>
      </c>
      <c r="L88" s="166" t="n"/>
      <c r="M88" s="168" t="inlineStr">
        <is>
          <t>An 83-tonne mobile shield has entered service inside the Vinci Tunnel on Italy’s A14 motorway, allowing reconstruction of the tunnel... The post Mobile shield deployed for A14 Vinci Tunnel reconstruction appeared first on The Tunnelling Journal .</t>
        </is>
      </c>
      <c r="N88" s="169" t="inlineStr">
        <is>
          <t>Italy</t>
        </is>
      </c>
      <c r="O88" s="166" t="inlineStr">
        <is>
          <t>A14 Vinci Tunnel</t>
        </is>
      </c>
      <c r="P88" s="166" t="n"/>
      <c r="Q88" s="170" t="n"/>
      <c r="R88" s="167" t="n">
        <v>46317</v>
      </c>
      <c r="S88" s="169" t="inlineStr">
        <is>
          <t>2026-Q4</t>
        </is>
      </c>
      <c r="T88" s="171" t="inlineStr">
        <is>
          <t>tunnelling, tunnel</t>
        </is>
      </c>
      <c r="U88" s="158" t="n">
        <v>7</v>
      </c>
      <c r="V88" s="172" t="inlineStr">
        <is>
          <t>https://tunnellingjournal.com/mobile-shield-deployed-for-a14-vinci-tunnel-reconstruction/</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8" t="n">
        <v>86</v>
      </c>
      <c r="B89" s="159" t="inlineStr">
        <is>
          <t>What options exist for Mot Mountain in Quy Nhon: levelling it or preserving the historic site?</t>
        </is>
      </c>
      <c r="C89" s="177" t="inlineStr">
        <is>
          <t>Infrastructure &amp; the Underground City</t>
        </is>
      </c>
      <c r="D89" s="161" t="n">
        <v>3</v>
      </c>
      <c r="E89" s="162" t="inlineStr">
        <is>
          <t>Feature lead</t>
        </is>
      </c>
      <c r="F89" s="163" t="inlineStr">
        <is>
          <t>To review</t>
        </is>
      </c>
      <c r="G89" s="164" t="n"/>
      <c r="H89" s="165" t="n"/>
      <c r="I89" s="166" t="inlineStr">
        <is>
          <t>What geotechnical and heritage considerations should guide levelling versus preserving a rocky hill site in an urban coastal city?</t>
        </is>
      </c>
      <c r="J89" s="166" t="inlineStr">
        <is>
          <t>Vietnam.vn</t>
        </is>
      </c>
      <c r="K89" s="167" t="n">
        <v>46319</v>
      </c>
      <c r="L89" s="166" t="inlineStr">
        <is>
          <t>Apa saja pilihan yang tersedia untuk Gunung Mot di Quy Nhon: meratakannya atau melestarikan situs bersejarah tersebut?</t>
        </is>
      </c>
      <c r="M89" s="168" t="n"/>
      <c r="N89" s="169" t="inlineStr">
        <is>
          <t>Vietnam</t>
        </is>
      </c>
      <c r="O89" s="166" t="inlineStr">
        <is>
          <t>Mot Mountain, Quy Nhon</t>
        </is>
      </c>
      <c r="P89" s="166" t="inlineStr">
        <is>
          <t>Mot Mountain levelling proposal, Quy Nhon, Vietnam · Event · 2 reports</t>
        </is>
      </c>
      <c r="Q89" s="170" t="inlineStr">
        <is>
          <t>Indonesia</t>
        </is>
      </c>
      <c r="R89" s="167" t="n">
        <v>46319</v>
      </c>
      <c r="S89" s="169" t="inlineStr">
        <is>
          <t>2026-Q4</t>
        </is>
      </c>
      <c r="T89" s="171" t="n"/>
      <c r="U89" s="158" t="n">
        <v>6</v>
      </c>
      <c r="V89" s="172" t="inlineStr">
        <is>
          <t>https://news.google.com/rss/articles/CBMilgFBVV95cUxPbVV1NmdrOGFidElfXzZzV1ppbDBCOEc5V0luUWxOSTAwMXNGdmhVMkoxMjUwSUpmbU5lQlBuNkFVTXZGMk5IRzd5Y0taREt0ckRUT3VqSjBfbGFPTmRjUTZFS18wLTQ5Wi1ZdnFtYWd1QmN0U0Nsekx4ZzR0YVk0dmhhTXVpTW1rdEpCbGlKLTZNVXVzMEE?oc=5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65.5" customHeight="1">
      <c r="A90" s="158" t="n">
        <v>87</v>
      </c>
      <c r="B90" s="159" t="inlineStr">
        <is>
          <t>Abergeldie awarded patent for underground hydrogen storage solution</t>
        </is>
      </c>
      <c r="C90" s="185" t="inlineStr">
        <is>
          <t>Sustainability &amp; the Energy Transition</t>
        </is>
      </c>
      <c r="D90" s="161" t="n">
        <v>3</v>
      </c>
      <c r="E90" s="180" t="inlineStr">
        <is>
          <t>Academia-to-Industry topic</t>
        </is>
      </c>
      <c r="F90" s="163" t="inlineStr">
        <is>
          <t>To review</t>
        </is>
      </c>
      <c r="G90" s="164" t="n"/>
      <c r="H90" s="165" t="n"/>
      <c r="I90" s="166" t="inlineStr">
        <is>
          <t>What ground conditions and geomechanical criteria govern underground hydrogen storage, and how does blind boring apply?</t>
        </is>
      </c>
      <c r="J90" s="166" t="inlineStr">
        <is>
          <t>Tunnels &amp; Tunnelling</t>
        </is>
      </c>
      <c r="K90" s="167" t="n">
        <v>46319</v>
      </c>
      <c r="L90" s="166" t="n"/>
      <c r="M90" s="168" t="inlineStr">
        <is>
          <t>Abergeldie awarded patent for underground hydrogen storage solution The system draws on Abergeldie’s blind boring expertise. The post Abergeldie awarded patent for underground hydrogen storage solution appeared first on Tunnels and Tunnelling .</t>
        </is>
      </c>
      <c r="N90" s="169" t="n"/>
      <c r="O90" s="166" t="n"/>
      <c r="P90" s="166" t="n"/>
      <c r="Q90" s="170" t="n"/>
      <c r="R90" s="167" t="n">
        <v>46318</v>
      </c>
      <c r="S90" s="169" t="inlineStr">
        <is>
          <t>2026-Q4</t>
        </is>
      </c>
      <c r="T90" s="171" t="inlineStr">
        <is>
          <t>tunnelling, tunnel</t>
        </is>
      </c>
      <c r="U90" s="158" t="n">
        <v>5</v>
      </c>
      <c r="V90" s="172" t="inlineStr">
        <is>
          <t>https://www.tunnelsandtunnelling.com/news/abergeldie-awarded-patent-for-underground-hydrogen-storage-solution/</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65.5" customHeight="1">
      <c r="A91" s="158" t="n">
        <v>88</v>
      </c>
      <c r="B91" s="159" t="inlineStr">
        <is>
          <t>Snowy 2.0 cost rises to A$22.2bn</t>
        </is>
      </c>
      <c r="C91" s="185" t="inlineStr">
        <is>
          <t>Sustainability &amp; the Energy Transition</t>
        </is>
      </c>
      <c r="D91" s="161" t="n">
        <v>3</v>
      </c>
      <c r="E91" s="175" t="inlineStr">
        <is>
          <t>News brief</t>
        </is>
      </c>
      <c r="F91" s="163" t="inlineStr">
        <is>
          <t>To review</t>
        </is>
      </c>
      <c r="G91" s="164" t="n"/>
      <c r="H91" s="165" t="n"/>
      <c r="I91" s="166" t="inlineStr">
        <is>
          <t>What ground-related factors drive repeated cost increases in large underground pumped hydro projects?</t>
        </is>
      </c>
      <c r="J91" s="166" t="inlineStr">
        <is>
          <t>Tunnelling Journal</t>
        </is>
      </c>
      <c r="K91" s="167" t="n">
        <v>46319</v>
      </c>
      <c r="L91" s="166" t="n"/>
      <c r="M91" s="168" t="inlineStr">
        <is>
          <t>Australia’s Snowy 2.0 pumped hydro project has undergone another major cost revision, with its target budget increasing to A$22.2bn (US$15.8bn... The post Snowy 2.0 cost rises to A$22.2bn appeared first on The Tunnelling Journal .</t>
        </is>
      </c>
      <c r="N91" s="169" t="inlineStr">
        <is>
          <t>Australia</t>
        </is>
      </c>
      <c r="O91" s="166" t="inlineStr">
        <is>
          <t>Snowy Mountains</t>
        </is>
      </c>
      <c r="P91" s="166" t="n"/>
      <c r="Q91" s="170" t="n"/>
      <c r="R91" s="167" t="n">
        <v>46318</v>
      </c>
      <c r="S91" s="169" t="inlineStr">
        <is>
          <t>2026-Q4</t>
        </is>
      </c>
      <c r="T91" s="171" t="inlineStr">
        <is>
          <t>tunnelling</t>
        </is>
      </c>
      <c r="U91" s="158" t="n">
        <v>5</v>
      </c>
      <c r="V91" s="172" t="inlineStr">
        <is>
          <t>https://tunnellingjournal.com/snowy-2-0-cost-rises-to-a22-2bn-as-tunnelling-reaches-65-completion/</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Minvu advances 121 housing support cases in Villa El Mirador, Arauco, and prepares soil study</t>
        </is>
      </c>
      <c r="C92" s="178" t="inlineStr">
        <is>
          <t>Characterisation &amp; Modelling</t>
        </is>
      </c>
      <c r="D92" s="161" t="n">
        <v>3</v>
      </c>
      <c r="E92" s="175" t="inlineStr">
        <is>
          <t>News brief</t>
        </is>
      </c>
      <c r="F92" s="163" t="inlineStr">
        <is>
          <t>To review</t>
        </is>
      </c>
      <c r="G92" s="164" t="n"/>
      <c r="H92" s="165" t="n"/>
      <c r="I92" s="166" t="inlineStr">
        <is>
          <t>What soil investigation is needed before housing support works on this site, and how should ground conditions shape foundation choice?</t>
        </is>
      </c>
      <c r="J92" s="166" t="inlineStr">
        <is>
          <t>Trade-news.cl</t>
        </is>
      </c>
      <c r="K92" s="167" t="n">
        <v>46319</v>
      </c>
      <c r="L92" s="166" t="inlineStr">
        <is>
          <t>Minvu avanza en 121 casos de apoyo habitacional en la Villa El Mirador de Arauco y prepara estudio de suelos</t>
        </is>
      </c>
      <c r="M92" s="168" t="n"/>
      <c r="N92" s="169" t="inlineStr">
        <is>
          <t>Chile</t>
        </is>
      </c>
      <c r="O92" s="166" t="inlineStr">
        <is>
          <t>Villa El Mirador, Arauco</t>
        </is>
      </c>
      <c r="P92" s="166" t="inlineStr">
        <is>
          <t>Arauco sinkhole, Chile (Oct 2026) · Event · 2 reports</t>
        </is>
      </c>
      <c r="Q92" s="170" t="inlineStr">
        <is>
          <t>Peru</t>
        </is>
      </c>
      <c r="R92" s="167" t="n">
        <v>46318</v>
      </c>
      <c r="S92" s="169" t="inlineStr">
        <is>
          <t>2026-Q4</t>
        </is>
      </c>
      <c r="T92" s="171" t="inlineStr">
        <is>
          <t>site investigation, soil</t>
        </is>
      </c>
      <c r="U92" s="158" t="n">
        <v>5</v>
      </c>
      <c r="V9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8" t="n">
        <v>90</v>
      </c>
      <c r="B93" s="159" t="inlineStr">
        <is>
          <t>Body of miner trapped in a tunnel collapse in Gámeza recovered</t>
        </is>
      </c>
      <c r="C93" s="181" t="inlineStr">
        <is>
          <t>Geotechnics &amp; Society</t>
        </is>
      </c>
      <c r="D93" s="161" t="n">
        <v>3</v>
      </c>
      <c r="E93" s="175" t="inlineStr">
        <is>
          <t>News brief</t>
        </is>
      </c>
      <c r="F93" s="163" t="inlineStr">
        <is>
          <t>To review</t>
        </is>
      </c>
      <c r="G93" s="164" t="n"/>
      <c r="H93" s="165" t="n"/>
      <c r="I93" s="166" t="inlineStr">
        <is>
          <t>What ground and support conditions lead to tunnel collapses in small mines, and how can rescue operations account for ground instability?</t>
        </is>
      </c>
      <c r="J93" s="166" t="inlineStr">
        <is>
          <t>Boyacá 7 Días</t>
        </is>
      </c>
      <c r="K93" s="167" t="n">
        <v>46319</v>
      </c>
      <c r="L93" s="166" t="inlineStr">
        <is>
          <t>Rescatan el cuerpo sin vida del minero que había quedado atrapado en un socavón en Gámeza</t>
        </is>
      </c>
      <c r="M93" s="168" t="n"/>
      <c r="N93" s="169" t="inlineStr">
        <is>
          <t>Colombia</t>
        </is>
      </c>
      <c r="O93" s="166" t="inlineStr">
        <is>
          <t>Gámeza, Boyacá</t>
        </is>
      </c>
      <c r="P93" s="166" t="n"/>
      <c r="Q93" s="170" t="inlineStr">
        <is>
          <t>Colombia</t>
        </is>
      </c>
      <c r="R93" s="167" t="n">
        <v>46317</v>
      </c>
      <c r="S93" s="169" t="inlineStr">
        <is>
          <t>2026-Q4</t>
        </is>
      </c>
      <c r="T93" s="171" t="inlineStr">
        <is>
          <t>sinkhole</t>
        </is>
      </c>
      <c r="U93" s="158" t="n">
        <v>4</v>
      </c>
      <c r="V9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40.5" customHeight="1">
      <c r="A94" s="158" t="n">
        <v>91</v>
      </c>
      <c r="B94" s="159" t="inlineStr">
        <is>
          <t>Strong waves on Mazatlán beaches form sinkhole in monument</t>
        </is>
      </c>
      <c r="C94" s="176" t="inlineStr">
        <is>
          <t>Offshore, Coasts &amp; Water</t>
        </is>
      </c>
      <c r="D94" s="161" t="n">
        <v>3</v>
      </c>
      <c r="E94" s="175" t="inlineStr">
        <is>
          <t>News brief</t>
        </is>
      </c>
      <c r="F94" s="163" t="inlineStr">
        <is>
          <t>To review</t>
        </is>
      </c>
      <c r="G94" s="164" t="n"/>
      <c r="H94" s="165" t="n"/>
      <c r="I94" s="166" t="inlineStr">
        <is>
          <t>How do wave action and beach sand erosion undermine coastal monuments and promenade ground in Mazatlán?</t>
        </is>
      </c>
      <c r="J94" s="166" t="inlineStr">
        <is>
          <t>El Universal</t>
        </is>
      </c>
      <c r="K94" s="167" t="n">
        <v>46319</v>
      </c>
      <c r="L94" s="166" t="inlineStr">
        <is>
          <t>Fuerte oleaje en playas de Mazatlán forma socavón en monumento</t>
        </is>
      </c>
      <c r="M94" s="168" t="n"/>
      <c r="N94" s="169" t="inlineStr">
        <is>
          <t>Mexico</t>
        </is>
      </c>
      <c r="O94" s="166" t="inlineStr">
        <is>
          <t>Mazatlan beaches</t>
        </is>
      </c>
      <c r="P94" s="166" t="n"/>
      <c r="Q94" s="170" t="inlineStr">
        <is>
          <t>Colombia</t>
        </is>
      </c>
      <c r="R94" s="167" t="n">
        <v>46319</v>
      </c>
      <c r="S94" s="169" t="inlineStr">
        <is>
          <t>2026-Q4</t>
        </is>
      </c>
      <c r="T94" s="171" t="inlineStr">
        <is>
          <t>sinkhole</t>
        </is>
      </c>
      <c r="U94" s="158" t="n">
        <v>4</v>
      </c>
      <c r="V9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8" t="n">
        <v>92</v>
      </c>
      <c r="B95" s="159" t="inlineStr">
        <is>
          <t>Ivan Noskov announced restoration of a retaining wall on Vladimirskaya Street in Samara</t>
        </is>
      </c>
      <c r="C95" s="177" t="inlineStr">
        <is>
          <t>Infrastructure &amp; the Underground City</t>
        </is>
      </c>
      <c r="D95" s="161" t="n">
        <v>3</v>
      </c>
      <c r="E95" s="175" t="inlineStr">
        <is>
          <t>News brief</t>
        </is>
      </c>
      <c r="F95" s="163" t="inlineStr">
        <is>
          <t>To review</t>
        </is>
      </c>
      <c r="G95" s="164" t="n"/>
      <c r="H95" s="165" t="n"/>
      <c r="I95" s="166" t="inlineStr">
        <is>
          <t>What causes retaining-wall deterioration on urban slopes like Samara's, and how should restoration design address overall slope stability?</t>
        </is>
      </c>
      <c r="J95" s="166" t="inlineStr">
        <is>
          <t>Самарская газета</t>
        </is>
      </c>
      <c r="K95" s="167" t="n">
        <v>46319</v>
      </c>
      <c r="L95" s="166" t="inlineStr">
        <is>
          <t>Иван Носков анонсировал восстановление подпорной стены на Владимирской в Самаре</t>
        </is>
      </c>
      <c r="M95" s="168" t="n"/>
      <c r="N95" s="169" t="inlineStr">
        <is>
          <t>Russia</t>
        </is>
      </c>
      <c r="O95" s="166" t="inlineStr">
        <is>
          <t>Samara, Vladimirskaya Street</t>
        </is>
      </c>
      <c r="P95" s="166" t="n"/>
      <c r="Q95" s="170" t="inlineStr">
        <is>
          <t>Russia</t>
        </is>
      </c>
      <c r="R95" s="167" t="n">
        <v>46318</v>
      </c>
      <c r="S95" s="169" t="inlineStr">
        <is>
          <t>2026-Q4</t>
        </is>
      </c>
      <c r="T95" s="171" t="inlineStr">
        <is>
          <t>retaining wall</t>
        </is>
      </c>
      <c r="U95" s="158" t="n">
        <v>4</v>
      </c>
      <c r="V95" s="172" t="inlineStr">
        <is>
          <t>https://news.google.com/rss/articles/CBMiREFVX3lxTE9KcGh5bWlxWEhKT3FXdU5qVjNOd3c3clQ1bGw1YWFmaHljV0U3ckZYcndLVTgtakJFSHZZQ3ViYXg2QnV4?oc=5</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40.5" customHeight="1">
      <c r="A96" s="158" t="n">
        <v>93</v>
      </c>
      <c r="B96" s="159" t="inlineStr">
        <is>
          <t>Escobedo begins repair of sinkhole</t>
        </is>
      </c>
      <c r="C96" s="177" t="inlineStr">
        <is>
          <t>Infrastructure &amp; the Underground City</t>
        </is>
      </c>
      <c r="D96" s="161" t="n">
        <v>3</v>
      </c>
      <c r="E96" s="175" t="inlineStr">
        <is>
          <t>News brief</t>
        </is>
      </c>
      <c r="F96" s="163" t="inlineStr">
        <is>
          <t>To review</t>
        </is>
      </c>
      <c r="G96" s="164" t="n"/>
      <c r="H96" s="165" t="n"/>
      <c r="I96" s="166" t="inlineStr">
        <is>
          <t>What investigation and grouting methods are used to repair urban sinkholes like the one in Escobedo?</t>
        </is>
      </c>
      <c r="J96" s="166" t="inlineStr">
        <is>
          <t>Detona, Real News</t>
        </is>
      </c>
      <c r="K96" s="167" t="n">
        <v>46319</v>
      </c>
      <c r="L96" s="166" t="inlineStr">
        <is>
          <t>Inicia Escobedo reparación de socavón</t>
        </is>
      </c>
      <c r="M96" s="168" t="n"/>
      <c r="N96" s="169" t="inlineStr">
        <is>
          <t>Mexico</t>
        </is>
      </c>
      <c r="O96" s="166" t="inlineStr">
        <is>
          <t>Escobedo</t>
        </is>
      </c>
      <c r="P96" s="166" t="n"/>
      <c r="Q96" s="170" t="inlineStr">
        <is>
          <t>Colombia</t>
        </is>
      </c>
      <c r="R96" s="167" t="n">
        <v>46319</v>
      </c>
      <c r="S96" s="169" t="inlineStr">
        <is>
          <t>2026-Q4</t>
        </is>
      </c>
      <c r="T96" s="171" t="inlineStr">
        <is>
          <t>sinkhole</t>
        </is>
      </c>
      <c r="U96" s="158" t="n">
        <v>4</v>
      </c>
      <c r="V96" s="172" t="inlineStr">
        <is>
          <t>https://news.google.com/rss/articles/CBMijAFBVV95cUxQdDFPZ1hLdVRrLUxWRTkyRWtWTjdrMTlTMi1EdW5meVA1dG5ZUWxNZ09MRThFeTk0OThLTDg4QkhBRlQwMzZkTnRBWnh2ZjdTWkhVWTcxX0QxYnNrMW9XOHNyVFZxeHpJMkthZDJRbGtsV0VuTjkwLXFTN0JSS2k2NU85em9uLWgtTjBjUQ?oc=5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40.5" customHeight="1">
      <c r="A97" s="158" t="n">
        <v>94</v>
      </c>
      <c r="B97" s="159" t="inlineStr">
        <is>
          <t>Center attends sinkhole in Casa Blanca</t>
        </is>
      </c>
      <c r="C97" s="177" t="inlineStr">
        <is>
          <t>Infrastructure &amp; the Underground City</t>
        </is>
      </c>
      <c r="D97" s="161" t="n">
        <v>3</v>
      </c>
      <c r="E97" s="175" t="inlineStr">
        <is>
          <t>News brief</t>
        </is>
      </c>
      <c r="F97" s="163" t="inlineStr">
        <is>
          <t>To review</t>
        </is>
      </c>
      <c r="G97" s="164" t="n"/>
      <c r="H97" s="165" t="n"/>
      <c r="I97" s="166" t="inlineStr">
        <is>
          <t>What subsurface causes are likely behind the Casa Blanca sinkhole, and how should emergency response proceed?</t>
        </is>
      </c>
      <c r="J97" s="166" t="inlineStr">
        <is>
          <t>Tabasco HOY</t>
        </is>
      </c>
      <c r="K97" s="167" t="n">
        <v>46319</v>
      </c>
      <c r="L97" s="166" t="inlineStr">
        <is>
          <t>Centro atiende socavón en Casa Blanca</t>
        </is>
      </c>
      <c r="M97" s="168" t="n"/>
      <c r="N97" s="169" t="inlineStr">
        <is>
          <t>Mexico</t>
        </is>
      </c>
      <c r="O97" s="166" t="inlineStr">
        <is>
          <t>Casa Blanca, Tabasco</t>
        </is>
      </c>
      <c r="P97" s="166" t="n"/>
      <c r="Q97" s="170" t="inlineStr">
        <is>
          <t>Colombia</t>
        </is>
      </c>
      <c r="R97" s="167" t="n">
        <v>46319</v>
      </c>
      <c r="S97" s="169" t="inlineStr">
        <is>
          <t>2026-Q4</t>
        </is>
      </c>
      <c r="T97" s="171" t="inlineStr">
        <is>
          <t>sinkhole</t>
        </is>
      </c>
      <c r="U97" s="158" t="n">
        <v>4</v>
      </c>
      <c r="V97" s="172" t="inlineStr">
        <is>
          <t>https://news.google.com/rss/articles/CBMic0FVX3lxTE56eFFxMjNpU2dPWkppM1RsMEJJbThwdXcyYk1id0t2V1RCYUFMQTJzVGRGMFBxODZlSi1IVERlM29jWGtJRUtkb1M5em1ISlMwd1hBVnkwNEVOb1hiWlkzNU9JZUJJbWZXNUFZWTh5YkE5SE0?oc=5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40.5" customHeight="1">
      <c r="A98" s="158" t="n">
        <v>95</v>
      </c>
      <c r="B98" s="159" t="inlineStr">
        <is>
          <t>Sinkhole forms at top of underpass in Francisco I. Madero</t>
        </is>
      </c>
      <c r="C98" s="177" t="inlineStr">
        <is>
          <t>Infrastructure &amp; the Underground City</t>
        </is>
      </c>
      <c r="D98" s="161" t="n">
        <v>3</v>
      </c>
      <c r="E98" s="175" t="inlineStr">
        <is>
          <t>News brief</t>
        </is>
      </c>
      <c r="F98" s="163" t="inlineStr">
        <is>
          <t>To review</t>
        </is>
      </c>
      <c r="G98" s="164" t="n"/>
      <c r="H98" s="165" t="n"/>
      <c r="I98" s="166" t="inlineStr">
        <is>
          <t>What ground movements and drainage failures beneath an underpass cause sinkholes at its top surface?</t>
        </is>
      </c>
      <c r="J98" s="166" t="inlineStr">
        <is>
          <t>El Siglo de Torreón</t>
        </is>
      </c>
      <c r="K98" s="167" t="n">
        <v>46319</v>
      </c>
      <c r="L98" s="166" t="inlineStr">
        <is>
          <t>Se origina socavón en la parte superior del paso a desnivel en Francisco I. Madero</t>
        </is>
      </c>
      <c r="M98" s="168" t="n"/>
      <c r="N98" s="169" t="inlineStr">
        <is>
          <t>Mexico</t>
        </is>
      </c>
      <c r="O98" s="166" t="inlineStr">
        <is>
          <t>Francisco I. Madero, Torreon</t>
        </is>
      </c>
      <c r="P98" s="166" t="n"/>
      <c r="Q98" s="170" t="inlineStr">
        <is>
          <t>Colombia</t>
        </is>
      </c>
      <c r="R98" s="167" t="n">
        <v>46318</v>
      </c>
      <c r="S98" s="169" t="inlineStr">
        <is>
          <t>2026-Q4</t>
        </is>
      </c>
      <c r="T98" s="171" t="inlineStr">
        <is>
          <t>sinkhole</t>
        </is>
      </c>
      <c r="U98" s="158" t="n">
        <v>4</v>
      </c>
      <c r="V9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40.5" customHeight="1">
      <c r="A99" s="158" t="n">
        <v>96</v>
      </c>
      <c r="B99" s="159" t="inlineStr">
        <is>
          <t>Ambulance left hanging in a sinkhole in Aucapán rescued</t>
        </is>
      </c>
      <c r="C99" s="177" t="inlineStr">
        <is>
          <t>Infrastructure &amp; the Underground City</t>
        </is>
      </c>
      <c r="D99" s="161" t="n">
        <v>3</v>
      </c>
      <c r="E99" s="175" t="inlineStr">
        <is>
          <t>News brief</t>
        </is>
      </c>
      <c r="F99" s="163" t="inlineStr">
        <is>
          <t>To review</t>
        </is>
      </c>
      <c r="G99" s="164" t="n"/>
      <c r="H99" s="165" t="n"/>
      <c r="I99" s="166" t="inlineStr">
        <is>
          <t>How do soil loss and void formation under a road lead to vehicles hanging over sinkholes, and what rescue precautions apply?</t>
        </is>
      </c>
      <c r="J99" s="166" t="inlineStr">
        <is>
          <t>Realidad Sanmartinense</t>
        </is>
      </c>
      <c r="K99" s="167" t="n">
        <v>46319</v>
      </c>
      <c r="L99" s="166" t="inlineStr">
        <is>
          <t>Rescatan ambulancia que quedó colgada en un socavón en Aucapán</t>
        </is>
      </c>
      <c r="M99" s="168" t="n"/>
      <c r="N99" s="169" t="inlineStr">
        <is>
          <t>Argentina</t>
        </is>
      </c>
      <c r="O99" s="166" t="inlineStr">
        <is>
          <t>Aucapan, Neuquen</t>
        </is>
      </c>
      <c r="P99" s="166" t="inlineStr">
        <is>
          <t>Aucapán road sinkhole traps ambulance, Argentina (Oct 2026) · Event · 2 reports</t>
        </is>
      </c>
      <c r="Q99" s="170" t="inlineStr">
        <is>
          <t>Colombia</t>
        </is>
      </c>
      <c r="R99" s="167" t="n">
        <v>46318</v>
      </c>
      <c r="S99" s="169" t="inlineStr">
        <is>
          <t>2026-Q4</t>
        </is>
      </c>
      <c r="T99" s="171" t="inlineStr">
        <is>
          <t>sinkhole</t>
        </is>
      </c>
      <c r="U99" s="158" t="n">
        <v>4</v>
      </c>
      <c r="V9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Gia Lai province People's Committee chairman discusses proposal to level Mot Mountain.</t>
        </is>
      </c>
      <c r="C100" s="181" t="inlineStr">
        <is>
          <t>Geotechnics &amp; Society</t>
        </is>
      </c>
      <c r="D100" s="161" t="n">
        <v>3</v>
      </c>
      <c r="E100" s="183" t="inlineStr">
        <is>
          <t>Regional insight</t>
        </is>
      </c>
      <c r="F100" s="163" t="inlineStr">
        <is>
          <t>To review</t>
        </is>
      </c>
      <c r="G100" s="164" t="n"/>
      <c r="H100" s="165" t="n"/>
      <c r="I100" s="166" t="inlineStr">
        <is>
          <t>What are the geotechnical feasibility issues of levelling a hill, including rock quality, slope excavation and stability, compared with preservation?</t>
        </is>
      </c>
      <c r="J100" s="166" t="inlineStr">
        <is>
          <t>Vietnam.vn</t>
        </is>
      </c>
      <c r="K100" s="167" t="n">
        <v>46319</v>
      </c>
      <c r="L100" s="166" t="inlineStr">
        <is>
          <t>رئيس اللجنة الشعبية لمقاطعة جيا لاي يتحدث عن اقتراح تسوية جبل موت.</t>
        </is>
      </c>
      <c r="M100" s="168" t="n"/>
      <c r="N100" s="169" t="inlineStr">
        <is>
          <t>Vietnam</t>
        </is>
      </c>
      <c r="O100" s="166" t="inlineStr">
        <is>
          <t>Mot Mountain, Gia Lai</t>
        </is>
      </c>
      <c r="P100" s="166" t="n"/>
      <c r="Q100" s="170" t="inlineStr">
        <is>
          <t>Egypt</t>
        </is>
      </c>
      <c r="R100" s="167" t="n">
        <v>46318</v>
      </c>
      <c r="S100" s="169" t="inlineStr">
        <is>
          <t>2026-Q4</t>
        </is>
      </c>
      <c r="T100" s="171" t="n"/>
      <c r="U100" s="158" t="n">
        <v>0</v>
      </c>
      <c r="V100" s="172" t="inlineStr">
        <is>
          <t>https://news.google.com/rss/articles/CBMijgFBVV95cUxNdzRhVnVlVUVUU1k4S3pUQVo2RFJENXlEM1V6Z2FrVzRMQ2cxb0pZNkJpWUY5UWFHd1ZIUEZmU2x4SGtydEtXN3k2bTBIYWQ3VmZNZkNTRkhfRFctd3JZdThkRW1HTWIxYmVXRDZsazFZVTJsUzVjTWk0R2FIUElZRG5lLUpaeXpHRlZSdFBn?oc=5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8" t="n">
        <v>98</v>
      </c>
      <c r="B101" s="159" t="inlineStr">
        <is>
          <t>What are the options for Mot Mountain in Quy Nhon: level it or preserve the historic site?</t>
        </is>
      </c>
      <c r="C101" s="181" t="inlineStr">
        <is>
          <t>Geotechnics &amp; Society</t>
        </is>
      </c>
      <c r="D101" s="161" t="n">
        <v>3</v>
      </c>
      <c r="E101" s="183" t="inlineStr">
        <is>
          <t>Regional insight</t>
        </is>
      </c>
      <c r="F101" s="163" t="inlineStr">
        <is>
          <t>To review</t>
        </is>
      </c>
      <c r="G101" s="164" t="n"/>
      <c r="H101" s="165" t="n"/>
      <c r="I101" s="166" t="inlineStr">
        <is>
          <t>What geotechnical assessments would be needed to compare levelling Mot Mountain with conserving its historic site, including rock stability and foundation implications?</t>
        </is>
      </c>
      <c r="J101" s="166" t="inlineStr">
        <is>
          <t>Vietnam.vn</t>
        </is>
      </c>
      <c r="K101" s="167" t="n">
        <v>46319</v>
      </c>
      <c r="L101" s="166" t="inlineStr">
        <is>
          <t>Quais são as opções para o Monte Mot em Quy Nhon: nivelá-lo ou preservar o sítio histórico?</t>
        </is>
      </c>
      <c r="M101" s="168" t="n"/>
      <c r="N101" s="169" t="inlineStr">
        <is>
          <t>Vietnam</t>
        </is>
      </c>
      <c r="O101" s="166" t="inlineStr">
        <is>
          <t>Mot Mountain, Quy Nhon</t>
        </is>
      </c>
      <c r="P101" s="166" t="n"/>
      <c r="Q101" s="170" t="inlineStr">
        <is>
          <t>Brazil</t>
        </is>
      </c>
      <c r="R101" s="167" t="n">
        <v>46319</v>
      </c>
      <c r="S101" s="169" t="inlineStr">
        <is>
          <t>2026-Q4</t>
        </is>
      </c>
      <c r="T101" s="171" t="n"/>
      <c r="U101" s="158" t="n">
        <v>0</v>
      </c>
      <c r="V101" s="172" t="inlineStr">
        <is>
          <t>https://news.google.com/rss/articles/CBMilgFBVV95cUxNS29sd2RXaDlmWXJYMzNQSnJKZGpCWmJpOE9kVEdWQ2RFcUd0UHBGdHdRczJLbFRwTHFDb0ZPY1lHOHNsRGtTLXhTb081eGdyWF9YcmcxZkFrc2VNNzBJOUxNU1ppYnZtWlZBTTlZcXNfa2xNVUZWRTUyMkRlTHRUMmJ4Nk95a1kybUNTTmVPaklQSHktWUE?oc=5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Cerraron un sector de la costanera de una ciudad correntina por hundimiento</t>
        </is>
      </c>
      <c r="C102" s="176" t="inlineStr">
        <is>
          <t>Offshore, Coasts &amp; Water</t>
        </is>
      </c>
      <c r="D102" s="161" t="n">
        <v>3</v>
      </c>
      <c r="E102" s="175" t="inlineStr">
        <is>
          <t>News brief</t>
        </is>
      </c>
      <c r="F102" s="163" t="inlineStr">
        <is>
          <t>To review</t>
        </is>
      </c>
      <c r="G102" s="164" t="n"/>
      <c r="H102" s="165" t="n"/>
      <c r="I102" s="166" t="inlineStr">
        <is>
          <t>What causes subsidence along a riverfront promenade in Corrientes, and how should ground investigation guide repair of the costanera?</t>
        </is>
      </c>
      <c r="J102" s="166" t="inlineStr">
        <is>
          <t>El Litoral | Novedades de Corrientes</t>
        </is>
      </c>
      <c r="K102" s="167" t="n">
        <v>46319</v>
      </c>
      <c r="L102" s="166" t="n"/>
      <c r="M102" s="168" t="n"/>
      <c r="N102" s="169" t="inlineStr">
        <is>
          <t>Argentina</t>
        </is>
      </c>
      <c r="O102" s="166" t="inlineStr">
        <is>
          <t>Corrientes costanera</t>
        </is>
      </c>
      <c r="P102" s="166" t="inlineStr">
        <is>
          <t>Esquina riverfront promenade subsidence, Argentina (Oct 2026) · Event · 2 reports</t>
        </is>
      </c>
      <c r="Q102" s="170" t="inlineStr">
        <is>
          <t>Argentina</t>
        </is>
      </c>
      <c r="R102" s="167" t="n">
        <v>46317</v>
      </c>
      <c r="S102" s="169" t="inlineStr">
        <is>
          <t>2026-Q4</t>
        </is>
      </c>
      <c r="T102" s="171" t="n"/>
      <c r="U102" s="158" t="n">
        <v>0</v>
      </c>
      <c r="V10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Inician rehabilitación tras hundimiento de losa en el Malecón Costero de Coatzacoalcos</t>
        </is>
      </c>
      <c r="C103" s="176" t="inlineStr">
        <is>
          <t>Offshore, Coasts &amp; Water</t>
        </is>
      </c>
      <c r="D103" s="161" t="n">
        <v>3</v>
      </c>
      <c r="E103" s="175" t="inlineStr">
        <is>
          <t>News brief</t>
        </is>
      </c>
      <c r="F103" s="163" t="inlineStr">
        <is>
          <t>To review</t>
        </is>
      </c>
      <c r="G103" s="164" t="n"/>
      <c r="H103" s="165" t="n"/>
      <c r="I103" s="166" t="inlineStr">
        <is>
          <t>What causes slab sinking on a coastal promenade exposed to waves, and what foundation and drainage remedies are appropriate?</t>
        </is>
      </c>
      <c r="J103" s="166" t="inlineStr">
        <is>
          <t>:: Foro Coatza ::</t>
        </is>
      </c>
      <c r="K103" s="167" t="n">
        <v>46319</v>
      </c>
      <c r="L103" s="166" t="n"/>
      <c r="M103" s="168" t="n"/>
      <c r="N103" s="169" t="inlineStr">
        <is>
          <t>Mexico</t>
        </is>
      </c>
      <c r="O103" s="166" t="inlineStr">
        <is>
          <t>Coatzacoalcos malecon</t>
        </is>
      </c>
      <c r="P103" s="166" t="n"/>
      <c r="Q103" s="170" t="inlineStr">
        <is>
          <t>Argentina</t>
        </is>
      </c>
      <c r="R103" s="167" t="n">
        <v>46318</v>
      </c>
      <c r="S103" s="169" t="inlineStr">
        <is>
          <t>2026-Q4</t>
        </is>
      </c>
      <c r="T103" s="171" t="n"/>
      <c r="U103" s="158" t="n">
        <v>0</v>
      </c>
      <c r="V10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sheetData>
  <conditionalFormatting sqref="F4:F10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03">
    <cfRule type="expression" priority="6" dxfId="15">
      <formula>$F4="Not used"</formula>
    </cfRule>
  </conditionalFormatting>
  <conditionalFormatting sqref="D4:D10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0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1"/>
  </tableParts>
</worksheet>
</file>

<file path=xl/worksheets/sheet4.xml><?xml version="1.0" encoding="utf-8"?>
<worksheet xmlns="http://schemas.openxmlformats.org/spreadsheetml/2006/main">
  <sheetPr>
    <tabColor rgb="001F9D63"/>
    <outlinePr applyStyles="0" summaryBelow="0" summaryRight="1"/>
    <pageSetUpPr fitToPage="1"/>
  </sheetPr>
  <dimension ref="A1:I12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84</v>
      </c>
      <c r="B6" s="191" t="n">
        <v>3</v>
      </c>
      <c r="C6" s="192" t="inlineStr">
        <is>
          <t>Snowy 2.0 cost and completion date revised</t>
        </is>
      </c>
      <c r="D6" s="193" t="inlineStr">
        <is>
          <t>Open article</t>
        </is>
      </c>
      <c r="E6" s="194" t="inlineStr">
        <is>
          <t>News brief</t>
        </is>
      </c>
      <c r="F6" s="195">
        <f>IFERROR(INDEX(Stories!$F$4:$F$103,MATCH($A6,Stories!$A$4:$A$103,0))&amp;"","")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87</v>
      </c>
      <c r="B7" s="191" t="n">
        <v>3</v>
      </c>
      <c r="C7" s="192" t="inlineStr">
        <is>
          <t>Abergeldie awarded patent for underground hydrogen storage solution</t>
        </is>
      </c>
      <c r="D7" s="193" t="inlineStr">
        <is>
          <t>Open article</t>
        </is>
      </c>
      <c r="E7" s="198" t="inlineStr">
        <is>
          <t>Academia-to-Industry topic</t>
        </is>
      </c>
      <c r="F7" s="195">
        <f>IFERROR(INDEX(Stories!$F$4:$F$103,MATCH($A7,Stories!$A$4:$A$103,0))&amp;"","")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88</v>
      </c>
      <c r="B8" s="191" t="n">
        <v>3</v>
      </c>
      <c r="C8" s="192" t="inlineStr">
        <is>
          <t>Snowy 2.0 cost rises to A$22.2bn</t>
        </is>
      </c>
      <c r="D8" s="193" t="inlineStr">
        <is>
          <t>Open article</t>
        </is>
      </c>
      <c r="E8" s="194" t="inlineStr">
        <is>
          <t>News brief</t>
        </is>
      </c>
      <c r="F8" s="195">
        <f>IFERROR(INDEX(Stories!$F$4:$F$103,MATCH($A8,Stories!$A$4:$A$103,0))&amp;"","")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46</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IFERROR(INDEX(Stories!$F$4:$F$103,MATCH($A12,Stories!$A$4:$A$103,0))&amp;"","")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11</v>
      </c>
      <c r="B13" s="191" t="n">
        <v>4</v>
      </c>
      <c r="C13" s="192" t="inlineStr">
        <is>
          <t>Using AI to provide early warning of landslide risks.</t>
        </is>
      </c>
      <c r="D13" s="193" t="inlineStr">
        <is>
          <t>Open article</t>
        </is>
      </c>
      <c r="E13" s="203" t="inlineStr">
        <is>
          <t>Feature lead</t>
        </is>
      </c>
      <c r="F13" s="195">
        <f>IFERROR(INDEX(Stories!$F$4:$F$103,MATCH($A13,Stories!$A$4:$A$103,0))&amp;"","")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18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IFERROR(INDEX(Stories!$F$4:$F$103,MATCH($A17,Stories!$A$4:$A$103,0))&amp;"","")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IFERROR(INDEX(Stories!$F$4:$F$103,MATCH($A18,Stories!$A$4:$A$103,0))&amp;"","")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IFERROR(INDEX(Stories!$F$4:$F$103,MATCH($A19,Stories!$A$4:$A$103,0))&amp;"","")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IFERROR(INDEX(Stories!$F$4:$F$103,MATCH($A20,Stories!$A$4:$A$103,0))&amp;"","")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IFERROR(INDEX(Stories!$F$4:$F$103,MATCH($A21,Stories!$A$4:$A$103,0))&amp;"","")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45</v>
      </c>
      <c r="B22" s="191" t="n">
        <v>5</v>
      </c>
      <c r="C22" s="192" t="inlineStr">
        <is>
          <t>Serious landslides in South Gia Nghia</t>
        </is>
      </c>
      <c r="D22" s="193" t="inlineStr">
        <is>
          <t>Open article</t>
        </is>
      </c>
      <c r="E22" s="203" t="inlineStr">
        <is>
          <t>Feature lead</t>
        </is>
      </c>
      <c r="F22" s="195">
        <f>IFERROR(INDEX(Stories!$F$4:$F$103,MATCH($A22,Stories!$A$4:$A$103,0))&amp;"","")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47</v>
      </c>
      <c r="B23" s="191" t="n">
        <v>4</v>
      </c>
      <c r="C23" s="192" t="inlineStr">
        <is>
          <t>M4 landslip work begins as part of wider repair programme</t>
        </is>
      </c>
      <c r="D23" s="193" t="inlineStr">
        <is>
          <t>Open article</t>
        </is>
      </c>
      <c r="E23" s="203" t="inlineStr">
        <is>
          <t>Feature lead</t>
        </is>
      </c>
      <c r="F23" s="195">
        <f>IFERROR(INDEX(Stories!$F$4:$F$103,MATCH($A23,Stories!$A$4:$A$103,0))&amp;"","")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48</v>
      </c>
      <c r="B24" s="191" t="n">
        <v>4</v>
      </c>
      <c r="C24" s="192" t="inlineStr">
        <is>
          <t>Landslide-prevention embankment threatens residential area</t>
        </is>
      </c>
      <c r="D24" s="193" t="inlineStr">
        <is>
          <t>Open article</t>
        </is>
      </c>
      <c r="E24" s="203" t="inlineStr">
        <is>
          <t>Feature lead</t>
        </is>
      </c>
      <c r="F24" s="195">
        <f>IFERROR(INDEX(Stories!$F$4:$F$103,MATCH($A24,Stories!$A$4:$A$103,0))&amp;"","")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49</v>
      </c>
      <c r="B25" s="191" t="n">
        <v>4</v>
      </c>
      <c r="C25" s="192" t="inlineStr">
        <is>
          <t>Storms in Liguria, major landslide in Savona: the collapse destroyed a city road</t>
        </is>
      </c>
      <c r="D25" s="193" t="inlineStr">
        <is>
          <t>Open article</t>
        </is>
      </c>
      <c r="E25" s="194" t="inlineStr">
        <is>
          <t>News brief</t>
        </is>
      </c>
      <c r="F25" s="195">
        <f>IFERROR(INDEX(Stories!$F$4:$F$103,MATCH($A25,Stories!$A$4:$A$103,0))&amp;"","")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50</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IFERROR(INDEX(Stories!$F$4:$F$103,MATCH($A26,Stories!$A$4:$A$103,0))&amp;"","")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51</v>
      </c>
      <c r="B27" s="191" t="n">
        <v>4</v>
      </c>
      <c r="C27" s="192" t="inlineStr">
        <is>
          <t>Valmontone, bad weather: tuff slope collapses onto Prenestina road, road partially closed</t>
        </is>
      </c>
      <c r="D27" s="193" t="inlineStr">
        <is>
          <t>Open article</t>
        </is>
      </c>
      <c r="E27" s="194" t="inlineStr">
        <is>
          <t>News brief</t>
        </is>
      </c>
      <c r="F27" s="195">
        <f>IFERROR(INDEX(Stories!$F$4:$F$103,MATCH($A27,Stories!$A$4:$A$103,0))&amp;"","")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52</v>
      </c>
      <c r="B28" s="191" t="n">
        <v>4</v>
      </c>
      <c r="C28" s="192" t="inlineStr">
        <is>
          <t>Bonea, landslide in Capo locality: mayor closes three roads by urgent order</t>
        </is>
      </c>
      <c r="D28" s="193" t="inlineStr">
        <is>
          <t>Open article</t>
        </is>
      </c>
      <c r="E28" s="194" t="inlineStr">
        <is>
          <t>News brief</t>
        </is>
      </c>
      <c r="F28" s="195">
        <f>IFERROR(INDEX(Stories!$F$4:$F$103,MATCH($A28,Stories!$A$4:$A$103,0))&amp;"","")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53</v>
      </c>
      <c r="B29" s="191" t="n">
        <v>4</v>
      </c>
      <c r="C29" s="192" t="inlineStr">
        <is>
          <t>La frana del Cencione Tra fango e polemiche Le ruspe sono al lavoro</t>
        </is>
      </c>
      <c r="D29" s="193" t="inlineStr">
        <is>
          <t>Open article</t>
        </is>
      </c>
      <c r="E29" s="203" t="inlineStr">
        <is>
          <t>Feature lead</t>
        </is>
      </c>
      <c r="F29" s="195">
        <f>IFERROR(INDEX(Stories!$F$4:$F$103,MATCH($A29,Stories!$A$4:$A$103,0))&amp;"","")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54</v>
      </c>
      <c r="B30" s="191" t="n">
        <v>4</v>
      </c>
      <c r="C30" s="192" t="inlineStr">
        <is>
          <t>TNI helps landslide victims in Lae Ikan, Subulussalam</t>
        </is>
      </c>
      <c r="D30" s="193" t="inlineStr">
        <is>
          <t>Open article</t>
        </is>
      </c>
      <c r="E30" s="194" t="inlineStr">
        <is>
          <t>News brief</t>
        </is>
      </c>
      <c r="F30" s="195">
        <f>IFERROR(INDEX(Stories!$F$4:$F$103,MATCH($A30,Stories!$A$4:$A$103,0))&amp;"","")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IFERROR(INDEX(Stories!$F$4:$F$103,MATCH($A31,Stories!$A$4:$A$103,0))&amp;"","")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55</v>
      </c>
      <c r="B32" s="191" t="n">
        <v>4</v>
      </c>
      <c r="C32" s="192" t="inlineStr">
        <is>
          <t>Intense rains cause alluvion in rural sector of Concepción: residents fear new landslides</t>
        </is>
      </c>
      <c r="D32" s="193" t="inlineStr">
        <is>
          <t>Open article</t>
        </is>
      </c>
      <c r="E32" s="203" t="inlineStr">
        <is>
          <t>Feature lead</t>
        </is>
      </c>
      <c r="F32" s="195">
        <f>IFERROR(INDEX(Stories!$F$4:$F$103,MATCH($A32,Stories!$A$4:$A$103,0))&amp;"","")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56</v>
      </c>
      <c r="B33" s="191" t="n">
        <v>4</v>
      </c>
      <c r="C33" s="192" t="inlineStr">
        <is>
          <t>Rockfall onto houses in Chi Lang commune, Lang Son province</t>
        </is>
      </c>
      <c r="D33" s="193" t="inlineStr">
        <is>
          <t>Open article</t>
        </is>
      </c>
      <c r="E33" s="194" t="inlineStr">
        <is>
          <t>News brief</t>
        </is>
      </c>
      <c r="F33" s="195">
        <f>IFERROR(INDEX(Stories!$F$4:$F$103,MATCH($A33,Stories!$A$4:$A$103,0))&amp;"","")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57</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IFERROR(INDEX(Stories!$F$4:$F$103,MATCH($A34,Stories!$A$4:$A$103,0))&amp;"","")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60</v>
      </c>
      <c r="B35" s="191" t="n">
        <v>4</v>
      </c>
      <c r="C35" s="192" t="inlineStr">
        <is>
          <t>57-billion-dong erosion revetment in Thanh Hoa subsides and cracks right after completion</t>
        </is>
      </c>
      <c r="D35" s="193" t="inlineStr">
        <is>
          <t>Open article</t>
        </is>
      </c>
      <c r="E35" s="203" t="inlineStr">
        <is>
          <t>Feature lead</t>
        </is>
      </c>
      <c r="F35" s="195">
        <f>IFERROR(INDEX(Stories!$F$4:$F$103,MATCH($A35,Stories!$A$4:$A$103,0))&amp;"","")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61</v>
      </c>
      <c r="B36" s="191" t="n">
        <v>4</v>
      </c>
      <c r="C36" s="192" t="inlineStr">
        <is>
          <t>Lam Dong warns of serious subsidence and sliding on city streets</t>
        </is>
      </c>
      <c r="D36" s="193" t="inlineStr">
        <is>
          <t>Open article</t>
        </is>
      </c>
      <c r="E36" s="208" t="inlineStr">
        <is>
          <t>Regional insight</t>
        </is>
      </c>
      <c r="F36" s="195">
        <f>IFERROR(INDEX(Stories!$F$4:$F$103,MATCH($A36,Stories!$A$4:$A$103,0))&amp;"","")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62</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IFERROR(INDEX(Stories!$F$4:$F$103,MATCH($A37,Stories!$A$4:$A$103,0))&amp;"","")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63</v>
      </c>
      <c r="B38" s="191" t="n">
        <v>4</v>
      </c>
      <c r="C38" s="192" t="inlineStr">
        <is>
          <t>Close-up of a 500-metre street in Lam Dong province, badly hit by subsidence and landslides</t>
        </is>
      </c>
      <c r="D38" s="193" t="inlineStr">
        <is>
          <t>Open article</t>
        </is>
      </c>
      <c r="E38" s="208" t="inlineStr">
        <is>
          <t>Regional insight</t>
        </is>
      </c>
      <c r="F38" s="195">
        <f>IFERROR(INDEX(Stories!$F$4:$F$103,MATCH($A38,Stories!$A$4:$A$103,0))&amp;"","")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64</v>
      </c>
      <c r="B39" s="191" t="n">
        <v>4</v>
      </c>
      <c r="C39" s="192" t="inlineStr">
        <is>
          <t>Anti-landslide embankment threatens residential area</t>
        </is>
      </c>
      <c r="D39" s="193" t="inlineStr">
        <is>
          <t>Open article</t>
        </is>
      </c>
      <c r="E39" s="208" t="inlineStr">
        <is>
          <t>Regional insight</t>
        </is>
      </c>
      <c r="F39" s="195">
        <f>IFERROR(INDEX(Stories!$F$4:$F$103,MATCH($A39,Stories!$A$4:$A$103,0))&amp;"","")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8</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IFERROR(INDEX(Stories!$F$4:$F$103,MATCH($A40,Stories!$A$4:$A$103,0))&amp;"","")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16</v>
      </c>
      <c r="B41" s="191" t="n">
        <v>4</v>
      </c>
      <c r="C41" s="192" t="inlineStr">
        <is>
          <t>Three months after the landslide, L'Ascension still waiting to fill its sinkhole</t>
        </is>
      </c>
      <c r="D41" s="193" t="inlineStr">
        <is>
          <t>Open article</t>
        </is>
      </c>
      <c r="E41" s="203" t="inlineStr">
        <is>
          <t>Feature lead</t>
        </is>
      </c>
      <c r="F41" s="195">
        <f>IFERROR(INDEX(Stories!$F$4:$F$103,MATCH($A41,Stories!$A$4:$A$103,0))&amp;"","")</f>
        <v/>
      </c>
      <c r="G41" s="196" t="inlineStr">
        <is>
          <t>Radio-Canada</t>
        </is>
      </c>
      <c r="H41" s="197" t="n">
        <v>46320</v>
      </c>
      <c r="I41" s="196" t="inlineStr">
        <is>
          <t>How should engineers decide between backfilling and monitoring when a landslide has left a large sinkhole or gouffre in sensitive clay terrain?</t>
        </is>
      </c>
    </row>
    <row r="42" outlineLevel="1" ht="41.5" customHeight="1">
      <c r="A42" s="190" t="n">
        <v>17</v>
      </c>
      <c r="B42" s="191" t="n">
        <v>4</v>
      </c>
      <c r="C42" s="192" t="inlineStr">
        <is>
          <t>Accelerate restoration works on landslides along provincial road 160 along the Chay River</t>
        </is>
      </c>
      <c r="D42" s="193" t="inlineStr">
        <is>
          <t>Open article</t>
        </is>
      </c>
      <c r="E42" s="194" t="inlineStr">
        <is>
          <t>News brief</t>
        </is>
      </c>
      <c r="F42" s="195">
        <f>IFERROR(INDEX(Stories!$F$4:$F$103,MATCH($A42,Stories!$A$4:$A$103,0))&amp;"","")</f>
        <v/>
      </c>
      <c r="G42" s="196" t="inlineStr">
        <is>
          <t>Vietnam.vn</t>
        </is>
      </c>
      <c r="H42" s="197" t="n">
        <v>46320</v>
      </c>
      <c r="I42" s="196" t="inlineStr">
        <is>
          <t>What remediation methods suit repeated landslides along a river-side provincial road, and how should repair schedules balance speed and durability?</t>
        </is>
      </c>
    </row>
    <row r="43" outlineLevel="1" ht="41.5" customHeight="1">
      <c r="A43" s="190" t="n">
        <v>18</v>
      </c>
      <c r="B43" s="191" t="n">
        <v>4</v>
      </c>
      <c r="C43" s="192" t="inlineStr">
        <is>
          <t>Remedying landslides on the national road leading to the Tuyên Quang highlands</t>
        </is>
      </c>
      <c r="D43" s="193" t="inlineStr">
        <is>
          <t>Open article</t>
        </is>
      </c>
      <c r="E43" s="194" t="inlineStr">
        <is>
          <t>News brief</t>
        </is>
      </c>
      <c r="F43" s="195">
        <f>IFERROR(INDEX(Stories!$F$4:$F$103,MATCH($A43,Stories!$A$4:$A$103,0))&amp;"","")</f>
        <v/>
      </c>
      <c r="G43" s="196" t="inlineStr">
        <is>
          <t>Laodong.vn</t>
        </is>
      </c>
      <c r="H43" s="197" t="n">
        <v>46320</v>
      </c>
      <c r="I43" s="196" t="inlineStr">
        <is>
          <t>What mountain-road landslide remediation approaches are most durable on steep, rain-saturated slopes in northern highland terrain?</t>
        </is>
      </c>
    </row>
    <row r="44" outlineLevel="1" ht="41.5" customHeight="1">
      <c r="A44" s="190" t="n">
        <v>19</v>
      </c>
      <c r="B44" s="191" t="n">
        <v>4</v>
      </c>
      <c r="C44" s="192" t="inlineStr">
        <is>
          <t>'It swallowed an entire farm': large landslide in Boyacá leaves three families evacuated</t>
        </is>
      </c>
      <c r="D44" s="193" t="inlineStr">
        <is>
          <t>Open article</t>
        </is>
      </c>
      <c r="E44" s="194" t="inlineStr">
        <is>
          <t>News brief</t>
        </is>
      </c>
      <c r="F44" s="195">
        <f>IFERROR(INDEX(Stories!$F$4:$F$103,MATCH($A44,Stories!$A$4:$A$103,0))&amp;"","")</f>
        <v/>
      </c>
      <c r="G44" s="196" t="inlineStr">
        <is>
          <t>La FM</t>
        </is>
      </c>
      <c r="H44" s="197" t="n">
        <v>46320</v>
      </c>
      <c r="I44" s="196" t="inlineStr">
        <is>
          <t>What triggers very large translational landslides in Andean soils and how should evacuation decisions be based on ground monitoring?</t>
        </is>
      </c>
    </row>
    <row r="45" outlineLevel="1" ht="41.5" customHeight="1">
      <c r="A45" s="190" t="n">
        <v>20</v>
      </c>
      <c r="B45" s="191" t="n">
        <v>4</v>
      </c>
      <c r="C45" s="192" t="inlineStr">
        <is>
          <t>SMS alerts, signage and evacuation routes: La Reina's plan for future aluviones</t>
        </is>
      </c>
      <c r="D45" s="193" t="inlineStr">
        <is>
          <t>Open article</t>
        </is>
      </c>
      <c r="E45" s="203" t="inlineStr">
        <is>
          <t>Feature lead</t>
        </is>
      </c>
      <c r="F45" s="195">
        <f>IFERROR(INDEX(Stories!$F$4:$F$103,MATCH($A45,Stories!$A$4:$A$103,0))&amp;"","")</f>
        <v/>
      </c>
      <c r="G45" s="196" t="inlineStr">
        <is>
          <t>Cooperativa</t>
        </is>
      </c>
      <c r="H45" s="197" t="n">
        <v>46320</v>
      </c>
      <c r="I45" s="196" t="inlineStr">
        <is>
          <t>How effective are early-warning systems, signage and evacuation routing compared with structural debris-flow barriers in mitigating alluvial hazards?</t>
        </is>
      </c>
    </row>
    <row r="46" outlineLevel="1" ht="41.5" customHeight="1">
      <c r="A46" s="190" t="n">
        <v>21</v>
      </c>
      <c r="B46" s="191" t="n">
        <v>4</v>
      </c>
      <c r="C46" s="192" t="inlineStr">
        <is>
          <t>Alert in San Juan due to El Niño: how aluviones are triggered</t>
        </is>
      </c>
      <c r="D46" s="193" t="inlineStr">
        <is>
          <t>Open article</t>
        </is>
      </c>
      <c r="E46" s="203" t="inlineStr">
        <is>
          <t>Feature lead</t>
        </is>
      </c>
      <c r="F46" s="195">
        <f>IFERROR(INDEX(Stories!$F$4:$F$103,MATCH($A46,Stories!$A$4:$A$103,0))&amp;"","")</f>
        <v/>
      </c>
      <c r="G46" s="196" t="inlineStr">
        <is>
          <t>Diario 13 San Juan</t>
        </is>
      </c>
      <c r="H46" s="197" t="n">
        <v>46320</v>
      </c>
      <c r="I46" s="196" t="inlineStr">
        <is>
          <t>How does El Niño rainfall change the triggering of aluviones in arid Andean catchments, and what hazard assessment should inform local planning?</t>
        </is>
      </c>
    </row>
    <row r="47" outlineLevel="1" ht="41.5" customHeight="1">
      <c r="A47" s="190" t="n">
        <v>22</v>
      </c>
      <c r="B47" s="191" t="n">
        <v>4</v>
      </c>
      <c r="C47" s="192" t="inlineStr">
        <is>
          <t>194.8 mm of rain causes landslides in Pato Branco</t>
        </is>
      </c>
      <c r="D47" s="193" t="inlineStr">
        <is>
          <t>Open article</t>
        </is>
      </c>
      <c r="E47" s="203" t="inlineStr">
        <is>
          <t>Feature lead</t>
        </is>
      </c>
      <c r="F47" s="195">
        <f>IFERROR(INDEX(Stories!$F$4:$F$103,MATCH($A47,Stories!$A$4:$A$103,0))&amp;"","")</f>
        <v/>
      </c>
      <c r="G47" s="196" t="inlineStr">
        <is>
          <t>Diário do Sudoeste</t>
        </is>
      </c>
      <c r="H47" s="197" t="n">
        <v>46320</v>
      </c>
      <c r="I47" s="196" t="inlineStr">
        <is>
          <t>What rainfall intensity and antecedent conditions, such as 194.8 mm, are needed to trigger multiple slope failures in urban Paraná hillsides?</t>
        </is>
      </c>
    </row>
    <row r="48" outlineLevel="1" ht="41.5" customHeight="1">
      <c r="A48" s="190" t="n">
        <v>23</v>
      </c>
      <c r="B48" s="191" t="n">
        <v>4</v>
      </c>
      <c r="C48" s="192" t="inlineStr">
        <is>
          <t>Castellammare: storms and landslide, reserve funds unlocked for emergency works after disaster</t>
        </is>
      </c>
      <c r="D48" s="193" t="inlineStr">
        <is>
          <t>Open article</t>
        </is>
      </c>
      <c r="E48" s="194" t="inlineStr">
        <is>
          <t>News brief</t>
        </is>
      </c>
      <c r="F48" s="195">
        <f>IFERROR(INDEX(Stories!$F$4:$F$103,MATCH($A48,Stories!$A$4:$A$103,0))&amp;"","")</f>
        <v/>
      </c>
      <c r="G48" s="196" t="inlineStr">
        <is>
          <t>StabiaChannel.it</t>
        </is>
      </c>
      <c r="H48" s="197" t="n">
        <v>46320</v>
      </c>
      <c r="I48" s="196" t="inlineStr">
        <is>
          <t>How quickly can emergency reserve funds mobilise urgent slope stabilisation after a landslide, and what ground investigation should precede permanent works?</t>
        </is>
      </c>
    </row>
    <row r="49" outlineLevel="1" ht="41.5" customHeight="1">
      <c r="A49" s="190" t="n">
        <v>24</v>
      </c>
      <c r="B49" s="191" t="n">
        <v>4</v>
      </c>
      <c r="C49" s="192" t="inlineStr">
        <is>
          <t>Landslide pressure and relocation challenges in Ca Mau</t>
        </is>
      </c>
      <c r="D49" s="193" t="inlineStr">
        <is>
          <t>Open article</t>
        </is>
      </c>
      <c r="E49" s="203" t="inlineStr">
        <is>
          <t>Feature lead</t>
        </is>
      </c>
      <c r="F49" s="195">
        <f>IFERROR(INDEX(Stories!$F$4:$F$103,MATCH($A49,Stories!$A$4:$A$103,0))&amp;"","")</f>
        <v/>
      </c>
      <c r="G49" s="196" t="inlineStr">
        <is>
          <t>Vietnam.vn</t>
        </is>
      </c>
      <c r="H49" s="197" t="n">
        <v>46320</v>
      </c>
      <c r="I49" s="196" t="inlineStr">
        <is>
          <t>How do soil saturation and bank erosion drive landslides in low-lying deltaic land, and what geotechnical criteria should guide resident relocation?</t>
        </is>
      </c>
    </row>
    <row r="50" outlineLevel="1" ht="41.5" customHeight="1">
      <c r="A50" s="190" t="n">
        <v>25</v>
      </c>
      <c r="B50" s="191" t="n">
        <v>4</v>
      </c>
      <c r="C50" s="192" t="inlineStr">
        <is>
          <t>Paya Terubong landslide leaves one dead, two unhurt</t>
        </is>
      </c>
      <c r="D50" s="193" t="inlineStr">
        <is>
          <t>Open article</t>
        </is>
      </c>
      <c r="E50" s="194" t="inlineStr">
        <is>
          <t>News brief</t>
        </is>
      </c>
      <c r="F50" s="195">
        <f>IFERROR(INDEX(Stories!$F$4:$F$103,MATCH($A50,Stories!$A$4:$A$103,0))&amp;"","")</f>
        <v/>
      </c>
      <c r="G50" s="196" t="inlineStr">
        <is>
          <t>The Star</t>
        </is>
      </c>
      <c r="H50" s="197" t="n">
        <v>46320</v>
      </c>
      <c r="I50" s="196" t="inlineStr">
        <is>
          <t>What slope failure mechanisms and rainfall triggers were involved in this fatal landslide on a Penang hill slope?</t>
        </is>
      </c>
    </row>
    <row r="51" outlineLevel="1" ht="41.5" customHeight="1">
      <c r="A51" s="190" t="n">
        <v>26</v>
      </c>
      <c r="B51" s="191" t="n">
        <v>4</v>
      </c>
      <c r="C51" s="192" t="inlineStr">
        <is>
          <t>TN: Two NDRF Teams Sent To Ooty As Landslides Disrupt Nilgiris Traffic</t>
        </is>
      </c>
      <c r="D51" s="193" t="inlineStr">
        <is>
          <t>Open article</t>
        </is>
      </c>
      <c r="E51" s="194" t="inlineStr">
        <is>
          <t>News brief</t>
        </is>
      </c>
      <c r="F51" s="195">
        <f>IFERROR(INDEX(Stories!$F$4:$F$103,MATCH($A51,Stories!$A$4:$A$103,0))&amp;"","")</f>
        <v/>
      </c>
      <c r="G51" s="196" t="inlineStr">
        <is>
          <t>The Weekend Leader</t>
        </is>
      </c>
      <c r="H51" s="197" t="n">
        <v>46320</v>
      </c>
      <c r="I51" s="196" t="inlineStr">
        <is>
          <t>How should hill-slope monitoring and early warning be designed for monsoon landslides that repeatedly cut access routes in the Nilgiris?</t>
        </is>
      </c>
    </row>
    <row r="52" outlineLevel="1" ht="10" customHeight="1"/>
    <row r="53" ht="26" customHeight="1">
      <c r="A53" s="209" t="inlineStr">
        <is>
          <t>Ground Improvement &amp; Innovation   ·   2 stories   ·   2 rated 5 / 5   ·   1 feature lead</t>
        </is>
      </c>
      <c r="B53" s="210" t="n"/>
      <c r="C53" s="210" t="n"/>
      <c r="D53" s="210" t="n"/>
      <c r="E53" s="210" t="n"/>
      <c r="F53" s="210" t="n"/>
      <c r="G53" s="210" t="n"/>
      <c r="H53" s="210" t="n"/>
      <c r="I53" s="210" t="n"/>
    </row>
    <row r="54" outlineLevel="1">
      <c r="A54" s="211" t="inlineStr">
        <is>
          <t>No.</t>
        </is>
      </c>
      <c r="B54" s="211" t="inlineStr">
        <is>
          <t>Relevance</t>
        </is>
      </c>
      <c r="C54" s="212" t="inlineStr">
        <is>
          <t>Headline</t>
        </is>
      </c>
      <c r="D54" s="211" t="inlineStr">
        <is>
          <t>Link</t>
        </is>
      </c>
      <c r="E54" s="212" t="inlineStr">
        <is>
          <t>Suggested use</t>
        </is>
      </c>
      <c r="F54" s="211" t="inlineStr">
        <is>
          <t>Status</t>
        </is>
      </c>
      <c r="G54" s="212" t="inlineStr">
        <is>
          <t>Source</t>
        </is>
      </c>
      <c r="H54" s="211" t="inlineStr">
        <is>
          <t>Digest</t>
        </is>
      </c>
      <c r="I54" s="212" t="inlineStr">
        <is>
          <t>Magazine angle / summary</t>
        </is>
      </c>
    </row>
    <row r="55" outlineLevel="1" ht="41.5" customHeight="1">
      <c r="A55" s="190" t="n">
        <v>41</v>
      </c>
      <c r="B55" s="191" t="n">
        <v>5</v>
      </c>
      <c r="C55" s="192" t="inlineStr">
        <is>
          <t>Behavior of Square-Round Shaft Combination Helical Piles and Anchors</t>
        </is>
      </c>
      <c r="D55" s="193" t="inlineStr">
        <is>
          <t>Open article</t>
        </is>
      </c>
      <c r="E55" s="198" t="inlineStr">
        <is>
          <t>Academia-to-Industry topic</t>
        </is>
      </c>
      <c r="F55" s="195">
        <f>IFERROR(INDEX(Stories!$F$4:$F$103,MATCH($A55,Stories!$A$4:$A$103,0))&amp;"","")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44</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IFERROR(INDEX(Stories!$F$4:$F$103,MATCH($A56,Stories!$A$4:$A$103,0))&amp;"","")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3" t="inlineStr">
        <is>
          <t>Infrastructure &amp; the Underground City   ·   28 stories   ·   1 rated 5 / 5   ·   8 feature leads</t>
        </is>
      </c>
      <c r="B58" s="214" t="n"/>
      <c r="C58" s="214" t="n"/>
      <c r="D58" s="214" t="n"/>
      <c r="E58" s="214" t="n"/>
      <c r="F58" s="214" t="n"/>
      <c r="G58" s="214" t="n"/>
      <c r="H58" s="214" t="n"/>
      <c r="I58" s="214" t="n"/>
    </row>
    <row r="59" outlineLevel="1">
      <c r="A59" s="215" t="inlineStr">
        <is>
          <t>No.</t>
        </is>
      </c>
      <c r="B59" s="215" t="inlineStr">
        <is>
          <t>Relevance</t>
        </is>
      </c>
      <c r="C59" s="216" t="inlineStr">
        <is>
          <t>Headline</t>
        </is>
      </c>
      <c r="D59" s="215" t="inlineStr">
        <is>
          <t>Link</t>
        </is>
      </c>
      <c r="E59" s="216" t="inlineStr">
        <is>
          <t>Suggested use</t>
        </is>
      </c>
      <c r="F59" s="215" t="inlineStr">
        <is>
          <t>Status</t>
        </is>
      </c>
      <c r="G59" s="216" t="inlineStr">
        <is>
          <t>Source</t>
        </is>
      </c>
      <c r="H59" s="215" t="inlineStr">
        <is>
          <t>Digest</t>
        </is>
      </c>
      <c r="I59" s="216" t="inlineStr">
        <is>
          <t>Magazine angle / summary</t>
        </is>
      </c>
    </row>
    <row r="60" outlineLevel="1" ht="41.5" customHeight="1">
      <c r="A60" s="190" t="n">
        <v>43</v>
      </c>
      <c r="B60" s="191" t="n">
        <v>5</v>
      </c>
      <c r="C60" s="192" t="inlineStr">
        <is>
          <t>Sinkhole at excavation site: ground sank even after underground safety assessment</t>
        </is>
      </c>
      <c r="D60" s="193" t="inlineStr">
        <is>
          <t>Open article</t>
        </is>
      </c>
      <c r="E60" s="203" t="inlineStr">
        <is>
          <t>Feature lead</t>
        </is>
      </c>
      <c r="F60" s="195">
        <f>IFERROR(INDEX(Stories!$F$4:$F$103,MATCH($A60,Stories!$A$4:$A$103,0))&amp;"","")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66</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IFERROR(INDEX(Stories!$F$4:$F$103,MATCH($A61,Stories!$A$4:$A$103,0))&amp;"","")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67</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IFERROR(INDEX(Stories!$F$4:$F$103,MATCH($A62,Stories!$A$4:$A$103,0))&amp;"","")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68</v>
      </c>
      <c r="B63" s="191" t="n">
        <v>4</v>
      </c>
      <c r="C63" s="192" t="inlineStr">
        <is>
          <t>Part of a retaining wall collapsed near Pioneer Park in Yalta after rains</t>
        </is>
      </c>
      <c r="D63" s="193" t="inlineStr">
        <is>
          <t>Open article</t>
        </is>
      </c>
      <c r="E63" s="208" t="inlineStr">
        <is>
          <t>Regional insight</t>
        </is>
      </c>
      <c r="F63" s="195">
        <f>IFERROR(INDEX(Stories!$F$4:$F$103,MATCH($A63,Stories!$A$4:$A$103,0))&amp;"","")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70</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IFERROR(INDEX(Stories!$F$4:$F$103,MATCH($A64,Stories!$A$4:$A$103,0))&amp;"","")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9</v>
      </c>
      <c r="B65" s="191" t="n">
        <v>4</v>
      </c>
      <c r="C65" s="192" t="inlineStr">
        <is>
          <t>Four guests fall into sinkhole at Occidental Cozumel hotel</t>
        </is>
      </c>
      <c r="D65" s="193" t="inlineStr">
        <is>
          <t>Open article</t>
        </is>
      </c>
      <c r="E65" s="194" t="inlineStr">
        <is>
          <t>News brief</t>
        </is>
      </c>
      <c r="F65" s="195">
        <f>IFERROR(INDEX(Stories!$F$4:$F$103,MATCH($A65,Stories!$A$4:$A$103,0))&amp;"","")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IFERROR(INDEX(Stories!$F$4:$F$103,MATCH($A66,Stories!$A$4:$A$103,0))&amp;"","")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75</v>
      </c>
      <c r="B67" s="191" t="n">
        <v>4</v>
      </c>
      <c r="C67" s="192" t="inlineStr">
        <is>
          <t>Mystery in El Bosque: sinkhole appears amid rain and swallows a car</t>
        </is>
      </c>
      <c r="D67" s="193" t="inlineStr">
        <is>
          <t>Open article</t>
        </is>
      </c>
      <c r="E67" s="194" t="inlineStr">
        <is>
          <t>News brief</t>
        </is>
      </c>
      <c r="F67" s="195">
        <f>IFERROR(INDEX(Stories!$F$4:$F$103,MATCH($A67,Stories!$A$4:$A$103,0))&amp;"","")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76</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IFERROR(INDEX(Stories!$F$4:$F$103,MATCH($A68,Stories!$A$4:$A$103,0))&amp;"","")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77</v>
      </c>
      <c r="B69" s="191" t="n">
        <v>4</v>
      </c>
      <c r="C69" s="192" t="inlineStr">
        <is>
          <t>Presidential delegate on Arauco sinkhole: 'It was built on land that was not optimal'</t>
        </is>
      </c>
      <c r="D69" s="193" t="inlineStr">
        <is>
          <t>Open article</t>
        </is>
      </c>
      <c r="E69" s="203" t="inlineStr">
        <is>
          <t>Feature lead</t>
        </is>
      </c>
      <c r="F69" s="195">
        <f>IFERROR(INDEX(Stories!$F$4:$F$103,MATCH($A69,Stories!$A$4:$A$103,0))&amp;"","")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78</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IFERROR(INDEX(Stories!$F$4:$F$103,MATCH($A70,Stories!$A$4:$A$103,0))&amp;"","")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27</v>
      </c>
      <c r="B71" s="191" t="n">
        <v>4</v>
      </c>
      <c r="C71" s="192" t="inlineStr">
        <is>
          <t>Experts comment on the plan to level Mot mountain in Quy Nhon</t>
        </is>
      </c>
      <c r="D71" s="193" t="inlineStr">
        <is>
          <t>Open article</t>
        </is>
      </c>
      <c r="E71" s="203" t="inlineStr">
        <is>
          <t>Feature lead</t>
        </is>
      </c>
      <c r="F71" s="195">
        <f>IFERROR(INDEX(Stories!$F$4:$F$103,MATCH($A71,Stories!$A$4:$A$103,0))&amp;"","")</f>
        <v/>
      </c>
      <c r="G71" s="196" t="inlineStr">
        <is>
          <t>Vietnam.vn</t>
        </is>
      </c>
      <c r="H71" s="197" t="n">
        <v>46320</v>
      </c>
      <c r="I71" s="196" t="inlineStr">
        <is>
          <t>What are the slope stability, rock-cutting and environmental trade-offs in levelling a granite mountain inside an urban area, and how should experts weigh them?</t>
        </is>
      </c>
    </row>
    <row r="72" outlineLevel="1" ht="41.5" customHeight="1">
      <c r="A72" s="190" t="n">
        <v>28</v>
      </c>
      <c r="B72" s="191" t="n">
        <v>4</v>
      </c>
      <c r="C72" s="192" t="inlineStr">
        <is>
          <t>Imperial advances planning of block caving method at Red Chris mine</t>
        </is>
      </c>
      <c r="D72" s="193" t="inlineStr">
        <is>
          <t>Open article</t>
        </is>
      </c>
      <c r="E72" s="198" t="inlineStr">
        <is>
          <t>Academia-to-Industry topic</t>
        </is>
      </c>
      <c r="F72" s="195">
        <f>IFERROR(INDEX(Stories!$F$4:$F$103,MATCH($A72,Stories!$A$4:$A$103,0))&amp;"","")</f>
        <v/>
      </c>
      <c r="G72" s="196" t="inlineStr">
        <is>
          <t>MarketScreener España</t>
        </is>
      </c>
      <c r="H72" s="197" t="n">
        <v>46320</v>
      </c>
      <c r="I72" s="196" t="inlineStr">
        <is>
          <t>What geomechanical data and rock mass characterisation are needed to plan block caving sequences safely in a large porphyry copper mine?</t>
        </is>
      </c>
    </row>
    <row r="73" outlineLevel="1" ht="54" customHeight="1">
      <c r="A73" s="190" t="n">
        <v>83</v>
      </c>
      <c r="B73" s="191" t="n">
        <v>4</v>
      </c>
      <c r="C73" s="192" t="inlineStr">
        <is>
          <t>Ben Thanh - Tham Luong metro to have all 11 stations completed by end of 2026</t>
        </is>
      </c>
      <c r="D73" s="193" t="inlineStr">
        <is>
          <t>Open article</t>
        </is>
      </c>
      <c r="E73" s="203" t="inlineStr">
        <is>
          <t>Feature lead</t>
        </is>
      </c>
      <c r="F73" s="195">
        <f>IFERROR(INDEX(Stories!$F$4:$F$103,MATCH($A73,Stories!$A$4:$A$103,0))&amp;"","")</f>
        <v/>
      </c>
      <c r="G73" s="196" t="inlineStr">
        <is>
          <t>VOH</t>
        </is>
      </c>
      <c r="H73" s="197" t="n">
        <v>46319</v>
      </c>
      <c r="I73" s="196" t="inlineStr">
        <is>
          <t>What ground conditions and deep excavation and tunnelling methods are used for metro stations in soft Ho Chi Minh City clays with high groundwater, and what risks follow?</t>
        </is>
      </c>
    </row>
    <row r="74" outlineLevel="1" ht="41.5" customHeight="1">
      <c r="A74" s="190" t="n">
        <v>85</v>
      </c>
      <c r="B74" s="191" t="n">
        <v>3</v>
      </c>
      <c r="C74" s="192" t="inlineStr">
        <is>
          <t>Mobile shield deployed for A14 Vinci Tunnel reconstruction</t>
        </is>
      </c>
      <c r="D74" s="193" t="inlineStr">
        <is>
          <t>Open article</t>
        </is>
      </c>
      <c r="E74" s="194" t="inlineStr">
        <is>
          <t>News brief</t>
        </is>
      </c>
      <c r="F74" s="195">
        <f>IFERROR(INDEX(Stories!$F$4:$F$103,MATCH($A74,Stories!$A$4:$A$103,0))&amp;"","")</f>
        <v/>
      </c>
      <c r="G74" s="196" t="inlineStr">
        <is>
          <t>Tunnelling Journal</t>
        </is>
      </c>
      <c r="H74" s="197" t="n">
        <v>46319</v>
      </c>
      <c r="I74" s="196" t="inlineStr">
        <is>
          <t>How does a mobile shield enable tunnel reconstruction within an operating motorway tunnel, and what ground support issues arise?</t>
        </is>
      </c>
    </row>
    <row r="75" outlineLevel="1" ht="41.5" customHeight="1">
      <c r="A75" s="190" t="n">
        <v>86</v>
      </c>
      <c r="B75" s="191" t="n">
        <v>3</v>
      </c>
      <c r="C75" s="192" t="inlineStr">
        <is>
          <t>What options exist for Mot Mountain in Quy Nhon: levelling it or preserving the historic site?</t>
        </is>
      </c>
      <c r="D75" s="193" t="inlineStr">
        <is>
          <t>Open article</t>
        </is>
      </c>
      <c r="E75" s="203" t="inlineStr">
        <is>
          <t>Feature lead</t>
        </is>
      </c>
      <c r="F75" s="195">
        <f>IFERROR(INDEX(Stories!$F$4:$F$103,MATCH($A75,Stories!$A$4:$A$103,0))&amp;"","")</f>
        <v/>
      </c>
      <c r="G75" s="196" t="inlineStr">
        <is>
          <t>Vietnam.vn</t>
        </is>
      </c>
      <c r="H75" s="197" t="n">
        <v>46319</v>
      </c>
      <c r="I75" s="196" t="inlineStr">
        <is>
          <t>What geotechnical and heritage considerations should guide levelling versus preserving a rocky hill site in an urban coastal city?</t>
        </is>
      </c>
    </row>
    <row r="76" outlineLevel="1" ht="41.5" customHeight="1">
      <c r="A76" s="190" t="n">
        <v>32</v>
      </c>
      <c r="B76" s="191" t="n">
        <v>3</v>
      </c>
      <c r="C76" s="192" t="inlineStr">
        <is>
          <t>Un socavón en Cerro se llena de agua y amenaza a peatones y conductores tras las lluvias</t>
        </is>
      </c>
      <c r="D76" s="193" t="inlineStr">
        <is>
          <t>Open article</t>
        </is>
      </c>
      <c r="E76" s="194" t="inlineStr">
        <is>
          <t>News brief</t>
        </is>
      </c>
      <c r="F76" s="195">
        <f>IFERROR(INDEX(Stories!$F$4:$F$103,MATCH($A76,Stories!$A$4:$A$103,0))&amp;"","")</f>
        <v/>
      </c>
      <c r="G76" s="196" t="inlineStr">
        <is>
          <t>Infobae</t>
        </is>
      </c>
      <c r="H76" s="197" t="n">
        <v>46320</v>
      </c>
      <c r="I76" s="196" t="inlineStr">
        <is>
          <t>What causes water-filled sinkholes to form in urban ground after rainfall, and how should pedestrian and traffic exclusion zones be set?</t>
        </is>
      </c>
    </row>
    <row r="77" outlineLevel="1" ht="41.5" customHeight="1">
      <c r="A77" s="190" t="n">
        <v>33</v>
      </c>
      <c r="B77" s="191" t="n">
        <v>3</v>
      </c>
      <c r="C77" s="192" t="inlineStr">
        <is>
          <t>A sinkhole trapped an ambulance transporting a patient</t>
        </is>
      </c>
      <c r="D77" s="193" t="inlineStr">
        <is>
          <t>Open article</t>
        </is>
      </c>
      <c r="E77" s="194" t="inlineStr">
        <is>
          <t>News brief</t>
        </is>
      </c>
      <c r="F77" s="195">
        <f>IFERROR(INDEX(Stories!$F$4:$F$103,MATCH($A77,Stories!$A$4:$A$103,0))&amp;"","")</f>
        <v/>
      </c>
      <c r="G77" s="196" t="inlineStr">
        <is>
          <t>Diario 7 lagos</t>
        </is>
      </c>
      <c r="H77" s="197" t="n">
        <v>46320</v>
      </c>
      <c r="I77" s="196" t="inlineStr">
        <is>
          <t>What ground investigation is needed to explain sudden road sinkholes that trap emergency vehicles on mountain-road pavements?</t>
        </is>
      </c>
    </row>
    <row r="78" outlineLevel="1" ht="41.5" customHeight="1">
      <c r="A78" s="190" t="n">
        <v>34</v>
      </c>
      <c r="B78" s="191" t="n">
        <v>3</v>
      </c>
      <c r="C78" s="192" t="inlineStr">
        <is>
          <t>Sinkhole endangers motorists and pedestrians in the 21 de Marzo neighbourhood</t>
        </is>
      </c>
      <c r="D78" s="193" t="inlineStr">
        <is>
          <t>Open article</t>
        </is>
      </c>
      <c r="E78" s="194" t="inlineStr">
        <is>
          <t>News brief</t>
        </is>
      </c>
      <c r="F78" s="195">
        <f>IFERROR(INDEX(Stories!$F$4:$F$103,MATCH($A78,Stories!$A$4:$A$103,0))&amp;"","")</f>
        <v/>
      </c>
      <c r="G78" s="196" t="inlineStr">
        <is>
          <t>El Sol de México</t>
        </is>
      </c>
      <c r="H78" s="197" t="n">
        <v>46320</v>
      </c>
      <c r="I78" s="196" t="inlineStr">
        <is>
          <t>What are the likely causes of urban road sinkholes, such as leaking pipes or subsurface erosion, and how should they be detected early?</t>
        </is>
      </c>
    </row>
    <row r="79" outlineLevel="1" ht="41.5" customHeight="1">
      <c r="A79" s="190" t="n">
        <v>35</v>
      </c>
      <c r="B79" s="191" t="n">
        <v>3</v>
      </c>
      <c r="C79" s="192" t="inlineStr">
        <is>
          <t>Government abandons community with an enormous sinkhole</t>
        </is>
      </c>
      <c r="D79" s="193" t="inlineStr">
        <is>
          <t>Open article</t>
        </is>
      </c>
      <c r="E79" s="217" t="inlineStr">
        <is>
          <t>Watch only</t>
        </is>
      </c>
      <c r="F79" s="195">
        <f>IFERROR(INDEX(Stories!$F$4:$F$103,MATCH($A79,Stories!$A$4:$A$103,0))&amp;"","")</f>
        <v/>
      </c>
      <c r="G79" s="196" t="inlineStr">
        <is>
          <t>emsavalles.com</t>
        </is>
      </c>
      <c r="H79" s="197" t="n">
        <v>46320</v>
      </c>
      <c r="I79" s="196" t="inlineStr">
        <is>
          <t>Large community sinkhole left without official remediation; the geotechnical cause and responsibility for investigation remain open.</t>
        </is>
      </c>
    </row>
    <row r="80" outlineLevel="1" ht="41.5" customHeight="1">
      <c r="A80" s="190" t="n">
        <v>36</v>
      </c>
      <c r="B80" s="191" t="n">
        <v>3</v>
      </c>
      <c r="C80" s="192" t="inlineStr">
        <is>
          <t>Sinkhole repair will close Route 241 in Lebanon County for a week</t>
        </is>
      </c>
      <c r="D80" s="193" t="inlineStr">
        <is>
          <t>Open article</t>
        </is>
      </c>
      <c r="E80" s="194" t="inlineStr">
        <is>
          <t>News brief</t>
        </is>
      </c>
      <c r="F80" s="195">
        <f>IFERROR(INDEX(Stories!$F$4:$F$103,MATCH($A80,Stories!$A$4:$A$103,0))&amp;"","")</f>
        <v/>
      </c>
      <c r="G80" s="196" t="inlineStr">
        <is>
          <t>ABC27</t>
        </is>
      </c>
      <c r="H80" s="197" t="n">
        <v>46320</v>
      </c>
      <c r="I80" s="196" t="inlineStr">
        <is>
          <t>What causes sinkholes under pavement in karst or mined ground, and which investigation methods would have identified the void before the road failed?</t>
        </is>
      </c>
    </row>
    <row r="81" outlineLevel="1" ht="41.5" customHeight="1">
      <c r="A81" s="190" t="n">
        <v>92</v>
      </c>
      <c r="B81" s="191" t="n">
        <v>3</v>
      </c>
      <c r="C81" s="192" t="inlineStr">
        <is>
          <t>Ivan Noskov announced restoration of a retaining wall on Vladimirskaya Street in Samara</t>
        </is>
      </c>
      <c r="D81" s="193" t="inlineStr">
        <is>
          <t>Open article</t>
        </is>
      </c>
      <c r="E81" s="194" t="inlineStr">
        <is>
          <t>News brief</t>
        </is>
      </c>
      <c r="F81" s="195">
        <f>IFERROR(INDEX(Stories!$F$4:$F$103,MATCH($A81,Stories!$A$4:$A$103,0))&amp;"","")</f>
        <v/>
      </c>
      <c r="G81" s="196" t="inlineStr">
        <is>
          <t>Самарская газета</t>
        </is>
      </c>
      <c r="H81" s="197" t="n">
        <v>46319</v>
      </c>
      <c r="I81" s="196" t="inlineStr">
        <is>
          <t>What causes retaining-wall deterioration on urban slopes like Samara's, and how should restoration design address overall slope stability?</t>
        </is>
      </c>
    </row>
    <row r="82" outlineLevel="1" ht="29" customHeight="1">
      <c r="A82" s="190" t="n">
        <v>93</v>
      </c>
      <c r="B82" s="191" t="n">
        <v>3</v>
      </c>
      <c r="C82" s="192" t="inlineStr">
        <is>
          <t>Escobedo begins repair of sinkhole</t>
        </is>
      </c>
      <c r="D82" s="193" t="inlineStr">
        <is>
          <t>Open article</t>
        </is>
      </c>
      <c r="E82" s="194" t="inlineStr">
        <is>
          <t>News brief</t>
        </is>
      </c>
      <c r="F82" s="195">
        <f>IFERROR(INDEX(Stories!$F$4:$F$103,MATCH($A82,Stories!$A$4:$A$103,0))&amp;"","")</f>
        <v/>
      </c>
      <c r="G82" s="196" t="inlineStr">
        <is>
          <t>Detona, Real News</t>
        </is>
      </c>
      <c r="H82" s="197" t="n">
        <v>46319</v>
      </c>
      <c r="I82" s="196" t="inlineStr">
        <is>
          <t>What investigation and grouting methods are used to repair urban sinkholes like the one in Escobedo?</t>
        </is>
      </c>
    </row>
    <row r="83" outlineLevel="1" ht="41.5" customHeight="1">
      <c r="A83" s="190" t="n">
        <v>94</v>
      </c>
      <c r="B83" s="191" t="n">
        <v>3</v>
      </c>
      <c r="C83" s="192" t="inlineStr">
        <is>
          <t>Center attends sinkhole in Casa Blanca</t>
        </is>
      </c>
      <c r="D83" s="193" t="inlineStr">
        <is>
          <t>Open article</t>
        </is>
      </c>
      <c r="E83" s="194" t="inlineStr">
        <is>
          <t>News brief</t>
        </is>
      </c>
      <c r="F83" s="195">
        <f>IFERROR(INDEX(Stories!$F$4:$F$103,MATCH($A83,Stories!$A$4:$A$103,0))&amp;"","")</f>
        <v/>
      </c>
      <c r="G83" s="196" t="inlineStr">
        <is>
          <t>Tabasco HOY</t>
        </is>
      </c>
      <c r="H83" s="197" t="n">
        <v>46319</v>
      </c>
      <c r="I83" s="196" t="inlineStr">
        <is>
          <t>What subsurface causes are likely behind the Casa Blanca sinkhole, and how should emergency response proceed?</t>
        </is>
      </c>
    </row>
    <row r="84" outlineLevel="1" ht="29" customHeight="1">
      <c r="A84" s="190" t="n">
        <v>95</v>
      </c>
      <c r="B84" s="191" t="n">
        <v>3</v>
      </c>
      <c r="C84" s="192" t="inlineStr">
        <is>
          <t>Sinkhole forms at top of underpass in Francisco I. Madero</t>
        </is>
      </c>
      <c r="D84" s="193" t="inlineStr">
        <is>
          <t>Open article</t>
        </is>
      </c>
      <c r="E84" s="194" t="inlineStr">
        <is>
          <t>News brief</t>
        </is>
      </c>
      <c r="F84" s="195">
        <f>IFERROR(INDEX(Stories!$F$4:$F$103,MATCH($A84,Stories!$A$4:$A$103,0))&amp;"","")</f>
        <v/>
      </c>
      <c r="G84" s="196" t="inlineStr">
        <is>
          <t>El Siglo de Torreón</t>
        </is>
      </c>
      <c r="H84" s="197" t="n">
        <v>46319</v>
      </c>
      <c r="I84" s="196" t="inlineStr">
        <is>
          <t>What ground movements and drainage failures beneath an underpass cause sinkholes at its top surface?</t>
        </is>
      </c>
    </row>
    <row r="85" outlineLevel="1" ht="41.5" customHeight="1">
      <c r="A85" s="190" t="n">
        <v>96</v>
      </c>
      <c r="B85" s="191" t="n">
        <v>3</v>
      </c>
      <c r="C85" s="192" t="inlineStr">
        <is>
          <t>Ambulance left hanging in a sinkhole in Aucapán rescued</t>
        </is>
      </c>
      <c r="D85" s="193" t="inlineStr">
        <is>
          <t>Open article</t>
        </is>
      </c>
      <c r="E85" s="194" t="inlineStr">
        <is>
          <t>News brief</t>
        </is>
      </c>
      <c r="F85" s="195">
        <f>IFERROR(INDEX(Stories!$F$4:$F$103,MATCH($A85,Stories!$A$4:$A$103,0))&amp;"","")</f>
        <v/>
      </c>
      <c r="G85" s="196" t="inlineStr">
        <is>
          <t>Realidad Sanmartinense</t>
        </is>
      </c>
      <c r="H85" s="197" t="n">
        <v>46319</v>
      </c>
      <c r="I85" s="196" t="inlineStr">
        <is>
          <t>How do soil loss and void formation under a road lead to vehicles hanging over sinkholes, and what rescue precautions apply?</t>
        </is>
      </c>
    </row>
    <row r="86" outlineLevel="1" ht="41.5" customHeight="1">
      <c r="A86" s="190" t="n">
        <v>37</v>
      </c>
      <c r="B86" s="191" t="n">
        <v>3</v>
      </c>
      <c r="C86" s="192" t="inlineStr">
        <is>
          <t>TBMs to be produced under Aatmanirbhar Bharat, says Ashwini Vaishnaw</t>
        </is>
      </c>
      <c r="D86" s="193" t="inlineStr">
        <is>
          <t>Open article</t>
        </is>
      </c>
      <c r="E86" s="194" t="inlineStr">
        <is>
          <t>News brief</t>
        </is>
      </c>
      <c r="F86" s="195">
        <f>IFERROR(INDEX(Stories!$F$4:$F$103,MATCH($A86,Stories!$A$4:$A$103,0))&amp;"","")</f>
        <v/>
      </c>
      <c r="G86" s="196" t="inlineStr">
        <is>
          <t>The Hindu</t>
        </is>
      </c>
      <c r="H86" s="197" t="n">
        <v>46320</v>
      </c>
      <c r="I86" s="196" t="inlineStr">
        <is>
          <t>How does local manufacturing of tunnel boring machines affect the technical adaptation of TBMs to varied ground conditions in India's tunnelling projects?</t>
        </is>
      </c>
    </row>
    <row r="87" outlineLevel="1" ht="41.5" customHeight="1">
      <c r="A87" s="190" t="n">
        <v>40</v>
      </c>
      <c r="B87" s="191" t="n">
        <v>3</v>
      </c>
      <c r="C87" s="192" t="inlineStr">
        <is>
          <t>Experts weigh in on proposal to level Mot Mountain in Quy Nhon</t>
        </is>
      </c>
      <c r="D87" s="193" t="inlineStr">
        <is>
          <t>Open article</t>
        </is>
      </c>
      <c r="E87" s="208" t="inlineStr">
        <is>
          <t>Regional insight</t>
        </is>
      </c>
      <c r="F87" s="195">
        <f>IFERROR(INDEX(Stories!$F$4:$F$103,MATCH($A87,Stories!$A$4:$A$103,0))&amp;"","")</f>
        <v/>
      </c>
      <c r="G87" s="196" t="inlineStr">
        <is>
          <t>Vietnam.vn</t>
        </is>
      </c>
      <c r="H87" s="197" t="n">
        <v>46320</v>
      </c>
      <c r="I87" s="196" t="inlineStr">
        <is>
          <t>How can slope stability, rock cutting and geohazard risks be assessed when a coastal hill is proposed for levelling in an urban area?</t>
        </is>
      </c>
    </row>
    <row r="88" outlineLevel="1" ht="10" customHeight="1"/>
    <row r="89" ht="26" customHeight="1">
      <c r="A89" s="218" t="inlineStr">
        <is>
          <t>Offshore, Coasts &amp; Water   ·   16 stories   ·   1 rated 5 / 5   ·   5 feature leads</t>
        </is>
      </c>
      <c r="B89" s="219" t="n"/>
      <c r="C89" s="219" t="n"/>
      <c r="D89" s="219" t="n"/>
      <c r="E89" s="219" t="n"/>
      <c r="F89" s="219" t="n"/>
      <c r="G89" s="219" t="n"/>
      <c r="H89" s="219" t="n"/>
      <c r="I89" s="219" t="n"/>
    </row>
    <row r="90" outlineLevel="1">
      <c r="A90" s="220" t="inlineStr">
        <is>
          <t>No.</t>
        </is>
      </c>
      <c r="B90" s="220" t="inlineStr">
        <is>
          <t>Relevance</t>
        </is>
      </c>
      <c r="C90" s="221" t="inlineStr">
        <is>
          <t>Headline</t>
        </is>
      </c>
      <c r="D90" s="220" t="inlineStr">
        <is>
          <t>Link</t>
        </is>
      </c>
      <c r="E90" s="221" t="inlineStr">
        <is>
          <t>Suggested use</t>
        </is>
      </c>
      <c r="F90" s="220" t="inlineStr">
        <is>
          <t>Status</t>
        </is>
      </c>
      <c r="G90" s="221" t="inlineStr">
        <is>
          <t>Source</t>
        </is>
      </c>
      <c r="H90" s="220" t="inlineStr">
        <is>
          <t>Digest</t>
        </is>
      </c>
      <c r="I90" s="221" t="inlineStr">
        <is>
          <t>Magazine angle / summary</t>
        </is>
      </c>
    </row>
    <row r="91" outlineLevel="1" ht="41.5" customHeight="1">
      <c r="A91" s="190" t="n">
        <v>42</v>
      </c>
      <c r="B91" s="191" t="n">
        <v>5</v>
      </c>
      <c r="C91" s="192" t="inlineStr">
        <is>
          <t>Floating wind needs grounded solutions</t>
        </is>
      </c>
      <c r="D91" s="193" t="inlineStr">
        <is>
          <t>Open article</t>
        </is>
      </c>
      <c r="E91" s="203" t="inlineStr">
        <is>
          <t>Feature lead</t>
        </is>
      </c>
      <c r="F91" s="195">
        <f>IFERROR(INDEX(Stories!$F$4:$F$103,MATCH($A91,Stories!$A$4:$A$103,0))&amp;"","")</f>
        <v/>
      </c>
      <c r="G91" s="196" t="inlineStr">
        <is>
          <t>Ground Engineering</t>
        </is>
      </c>
      <c r="H91" s="197" t="n">
        <v>46319</v>
      </c>
      <c r="I91" s="196" t="inlineStr">
        <is>
          <t>What geotechnical challenges arise in anchoring floating offshore wind foundations in variable seabed soils under extreme loading?</t>
        </is>
      </c>
    </row>
    <row r="92" outlineLevel="1" ht="54" customHeight="1">
      <c r="A92" s="190" t="n">
        <v>7</v>
      </c>
      <c r="B92" s="191" t="n">
        <v>4</v>
      </c>
      <c r="C92" s="192" t="inlineStr">
        <is>
          <t>Nghe An: urgent measures needed for landslide on the seaside road embankment</t>
        </is>
      </c>
      <c r="D92" s="193" t="inlineStr">
        <is>
          <t>Open article</t>
        </is>
      </c>
      <c r="E92" s="194" t="inlineStr">
        <is>
          <t>News brief</t>
        </is>
      </c>
      <c r="F92" s="195">
        <f>IFERROR(INDEX(Stories!$F$4:$F$103,MATCH($A92,Stories!$A$4:$A$103,0))&amp;"","")</f>
        <v/>
      </c>
      <c r="G92" s="196" t="inlineStr">
        <is>
          <t>Vietnam.vn</t>
        </is>
      </c>
      <c r="H92" s="197" t="n">
        <v>46320</v>
      </c>
      <c r="I92" s="196" t="inlineStr">
        <is>
          <t>Why do coastal road embankments fail by landslide, and what emergency stabilisation and monitoring are appropriate for dyke slopes exposed to waves and rainfall?</t>
        </is>
      </c>
    </row>
    <row r="93" outlineLevel="1" ht="41.5" customHeight="1">
      <c r="A93" s="190" t="n">
        <v>58</v>
      </c>
      <c r="B93" s="191" t="n">
        <v>4</v>
      </c>
      <c r="C93" s="192" t="inlineStr">
        <is>
          <t>Quang Tri: Severe coastal erosion threatens dikes, embankments, and people's lives.</t>
        </is>
      </c>
      <c r="D93" s="193" t="inlineStr">
        <is>
          <t>Open article</t>
        </is>
      </c>
      <c r="E93" s="208" t="inlineStr">
        <is>
          <t>Regional insight</t>
        </is>
      </c>
      <c r="F93" s="195">
        <f>IFERROR(INDEX(Stories!$F$4:$F$103,MATCH($A93,Stories!$A$4:$A$103,0))&amp;"","")</f>
        <v/>
      </c>
      <c r="G93" s="196" t="inlineStr">
        <is>
          <t>Vietnam.vn</t>
        </is>
      </c>
      <c r="H93" s="197" t="n">
        <v>46319</v>
      </c>
      <c r="I93" s="196" t="inlineStr">
        <is>
          <t>What processes drive severe coastal erosion undermining dikes, and what protection measures suit such shorelines?</t>
        </is>
      </c>
    </row>
    <row r="94" outlineLevel="1" ht="41.5" customHeight="1">
      <c r="A94" s="190" t="n">
        <v>59</v>
      </c>
      <c r="B94" s="191" t="n">
        <v>4</v>
      </c>
      <c r="C94" s="192" t="inlineStr">
        <is>
          <t>Nghe An: urgent measures needed to prevent landslide on embankment along coastal road</t>
        </is>
      </c>
      <c r="D94" s="193" t="inlineStr">
        <is>
          <t>Open article</t>
        </is>
      </c>
      <c r="E94" s="208" t="inlineStr">
        <is>
          <t>Regional insight</t>
        </is>
      </c>
      <c r="F94" s="195">
        <f>IFERROR(INDEX(Stories!$F$4:$F$103,MATCH($A94,Stories!$A$4:$A$103,0))&amp;"","")</f>
        <v/>
      </c>
      <c r="G94" s="196" t="inlineStr">
        <is>
          <t>Vietnam.vn</t>
        </is>
      </c>
      <c r="H94" s="197" t="n">
        <v>46319</v>
      </c>
      <c r="I94" s="196" t="inlineStr">
        <is>
          <t>What urgent stabilisation options suit a failing embankment on a coastal road, and how should slope failure risk be assessed?</t>
        </is>
      </c>
    </row>
    <row r="95" outlineLevel="1" ht="41.5" customHeight="1">
      <c r="A95" s="190" t="n">
        <v>65</v>
      </c>
      <c r="B95" s="191" t="n">
        <v>4</v>
      </c>
      <c r="C95" s="192" t="inlineStr">
        <is>
          <t>Nghe An: early treatment needed for slope failure on coastal road cut</t>
        </is>
      </c>
      <c r="D95" s="193" t="inlineStr">
        <is>
          <t>Open article</t>
        </is>
      </c>
      <c r="E95" s="208" t="inlineStr">
        <is>
          <t>Regional insight</t>
        </is>
      </c>
      <c r="F95" s="195">
        <f>IFERROR(INDEX(Stories!$F$4:$F$103,MATCH($A95,Stories!$A$4:$A$103,0))&amp;"","")</f>
        <v/>
      </c>
      <c r="G95" s="196" t="inlineStr">
        <is>
          <t>Vietnam.vn</t>
        </is>
      </c>
      <c r="H95" s="197" t="n">
        <v>46319</v>
      </c>
      <c r="I95" s="196" t="inlineStr">
        <is>
          <t>What causes slope failure in coastal road cuts, and which stabilisation methods are most suitable for weathered coastal soils?</t>
        </is>
      </c>
    </row>
    <row r="96" outlineLevel="1" ht="41.5" customHeight="1">
      <c r="A96" s="190" t="n">
        <v>69</v>
      </c>
      <c r="B96" s="191" t="n">
        <v>4</v>
      </c>
      <c r="C96" s="192" t="inlineStr">
        <is>
          <t>Two houses collapse due to Tien River bank erosion</t>
        </is>
      </c>
      <c r="D96" s="193" t="inlineStr">
        <is>
          <t>Open article</t>
        </is>
      </c>
      <c r="E96" s="194" t="inlineStr">
        <is>
          <t>News brief</t>
        </is>
      </c>
      <c r="F96" s="195">
        <f>IFERROR(INDEX(Stories!$F$4:$F$103,MATCH($A96,Stories!$A$4:$A$103,0))&amp;"","")</f>
        <v/>
      </c>
      <c r="G96" s="196" t="inlineStr">
        <is>
          <t>VTV.vn</t>
        </is>
      </c>
      <c r="H96" s="197" t="n">
        <v>46319</v>
      </c>
      <c r="I96" s="196" t="inlineStr">
        <is>
          <t>What riverbank erosion processes undermined these houses, and how can bank stability be assessed near settlements?</t>
        </is>
      </c>
    </row>
    <row r="97" outlineLevel="1" ht="41.5" customHeight="1">
      <c r="A97" s="190" t="n">
        <v>12</v>
      </c>
      <c r="B97" s="191" t="n">
        <v>4</v>
      </c>
      <c r="C97" s="192" t="inlineStr">
        <is>
          <t>Can Tho to invest over 500 billion dong in dykes against erosion at Cu Lao Dung</t>
        </is>
      </c>
      <c r="D97" s="193" t="inlineStr">
        <is>
          <t>Open article</t>
        </is>
      </c>
      <c r="E97" s="203" t="inlineStr">
        <is>
          <t>Feature lead</t>
        </is>
      </c>
      <c r="F97" s="195">
        <f>IFERROR(INDEX(Stories!$F$4:$F$103,MATCH($A97,Stories!$A$4:$A$103,0))&amp;"","")</f>
        <v/>
      </c>
      <c r="G97" s="196" t="inlineStr">
        <is>
          <t>Báo Nhân Dân điện tử</t>
        </is>
      </c>
      <c r="H97" s="197" t="n">
        <v>46320</v>
      </c>
      <c r="I97" s="196" t="inlineStr">
        <is>
          <t>How should dyke and bank protection balance erosion control against settlement and stability on soft deltaic soils?</t>
        </is>
      </c>
    </row>
    <row r="98" outlineLevel="1" ht="29" customHeight="1">
      <c r="A98" s="190" t="n">
        <v>15</v>
      </c>
      <c r="B98" s="191" t="n">
        <v>4</v>
      </c>
      <c r="C98" s="192" t="inlineStr">
        <is>
          <t>Krong No river erosion in Lam Dong threatens irrigation works and farmland</t>
        </is>
      </c>
      <c r="D98" s="193" t="inlineStr">
        <is>
          <t>Open article</t>
        </is>
      </c>
      <c r="E98" s="203" t="inlineStr">
        <is>
          <t>Feature lead</t>
        </is>
      </c>
      <c r="F98" s="195">
        <f>IFERROR(INDEX(Stories!$F$4:$F$103,MATCH($A98,Stories!$A$4:$A$103,0))&amp;"","")</f>
        <v/>
      </c>
      <c r="G98" s="196" t="inlineStr">
        <is>
          <t>tin.skydoor.net</t>
        </is>
      </c>
      <c r="H98" s="197" t="n">
        <v>46320</v>
      </c>
      <c r="I98" s="196" t="inlineStr">
        <is>
          <t>How can riverbank erosion be assessed and countered to protect irrigation infrastructure and farmland?</t>
        </is>
      </c>
    </row>
    <row r="99" outlineLevel="1" ht="41.5" customHeight="1">
      <c r="A99" s="190" t="n">
        <v>81</v>
      </c>
      <c r="B99" s="191" t="n">
        <v>4</v>
      </c>
      <c r="C99" s="192" t="inlineStr">
        <is>
          <t>Concerns over riverbank erosion leading to loss of farmland</t>
        </is>
      </c>
      <c r="D99" s="193" t="inlineStr">
        <is>
          <t>Open article</t>
        </is>
      </c>
      <c r="E99" s="203" t="inlineStr">
        <is>
          <t>Feature lead</t>
        </is>
      </c>
      <c r="F99" s="195">
        <f>IFERROR(INDEX(Stories!$F$4:$F$103,MATCH($A99,Stories!$A$4:$A$103,0))&amp;"","")</f>
        <v/>
      </c>
      <c r="G99" s="196" t="inlineStr">
        <is>
          <t>Vietnam.vn</t>
        </is>
      </c>
      <c r="H99" s="197" t="n">
        <v>46319</v>
      </c>
      <c r="I99" s="196" t="inlineStr">
        <is>
          <t>What bank erosion mechanisms and protection measures are effective for riverbanks threatening farmland, and how can they be monitored over time?</t>
        </is>
      </c>
    </row>
    <row r="100" outlineLevel="1" ht="54" customHeight="1">
      <c r="A100" s="190" t="n">
        <v>82</v>
      </c>
      <c r="B100" s="191" t="n">
        <v>4</v>
      </c>
      <c r="C100" s="192" t="inlineStr">
        <is>
          <t>Quang Tri: Severe sea erosion threatens dykes and residents' livelihoods</t>
        </is>
      </c>
      <c r="D100" s="193" t="inlineStr">
        <is>
          <t>Open article</t>
        </is>
      </c>
      <c r="E100" s="203" t="inlineStr">
        <is>
          <t>Feature lead</t>
        </is>
      </c>
      <c r="F100" s="195">
        <f>IFERROR(INDEX(Stories!$F$4:$F$103,MATCH($A100,Stories!$A$4:$A$103,0))&amp;"","")</f>
        <v/>
      </c>
      <c r="G100" s="196" t="inlineStr">
        <is>
          <t>Người Đưa Tin</t>
        </is>
      </c>
      <c r="H100" s="197" t="n">
        <v>46319</v>
      </c>
      <c r="I100" s="196" t="inlineStr">
        <is>
          <t>How do sea-level-driven erosion and scour undermine sea dyke foundations in Quang Tri, and which revetment and foundation designs suit eroding sandy coastal soils?</t>
        </is>
      </c>
    </row>
    <row r="101" outlineLevel="1" ht="41.5" customHeight="1">
      <c r="A101" s="190" t="n">
        <v>31</v>
      </c>
      <c r="B101" s="191" t="n">
        <v>3</v>
      </c>
      <c r="C101" s="192" t="inlineStr">
        <is>
          <t>Dong Thap province spends 330 billion dong to tackle landslide-hit areas</t>
        </is>
      </c>
      <c r="D101" s="193" t="inlineStr">
        <is>
          <t>Open article</t>
        </is>
      </c>
      <c r="E101" s="208" t="inlineStr">
        <is>
          <t>Regional insight</t>
        </is>
      </c>
      <c r="F101" s="195">
        <f>IFERROR(INDEX(Stories!$F$4:$F$103,MATCH($A101,Stories!$A$4:$A$103,0))&amp;"","")</f>
        <v/>
      </c>
      <c r="G101" s="196" t="inlineStr">
        <is>
          <t>Vietnam.vn</t>
        </is>
      </c>
      <c r="H101" s="197" t="n">
        <v>46320</v>
      </c>
      <c r="I101" s="196" t="inlineStr">
        <is>
          <t>How does riverbank failure in the Mekong delta drive the cost and design choice between revetments and managed retreat?</t>
        </is>
      </c>
    </row>
    <row r="102" outlineLevel="1" ht="29" customHeight="1">
      <c r="A102" s="190" t="n">
        <v>91</v>
      </c>
      <c r="B102" s="191" t="n">
        <v>3</v>
      </c>
      <c r="C102" s="192" t="inlineStr">
        <is>
          <t>Strong waves on Mazatlán beaches form sinkhole in monument</t>
        </is>
      </c>
      <c r="D102" s="193" t="inlineStr">
        <is>
          <t>Open article</t>
        </is>
      </c>
      <c r="E102" s="194" t="inlineStr">
        <is>
          <t>News brief</t>
        </is>
      </c>
      <c r="F102" s="195">
        <f>IFERROR(INDEX(Stories!$F$4:$F$103,MATCH($A102,Stories!$A$4:$A$103,0))&amp;"","")</f>
        <v/>
      </c>
      <c r="G102" s="196" t="inlineStr">
        <is>
          <t>El Universal</t>
        </is>
      </c>
      <c r="H102" s="197" t="n">
        <v>46319</v>
      </c>
      <c r="I102" s="196" t="inlineStr">
        <is>
          <t>How do wave action and beach sand erosion undermine coastal monuments and promenade ground in Mazatlán?</t>
        </is>
      </c>
    </row>
    <row r="103" outlineLevel="1" ht="41.5" customHeight="1">
      <c r="A103" s="190" t="n">
        <v>38</v>
      </c>
      <c r="B103" s="191" t="n">
        <v>3</v>
      </c>
      <c r="C103" s="192" t="inlineStr">
        <is>
          <t>A section of the Esquina waterfront promenade closed due to subsidence</t>
        </is>
      </c>
      <c r="D103" s="193" t="inlineStr">
        <is>
          <t>Open article</t>
        </is>
      </c>
      <c r="E103" s="194" t="inlineStr">
        <is>
          <t>News brief</t>
        </is>
      </c>
      <c r="F103" s="195">
        <f>IFERROR(INDEX(Stories!$F$4:$F$103,MATCH($A103,Stories!$A$4:$A$103,0))&amp;"","")</f>
        <v/>
      </c>
      <c r="G103" s="196" t="inlineStr">
        <is>
          <t>Diario 1588</t>
        </is>
      </c>
      <c r="H103" s="197" t="n">
        <v>46320</v>
      </c>
      <c r="I103" s="196" t="inlineStr">
        <is>
          <t>What causes subsidence along a riverfront promenade, and what ground investigation would identify the weak or eroded soils behind it?</t>
        </is>
      </c>
    </row>
    <row r="104" outlineLevel="1" ht="54" customHeight="1">
      <c r="A104" s="190" t="n">
        <v>39</v>
      </c>
      <c r="B104" s="191" t="n">
        <v>3</v>
      </c>
      <c r="C104" s="192" t="inlineStr">
        <is>
          <t>Experts from Hong Kong propose solutions to counter sea-level rise in Vietnam</t>
        </is>
      </c>
      <c r="D104" s="193" t="inlineStr">
        <is>
          <t>Open article</t>
        </is>
      </c>
      <c r="E104" s="208" t="inlineStr">
        <is>
          <t>Regional insight</t>
        </is>
      </c>
      <c r="F104" s="195">
        <f>IFERROR(INDEX(Stories!$F$4:$F$103,MATCH($A104,Stories!$A$4:$A$103,0))&amp;"","")</f>
        <v/>
      </c>
      <c r="G104" s="196" t="inlineStr">
        <is>
          <t>Vietnam.vn</t>
        </is>
      </c>
      <c r="H104" s="197" t="n">
        <v>46320</v>
      </c>
      <c r="I104" s="196" t="inlineStr">
        <is>
          <t>Which ground-engineering measures, such as seawalls and soft-soil improvement, best protect low-lying deltas and coasts facing sea-level rise and subsidence?</t>
        </is>
      </c>
    </row>
    <row r="105" outlineLevel="1" ht="41.5" customHeight="1">
      <c r="A105" s="190" t="n">
        <v>99</v>
      </c>
      <c r="B105" s="191" t="n">
        <v>3</v>
      </c>
      <c r="C105" s="192" t="inlineStr">
        <is>
          <t>Cerraron un sector de la costanera de una ciudad correntina por hundimiento</t>
        </is>
      </c>
      <c r="D105" s="193" t="inlineStr">
        <is>
          <t>Open article</t>
        </is>
      </c>
      <c r="E105" s="194" t="inlineStr">
        <is>
          <t>News brief</t>
        </is>
      </c>
      <c r="F105" s="195">
        <f>IFERROR(INDEX(Stories!$F$4:$F$103,MATCH($A105,Stories!$A$4:$A$103,0))&amp;"","")</f>
        <v/>
      </c>
      <c r="G105" s="196" t="inlineStr">
        <is>
          <t>El Litoral | Novedades de Corrientes</t>
        </is>
      </c>
      <c r="H105" s="197" t="n">
        <v>46319</v>
      </c>
      <c r="I105" s="196" t="inlineStr">
        <is>
          <t>What causes subsidence along a riverfront promenade in Corrientes, and how should ground investigation guide repair of the costanera?</t>
        </is>
      </c>
    </row>
    <row r="106" outlineLevel="1" ht="41.5" customHeight="1">
      <c r="A106" s="190" t="n">
        <v>100</v>
      </c>
      <c r="B106" s="191" t="n">
        <v>3</v>
      </c>
      <c r="C106" s="192" t="inlineStr">
        <is>
          <t>Inician rehabilitación tras hundimiento de losa en el Malecón Costero de Coatzacoalcos</t>
        </is>
      </c>
      <c r="D106" s="193" t="inlineStr">
        <is>
          <t>Open article</t>
        </is>
      </c>
      <c r="E106" s="194" t="inlineStr">
        <is>
          <t>News brief</t>
        </is>
      </c>
      <c r="F106" s="195">
        <f>IFERROR(INDEX(Stories!$F$4:$F$103,MATCH($A106,Stories!$A$4:$A$103,0))&amp;"","")</f>
        <v/>
      </c>
      <c r="G106" s="196" t="inlineStr">
        <is>
          <t>:: Foro Coatza ::</t>
        </is>
      </c>
      <c r="H106" s="197" t="n">
        <v>46319</v>
      </c>
      <c r="I106" s="196" t="inlineStr">
        <is>
          <t>What causes slab sinking on a coastal promenade exposed to waves, and what foundation and drainage remedies are appropriate?</t>
        </is>
      </c>
    </row>
    <row r="107" outlineLevel="1" ht="10" customHeight="1"/>
    <row r="108" ht="26" customHeight="1">
      <c r="A108" s="222" t="inlineStr">
        <is>
          <t>Characterisation &amp; Modelling   ·   9 stories   ·   0 rated 5 / 5   ·   6 feature leads</t>
        </is>
      </c>
      <c r="B108" s="223" t="n"/>
      <c r="C108" s="223" t="n"/>
      <c r="D108" s="223" t="n"/>
      <c r="E108" s="223" t="n"/>
      <c r="F108" s="223" t="n"/>
      <c r="G108" s="223" t="n"/>
      <c r="H108" s="223" t="n"/>
      <c r="I108" s="223" t="n"/>
    </row>
    <row r="109" outlineLevel="1">
      <c r="A109" s="224" t="inlineStr">
        <is>
          <t>No.</t>
        </is>
      </c>
      <c r="B109" s="224" t="inlineStr">
        <is>
          <t>Relevance</t>
        </is>
      </c>
      <c r="C109" s="225" t="inlineStr">
        <is>
          <t>Headline</t>
        </is>
      </c>
      <c r="D109" s="224" t="inlineStr">
        <is>
          <t>Link</t>
        </is>
      </c>
      <c r="E109" s="225" t="inlineStr">
        <is>
          <t>Suggested use</t>
        </is>
      </c>
      <c r="F109" s="224" t="inlineStr">
        <is>
          <t>Status</t>
        </is>
      </c>
      <c r="G109" s="225" t="inlineStr">
        <is>
          <t>Source</t>
        </is>
      </c>
      <c r="H109" s="224" t="inlineStr">
        <is>
          <t>Digest</t>
        </is>
      </c>
      <c r="I109" s="225" t="inlineStr">
        <is>
          <t>Magazine angle / summary</t>
        </is>
      </c>
    </row>
    <row r="110" outlineLevel="1" ht="41.5" customHeight="1">
      <c r="A110" s="190" t="n">
        <v>10</v>
      </c>
      <c r="B110" s="191" t="n">
        <v>4</v>
      </c>
      <c r="C110" s="192" t="inlineStr">
        <is>
          <t>Close-up of giant 120 m deep sinkhole just discovered in Phong Nha-Ke Bang</t>
        </is>
      </c>
      <c r="D110" s="193" t="inlineStr">
        <is>
          <t>Open article</t>
        </is>
      </c>
      <c r="E110" s="203" t="inlineStr">
        <is>
          <t>Feature lead</t>
        </is>
      </c>
      <c r="F110" s="195">
        <f>IFERROR(INDEX(Stories!$F$4:$F$103,MATCH($A110,Stories!$A$4:$A$103,0))&amp;"","")</f>
        <v/>
      </c>
      <c r="G110" s="196" t="inlineStr">
        <is>
          <t>Laodong.vn</t>
        </is>
      </c>
      <c r="H110" s="197" t="n">
        <v>46320</v>
      </c>
      <c r="I110" s="196" t="inlineStr">
        <is>
          <t>How are very deep karst sinkholes investigated, and what does their formation reveal about hazards around cave systems?</t>
        </is>
      </c>
    </row>
    <row r="111" outlineLevel="1" ht="41.5" customHeight="1">
      <c r="A111" s="190" t="n">
        <v>14</v>
      </c>
      <c r="B111" s="191" t="n">
        <v>4</v>
      </c>
      <c r="C111" s="192" t="inlineStr">
        <is>
          <t>120 m deep sinkhole containing primeval forest discovered in Phong Nha-Ke Bang area</t>
        </is>
      </c>
      <c r="D111" s="193" t="inlineStr">
        <is>
          <t>Open article</t>
        </is>
      </c>
      <c r="E111" s="203" t="inlineStr">
        <is>
          <t>Feature lead</t>
        </is>
      </c>
      <c r="F111" s="195">
        <f>IFERROR(INDEX(Stories!$F$4:$F$103,MATCH($A111,Stories!$A$4:$A$103,0))&amp;"","")</f>
        <v/>
      </c>
      <c r="G111" s="196" t="inlineStr">
        <is>
          <t>Vietnam.vn</t>
        </is>
      </c>
      <c r="H111" s="197" t="n">
        <v>46320</v>
      </c>
      <c r="I111" s="196" t="inlineStr">
        <is>
          <t>How are very deep karst sinkholes investigated, and what does their formation reveal about hazards around cave systems?</t>
        </is>
      </c>
    </row>
    <row r="112" outlineLevel="1" ht="41.5" customHeight="1">
      <c r="A112" s="190" t="n">
        <v>71</v>
      </c>
      <c r="B112" s="191" t="n">
        <v>4</v>
      </c>
      <c r="C112" s="192" t="inlineStr">
        <is>
          <t>Se ha descubierto un socavón del tamaño de casi tres campos de fútbol en Phong Nha Ke Bang.</t>
        </is>
      </c>
      <c r="D112" s="193" t="inlineStr">
        <is>
          <t>Open article</t>
        </is>
      </c>
      <c r="E112" s="203" t="inlineStr">
        <is>
          <t>Feature lead</t>
        </is>
      </c>
      <c r="F112" s="195">
        <f>IFERROR(INDEX(Stories!$F$4:$F$103,MATCH($A112,Stories!$A$4:$A$103,0))&amp;"","")</f>
        <v/>
      </c>
      <c r="G112" s="196" t="inlineStr">
        <is>
          <t>Vietnam.vn</t>
        </is>
      </c>
      <c r="H112" s="197" t="n">
        <v>46319</v>
      </c>
      <c r="I112" s="196" t="inlineStr">
        <is>
          <t>How do karst dissolution and roof collapse produce giant dolines like the one in Phong Nha Ke Bang, and how can such cavities be characterised?</t>
        </is>
      </c>
    </row>
    <row r="113" outlineLevel="1" ht="41.5" customHeight="1">
      <c r="A113" s="190" t="n">
        <v>73</v>
      </c>
      <c r="B113" s="191" t="n">
        <v>4</v>
      </c>
      <c r="C113" s="192" t="inlineStr">
        <is>
          <t>Vista de cerca del gigantesco socavón de 120 metros de profundidad descubierto recientemente en Vietnam.</t>
        </is>
      </c>
      <c r="D113" s="193" t="inlineStr">
        <is>
          <t>Open article</t>
        </is>
      </c>
      <c r="E113" s="203" t="inlineStr">
        <is>
          <t>Feature lead</t>
        </is>
      </c>
      <c r="F113" s="195">
        <f>IFERROR(INDEX(Stories!$F$4:$F$103,MATCH($A113,Stories!$A$4:$A$103,0))&amp;"","")</f>
        <v/>
      </c>
      <c r="G113" s="196" t="inlineStr">
        <is>
          <t>Vietnam.vn</t>
        </is>
      </c>
      <c r="H113" s="197" t="n">
        <v>46319</v>
      </c>
      <c r="I113" s="196" t="inlineStr">
        <is>
          <t>Which geomorphological and hydrogeological processes produced a 120 m deep collapse, and how can the stability of its steep walls be assessed?</t>
        </is>
      </c>
    </row>
    <row r="114" outlineLevel="1" ht="41.5" customHeight="1">
      <c r="A114" s="190" t="n">
        <v>74</v>
      </c>
      <c r="B114" s="191" t="n">
        <v>4</v>
      </c>
      <c r="C114" s="192" t="inlineStr">
        <is>
          <t>Primeval forest grows at bottom of 120-meter-deep sinkhole in central Vietnam</t>
        </is>
      </c>
      <c r="D114" s="193" t="inlineStr">
        <is>
          <t>Open article</t>
        </is>
      </c>
      <c r="E114" s="203" t="inlineStr">
        <is>
          <t>Feature lead</t>
        </is>
      </c>
      <c r="F114" s="195">
        <f>IFERROR(INDEX(Stories!$F$4:$F$103,MATCH($A114,Stories!$A$4:$A$103,0))&amp;"","")</f>
        <v/>
      </c>
      <c r="G114" s="196" t="inlineStr">
        <is>
          <t>VnExpress International</t>
        </is>
      </c>
      <c r="H114" s="197" t="n">
        <v>46319</v>
      </c>
      <c r="I114" s="196" t="inlineStr">
        <is>
          <t>How do karst collapse sinkholes form in limestone terrain, and what do such deep features reveal about cave ground stability and hazard mapping?</t>
        </is>
      </c>
    </row>
    <row r="115" outlineLevel="1" ht="54" customHeight="1">
      <c r="A115" s="190" t="n">
        <v>79</v>
      </c>
      <c r="B115" s="191" t="n">
        <v>4</v>
      </c>
      <c r="C115" s="192" t="inlineStr">
        <is>
          <t>What lies inside the hole over two hectares wide in the middle of Phong Nha-Ke Bang forest?</t>
        </is>
      </c>
      <c r="D115" s="193" t="inlineStr">
        <is>
          <t>Open article</t>
        </is>
      </c>
      <c r="E115" s="203" t="inlineStr">
        <is>
          <t>Feature lead</t>
        </is>
      </c>
      <c r="F115" s="195">
        <f>IFERROR(INDEX(Stories!$F$4:$F$103,MATCH($A115,Stories!$A$4:$A$103,0))&amp;"","")</f>
        <v/>
      </c>
      <c r="G115" s="196" t="inlineStr">
        <is>
          <t>Vietnam.vn</t>
        </is>
      </c>
      <c r="H115" s="197" t="n">
        <v>46319</v>
      </c>
      <c r="I115" s="196" t="inlineStr">
        <is>
          <t>What karst processes, such as collapse or dissolution, could create a large sinkhole of over two hectares in a tropical forest, and how should it be investigated and monitored?</t>
        </is>
      </c>
    </row>
    <row r="116" outlineLevel="1" ht="54" customHeight="1">
      <c r="A116" s="190" t="n">
        <v>80</v>
      </c>
      <c r="B116" s="191" t="n">
        <v>4</v>
      </c>
      <c r="C116" s="192" t="inlineStr">
        <is>
          <t>Analytical study of 3D transient dynamic response of a cylindrical cavity in an elastic medium under triangular pulse load.</t>
        </is>
      </c>
      <c r="D116" s="193" t="inlineStr">
        <is>
          <t>Open article</t>
        </is>
      </c>
      <c r="E116" s="198" t="inlineStr">
        <is>
          <t>Academia-to-Industry topic</t>
        </is>
      </c>
      <c r="F116" s="195">
        <f>IFERROR(INDEX(Stories!$F$4:$F$103,MATCH($A116,Stories!$A$4:$A$103,0))&amp;"","")</f>
        <v/>
      </c>
      <c r="G116" s="196" t="inlineStr">
        <is>
          <t>生物通</t>
        </is>
      </c>
      <c r="H116" s="197" t="n">
        <v>46319</v>
      </c>
      <c r="I116" s="196" t="inlineStr">
        <is>
          <t>How do analytical solutions for a cylindrical cavity under triangular pulse loads inform the validation of numerical models for underground openings under impact?</t>
        </is>
      </c>
    </row>
    <row r="117" outlineLevel="1" ht="41.5" customHeight="1">
      <c r="A117" s="190" t="n">
        <v>89</v>
      </c>
      <c r="B117" s="191" t="n">
        <v>3</v>
      </c>
      <c r="C117" s="192" t="inlineStr">
        <is>
          <t>Minvu advances 121 housing support cases in Villa El Mirador, Arauco, and prepares soil study</t>
        </is>
      </c>
      <c r="D117" s="193" t="inlineStr">
        <is>
          <t>Open article</t>
        </is>
      </c>
      <c r="E117" s="194" t="inlineStr">
        <is>
          <t>News brief</t>
        </is>
      </c>
      <c r="F117" s="195">
        <f>IFERROR(INDEX(Stories!$F$4:$F$103,MATCH($A117,Stories!$A$4:$A$103,0))&amp;"","")</f>
        <v/>
      </c>
      <c r="G117" s="196" t="inlineStr">
        <is>
          <t>Trade-news.cl</t>
        </is>
      </c>
      <c r="H117" s="197" t="n">
        <v>46319</v>
      </c>
      <c r="I117" s="196" t="inlineStr">
        <is>
          <t>What soil investigation is needed before housing support works on this site, and how should ground conditions shape foundation choice?</t>
        </is>
      </c>
    </row>
    <row r="118" outlineLevel="1" ht="41.5" customHeight="1">
      <c r="A118" s="190" t="n">
        <v>30</v>
      </c>
      <c r="B118" s="191" t="n">
        <v>3</v>
      </c>
      <c r="C118" s="192" t="inlineStr">
        <is>
          <t>Exploring Phong Nha-Ke Bang’s famous sinkholes</t>
        </is>
      </c>
      <c r="D118" s="193" t="inlineStr">
        <is>
          <t>Open article</t>
        </is>
      </c>
      <c r="E118" s="208" t="inlineStr">
        <is>
          <t>Regional insight</t>
        </is>
      </c>
      <c r="F118" s="195">
        <f>IFERROR(INDEX(Stories!$F$4:$F$103,MATCH($A118,Stories!$A$4:$A$103,0))&amp;"","")</f>
        <v/>
      </c>
      <c r="G118" s="196" t="inlineStr">
        <is>
          <t>DTiNews</t>
        </is>
      </c>
      <c r="H118" s="197" t="n">
        <v>46320</v>
      </c>
      <c r="I118" s="196" t="inlineStr">
        <is>
          <t>How can karst cave systems and sinkhole susceptibility be mapped and characterised in tropical limestone terrain for tourism and infrastructure?</t>
        </is>
      </c>
    </row>
    <row r="119" outlineLevel="1" ht="10" customHeight="1"/>
    <row r="120" ht="26" customHeight="1">
      <c r="A120" s="226" t="inlineStr">
        <is>
          <t>Geotechnics &amp; Society   ·   5 stories   ·   0 rated 5 / 5   ·   1 feature lead</t>
        </is>
      </c>
      <c r="B120" s="227" t="n"/>
      <c r="C120" s="227" t="n"/>
      <c r="D120" s="227" t="n"/>
      <c r="E120" s="227" t="n"/>
      <c r="F120" s="227" t="n"/>
      <c r="G120" s="227" t="n"/>
      <c r="H120" s="227" t="n"/>
      <c r="I120" s="227" t="n"/>
    </row>
    <row r="121" outlineLevel="1">
      <c r="A121" s="228" t="inlineStr">
        <is>
          <t>No.</t>
        </is>
      </c>
      <c r="B121" s="228" t="inlineStr">
        <is>
          <t>Relevance</t>
        </is>
      </c>
      <c r="C121" s="229" t="inlineStr">
        <is>
          <t>Headline</t>
        </is>
      </c>
      <c r="D121" s="228" t="inlineStr">
        <is>
          <t>Link</t>
        </is>
      </c>
      <c r="E121" s="229" t="inlineStr">
        <is>
          <t>Suggested use</t>
        </is>
      </c>
      <c r="F121" s="228" t="inlineStr">
        <is>
          <t>Status</t>
        </is>
      </c>
      <c r="G121" s="229" t="inlineStr">
        <is>
          <t>Source</t>
        </is>
      </c>
      <c r="H121" s="228" t="inlineStr">
        <is>
          <t>Digest</t>
        </is>
      </c>
      <c r="I121" s="229" t="inlineStr">
        <is>
          <t>Magazine angle / summary</t>
        </is>
      </c>
    </row>
    <row r="122" outlineLevel="1" ht="41.5" customHeight="1">
      <c r="A122" s="190" t="n">
        <v>72</v>
      </c>
      <c r="B122" s="191" t="n">
        <v>4</v>
      </c>
      <c r="C122" s="192" t="inlineStr">
        <is>
          <t>CEDH finds negligence by Guasave municipality in death of teacher who fell into sinkhole</t>
        </is>
      </c>
      <c r="D122" s="193" t="inlineStr">
        <is>
          <t>Open article</t>
        </is>
      </c>
      <c r="E122" s="203" t="inlineStr">
        <is>
          <t>Feature lead</t>
        </is>
      </c>
      <c r="F122" s="195">
        <f>IFERROR(INDEX(Stories!$F$4:$F$103,MATCH($A122,Stories!$A$4:$A$103,0))&amp;"","")</f>
        <v/>
      </c>
      <c r="G122" s="196" t="inlineStr">
        <is>
          <t>www.noroeste.com.mx</t>
        </is>
      </c>
      <c r="H122" s="197" t="n">
        <v>46319</v>
      </c>
      <c r="I122" s="196" t="inlineStr">
        <is>
          <t>What duty of care should municipalities meet in managing known ground-collapse hazards in urban areas, as the Guasave case suggests?</t>
        </is>
      </c>
    </row>
    <row r="123" outlineLevel="1" ht="41.5" customHeight="1">
      <c r="A123" s="190" t="n">
        <v>29</v>
      </c>
      <c r="B123" s="191" t="n">
        <v>3</v>
      </c>
      <c r="C123" s="192" t="inlineStr">
        <is>
          <t>'The 1956 Landslide and the Church of San Pietro': photographic exhibition extended</t>
        </is>
      </c>
      <c r="D123" s="193" t="inlineStr">
        <is>
          <t>Open article</t>
        </is>
      </c>
      <c r="E123" s="217" t="inlineStr">
        <is>
          <t>Watch only</t>
        </is>
      </c>
      <c r="F123" s="195">
        <f>IFERROR(INDEX(Stories!$F$4:$F$103,MATCH($A123,Stories!$A$4:$A$103,0))&amp;"","")</f>
        <v/>
      </c>
      <c r="G123" s="196" t="inlineStr">
        <is>
          <t>Trigno.net</t>
        </is>
      </c>
      <c r="H123" s="197" t="n">
        <v>46320</v>
      </c>
      <c r="I123" s="196" t="inlineStr">
        <is>
          <t>How did the 1956 landslide shape settlement decisions and church site safety, and what does that history teach about landslide memory?</t>
        </is>
      </c>
    </row>
    <row r="124" outlineLevel="1" ht="41.5" customHeight="1">
      <c r="A124" s="190" t="n">
        <v>90</v>
      </c>
      <c r="B124" s="191" t="n">
        <v>3</v>
      </c>
      <c r="C124" s="192" t="inlineStr">
        <is>
          <t>Body of miner trapped in a tunnel collapse in Gámeza recovered</t>
        </is>
      </c>
      <c r="D124" s="193" t="inlineStr">
        <is>
          <t>Open article</t>
        </is>
      </c>
      <c r="E124" s="194" t="inlineStr">
        <is>
          <t>News brief</t>
        </is>
      </c>
      <c r="F124" s="195">
        <f>IFERROR(INDEX(Stories!$F$4:$F$103,MATCH($A124,Stories!$A$4:$A$103,0))&amp;"","")</f>
        <v/>
      </c>
      <c r="G124" s="196" t="inlineStr">
        <is>
          <t>Boyacá 7 Días</t>
        </is>
      </c>
      <c r="H124" s="197" t="n">
        <v>46319</v>
      </c>
      <c r="I124" s="196" t="inlineStr">
        <is>
          <t>What ground and support conditions lead to tunnel collapses in small mines, and how can rescue operations account for ground instability?</t>
        </is>
      </c>
    </row>
    <row r="125" outlineLevel="1" ht="41.5" customHeight="1">
      <c r="A125" s="190" t="n">
        <v>97</v>
      </c>
      <c r="B125" s="191" t="n">
        <v>3</v>
      </c>
      <c r="C125" s="192" t="inlineStr">
        <is>
          <t>Gia Lai province People's Committee chairman discusses proposal to level Mot Mountain.</t>
        </is>
      </c>
      <c r="D125" s="193" t="inlineStr">
        <is>
          <t>Open article</t>
        </is>
      </c>
      <c r="E125" s="208" t="inlineStr">
        <is>
          <t>Regional insight</t>
        </is>
      </c>
      <c r="F125" s="195">
        <f>IFERROR(INDEX(Stories!$F$4:$F$103,MATCH($A125,Stories!$A$4:$A$103,0))&amp;"","")</f>
        <v/>
      </c>
      <c r="G125" s="196" t="inlineStr">
        <is>
          <t>Vietnam.vn</t>
        </is>
      </c>
      <c r="H125" s="197" t="n">
        <v>46319</v>
      </c>
      <c r="I125" s="196" t="inlineStr">
        <is>
          <t>What are the geotechnical feasibility issues of levelling a hill, including rock quality, slope excavation and stability, compared with preservation?</t>
        </is>
      </c>
    </row>
    <row r="126" outlineLevel="1" ht="54" customHeight="1">
      <c r="A126" s="190" t="n">
        <v>98</v>
      </c>
      <c r="B126" s="191" t="n">
        <v>3</v>
      </c>
      <c r="C126" s="192" t="inlineStr">
        <is>
          <t>What are the options for Mot Mountain in Quy Nhon: level it or preserve the historic site?</t>
        </is>
      </c>
      <c r="D126" s="193" t="inlineStr">
        <is>
          <t>Open article</t>
        </is>
      </c>
      <c r="E126" s="208" t="inlineStr">
        <is>
          <t>Regional insight</t>
        </is>
      </c>
      <c r="F126" s="195">
        <f>IFERROR(INDEX(Stories!$F$4:$F$103,MATCH($A126,Stories!$A$4:$A$103,0))&amp;"","")</f>
        <v/>
      </c>
      <c r="G126" s="196" t="inlineStr">
        <is>
          <t>Vietnam.vn</t>
        </is>
      </c>
      <c r="H126" s="197" t="n">
        <v>46319</v>
      </c>
      <c r="I126" s="196" t="inlineStr">
        <is>
          <t>What geotechnical assessments would be needed to compare levelling Mot Mountain with conserving its historic site, including rock stability and foundation implications?</t>
        </is>
      </c>
    </row>
    <row r="127" outlineLevel="1" ht="10" customHeight="1"/>
  </sheetData>
  <mergeCells count="8">
    <mergeCell ref="A15:I15"/>
    <mergeCell ref="A10:I10"/>
    <mergeCell ref="A108:I108"/>
    <mergeCell ref="A89:I89"/>
    <mergeCell ref="A120:I120"/>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8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8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1:B106">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1:F106">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0:B118">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0:F118">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2:B12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2:F12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91" r:id="rId71"/>
    <hyperlink xmlns:r="http://schemas.openxmlformats.org/officeDocument/2006/relationships" ref="D92" r:id="rId72"/>
    <hyperlink xmlns:r="http://schemas.openxmlformats.org/officeDocument/2006/relationships" ref="D93" r:id="rId73"/>
    <hyperlink xmlns:r="http://schemas.openxmlformats.org/officeDocument/2006/relationships" ref="D94"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10" r:id="rId87"/>
    <hyperlink xmlns:r="http://schemas.openxmlformats.org/officeDocument/2006/relationships" ref="D111" r:id="rId88"/>
    <hyperlink xmlns:r="http://schemas.openxmlformats.org/officeDocument/2006/relationships" ref="D112" r:id="rId89"/>
    <hyperlink xmlns:r="http://schemas.openxmlformats.org/officeDocument/2006/relationships" ref="D113" r:id="rId90"/>
    <hyperlink xmlns:r="http://schemas.openxmlformats.org/officeDocument/2006/relationships" ref="D114" r:id="rId91"/>
    <hyperlink xmlns:r="http://schemas.openxmlformats.org/officeDocument/2006/relationships" ref="D115"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22" r:id="rId96"/>
    <hyperlink xmlns:r="http://schemas.openxmlformats.org/officeDocument/2006/relationships" ref="D123" r:id="rId97"/>
    <hyperlink xmlns:r="http://schemas.openxmlformats.org/officeDocument/2006/relationships" ref="D124" r:id="rId98"/>
    <hyperlink xmlns:r="http://schemas.openxmlformats.org/officeDocument/2006/relationships" ref="D125" r:id="rId99"/>
    <hyperlink xmlns:r="http://schemas.openxmlformats.org/officeDocument/2006/relationships" ref="D126"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5"/>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22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Particle-scale insights into sand deformation during open-ended pile installation using DIC and X-ray CT</t>
        </is>
      </c>
      <c r="C16" s="178" t="inlineStr">
        <is>
          <t>Characterisation &amp; Modelling</t>
        </is>
      </c>
      <c r="D16" s="161" t="n">
        <v>3</v>
      </c>
      <c r="E16" s="230" t="inlineStr">
        <is>
          <t>To review</t>
        </is>
      </c>
      <c r="F16" s="165" t="n"/>
      <c r="G16" s="166" t="inlineStr">
        <is>
          <t>Particle-scale imaging of sand around open-ended piles clarifies plugging and displacement mechanisms, offering evidence to refine installation and capacity design assumptions for pile engineers.</t>
        </is>
      </c>
      <c r="H16" s="231" t="inlineStr">
        <is>
          <t>Géotechnique</t>
        </is>
      </c>
      <c r="I16" s="232" t="inlineStr">
        <is>
          <t>Fridman DG, Stamati O et al.</t>
        </is>
      </c>
      <c r="J16" s="233" t="n">
        <v>46319</v>
      </c>
      <c r="K16" s="233" t="n">
        <v>46320</v>
      </c>
      <c r="L16"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6" s="171" t="inlineStr">
        <is>
          <t>pile</t>
        </is>
      </c>
      <c r="N16" s="235" t="inlineStr">
        <is>
          <t>https://doi.org/10.1680/jgeot.25.00605</t>
        </is>
      </c>
    </row>
    <row r="17" ht="78" customHeight="1">
      <c r="A17" s="158" t="n">
        <v>14</v>
      </c>
      <c r="B17" s="159" t="inlineStr">
        <is>
          <t>Shaking table test of high-speed railway bridges with novel variable friction pendulum bearings</t>
        </is>
      </c>
      <c r="C17" s="160" t="inlineStr">
        <is>
          <t>Hazards &amp; Resilience</t>
        </is>
      </c>
      <c r="D17" s="161" t="n">
        <v>3</v>
      </c>
      <c r="E17" s="230" t="inlineStr">
        <is>
          <t>To review</t>
        </is>
      </c>
      <c r="F17" s="165" t="n"/>
      <c r="G17" s="166" t="inlineStr">
        <is>
          <t>Shaking table results for novel variable friction pendulum bearings on high-speed rail bridges give engineers tested seismic isolation performance data relevant to specifying bearings and foundation-structure interaction in earthquake regions.</t>
        </is>
      </c>
      <c r="H17" s="231" t="inlineStr">
        <is>
          <t>Soil Dynamics and Earthquake Engineering</t>
        </is>
      </c>
      <c r="I17" s="232" t="inlineStr">
        <is>
          <t>Xia X, Yang Z, Huang Y</t>
        </is>
      </c>
      <c r="J17" s="233" t="n">
        <v>46319</v>
      </c>
      <c r="K17" s="233" t="n">
        <v>46320</v>
      </c>
      <c r="L17" s="234" t="n"/>
      <c r="M17" s="171" t="inlineStr">
        <is>
          <t>railway</t>
        </is>
      </c>
      <c r="N17" s="235" t="inlineStr">
        <is>
          <t>https://doi.org/10.1016/j.soildyn.2026.110782</t>
        </is>
      </c>
    </row>
    <row r="18" ht="53" customHeight="1">
      <c r="A18" s="158" t="n">
        <v>15</v>
      </c>
      <c r="B18" s="159" t="inlineStr">
        <is>
          <t>Influence of Fabric and Drying Shrinkage on Heat Transfer in Unsaturated Soils: Experimental and Microscale Numerical Study</t>
        </is>
      </c>
      <c r="C18" s="185" t="inlineStr">
        <is>
          <t>Sustainability &amp; the Energy Transition</t>
        </is>
      </c>
      <c r="D18" s="161" t="n">
        <v>3</v>
      </c>
      <c r="E18" s="230" t="inlineStr">
        <is>
          <t>To review</t>
        </is>
      </c>
      <c r="F18" s="165" t="n"/>
      <c r="G18" s="166" t="inlineStr">
        <is>
          <t>Findings on how fabric and drying shrinkage alter thermal conductivity help engineers of energy geostructures better estimate heat transfer in unsaturated soils.</t>
        </is>
      </c>
      <c r="H18" s="231" t="inlineStr">
        <is>
          <t>Journal of Geotechnical and Geoenvironmental Engineering</t>
        </is>
      </c>
      <c r="I18" s="232" t="inlineStr">
        <is>
          <t>Chen K, Liu K et al.</t>
        </is>
      </c>
      <c r="J18" s="233" t="n">
        <v>46318</v>
      </c>
      <c r="K18" s="233" t="n">
        <v>46319</v>
      </c>
      <c r="L18"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8" s="171" t="inlineStr">
        <is>
          <t>clay, soil</t>
        </is>
      </c>
      <c r="N18" s="235" t="inlineStr">
        <is>
          <t>https://doi.org/10.1061/jggefk.gteng-15142</t>
        </is>
      </c>
    </row>
    <row r="19" ht="53" customHeight="1">
      <c r="A19" s="158" t="n">
        <v>16</v>
      </c>
      <c r="B19" s="159" t="inlineStr">
        <is>
          <t>Impact of spatial soil variability on landslide susceptibility using 3D probabilistic slope stability analysis</t>
        </is>
      </c>
      <c r="C19" s="160" t="inlineStr">
        <is>
          <t>Hazards &amp; Resilience</t>
        </is>
      </c>
      <c r="D19" s="161" t="n">
        <v>3</v>
      </c>
      <c r="E19" s="230" t="inlineStr">
        <is>
          <t>To review</t>
        </is>
      </c>
      <c r="F19" s="165" t="n"/>
      <c r="G19" s="166" t="inlineStr">
        <is>
          <t>3D probabilistic slope analysis shows how spatial soil variability changes landslide susceptibility, helping engineers judge when simple deterministic factors of safety are misleading.</t>
        </is>
      </c>
      <c r="H19" s="231" t="inlineStr">
        <is>
          <t>Georisk: Assessment and Management of Risk for Engineered Systems and Geohazards</t>
        </is>
      </c>
      <c r="I19" s="232" t="inlineStr">
        <is>
          <t>Oguz EA, Lacasse S</t>
        </is>
      </c>
      <c r="J19" s="233" t="n">
        <v>46317</v>
      </c>
      <c r="K19" s="233" t="n">
        <v>46319</v>
      </c>
      <c r="L19" s="234" t="n"/>
      <c r="M19" s="171" t="inlineStr">
        <is>
          <t>landslide, slope stability, slope, soil</t>
        </is>
      </c>
      <c r="N19" s="235" t="inlineStr">
        <is>
          <t>https://doi.org/10.1080/17499518.2026.2750358</t>
        </is>
      </c>
    </row>
    <row r="20" ht="53" customHeight="1">
      <c r="A20" s="158" t="n">
        <v>17</v>
      </c>
      <c r="B20" s="159" t="inlineStr">
        <is>
          <t>Progressive soil collapse and tunnel-system response in an underground complex under varying excavation configurations</t>
        </is>
      </c>
      <c r="C20" s="177" t="inlineStr">
        <is>
          <t>Infrastructure &amp; the Underground City</t>
        </is>
      </c>
      <c r="D20" s="161" t="n">
        <v>3</v>
      </c>
      <c r="E20" s="230" t="inlineStr">
        <is>
          <t>To review</t>
        </is>
      </c>
      <c r="F20" s="165" t="n"/>
      <c r="G20" s="166" t="inlineStr">
        <is>
          <t>Numerical results on progressive soil collapse and tunnel-system response under different excavation sequences help designers of underground complexes assess staging risks.</t>
        </is>
      </c>
      <c r="H20" s="231" t="inlineStr">
        <is>
          <t>Tunnelling and Underground Space Technology</t>
        </is>
      </c>
      <c r="I20" s="232" t="inlineStr">
        <is>
          <t>Xiong H, Huang J et al.</t>
        </is>
      </c>
      <c r="J20" s="233" t="n">
        <v>46317</v>
      </c>
      <c r="K20" s="233" t="n">
        <v>46319</v>
      </c>
      <c r="L20" s="234" t="n"/>
      <c r="M20" s="171" t="inlineStr">
        <is>
          <t>excavation, tunnel, collapse, soil</t>
        </is>
      </c>
      <c r="N20" s="235" t="inlineStr">
        <is>
          <t>https://doi.org/10.1016/j.tust.2026.108241</t>
        </is>
      </c>
    </row>
    <row r="21" ht="53" customHeight="1">
      <c r="A21" s="158" t="n">
        <v>18</v>
      </c>
      <c r="B21" s="159" t="inlineStr">
        <is>
          <t>Defining the chalk–shale boundary in intact rock samples for engineering geology practice</t>
        </is>
      </c>
      <c r="C21" s="178" t="inlineStr">
        <is>
          <t>Characterisation &amp; Modelling</t>
        </is>
      </c>
      <c r="D21" s="161" t="n">
        <v>3</v>
      </c>
      <c r="E21" s="230" t="inlineStr">
        <is>
          <t>To review</t>
        </is>
      </c>
      <c r="F21" s="165" t="n"/>
      <c r="G21" s="166" t="inlineStr">
        <is>
          <t>A method for defining the chalk–shale boundary in intact samples gives engineering geologists a clearer classification basis for site characterisation.</t>
        </is>
      </c>
      <c r="H21" s="231" t="inlineStr">
        <is>
          <t>Engineering Geology</t>
        </is>
      </c>
      <c r="I21" s="232" t="inlineStr">
        <is>
          <t>Gilad R, Hatzor YH</t>
        </is>
      </c>
      <c r="J21" s="233" t="n">
        <v>46317</v>
      </c>
      <c r="K21" s="233" t="n">
        <v>46319</v>
      </c>
      <c r="L21" s="234" t="n"/>
      <c r="M21" s="171" t="inlineStr">
        <is>
          <t>engineering geology</t>
        </is>
      </c>
      <c r="N21" s="235" t="inlineStr">
        <is>
          <t>https://doi.org/10.1016/j.enggeo.2026.109168</t>
        </is>
      </c>
    </row>
    <row r="22" ht="53" customHeight="1">
      <c r="A22" s="158" t="n">
        <v>19</v>
      </c>
      <c r="B22" s="159" t="inlineStr">
        <is>
          <t>A nonlinear elastoplastic subloading surface model for rock under cyclic loading-unloading with application to compressed air energy storage cavern operation</t>
        </is>
      </c>
      <c r="C22" s="185" t="inlineStr">
        <is>
          <t>Sustainability &amp; the Energy Transition</t>
        </is>
      </c>
      <c r="D22" s="161" t="n">
        <v>3</v>
      </c>
      <c r="E22" s="230" t="inlineStr">
        <is>
          <t>To review</t>
        </is>
      </c>
      <c r="F22" s="165" t="n"/>
      <c r="G22" s="166" t="inlineStr">
        <is>
          <t>A subloading surface model for rock under cyclic loading supports compressed air energy storage cavern design by capturing the behaviour under repeated pressure cycles.</t>
        </is>
      </c>
      <c r="H22" s="231" t="inlineStr">
        <is>
          <t>Computers and Geotechnics</t>
        </is>
      </c>
      <c r="I22" s="232" t="inlineStr">
        <is>
          <t>Zhang H, Li G et al.</t>
        </is>
      </c>
      <c r="J22" s="233" t="n">
        <v>46316</v>
      </c>
      <c r="K22" s="233" t="n">
        <v>46319</v>
      </c>
      <c r="L22" s="234" t="n"/>
      <c r="M22" s="171" t="n"/>
      <c r="N22" s="235" t="inlineStr">
        <is>
          <t>https://doi.org/10.1016/j.compgeo.2026.108765</t>
        </is>
      </c>
    </row>
    <row r="23" ht="65.5" customHeight="1">
      <c r="A23" s="158" t="n">
        <v>20</v>
      </c>
      <c r="B23" s="159" t="inlineStr">
        <is>
          <t>Probabilistic stability and progressive failure of pile-supported embankments under borehole-constrained stratigraphic uncertainty</t>
        </is>
      </c>
      <c r="C23" s="178" t="inlineStr">
        <is>
          <t>Characterisation &amp; Modelling</t>
        </is>
      </c>
      <c r="D23" s="161" t="n">
        <v>3</v>
      </c>
      <c r="E23" s="230" t="inlineStr">
        <is>
          <t>To review</t>
        </is>
      </c>
      <c r="F23" s="165" t="n"/>
      <c r="G23" s="166" t="inlineStr">
        <is>
          <t>Probabilistic progressive-failure analysis shows how borehole-limited stratigraphic uncertainty affects pile-supported embankment stability, supporting reliability-based site investigation decisions.</t>
        </is>
      </c>
      <c r="H23" s="231" t="inlineStr">
        <is>
          <t>Transportation Geotechnics</t>
        </is>
      </c>
      <c r="I23" s="232" t="inlineStr">
        <is>
          <t>Lv L, Zheng G et al.</t>
        </is>
      </c>
      <c r="J23" s="233" t="n">
        <v>46315</v>
      </c>
      <c r="K23" s="233" t="n">
        <v>46319</v>
      </c>
      <c r="L23" s="234" t="n"/>
      <c r="M23" s="171" t="inlineStr">
        <is>
          <t>pile, embankment, borehole</t>
        </is>
      </c>
      <c r="N23" s="235" t="inlineStr">
        <is>
          <t>https://doi.org/10.1016/j.trgeo.2026.102482</t>
        </is>
      </c>
    </row>
    <row r="24" ht="53" customHeight="1">
      <c r="A24" s="158" t="n">
        <v>21</v>
      </c>
      <c r="B24" s="159" t="inlineStr">
        <is>
          <t>Large-Scale Flume Investigation of Pore Water Pressure Evolution under Wave–Soil–Structure Interaction</t>
        </is>
      </c>
      <c r="C24" s="176" t="inlineStr">
        <is>
          <t>Offshore, Coasts &amp; Water</t>
        </is>
      </c>
      <c r="D24" s="161" t="n">
        <v>3</v>
      </c>
      <c r="E24" s="230" t="inlineStr">
        <is>
          <t>To review</t>
        </is>
      </c>
      <c r="F24" s="165" t="n"/>
      <c r="G24" s="166" t="inlineStr">
        <is>
          <t>Flume tests show how solitary wave impact generates excess pore pressure and seepage gradients around foundations, informing scour and liquefaction checks for coastal structures.</t>
        </is>
      </c>
      <c r="H24" s="231" t="inlineStr">
        <is>
          <t>Journal of Geotechnical and Geoenvironmental Engineering</t>
        </is>
      </c>
      <c r="I24" s="232" t="inlineStr">
        <is>
          <t>Klait A, Mirghafouri S et al.</t>
        </is>
      </c>
      <c r="J24" s="233" t="n">
        <v>46315</v>
      </c>
      <c r="K24" s="233" t="n">
        <v>46319</v>
      </c>
      <c r="L24"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4" s="171" t="inlineStr">
        <is>
          <t>liquefaction, foundation, soil</t>
        </is>
      </c>
      <c r="N24" s="235" t="inlineStr">
        <is>
          <t>https://doi.org/10.1061/jggefk.gteng-15428</t>
        </is>
      </c>
    </row>
    <row r="25" ht="53" customHeight="1">
      <c r="A25" s="158" t="n">
        <v>22</v>
      </c>
      <c r="B25" s="159" t="inlineStr">
        <is>
          <t>Digital technology and AI for climate-resilient underground infrastructure: Current advances and future directions</t>
        </is>
      </c>
      <c r="C25" s="179" t="inlineStr">
        <is>
          <t>Digital Geotechnics</t>
        </is>
      </c>
      <c r="D25" s="161" t="n">
        <v>3</v>
      </c>
      <c r="E25" s="230" t="inlineStr">
        <is>
          <t>To review</t>
        </is>
      </c>
      <c r="F25" s="165" t="n"/>
      <c r="G25" s="166" t="inlineStr">
        <is>
          <t>This review of digital and AI tools for climate-resilient underground infrastructure highlights practical technologies and gaps that owners and designers should track.</t>
        </is>
      </c>
      <c r="H25" s="231" t="inlineStr">
        <is>
          <t>Underground Space</t>
        </is>
      </c>
      <c r="I25" s="232" t="inlineStr">
        <is>
          <t>Heo S, Loy-Benitez J et al.</t>
        </is>
      </c>
      <c r="J25" s="233" t="n">
        <v>46315</v>
      </c>
      <c r="K25" s="233" t="n">
        <v>46319</v>
      </c>
      <c r="L25" s="234" t="n"/>
      <c r="M25" s="171" t="n"/>
      <c r="N25" s="235" t="inlineStr">
        <is>
          <t>https://doi.org/10.1016/j.undsp.2026.09.005</t>
        </is>
      </c>
    </row>
  </sheetData>
  <conditionalFormatting sqref="E4:E25">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5">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5"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3"/>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6"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7" t="n">
        <v>46447</v>
      </c>
      <c r="B10" s="238" t="n"/>
      <c r="C10" s="231" t="inlineStr">
        <is>
          <t>Geo-Congress 2027, part of ASCE2027</t>
        </is>
      </c>
      <c r="D10" s="239" t="inlineStr">
        <is>
          <t>Other conference</t>
        </is>
      </c>
      <c r="E10" s="166" t="inlineStr">
        <is>
          <t>Philadelphia, United States</t>
        </is>
      </c>
      <c r="F10" s="166" t="inlineStr">
        <is>
          <t>1–5 Mar 2027</t>
        </is>
      </c>
      <c r="G10" s="232" t="inlineStr">
        <is>
          <t>ASCE Geo-Institute</t>
        </is>
      </c>
      <c r="H10" s="232" t="inlineStr">
        <is>
          <t>Abstracts: 4 Mar 2026 (passed)</t>
        </is>
      </c>
      <c r="I10" s="240" t="inlineStr">
        <is>
          <t>https://geoinstitute.org/news/call-abstract-geo-congress-2027-part-asce2027</t>
        </is>
      </c>
    </row>
    <row r="11" ht="30" customHeight="1">
      <c r="A11" s="237" t="n">
        <v>46489</v>
      </c>
      <c r="B11" s="238" t="inlineStr">
        <is>
          <t>ISSMGE</t>
        </is>
      </c>
      <c r="C11" s="231" t="inlineStr">
        <is>
          <t>2nd International Symposium on Ground Improvement (IS-GI 2027)</t>
        </is>
      </c>
      <c r="D11" s="241" t="inlineStr">
        <is>
          <t>ISSMGE-supported</t>
        </is>
      </c>
      <c r="E11" s="166" t="inlineStr">
        <is>
          <t>Lyon, France</t>
        </is>
      </c>
      <c r="F11" s="166" t="inlineStr">
        <is>
          <t>12–14 Apr 2027</t>
        </is>
      </c>
      <c r="G11" s="232" t="inlineStr">
        <is>
          <t>ISSMGE TC211</t>
        </is>
      </c>
      <c r="H11" s="232" t="inlineStr">
        <is>
          <t>Abstracts: 15 May 2026 (passed)</t>
        </is>
      </c>
      <c r="I11" s="240" t="inlineStr">
        <is>
          <t>https://www.issmge.org/news/2nd-is-gi-2027-lyon-call-for-abstracts</t>
        </is>
      </c>
    </row>
    <row r="12" ht="30" customHeight="1">
      <c r="A12" s="237" t="n">
        <v>46500</v>
      </c>
      <c r="B12" s="238" t="n"/>
      <c r="C12" s="231" t="inlineStr">
        <is>
          <t>ITA-AITES World Tunnel Congress 2027 (WTC 2027)</t>
        </is>
      </c>
      <c r="D12" s="239" t="inlineStr">
        <is>
          <t>Other conference</t>
        </is>
      </c>
      <c r="E12" s="166" t="inlineStr">
        <is>
          <t>Antwerp, Belgium</t>
        </is>
      </c>
      <c r="F12" s="166" t="inlineStr">
        <is>
          <t>23–29 Apr 2027</t>
        </is>
      </c>
      <c r="G12" s="232" t="inlineStr">
        <is>
          <t>ITA-AITES with the Belgian Tunnel Association</t>
        </is>
      </c>
      <c r="H12" s="232" t="inlineStr">
        <is>
          <t>Abstracts: 10 Jun 2026 (passed)</t>
        </is>
      </c>
      <c r="I12" s="240" t="inlineStr">
        <is>
          <t>https://about.ita-aites.org/future-events/2350/world-tunnel-congress-wtc-2027</t>
        </is>
      </c>
    </row>
    <row r="13" ht="30" customHeight="1">
      <c r="A13" s="237" t="n">
        <v>46566</v>
      </c>
      <c r="B13" s="238" t="inlineStr">
        <is>
          <t>ISSMGE</t>
        </is>
      </c>
      <c r="C13" s="231" t="inlineStr">
        <is>
          <t>International Conference on Sustainability in Geotechnical Engineering (ICSGE 2027)</t>
        </is>
      </c>
      <c r="D13" s="241" t="inlineStr">
        <is>
          <t>ISSMGE-supported</t>
        </is>
      </c>
      <c r="E13" s="166" t="inlineStr">
        <is>
          <t>Lisbon, Portugal</t>
        </is>
      </c>
      <c r="F13" s="166" t="inlineStr">
        <is>
          <t>28 Jun – 1 Jul 2027</t>
        </is>
      </c>
      <c r="G13" s="232" t="inlineStr">
        <is>
          <t>ISSMGE TC307 and LNEC</t>
        </is>
      </c>
      <c r="H13" s="232" t="inlineStr">
        <is>
          <t>Abstracts: 15 Jul 2026 (passed)</t>
        </is>
      </c>
      <c r="I13" s="240" t="inlineStr">
        <is>
          <t>https://www.issmge.org/news/tc223-june-news-update</t>
        </is>
      </c>
    </row>
    <row r="14" ht="30" customHeight="1">
      <c r="A14" s="237" t="n">
        <v>46644</v>
      </c>
      <c r="B14" s="238" t="inlineStr">
        <is>
          <t>ISSMGE</t>
        </is>
      </c>
      <c r="C14" s="231" t="inlineStr">
        <is>
          <t>9th International Symposium on Deformation Characteristics of Geomaterials (IS-Ankara 2027)</t>
        </is>
      </c>
      <c r="D14" s="241" t="inlineStr">
        <is>
          <t>ISSMGE-supported</t>
        </is>
      </c>
      <c r="E14" s="166" t="inlineStr">
        <is>
          <t>Ankara, Türkiye</t>
        </is>
      </c>
      <c r="F14" s="166" t="inlineStr">
        <is>
          <t>14–17 Sep 2027</t>
        </is>
      </c>
      <c r="G14" s="232" t="inlineStr">
        <is>
          <t>ISSMGE TC101, Middle East Technical University (METU)</t>
        </is>
      </c>
      <c r="H14" s="232" t="inlineStr">
        <is>
          <t>Abstracts: 21 Sep 2026 (passed)</t>
        </is>
      </c>
      <c r="I14" s="240" t="inlineStr">
        <is>
          <t>https://www.issmge.org/news/tc223-june-news-update</t>
        </is>
      </c>
    </row>
    <row r="15" ht="30" customHeight="1">
      <c r="A15" s="237" t="n">
        <v>46700</v>
      </c>
      <c r="B15" s="238" t="inlineStr">
        <is>
          <t>ISSMGE</t>
        </is>
      </c>
      <c r="C15" s="231" t="inlineStr">
        <is>
          <t>18th Asian Regional Conference on Soil Mechanics and Geotechnical Engineering (18ARC)</t>
        </is>
      </c>
      <c r="D15" s="242" t="inlineStr">
        <is>
          <t>ISSMGE conference</t>
        </is>
      </c>
      <c r="E15" s="166" t="inlineStr">
        <is>
          <t>Bangkok, Thailand</t>
        </is>
      </c>
      <c r="F15" s="166" t="inlineStr">
        <is>
          <t>9–13 Nov 2027</t>
        </is>
      </c>
      <c r="G15" s="232" t="inlineStr">
        <is>
          <t>Thai Geotechnical Society, under the auspices of ISSMGE</t>
        </is>
      </c>
      <c r="H15" s="232" t="n"/>
      <c r="I15" s="240"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2"/>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69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3" t="n">
        <v>25</v>
      </c>
      <c r="C4" s="244">
        <f>SUMPRODUCT(Stories!$W$4:$W$103,--(Stories!$J$4:$J$103=$A4))</f>
        <v/>
      </c>
      <c r="D4" s="245" t="n">
        <v>3.8</v>
      </c>
      <c r="E4" s="243" t="n">
        <v>19</v>
      </c>
      <c r="F4" s="246" t="inlineStr">
        <is>
          <t>Hazards &amp; Resilience</t>
        </is>
      </c>
      <c r="G4" s="243" t="n">
        <v>6</v>
      </c>
      <c r="H4" s="171" t="inlineStr">
        <is>
          <t>Indonesia, Vietnam, South Korea, Egypt, France, Russia, Colombia, United Kingdom, Italy, China, Spain, Brazil</t>
        </is>
      </c>
      <c r="I4" s="247" t="n">
        <v>46320</v>
      </c>
    </row>
    <row r="5" ht="15.5" customHeight="1">
      <c r="A5" s="231" t="inlineStr">
        <is>
          <t>Cooperativa</t>
        </is>
      </c>
      <c r="B5" s="243" t="n">
        <v>2</v>
      </c>
      <c r="C5" s="244">
        <f>SUMPRODUCT(Stories!$W$4:$W$103,--(Stories!$J$4:$J$103=$A5))</f>
        <v/>
      </c>
      <c r="D5" s="245" t="n">
        <v>4</v>
      </c>
      <c r="E5" s="243" t="n">
        <v>2</v>
      </c>
      <c r="F5" s="246" t="inlineStr">
        <is>
          <t>Hazards &amp; Resilience</t>
        </is>
      </c>
      <c r="G5" s="243" t="n">
        <v>2</v>
      </c>
      <c r="H5" s="171" t="inlineStr">
        <is>
          <t>Chile, Colombia</t>
        </is>
      </c>
      <c r="I5" s="247" t="n">
        <v>46320</v>
      </c>
    </row>
    <row r="6" ht="15.5" customHeight="1">
      <c r="A6" s="231" t="inlineStr">
        <is>
          <t>Ground Engineering</t>
        </is>
      </c>
      <c r="B6" s="243" t="n">
        <v>2</v>
      </c>
      <c r="C6" s="244">
        <f>SUMPRODUCT(Stories!$W$4:$W$103,--(Stories!$J$4:$J$103=$A6))</f>
        <v/>
      </c>
      <c r="D6" s="245" t="n">
        <v>4.5</v>
      </c>
      <c r="E6" s="243" t="n">
        <v>2</v>
      </c>
      <c r="F6" s="248" t="inlineStr">
        <is>
          <t>Offshore, Coasts &amp; Water</t>
        </is>
      </c>
      <c r="G6" s="243" t="n">
        <v>2</v>
      </c>
      <c r="H6" s="171" t="inlineStr"/>
      <c r="I6" s="247" t="n">
        <v>46319</v>
      </c>
    </row>
    <row r="7" ht="15.5" customHeight="1">
      <c r="A7" s="231" t="inlineStr">
        <is>
          <t>Infobae</t>
        </is>
      </c>
      <c r="B7" s="243" t="n">
        <v>2</v>
      </c>
      <c r="C7" s="244">
        <f>SUMPRODUCT(Stories!$W$4:$W$103,--(Stories!$J$4:$J$103=$A7))</f>
        <v/>
      </c>
      <c r="D7" s="245" t="n">
        <v>4</v>
      </c>
      <c r="E7" s="243" t="n">
        <v>1</v>
      </c>
      <c r="F7" s="246" t="inlineStr">
        <is>
          <t>Hazards &amp; Resilience</t>
        </is>
      </c>
      <c r="G7" s="243" t="n">
        <v>2</v>
      </c>
      <c r="H7" s="171" t="inlineStr">
        <is>
          <t>Argentina, Colombia</t>
        </is>
      </c>
      <c r="I7" s="247" t="n">
        <v>46320</v>
      </c>
    </row>
    <row r="8" ht="15.5" customHeight="1">
      <c r="A8" s="231" t="inlineStr">
        <is>
          <t>Laodong.vn</t>
        </is>
      </c>
      <c r="B8" s="243" t="n">
        <v>2</v>
      </c>
      <c r="C8" s="244">
        <f>SUMPRODUCT(Stories!$W$4:$W$103,--(Stories!$J$4:$J$103=$A8))</f>
        <v/>
      </c>
      <c r="D8" s="245" t="n">
        <v>4</v>
      </c>
      <c r="E8" s="243" t="n">
        <v>2</v>
      </c>
      <c r="F8" s="249" t="inlineStr">
        <is>
          <t>Characterisation &amp; Modelling</t>
        </is>
      </c>
      <c r="G8" s="243" t="n">
        <v>2</v>
      </c>
      <c r="H8" s="171" t="inlineStr">
        <is>
          <t>South Korea, France</t>
        </is>
      </c>
      <c r="I8" s="247" t="n">
        <v>46320</v>
      </c>
    </row>
    <row r="9" ht="28" customHeight="1">
      <c r="A9" s="231" t="inlineStr">
        <is>
          <t>Tunnelling Journal</t>
        </is>
      </c>
      <c r="B9" s="243" t="n">
        <v>2</v>
      </c>
      <c r="C9" s="244">
        <f>SUMPRODUCT(Stories!$W$4:$W$103,--(Stories!$J$4:$J$103=$A9))</f>
        <v/>
      </c>
      <c r="D9" s="245" t="n">
        <v>3</v>
      </c>
      <c r="E9" s="243" t="n">
        <v>0</v>
      </c>
      <c r="F9" s="250" t="inlineStr">
        <is>
          <t>Infrastructure &amp; the Underground City</t>
        </is>
      </c>
      <c r="G9" s="243" t="n">
        <v>2</v>
      </c>
      <c r="H9" s="171" t="inlineStr"/>
      <c r="I9" s="247" t="n">
        <v>46319</v>
      </c>
    </row>
    <row r="10" ht="28" customHeight="1">
      <c r="A10" s="231" t="inlineStr">
        <is>
          <t>Tunnels &amp; Tunnelling</t>
        </is>
      </c>
      <c r="B10" s="243" t="n">
        <v>2</v>
      </c>
      <c r="C10" s="244">
        <f>SUMPRODUCT(Stories!$W$4:$W$103,--(Stories!$J$4:$J$103=$A10))</f>
        <v/>
      </c>
      <c r="D10" s="245" t="n">
        <v>3</v>
      </c>
      <c r="E10" s="243" t="n">
        <v>0</v>
      </c>
      <c r="F10" s="251" t="inlineStr">
        <is>
          <t>Sustainability &amp; the Energy Transition</t>
        </is>
      </c>
      <c r="G10" s="243" t="n">
        <v>1</v>
      </c>
      <c r="H10" s="171" t="inlineStr"/>
      <c r="I10" s="247" t="n">
        <v>46319</v>
      </c>
    </row>
    <row r="11" ht="15.5" customHeight="1">
      <c r="A11" s="231" t="inlineStr">
        <is>
          <t>生物通</t>
        </is>
      </c>
      <c r="B11" s="243" t="n">
        <v>2</v>
      </c>
      <c r="C11" s="244">
        <f>SUMPRODUCT(Stories!$W$4:$W$103,--(Stories!$J$4:$J$103=$A11))</f>
        <v/>
      </c>
      <c r="D11" s="245" t="n">
        <v>4.5</v>
      </c>
      <c r="E11" s="243" t="n">
        <v>2</v>
      </c>
      <c r="F11" s="252" t="inlineStr">
        <is>
          <t>Digital Geotechnics</t>
        </is>
      </c>
      <c r="G11" s="243" t="n">
        <v>2</v>
      </c>
      <c r="H11" s="171" t="inlineStr">
        <is>
          <t>China</t>
        </is>
      </c>
      <c r="I11" s="247" t="n">
        <v>46319</v>
      </c>
    </row>
    <row r="12" ht="15.5" customHeight="1">
      <c r="A12" s="231" t="inlineStr">
        <is>
          <t>:: Foro Coatza ::</t>
        </is>
      </c>
      <c r="B12" s="243" t="n">
        <v>1</v>
      </c>
      <c r="C12" s="244">
        <f>SUMPRODUCT(Stories!$W$4:$W$103,--(Stories!$J$4:$J$103=$A12))</f>
        <v/>
      </c>
      <c r="D12" s="245" t="n">
        <v>3</v>
      </c>
      <c r="E12" s="243" t="n">
        <v>0</v>
      </c>
      <c r="F12" s="248" t="inlineStr">
        <is>
          <t>Offshore, Coasts &amp; Water</t>
        </is>
      </c>
      <c r="G12" s="243" t="n">
        <v>1</v>
      </c>
      <c r="H12" s="171" t="inlineStr">
        <is>
          <t>Argentina</t>
        </is>
      </c>
      <c r="I12" s="247" t="n">
        <v>46319</v>
      </c>
    </row>
    <row r="13" ht="28" customHeight="1">
      <c r="A13" s="231" t="inlineStr">
        <is>
          <t>ABC27</t>
        </is>
      </c>
      <c r="B13" s="243" t="n">
        <v>1</v>
      </c>
      <c r="C13" s="244">
        <f>SUMPRODUCT(Stories!$W$4:$W$103,--(Stories!$J$4:$J$103=$A13))</f>
        <v/>
      </c>
      <c r="D13" s="245" t="n">
        <v>3</v>
      </c>
      <c r="E13" s="243" t="n">
        <v>0</v>
      </c>
      <c r="F13" s="250" t="inlineStr">
        <is>
          <t>Infrastructure &amp; the Underground City</t>
        </is>
      </c>
      <c r="G13" s="243" t="n">
        <v>1</v>
      </c>
      <c r="H13" s="171" t="inlineStr">
        <is>
          <t>United Kingdom</t>
        </is>
      </c>
      <c r="I13" s="247" t="n">
        <v>46320</v>
      </c>
    </row>
    <row r="14" ht="15.5" customHeight="1">
      <c r="A14" s="231" t="inlineStr">
        <is>
          <t>agenzia giornalistica opinione</t>
        </is>
      </c>
      <c r="B14" s="243" t="n">
        <v>1</v>
      </c>
      <c r="C14" s="244">
        <f>SUMPRODUCT(Stories!$W$4:$W$103,--(Stories!$J$4:$J$103=$A14))</f>
        <v/>
      </c>
      <c r="D14" s="245" t="n">
        <v>4</v>
      </c>
      <c r="E14" s="243" t="n">
        <v>1</v>
      </c>
      <c r="F14" s="246" t="inlineStr">
        <is>
          <t>Hazards &amp; Resilience</t>
        </is>
      </c>
      <c r="G14" s="243" t="n">
        <v>1</v>
      </c>
      <c r="H14" s="171" t="inlineStr">
        <is>
          <t>Italy</t>
        </is>
      </c>
      <c r="I14" s="247" t="n">
        <v>46319</v>
      </c>
    </row>
    <row r="15" ht="15.5" customHeight="1">
      <c r="A15" s="231" t="inlineStr">
        <is>
          <t>Baolangson.vn</t>
        </is>
      </c>
      <c r="B15" s="243" t="n">
        <v>1</v>
      </c>
      <c r="C15" s="244">
        <f>SUMPRODUCT(Stories!$W$4:$W$103,--(Stories!$J$4:$J$103=$A15))</f>
        <v/>
      </c>
      <c r="D15" s="245" t="n">
        <v>4</v>
      </c>
      <c r="E15" s="243" t="n">
        <v>1</v>
      </c>
      <c r="F15" s="246" t="inlineStr">
        <is>
          <t>Hazards &amp; Resilience</t>
        </is>
      </c>
      <c r="G15" s="243" t="n">
        <v>1</v>
      </c>
      <c r="H15" s="171" t="inlineStr">
        <is>
          <t>Vietnam</t>
        </is>
      </c>
      <c r="I15" s="247" t="n">
        <v>46319</v>
      </c>
    </row>
    <row r="16" ht="28" customHeight="1">
      <c r="A16" s="231" t="inlineStr">
        <is>
          <t>BioBioChile</t>
        </is>
      </c>
      <c r="B16" s="243" t="n">
        <v>1</v>
      </c>
      <c r="C16" s="244">
        <f>SUMPRODUCT(Stories!$W$4:$W$103,--(Stories!$J$4:$J$103=$A16))</f>
        <v/>
      </c>
      <c r="D16" s="245" t="n">
        <v>4</v>
      </c>
      <c r="E16" s="243" t="n">
        <v>1</v>
      </c>
      <c r="F16" s="250" t="inlineStr">
        <is>
          <t>Infrastructure &amp; the Underground City</t>
        </is>
      </c>
      <c r="G16" s="243" t="n">
        <v>1</v>
      </c>
      <c r="H16" s="171" t="inlineStr">
        <is>
          <t>Colombia</t>
        </is>
      </c>
      <c r="I16" s="247" t="n">
        <v>46319</v>
      </c>
    </row>
    <row r="17" ht="15.5" customHeight="1">
      <c r="A17" s="231" t="inlineStr">
        <is>
          <t>Boyacá 7 Días</t>
        </is>
      </c>
      <c r="B17" s="243" t="n">
        <v>1</v>
      </c>
      <c r="C17" s="244">
        <f>SUMPRODUCT(Stories!$W$4:$W$103,--(Stories!$J$4:$J$103=$A17))</f>
        <v/>
      </c>
      <c r="D17" s="245" t="n">
        <v>3</v>
      </c>
      <c r="E17" s="243" t="n">
        <v>0</v>
      </c>
      <c r="F17" s="253" t="inlineStr">
        <is>
          <t>Geotechnics &amp; Society</t>
        </is>
      </c>
      <c r="G17" s="243" t="n">
        <v>1</v>
      </c>
      <c r="H17" s="171" t="inlineStr">
        <is>
          <t>Colombia</t>
        </is>
      </c>
      <c r="I17" s="247" t="n">
        <v>46319</v>
      </c>
    </row>
    <row r="18" ht="15.5" customHeight="1">
      <c r="A18" s="231" t="inlineStr">
        <is>
          <t>Báo Nhân Dân điện tử</t>
        </is>
      </c>
      <c r="B18" s="243" t="n">
        <v>1</v>
      </c>
      <c r="C18" s="244">
        <f>SUMPRODUCT(Stories!$W$4:$W$103,--(Stories!$J$4:$J$103=$A18))</f>
        <v/>
      </c>
      <c r="D18" s="245" t="n">
        <v>4</v>
      </c>
      <c r="E18" s="243" t="n">
        <v>1</v>
      </c>
      <c r="F18" s="248" t="inlineStr">
        <is>
          <t>Offshore, Coasts &amp; Water</t>
        </is>
      </c>
      <c r="G18" s="243" t="n">
        <v>1</v>
      </c>
      <c r="H18" s="171" t="inlineStr">
        <is>
          <t>Vietnam</t>
        </is>
      </c>
      <c r="I18" s="247" t="n">
        <v>46320</v>
      </c>
    </row>
    <row r="19" ht="15.5" customHeight="1">
      <c r="A19" s="231" t="inlineStr">
        <is>
          <t>Báo Thanh Niên</t>
        </is>
      </c>
      <c r="B19" s="243" t="n">
        <v>1</v>
      </c>
      <c r="C19" s="244">
        <f>SUMPRODUCT(Stories!$W$4:$W$103,--(Stories!$J$4:$J$103=$A19))</f>
        <v/>
      </c>
      <c r="D19" s="245" t="n">
        <v>4</v>
      </c>
      <c r="E19" s="243" t="n">
        <v>1</v>
      </c>
      <c r="F19" s="246" t="inlineStr">
        <is>
          <t>Hazards &amp; Resilience</t>
        </is>
      </c>
      <c r="G19" s="243" t="n">
        <v>1</v>
      </c>
      <c r="H19" s="171" t="inlineStr">
        <is>
          <t>Vietnam</t>
        </is>
      </c>
      <c r="I19" s="247" t="n">
        <v>46319</v>
      </c>
    </row>
    <row r="20" ht="28" customHeight="1">
      <c r="A20" s="231" t="inlineStr">
        <is>
          <t>Báo và phát thanh, truyền hình Đồng Tháp</t>
        </is>
      </c>
      <c r="B20" s="243" t="n">
        <v>1</v>
      </c>
      <c r="C20" s="244">
        <f>SUMPRODUCT(Stories!$W$4:$W$103,--(Stories!$J$4:$J$103=$A20))</f>
        <v/>
      </c>
      <c r="D20" s="245" t="n">
        <v>4</v>
      </c>
      <c r="E20" s="243" t="n">
        <v>1</v>
      </c>
      <c r="F20" s="246" t="inlineStr">
        <is>
          <t>Hazards &amp; Resilience</t>
        </is>
      </c>
      <c r="G20" s="243" t="n">
        <v>1</v>
      </c>
      <c r="H20" s="171" t="inlineStr">
        <is>
          <t>Vietnam</t>
        </is>
      </c>
      <c r="I20" s="247" t="n">
        <v>46319</v>
      </c>
    </row>
    <row r="21" ht="28" customHeight="1">
      <c r="A21" s="231" t="inlineStr">
        <is>
          <t>Debate</t>
        </is>
      </c>
      <c r="B21" s="243" t="n">
        <v>1</v>
      </c>
      <c r="C21" s="244">
        <f>SUMPRODUCT(Stories!$W$4:$W$103,--(Stories!$J$4:$J$103=$A21))</f>
        <v/>
      </c>
      <c r="D21" s="245" t="n">
        <v>4</v>
      </c>
      <c r="E21" s="243" t="n">
        <v>1</v>
      </c>
      <c r="F21" s="250" t="inlineStr">
        <is>
          <t>Infrastructure &amp; the Underground City</t>
        </is>
      </c>
      <c r="G21" s="243" t="n">
        <v>1</v>
      </c>
      <c r="H21" s="171" t="inlineStr">
        <is>
          <t>Colombia</t>
        </is>
      </c>
      <c r="I21" s="247" t="n">
        <v>46319</v>
      </c>
    </row>
    <row r="22" ht="28" customHeight="1">
      <c r="A22" s="231" t="inlineStr">
        <is>
          <t>Detona, Real News</t>
        </is>
      </c>
      <c r="B22" s="243" t="n">
        <v>1</v>
      </c>
      <c r="C22" s="244">
        <f>SUMPRODUCT(Stories!$W$4:$W$103,--(Stories!$J$4:$J$103=$A22))</f>
        <v/>
      </c>
      <c r="D22" s="245" t="n">
        <v>3</v>
      </c>
      <c r="E22" s="243" t="n">
        <v>0</v>
      </c>
      <c r="F22" s="250" t="inlineStr">
        <is>
          <t>Infrastructure &amp; the Underground City</t>
        </is>
      </c>
      <c r="G22" s="243" t="n">
        <v>1</v>
      </c>
      <c r="H22" s="171" t="inlineStr">
        <is>
          <t>Colombia</t>
        </is>
      </c>
      <c r="I22" s="247" t="n">
        <v>46319</v>
      </c>
    </row>
    <row r="23" ht="15.5" customHeight="1">
      <c r="A23" s="231" t="inlineStr">
        <is>
          <t>Diario 13 San Juan</t>
        </is>
      </c>
      <c r="B23" s="243" t="n">
        <v>1</v>
      </c>
      <c r="C23" s="244">
        <f>SUMPRODUCT(Stories!$W$4:$W$103,--(Stories!$J$4:$J$103=$A23))</f>
        <v/>
      </c>
      <c r="D23" s="245" t="n">
        <v>4</v>
      </c>
      <c r="E23" s="243" t="n">
        <v>1</v>
      </c>
      <c r="F23" s="246" t="inlineStr">
        <is>
          <t>Hazards &amp; Resilience</t>
        </is>
      </c>
      <c r="G23" s="243" t="n">
        <v>1</v>
      </c>
      <c r="H23" s="171" t="inlineStr">
        <is>
          <t>Chile</t>
        </is>
      </c>
      <c r="I23" s="247" t="n">
        <v>46320</v>
      </c>
    </row>
    <row r="24" ht="15.5" customHeight="1">
      <c r="A24" s="231" t="inlineStr">
        <is>
          <t>Diario 1588</t>
        </is>
      </c>
      <c r="B24" s="243" t="n">
        <v>1</v>
      </c>
      <c r="C24" s="244">
        <f>SUMPRODUCT(Stories!$W$4:$W$103,--(Stories!$J$4:$J$103=$A24))</f>
        <v/>
      </c>
      <c r="D24" s="245" t="n">
        <v>3</v>
      </c>
      <c r="E24" s="243" t="n">
        <v>0</v>
      </c>
      <c r="F24" s="248" t="inlineStr">
        <is>
          <t>Offshore, Coasts &amp; Water</t>
        </is>
      </c>
      <c r="G24" s="243" t="n">
        <v>1</v>
      </c>
      <c r="H24" s="171" t="inlineStr">
        <is>
          <t>Argentina</t>
        </is>
      </c>
      <c r="I24" s="247" t="n">
        <v>46320</v>
      </c>
    </row>
    <row r="25" ht="28" customHeight="1">
      <c r="A25" s="231" t="inlineStr">
        <is>
          <t>Diario 7 lagos</t>
        </is>
      </c>
      <c r="B25" s="243" t="n">
        <v>1</v>
      </c>
      <c r="C25" s="244">
        <f>SUMPRODUCT(Stories!$W$4:$W$103,--(Stories!$J$4:$J$103=$A25))</f>
        <v/>
      </c>
      <c r="D25" s="245" t="n">
        <v>3</v>
      </c>
      <c r="E25" s="243" t="n">
        <v>0</v>
      </c>
      <c r="F25" s="250" t="inlineStr">
        <is>
          <t>Infrastructure &amp; the Underground City</t>
        </is>
      </c>
      <c r="G25" s="243" t="n">
        <v>1</v>
      </c>
      <c r="H25" s="171" t="inlineStr">
        <is>
          <t>Colombia</t>
        </is>
      </c>
      <c r="I25" s="247" t="n">
        <v>46320</v>
      </c>
    </row>
    <row r="26" ht="15.5" customHeight="1">
      <c r="A26" s="231" t="inlineStr">
        <is>
          <t>Diário do Sudoeste</t>
        </is>
      </c>
      <c r="B26" s="243" t="n">
        <v>1</v>
      </c>
      <c r="C26" s="244">
        <f>SUMPRODUCT(Stories!$W$4:$W$103,--(Stories!$J$4:$J$103=$A26))</f>
        <v/>
      </c>
      <c r="D26" s="245" t="n">
        <v>4</v>
      </c>
      <c r="E26" s="243" t="n">
        <v>1</v>
      </c>
      <c r="F26" s="246" t="inlineStr">
        <is>
          <t>Hazards &amp; Resilience</t>
        </is>
      </c>
      <c r="G26" s="243" t="n">
        <v>1</v>
      </c>
      <c r="H26" s="171" t="inlineStr">
        <is>
          <t>Brazil</t>
        </is>
      </c>
      <c r="I26" s="247" t="n">
        <v>46320</v>
      </c>
    </row>
    <row r="27" ht="15.5" customHeight="1">
      <c r="A27" s="231" t="inlineStr">
        <is>
          <t>DTiNews</t>
        </is>
      </c>
      <c r="B27" s="243" t="n">
        <v>1</v>
      </c>
      <c r="C27" s="244">
        <f>SUMPRODUCT(Stories!$W$4:$W$103,--(Stories!$J$4:$J$103=$A27))</f>
        <v/>
      </c>
      <c r="D27" s="245" t="n">
        <v>3</v>
      </c>
      <c r="E27" s="243" t="n">
        <v>0</v>
      </c>
      <c r="F27" s="249" t="inlineStr">
        <is>
          <t>Characterisation &amp; Modelling</t>
        </is>
      </c>
      <c r="G27" s="243" t="n">
        <v>1</v>
      </c>
      <c r="H27" s="171" t="inlineStr">
        <is>
          <t>United Kingdom</t>
        </is>
      </c>
      <c r="I27" s="247" t="n">
        <v>46320</v>
      </c>
    </row>
    <row r="28" ht="28" customHeight="1">
      <c r="A28" s="231" t="inlineStr">
        <is>
          <t>El Litoral | Novedades de Corrientes</t>
        </is>
      </c>
      <c r="B28" s="243" t="n">
        <v>1</v>
      </c>
      <c r="C28" s="244">
        <f>SUMPRODUCT(Stories!$W$4:$W$103,--(Stories!$J$4:$J$103=$A28))</f>
        <v/>
      </c>
      <c r="D28" s="245" t="n">
        <v>3</v>
      </c>
      <c r="E28" s="243" t="n">
        <v>0</v>
      </c>
      <c r="F28" s="248" t="inlineStr">
        <is>
          <t>Offshore, Coasts &amp; Water</t>
        </is>
      </c>
      <c r="G28" s="243" t="n">
        <v>1</v>
      </c>
      <c r="H28" s="171" t="inlineStr">
        <is>
          <t>Argentina</t>
        </is>
      </c>
      <c r="I28" s="247" t="n">
        <v>46319</v>
      </c>
    </row>
    <row r="29" ht="28" customHeight="1">
      <c r="A29" s="231" t="inlineStr">
        <is>
          <t>El Siglo de Torreón</t>
        </is>
      </c>
      <c r="B29" s="243" t="n">
        <v>1</v>
      </c>
      <c r="C29" s="244">
        <f>SUMPRODUCT(Stories!$W$4:$W$103,--(Stories!$J$4:$J$103=$A29))</f>
        <v/>
      </c>
      <c r="D29" s="245" t="n">
        <v>3</v>
      </c>
      <c r="E29" s="243" t="n">
        <v>0</v>
      </c>
      <c r="F29" s="250" t="inlineStr">
        <is>
          <t>Infrastructure &amp; the Underground City</t>
        </is>
      </c>
      <c r="G29" s="243" t="n">
        <v>1</v>
      </c>
      <c r="H29" s="171" t="inlineStr">
        <is>
          <t>Colombia</t>
        </is>
      </c>
      <c r="I29" s="247" t="n">
        <v>46319</v>
      </c>
    </row>
    <row r="30" ht="28" customHeight="1">
      <c r="A30" s="231" t="inlineStr">
        <is>
          <t>El Sol de México</t>
        </is>
      </c>
      <c r="B30" s="243" t="n">
        <v>1</v>
      </c>
      <c r="C30" s="244">
        <f>SUMPRODUCT(Stories!$W$4:$W$103,--(Stories!$J$4:$J$103=$A30))</f>
        <v/>
      </c>
      <c r="D30" s="245" t="n">
        <v>3</v>
      </c>
      <c r="E30" s="243" t="n">
        <v>0</v>
      </c>
      <c r="F30" s="250" t="inlineStr">
        <is>
          <t>Infrastructure &amp; the Underground City</t>
        </is>
      </c>
      <c r="G30" s="243" t="n">
        <v>1</v>
      </c>
      <c r="H30" s="171" t="inlineStr">
        <is>
          <t>Colombia</t>
        </is>
      </c>
      <c r="I30" s="247" t="n">
        <v>46320</v>
      </c>
    </row>
    <row r="31" ht="15.5" customHeight="1">
      <c r="A31" s="231" t="inlineStr">
        <is>
          <t>El Universal</t>
        </is>
      </c>
      <c r="B31" s="243" t="n">
        <v>1</v>
      </c>
      <c r="C31" s="244">
        <f>SUMPRODUCT(Stories!$W$4:$W$103,--(Stories!$J$4:$J$103=$A31))</f>
        <v/>
      </c>
      <c r="D31" s="245" t="n">
        <v>3</v>
      </c>
      <c r="E31" s="243" t="n">
        <v>0</v>
      </c>
      <c r="F31" s="248" t="inlineStr">
        <is>
          <t>Offshore, Coasts &amp; Water</t>
        </is>
      </c>
      <c r="G31" s="243" t="n">
        <v>1</v>
      </c>
      <c r="H31" s="171" t="inlineStr">
        <is>
          <t>Colombia</t>
        </is>
      </c>
      <c r="I31" s="247" t="n">
        <v>46319</v>
      </c>
    </row>
    <row r="32" ht="28" customHeight="1">
      <c r="A32" s="231" t="inlineStr">
        <is>
          <t>El Universo</t>
        </is>
      </c>
      <c r="B32" s="243" t="n">
        <v>1</v>
      </c>
      <c r="C32" s="244">
        <f>SUMPRODUCT(Stories!$W$4:$W$103,--(Stories!$J$4:$J$103=$A32))</f>
        <v/>
      </c>
      <c r="D32" s="245" t="n">
        <v>4</v>
      </c>
      <c r="E32" s="243" t="n">
        <v>1</v>
      </c>
      <c r="F32" s="250" t="inlineStr">
        <is>
          <t>Infrastructure &amp; the Underground City</t>
        </is>
      </c>
      <c r="G32" s="243" t="n">
        <v>1</v>
      </c>
      <c r="H32" s="171" t="inlineStr">
        <is>
          <t>Colombia</t>
        </is>
      </c>
      <c r="I32" s="247" t="n">
        <v>46319</v>
      </c>
    </row>
    <row r="33" ht="28" customHeight="1">
      <c r="A33" s="231" t="inlineStr">
        <is>
          <t>emsavalles.com</t>
        </is>
      </c>
      <c r="B33" s="243" t="n">
        <v>1</v>
      </c>
      <c r="C33" s="244">
        <f>SUMPRODUCT(Stories!$W$4:$W$103,--(Stories!$J$4:$J$103=$A33))</f>
        <v/>
      </c>
      <c r="D33" s="245" t="n">
        <v>3</v>
      </c>
      <c r="E33" s="243" t="n">
        <v>0</v>
      </c>
      <c r="F33" s="250" t="inlineStr">
        <is>
          <t>Infrastructure &amp; the Underground City</t>
        </is>
      </c>
      <c r="G33" s="243" t="n">
        <v>1</v>
      </c>
      <c r="H33" s="171" t="inlineStr">
        <is>
          <t>Colombia</t>
        </is>
      </c>
      <c r="I33" s="247" t="n">
        <v>46320</v>
      </c>
    </row>
    <row r="34" ht="15.5" customHeight="1">
      <c r="A34" s="231" t="inlineStr">
        <is>
          <t>FNNプライムオンライン</t>
        </is>
      </c>
      <c r="B34" s="243" t="n">
        <v>1</v>
      </c>
      <c r="C34" s="244">
        <f>SUMPRODUCT(Stories!$W$4:$W$103,--(Stories!$J$4:$J$103=$A34))</f>
        <v/>
      </c>
      <c r="D34" s="245" t="n">
        <v>4</v>
      </c>
      <c r="E34" s="243" t="n">
        <v>1</v>
      </c>
      <c r="F34" s="246" t="inlineStr">
        <is>
          <t>Hazards &amp; Resilience</t>
        </is>
      </c>
      <c r="G34" s="243" t="n">
        <v>1</v>
      </c>
      <c r="H34" s="171" t="inlineStr">
        <is>
          <t>Japan</t>
        </is>
      </c>
      <c r="I34" s="247" t="n">
        <v>46320</v>
      </c>
    </row>
    <row r="35" ht="15.5" customHeight="1">
      <c r="A35" s="231" t="inlineStr">
        <is>
          <t>Geoengineer.org</t>
        </is>
      </c>
      <c r="B35" s="243" t="n">
        <v>1</v>
      </c>
      <c r="C35" s="244">
        <f>SUMPRODUCT(Stories!$W$4:$W$103,--(Stories!$J$4:$J$103=$A35))</f>
        <v/>
      </c>
      <c r="D35" s="245" t="n">
        <v>5</v>
      </c>
      <c r="E35" s="243" t="n">
        <v>1</v>
      </c>
      <c r="F35" s="254" t="inlineStr">
        <is>
          <t>Ground Improvement &amp; Innovation</t>
        </is>
      </c>
      <c r="G35" s="243" t="n">
        <v>1</v>
      </c>
      <c r="H35" s="171" t="inlineStr">
        <is>
          <t>United States</t>
        </is>
      </c>
      <c r="I35" s="247" t="n">
        <v>46319</v>
      </c>
    </row>
    <row r="36" ht="15.5" customHeight="1">
      <c r="A36" s="231" t="inlineStr">
        <is>
          <t>Il Giornale dei Castelli Romani</t>
        </is>
      </c>
      <c r="B36" s="243" t="n">
        <v>1</v>
      </c>
      <c r="C36" s="244">
        <f>SUMPRODUCT(Stories!$W$4:$W$103,--(Stories!$J$4:$J$103=$A36))</f>
        <v/>
      </c>
      <c r="D36" s="245" t="n">
        <v>4</v>
      </c>
      <c r="E36" s="243" t="n">
        <v>1</v>
      </c>
      <c r="F36" s="246" t="inlineStr">
        <is>
          <t>Hazards &amp; Resilience</t>
        </is>
      </c>
      <c r="G36" s="243" t="n">
        <v>1</v>
      </c>
      <c r="H36" s="171" t="inlineStr">
        <is>
          <t>Italy</t>
        </is>
      </c>
      <c r="I36" s="247" t="n">
        <v>46319</v>
      </c>
    </row>
    <row r="37" ht="15.5" customHeight="1">
      <c r="A37" s="231" t="inlineStr">
        <is>
          <t>Kenh14.vn</t>
        </is>
      </c>
      <c r="B37" s="243" t="n">
        <v>1</v>
      </c>
      <c r="C37" s="244">
        <f>SUMPRODUCT(Stories!$W$4:$W$103,--(Stories!$J$4:$J$103=$A37))</f>
        <v/>
      </c>
      <c r="D37" s="245" t="n">
        <v>4</v>
      </c>
      <c r="E37" s="243" t="n">
        <v>1</v>
      </c>
      <c r="F37" s="246" t="inlineStr">
        <is>
          <t>Hazards &amp; Resilience</t>
        </is>
      </c>
      <c r="G37" s="243" t="n">
        <v>1</v>
      </c>
      <c r="H37" s="171" t="inlineStr">
        <is>
          <t>Vietnam</t>
        </is>
      </c>
      <c r="I37" s="247" t="n">
        <v>46319</v>
      </c>
    </row>
    <row r="38" ht="15.5" customHeight="1">
      <c r="A38" s="231" t="inlineStr">
        <is>
          <t>La FM</t>
        </is>
      </c>
      <c r="B38" s="243" t="n">
        <v>1</v>
      </c>
      <c r="C38" s="244">
        <f>SUMPRODUCT(Stories!$W$4:$W$103,--(Stories!$J$4:$J$103=$A38))</f>
        <v/>
      </c>
      <c r="D38" s="245" t="n">
        <v>4</v>
      </c>
      <c r="E38" s="243" t="n">
        <v>1</v>
      </c>
      <c r="F38" s="246" t="inlineStr">
        <is>
          <t>Hazards &amp; Resilience</t>
        </is>
      </c>
      <c r="G38" s="243" t="n">
        <v>1</v>
      </c>
      <c r="H38" s="171" t="inlineStr">
        <is>
          <t>Spain</t>
        </is>
      </c>
      <c r="I38" s="247" t="n">
        <v>46320</v>
      </c>
    </row>
    <row r="39" ht="28" customHeight="1">
      <c r="A39" s="231" t="inlineStr">
        <is>
          <t>MarketScreener España</t>
        </is>
      </c>
      <c r="B39" s="243" t="n">
        <v>1</v>
      </c>
      <c r="C39" s="244">
        <f>SUMPRODUCT(Stories!$W$4:$W$103,--(Stories!$J$4:$J$103=$A39))</f>
        <v/>
      </c>
      <c r="D39" s="245" t="n">
        <v>4</v>
      </c>
      <c r="E39" s="243" t="n">
        <v>1</v>
      </c>
      <c r="F39" s="250" t="inlineStr">
        <is>
          <t>Infrastructure &amp; the Underground City</t>
        </is>
      </c>
      <c r="G39" s="243" t="n">
        <v>1</v>
      </c>
      <c r="H39" s="171" t="inlineStr">
        <is>
          <t>Argentina</t>
        </is>
      </c>
      <c r="I39" s="247" t="n">
        <v>46320</v>
      </c>
    </row>
    <row r="40" ht="15.5" customHeight="1">
      <c r="A40" s="231" t="inlineStr">
        <is>
          <t>Meganoticias</t>
        </is>
      </c>
      <c r="B40" s="243" t="n">
        <v>1</v>
      </c>
      <c r="C40" s="244">
        <f>SUMPRODUCT(Stories!$W$4:$W$103,--(Stories!$J$4:$J$103=$A40))</f>
        <v/>
      </c>
      <c r="D40" s="245" t="n">
        <v>4</v>
      </c>
      <c r="E40" s="243" t="n">
        <v>1</v>
      </c>
      <c r="F40" s="246" t="inlineStr">
        <is>
          <t>Hazards &amp; Resilience</t>
        </is>
      </c>
      <c r="G40" s="243" t="n">
        <v>1</v>
      </c>
      <c r="H40" s="171" t="inlineStr">
        <is>
          <t>Chile</t>
        </is>
      </c>
      <c r="I40" s="247" t="n">
        <v>46319</v>
      </c>
    </row>
    <row r="41" ht="28" customHeight="1">
      <c r="A41" s="231" t="inlineStr">
        <is>
          <t>Naver Blog</t>
        </is>
      </c>
      <c r="B41" s="243" t="n">
        <v>1</v>
      </c>
      <c r="C41" s="244">
        <f>SUMPRODUCT(Stories!$W$4:$W$103,--(Stories!$J$4:$J$103=$A41))</f>
        <v/>
      </c>
      <c r="D41" s="245" t="n">
        <v>4</v>
      </c>
      <c r="E41" s="243" t="n">
        <v>1</v>
      </c>
      <c r="F41" s="250" t="inlineStr">
        <is>
          <t>Infrastructure &amp; the Underground City</t>
        </is>
      </c>
      <c r="G41" s="243" t="n">
        <v>1</v>
      </c>
      <c r="H41" s="171" t="inlineStr">
        <is>
          <t>South Korea</t>
        </is>
      </c>
      <c r="I41" s="247" t="n">
        <v>46319</v>
      </c>
    </row>
    <row r="42" ht="28" customHeight="1">
      <c r="A42" s="231" t="inlineStr">
        <is>
          <t>NDT Noticias de Tijuana</t>
        </is>
      </c>
      <c r="B42" s="243" t="n">
        <v>1</v>
      </c>
      <c r="C42" s="244">
        <f>SUMPRODUCT(Stories!$W$4:$W$103,--(Stories!$J$4:$J$103=$A42))</f>
        <v/>
      </c>
      <c r="D42" s="245" t="n">
        <v>4</v>
      </c>
      <c r="E42" s="243" t="n">
        <v>1</v>
      </c>
      <c r="F42" s="250" t="inlineStr">
        <is>
          <t>Infrastructure &amp; the Underground City</t>
        </is>
      </c>
      <c r="G42" s="243" t="n">
        <v>1</v>
      </c>
      <c r="H42" s="171" t="inlineStr">
        <is>
          <t>Colombia</t>
        </is>
      </c>
      <c r="I42" s="247" t="n">
        <v>46320</v>
      </c>
    </row>
    <row r="43" ht="15.5" customHeight="1">
      <c r="A43" s="231" t="inlineStr">
        <is>
          <t>Người Đưa Tin</t>
        </is>
      </c>
      <c r="B43" s="243" t="n">
        <v>1</v>
      </c>
      <c r="C43" s="244">
        <f>SUMPRODUCT(Stories!$W$4:$W$103,--(Stories!$J$4:$J$103=$A43))</f>
        <v/>
      </c>
      <c r="D43" s="245" t="n">
        <v>4</v>
      </c>
      <c r="E43" s="243" t="n">
        <v>1</v>
      </c>
      <c r="F43" s="248" t="inlineStr">
        <is>
          <t>Offshore, Coasts &amp; Water</t>
        </is>
      </c>
      <c r="G43" s="243" t="n">
        <v>1</v>
      </c>
      <c r="H43" s="171" t="inlineStr">
        <is>
          <t>Vietnam</t>
        </is>
      </c>
      <c r="I43" s="247" t="n">
        <v>46319</v>
      </c>
    </row>
    <row r="44" ht="15.5" customHeight="1">
      <c r="A44" s="231" t="inlineStr">
        <is>
          <t>Onmanorama</t>
        </is>
      </c>
      <c r="B44" s="243" t="n">
        <v>1</v>
      </c>
      <c r="C44" s="244">
        <f>SUMPRODUCT(Stories!$W$4:$W$103,--(Stories!$J$4:$J$103=$A44))</f>
        <v/>
      </c>
      <c r="D44" s="245" t="n">
        <v>5</v>
      </c>
      <c r="E44" s="243" t="n">
        <v>1</v>
      </c>
      <c r="F44" s="246" t="inlineStr">
        <is>
          <t>Hazards &amp; Resilience</t>
        </is>
      </c>
      <c r="G44" s="243" t="n">
        <v>1</v>
      </c>
      <c r="H44" s="171" t="inlineStr">
        <is>
          <t>South Africa</t>
        </is>
      </c>
      <c r="I44" s="247" t="n">
        <v>46320</v>
      </c>
    </row>
    <row r="45" ht="15.5" customHeight="1">
      <c r="A45" s="231" t="inlineStr">
        <is>
          <t>Publimicro</t>
        </is>
      </c>
      <c r="B45" s="243" t="n">
        <v>1</v>
      </c>
      <c r="C45" s="244">
        <f>SUMPRODUCT(Stories!$W$4:$W$103,--(Stories!$J$4:$J$103=$A45))</f>
        <v/>
      </c>
      <c r="D45" s="245" t="n">
        <v>5</v>
      </c>
      <c r="E45" s="243" t="n">
        <v>1</v>
      </c>
      <c r="F45" s="246" t="inlineStr">
        <is>
          <t>Hazards &amp; Resilience</t>
        </is>
      </c>
      <c r="G45" s="243" t="n">
        <v>1</v>
      </c>
      <c r="H45" s="171" t="inlineStr">
        <is>
          <t>Colombia</t>
        </is>
      </c>
      <c r="I45" s="247" t="n">
        <v>46320</v>
      </c>
    </row>
    <row r="46" ht="28" customHeight="1">
      <c r="A46" s="231" t="inlineStr">
        <is>
          <t>Quintana Roo Hoy</t>
        </is>
      </c>
      <c r="B46" s="243" t="n">
        <v>1</v>
      </c>
      <c r="C46" s="244">
        <f>SUMPRODUCT(Stories!$W$4:$W$103,--(Stories!$J$4:$J$103=$A46))</f>
        <v/>
      </c>
      <c r="D46" s="245" t="n">
        <v>4</v>
      </c>
      <c r="E46" s="243" t="n">
        <v>1</v>
      </c>
      <c r="F46" s="250" t="inlineStr">
        <is>
          <t>Infrastructure &amp; the Underground City</t>
        </is>
      </c>
      <c r="G46" s="243" t="n">
        <v>1</v>
      </c>
      <c r="H46" s="171" t="inlineStr">
        <is>
          <t>Colombia</t>
        </is>
      </c>
      <c r="I46" s="247" t="n">
        <v>46320</v>
      </c>
    </row>
    <row r="47" ht="15.5" customHeight="1">
      <c r="A47" s="231" t="inlineStr">
        <is>
          <t>Radio-Canada</t>
        </is>
      </c>
      <c r="B47" s="243" t="n">
        <v>1</v>
      </c>
      <c r="C47" s="244">
        <f>SUMPRODUCT(Stories!$W$4:$W$103,--(Stories!$J$4:$J$103=$A47))</f>
        <v/>
      </c>
      <c r="D47" s="245" t="n">
        <v>4</v>
      </c>
      <c r="E47" s="243" t="n">
        <v>1</v>
      </c>
      <c r="F47" s="246" t="inlineStr">
        <is>
          <t>Hazards &amp; Resilience</t>
        </is>
      </c>
      <c r="G47" s="243" t="n">
        <v>1</v>
      </c>
      <c r="H47" s="171" t="inlineStr">
        <is>
          <t>France</t>
        </is>
      </c>
      <c r="I47" s="247" t="n">
        <v>46320</v>
      </c>
    </row>
    <row r="48" ht="28" customHeight="1">
      <c r="A48" s="231" t="inlineStr">
        <is>
          <t>Realidad Sanmartinense</t>
        </is>
      </c>
      <c r="B48" s="243" t="n">
        <v>1</v>
      </c>
      <c r="C48" s="244">
        <f>SUMPRODUCT(Stories!$W$4:$W$103,--(Stories!$J$4:$J$103=$A48))</f>
        <v/>
      </c>
      <c r="D48" s="245" t="n">
        <v>3</v>
      </c>
      <c r="E48" s="243" t="n">
        <v>0</v>
      </c>
      <c r="F48" s="250" t="inlineStr">
        <is>
          <t>Infrastructure &amp; the Underground City</t>
        </is>
      </c>
      <c r="G48" s="243" t="n">
        <v>1</v>
      </c>
      <c r="H48" s="171" t="inlineStr">
        <is>
          <t>Colombia</t>
        </is>
      </c>
      <c r="I48" s="247" t="n">
        <v>46319</v>
      </c>
    </row>
    <row r="49" ht="15.5" customHeight="1">
      <c r="A49" s="231" t="inlineStr">
        <is>
          <t>Revista Digital Minera REDIMIN</t>
        </is>
      </c>
      <c r="B49" s="243" t="n">
        <v>1</v>
      </c>
      <c r="C49" s="244">
        <f>SUMPRODUCT(Stories!$W$4:$W$103,--(Stories!$J$4:$J$103=$A49))</f>
        <v/>
      </c>
      <c r="D49" s="245" t="n">
        <v>5</v>
      </c>
      <c r="E49" s="243" t="n">
        <v>1</v>
      </c>
      <c r="F49" s="246" t="inlineStr">
        <is>
          <t>Hazards &amp; Resilience</t>
        </is>
      </c>
      <c r="G49" s="243" t="n">
        <v>1</v>
      </c>
      <c r="H49" s="171" t="inlineStr">
        <is>
          <t>Argentina</t>
        </is>
      </c>
      <c r="I49" s="247" t="n">
        <v>46320</v>
      </c>
    </row>
    <row r="50" ht="15.5" customHeight="1">
      <c r="A50" s="231" t="inlineStr">
        <is>
          <t>RRI.co.id</t>
        </is>
      </c>
      <c r="B50" s="243" t="n">
        <v>1</v>
      </c>
      <c r="C50" s="244">
        <f>SUMPRODUCT(Stories!$W$4:$W$103,--(Stories!$J$4:$J$103=$A50))</f>
        <v/>
      </c>
      <c r="D50" s="245" t="n">
        <v>4</v>
      </c>
      <c r="E50" s="243" t="n">
        <v>1</v>
      </c>
      <c r="F50" s="246" t="inlineStr">
        <is>
          <t>Hazards &amp; Resilience</t>
        </is>
      </c>
      <c r="G50" s="243" t="n">
        <v>1</v>
      </c>
      <c r="H50" s="171" t="inlineStr">
        <is>
          <t>Indonesia</t>
        </is>
      </c>
      <c r="I50" s="247" t="n">
        <v>46319</v>
      </c>
    </row>
    <row r="51" ht="15.5" customHeight="1">
      <c r="A51" s="231" t="inlineStr">
        <is>
          <t>Sciencepost</t>
        </is>
      </c>
      <c r="B51" s="243" t="n">
        <v>1</v>
      </c>
      <c r="C51" s="244">
        <f>SUMPRODUCT(Stories!$W$4:$W$103,--(Stories!$J$4:$J$103=$A51))</f>
        <v/>
      </c>
      <c r="D51" s="245" t="n">
        <v>5</v>
      </c>
      <c r="E51" s="243" t="n">
        <v>1</v>
      </c>
      <c r="F51" s="254" t="inlineStr">
        <is>
          <t>Ground Improvement &amp; Innovation</t>
        </is>
      </c>
      <c r="G51" s="243" t="n">
        <v>1</v>
      </c>
      <c r="H51" s="171" t="inlineStr">
        <is>
          <t>Senegal</t>
        </is>
      </c>
      <c r="I51" s="247" t="n">
        <v>46319</v>
      </c>
    </row>
    <row r="52" ht="15.5" customHeight="1">
      <c r="A52" s="231" t="inlineStr">
        <is>
          <t>StabiaChannel.it</t>
        </is>
      </c>
      <c r="B52" s="243" t="n">
        <v>1</v>
      </c>
      <c r="C52" s="244">
        <f>SUMPRODUCT(Stories!$W$4:$W$103,--(Stories!$J$4:$J$103=$A52))</f>
        <v/>
      </c>
      <c r="D52" s="245" t="n">
        <v>4</v>
      </c>
      <c r="E52" s="243" t="n">
        <v>1</v>
      </c>
      <c r="F52" s="246" t="inlineStr">
        <is>
          <t>Hazards &amp; Resilience</t>
        </is>
      </c>
      <c r="G52" s="243" t="n">
        <v>1</v>
      </c>
      <c r="H52" s="171" t="inlineStr">
        <is>
          <t>Italy</t>
        </is>
      </c>
      <c r="I52" s="247" t="n">
        <v>46320</v>
      </c>
    </row>
    <row r="53" ht="28" customHeight="1">
      <c r="A53" s="231" t="inlineStr">
        <is>
          <t>Tabasco HOY</t>
        </is>
      </c>
      <c r="B53" s="243" t="n">
        <v>1</v>
      </c>
      <c r="C53" s="244">
        <f>SUMPRODUCT(Stories!$W$4:$W$103,--(Stories!$J$4:$J$103=$A53))</f>
        <v/>
      </c>
      <c r="D53" s="245" t="n">
        <v>3</v>
      </c>
      <c r="E53" s="243" t="n">
        <v>0</v>
      </c>
      <c r="F53" s="250" t="inlineStr">
        <is>
          <t>Infrastructure &amp; the Underground City</t>
        </is>
      </c>
      <c r="G53" s="243" t="n">
        <v>1</v>
      </c>
      <c r="H53" s="171" t="inlineStr">
        <is>
          <t>Colombia</t>
        </is>
      </c>
      <c r="I53" s="247" t="n">
        <v>46319</v>
      </c>
    </row>
    <row r="54" ht="28" customHeight="1">
      <c r="A54" s="231" t="inlineStr">
        <is>
          <t>The Hindu</t>
        </is>
      </c>
      <c r="B54" s="243" t="n">
        <v>1</v>
      </c>
      <c r="C54" s="244">
        <f>SUMPRODUCT(Stories!$W$4:$W$103,--(Stories!$J$4:$J$103=$A54))</f>
        <v/>
      </c>
      <c r="D54" s="245" t="n">
        <v>3</v>
      </c>
      <c r="E54" s="243" t="n">
        <v>0</v>
      </c>
      <c r="F54" s="250" t="inlineStr">
        <is>
          <t>Infrastructure &amp; the Underground City</t>
        </is>
      </c>
      <c r="G54" s="243" t="n">
        <v>1</v>
      </c>
      <c r="H54" s="171" t="inlineStr">
        <is>
          <t>United Kingdom</t>
        </is>
      </c>
      <c r="I54" s="247" t="n">
        <v>46320</v>
      </c>
    </row>
    <row r="55" ht="15.5" customHeight="1">
      <c r="A55" s="231" t="inlineStr">
        <is>
          <t>The Star</t>
        </is>
      </c>
      <c r="B55" s="243" t="n">
        <v>1</v>
      </c>
      <c r="C55" s="244">
        <f>SUMPRODUCT(Stories!$W$4:$W$103,--(Stories!$J$4:$J$103=$A55))</f>
        <v/>
      </c>
      <c r="D55" s="245" t="n">
        <v>4</v>
      </c>
      <c r="E55" s="243" t="n">
        <v>1</v>
      </c>
      <c r="F55" s="246" t="inlineStr">
        <is>
          <t>Hazards &amp; Resilience</t>
        </is>
      </c>
      <c r="G55" s="243" t="n">
        <v>1</v>
      </c>
      <c r="H55" s="171" t="inlineStr">
        <is>
          <t>United Kingdom</t>
        </is>
      </c>
      <c r="I55" s="247" t="n">
        <v>46320</v>
      </c>
    </row>
    <row r="56" ht="15.5" customHeight="1">
      <c r="A56" s="231" t="inlineStr">
        <is>
          <t>The Weekend Leader</t>
        </is>
      </c>
      <c r="B56" s="243" t="n">
        <v>1</v>
      </c>
      <c r="C56" s="244">
        <f>SUMPRODUCT(Stories!$W$4:$W$103,--(Stories!$J$4:$J$103=$A56))</f>
        <v/>
      </c>
      <c r="D56" s="245" t="n">
        <v>4</v>
      </c>
      <c r="E56" s="243" t="n">
        <v>1</v>
      </c>
      <c r="F56" s="246" t="inlineStr">
        <is>
          <t>Hazards &amp; Resilience</t>
        </is>
      </c>
      <c r="G56" s="243" t="n">
        <v>1</v>
      </c>
      <c r="H56" s="171" t="inlineStr">
        <is>
          <t>South Africa</t>
        </is>
      </c>
      <c r="I56" s="247" t="n">
        <v>46320</v>
      </c>
    </row>
    <row r="57" ht="15.5" customHeight="1">
      <c r="A57" s="231" t="inlineStr">
        <is>
          <t>tin.skydoor.net</t>
        </is>
      </c>
      <c r="B57" s="243" t="n">
        <v>1</v>
      </c>
      <c r="C57" s="244">
        <f>SUMPRODUCT(Stories!$W$4:$W$103,--(Stories!$J$4:$J$103=$A57))</f>
        <v/>
      </c>
      <c r="D57" s="245" t="n">
        <v>4</v>
      </c>
      <c r="E57" s="243" t="n">
        <v>1</v>
      </c>
      <c r="F57" s="248" t="inlineStr">
        <is>
          <t>Offshore, Coasts &amp; Water</t>
        </is>
      </c>
      <c r="G57" s="243" t="n">
        <v>1</v>
      </c>
      <c r="H57" s="171" t="inlineStr">
        <is>
          <t>Vietnam</t>
        </is>
      </c>
      <c r="I57" s="247" t="n">
        <v>46320</v>
      </c>
    </row>
    <row r="58" ht="15.5" customHeight="1">
      <c r="A58" s="231" t="inlineStr">
        <is>
          <t>Trade-news.cl</t>
        </is>
      </c>
      <c r="B58" s="243" t="n">
        <v>1</v>
      </c>
      <c r="C58" s="244">
        <f>SUMPRODUCT(Stories!$W$4:$W$103,--(Stories!$J$4:$J$103=$A58))</f>
        <v/>
      </c>
      <c r="D58" s="245" t="n">
        <v>3</v>
      </c>
      <c r="E58" s="243" t="n">
        <v>0</v>
      </c>
      <c r="F58" s="249" t="inlineStr">
        <is>
          <t>Characterisation &amp; Modelling</t>
        </is>
      </c>
      <c r="G58" s="243" t="n">
        <v>1</v>
      </c>
      <c r="H58" s="171" t="inlineStr">
        <is>
          <t>Peru</t>
        </is>
      </c>
      <c r="I58" s="247" t="n">
        <v>46319</v>
      </c>
    </row>
    <row r="59" ht="15.5" customHeight="1">
      <c r="A59" s="231" t="inlineStr">
        <is>
          <t>Trigno.net</t>
        </is>
      </c>
      <c r="B59" s="243" t="n">
        <v>1</v>
      </c>
      <c r="C59" s="244">
        <f>SUMPRODUCT(Stories!$W$4:$W$103,--(Stories!$J$4:$J$103=$A59))</f>
        <v/>
      </c>
      <c r="D59" s="245" t="n">
        <v>3</v>
      </c>
      <c r="E59" s="243" t="n">
        <v>0</v>
      </c>
      <c r="F59" s="253" t="inlineStr">
        <is>
          <t>Geotechnics &amp; Society</t>
        </is>
      </c>
      <c r="G59" s="243" t="n">
        <v>1</v>
      </c>
      <c r="H59" s="171" t="inlineStr">
        <is>
          <t>Italy</t>
        </is>
      </c>
      <c r="I59" s="247" t="n">
        <v>46320</v>
      </c>
    </row>
    <row r="60" ht="15.5" customHeight="1">
      <c r="A60" s="231" t="inlineStr">
        <is>
          <t>Tv7 Benevento</t>
        </is>
      </c>
      <c r="B60" s="243" t="n">
        <v>1</v>
      </c>
      <c r="C60" s="244">
        <f>SUMPRODUCT(Stories!$W$4:$W$103,--(Stories!$J$4:$J$103=$A60))</f>
        <v/>
      </c>
      <c r="D60" s="245" t="n">
        <v>4</v>
      </c>
      <c r="E60" s="243" t="n">
        <v>1</v>
      </c>
      <c r="F60" s="246" t="inlineStr">
        <is>
          <t>Hazards &amp; Resilience</t>
        </is>
      </c>
      <c r="G60" s="243" t="n">
        <v>1</v>
      </c>
      <c r="H60" s="171" t="inlineStr">
        <is>
          <t>Italy</t>
        </is>
      </c>
      <c r="I60" s="247" t="n">
        <v>46319</v>
      </c>
    </row>
    <row r="61" ht="15.5" customHeight="1">
      <c r="A61" s="231" t="inlineStr">
        <is>
          <t>VnExpress International</t>
        </is>
      </c>
      <c r="B61" s="243" t="n">
        <v>1</v>
      </c>
      <c r="C61" s="244">
        <f>SUMPRODUCT(Stories!$W$4:$W$103,--(Stories!$J$4:$J$103=$A61))</f>
        <v/>
      </c>
      <c r="D61" s="245" t="n">
        <v>4</v>
      </c>
      <c r="E61" s="243" t="n">
        <v>1</v>
      </c>
      <c r="F61" s="249" t="inlineStr">
        <is>
          <t>Characterisation &amp; Modelling</t>
        </is>
      </c>
      <c r="G61" s="243" t="n">
        <v>1</v>
      </c>
      <c r="H61" s="171" t="inlineStr">
        <is>
          <t>United Kingdom</t>
        </is>
      </c>
      <c r="I61" s="247" t="n">
        <v>46319</v>
      </c>
    </row>
    <row r="62" ht="28" customHeight="1">
      <c r="A62" s="231" t="inlineStr">
        <is>
          <t>VOH</t>
        </is>
      </c>
      <c r="B62" s="243" t="n">
        <v>1</v>
      </c>
      <c r="C62" s="244">
        <f>SUMPRODUCT(Stories!$W$4:$W$103,--(Stories!$J$4:$J$103=$A62))</f>
        <v/>
      </c>
      <c r="D62" s="245" t="n">
        <v>4</v>
      </c>
      <c r="E62" s="243" t="n">
        <v>1</v>
      </c>
      <c r="F62" s="250" t="inlineStr">
        <is>
          <t>Infrastructure &amp; the Underground City</t>
        </is>
      </c>
      <c r="G62" s="243" t="n">
        <v>1</v>
      </c>
      <c r="H62" s="171" t="inlineStr">
        <is>
          <t>Vietnam</t>
        </is>
      </c>
      <c r="I62" s="247" t="n">
        <v>46319</v>
      </c>
    </row>
    <row r="63" ht="15.5" customHeight="1">
      <c r="A63" s="231" t="inlineStr">
        <is>
          <t>VTV.vn</t>
        </is>
      </c>
      <c r="B63" s="243" t="n">
        <v>1</v>
      </c>
      <c r="C63" s="244">
        <f>SUMPRODUCT(Stories!$W$4:$W$103,--(Stories!$J$4:$J$103=$A63))</f>
        <v/>
      </c>
      <c r="D63" s="245" t="n">
        <v>4</v>
      </c>
      <c r="E63" s="243" t="n">
        <v>1</v>
      </c>
      <c r="F63" s="248" t="inlineStr">
        <is>
          <t>Offshore, Coasts &amp; Water</t>
        </is>
      </c>
      <c r="G63" s="243" t="n">
        <v>1</v>
      </c>
      <c r="H63" s="171" t="inlineStr">
        <is>
          <t>Vietnam</t>
        </is>
      </c>
      <c r="I63" s="247" t="n">
        <v>46319</v>
      </c>
    </row>
    <row r="64" ht="15.5" customHeight="1">
      <c r="A64" s="231" t="inlineStr">
        <is>
          <t>www.noroeste.com.mx</t>
        </is>
      </c>
      <c r="B64" s="243" t="n">
        <v>1</v>
      </c>
      <c r="C64" s="244">
        <f>SUMPRODUCT(Stories!$W$4:$W$103,--(Stories!$J$4:$J$103=$A64))</f>
        <v/>
      </c>
      <c r="D64" s="245" t="n">
        <v>4</v>
      </c>
      <c r="E64" s="243" t="n">
        <v>1</v>
      </c>
      <c r="F64" s="253" t="inlineStr">
        <is>
          <t>Geotechnics &amp; Society</t>
        </is>
      </c>
      <c r="G64" s="243" t="n">
        <v>1</v>
      </c>
      <c r="H64" s="171" t="inlineStr">
        <is>
          <t>Colombia</t>
        </is>
      </c>
      <c r="I64" s="247" t="n">
        <v>46319</v>
      </c>
    </row>
    <row r="65" ht="15.5" customHeight="1">
      <c r="A65" s="231" t="inlineStr">
        <is>
          <t>Zazoom Social News</t>
        </is>
      </c>
      <c r="B65" s="243" t="n">
        <v>1</v>
      </c>
      <c r="C65" s="244">
        <f>SUMPRODUCT(Stories!$W$4:$W$103,--(Stories!$J$4:$J$103=$A65))</f>
        <v/>
      </c>
      <c r="D65" s="245" t="n">
        <v>4</v>
      </c>
      <c r="E65" s="243" t="n">
        <v>1</v>
      </c>
      <c r="F65" s="246" t="inlineStr">
        <is>
          <t>Hazards &amp; Resilience</t>
        </is>
      </c>
      <c r="G65" s="243" t="n">
        <v>1</v>
      </c>
      <c r="H65" s="171" t="inlineStr">
        <is>
          <t>Italy</t>
        </is>
      </c>
      <c r="I65" s="247" t="n">
        <v>46319</v>
      </c>
    </row>
    <row r="66" ht="28" customHeight="1">
      <c r="A66" s="231" t="inlineStr">
        <is>
          <t>Крыминформ</t>
        </is>
      </c>
      <c r="B66" s="243" t="n">
        <v>1</v>
      </c>
      <c r="C66" s="244">
        <f>SUMPRODUCT(Stories!$W$4:$W$103,--(Stories!$J$4:$J$103=$A66))</f>
        <v/>
      </c>
      <c r="D66" s="245" t="n">
        <v>4</v>
      </c>
      <c r="E66" s="243" t="n">
        <v>1</v>
      </c>
      <c r="F66" s="250" t="inlineStr">
        <is>
          <t>Infrastructure &amp; the Underground City</t>
        </is>
      </c>
      <c r="G66" s="243" t="n">
        <v>1</v>
      </c>
      <c r="H66" s="171" t="inlineStr">
        <is>
          <t>Russia</t>
        </is>
      </c>
      <c r="I66" s="247" t="n">
        <v>46319</v>
      </c>
    </row>
    <row r="67" ht="28" customHeight="1">
      <c r="A67" s="231" t="inlineStr">
        <is>
          <t>Самарская газета</t>
        </is>
      </c>
      <c r="B67" s="243" t="n">
        <v>1</v>
      </c>
      <c r="C67" s="244">
        <f>SUMPRODUCT(Stories!$W$4:$W$103,--(Stories!$J$4:$J$103=$A67))</f>
        <v/>
      </c>
      <c r="D67" s="245" t="n">
        <v>3</v>
      </c>
      <c r="E67" s="243" t="n">
        <v>0</v>
      </c>
      <c r="F67" s="250" t="inlineStr">
        <is>
          <t>Infrastructure &amp; the Underground City</t>
        </is>
      </c>
      <c r="G67" s="243" t="n">
        <v>1</v>
      </c>
      <c r="H67" s="171" t="inlineStr">
        <is>
          <t>Russia</t>
        </is>
      </c>
      <c r="I67" s="247" t="n">
        <v>46319</v>
      </c>
    </row>
    <row r="68" ht="15.5" customHeight="1">
      <c r="A68" s="231" t="inlineStr">
        <is>
          <t>千葉日報オンライン</t>
        </is>
      </c>
      <c r="B68" s="243" t="n">
        <v>1</v>
      </c>
      <c r="C68" s="244">
        <f>SUMPRODUCT(Stories!$W$4:$W$103,--(Stories!$J$4:$J$103=$A68))</f>
        <v/>
      </c>
      <c r="D68" s="245" t="n">
        <v>4</v>
      </c>
      <c r="E68" s="243" t="n">
        <v>1</v>
      </c>
      <c r="F68" s="246" t="inlineStr">
        <is>
          <t>Hazards &amp; Resilience</t>
        </is>
      </c>
      <c r="G68" s="243" t="n">
        <v>1</v>
      </c>
      <c r="H68" s="171" t="inlineStr">
        <is>
          <t>Japan</t>
        </is>
      </c>
      <c r="I68" s="247" t="n">
        <v>46320</v>
      </c>
    </row>
    <row r="69" ht="15.5" customHeight="1">
      <c r="A69" s="231" t="inlineStr">
        <is>
          <t>山陽新聞</t>
        </is>
      </c>
      <c r="B69" s="243" t="n">
        <v>1</v>
      </c>
      <c r="C69" s="244">
        <f>SUMPRODUCT(Stories!$W$4:$W$103,--(Stories!$J$4:$J$103=$A69))</f>
        <v/>
      </c>
      <c r="D69" s="245" t="n">
        <v>5</v>
      </c>
      <c r="E69" s="243" t="n">
        <v>1</v>
      </c>
      <c r="F69" s="246" t="inlineStr">
        <is>
          <t>Hazards &amp; Resilience</t>
        </is>
      </c>
      <c r="G69" s="243" t="n">
        <v>1</v>
      </c>
      <c r="H69" s="171" t="inlineStr">
        <is>
          <t>Japan</t>
        </is>
      </c>
      <c r="I69" s="247" t="n">
        <v>46320</v>
      </c>
    </row>
    <row r="70" ht="28" customHeight="1">
      <c r="A70" s="231" t="inlineStr">
        <is>
          <t>아시아경제</t>
        </is>
      </c>
      <c r="B70" s="243" t="n">
        <v>1</v>
      </c>
      <c r="C70" s="244">
        <f>SUMPRODUCT(Stories!$W$4:$W$103,--(Stories!$J$4:$J$103=$A70))</f>
        <v/>
      </c>
      <c r="D70" s="245" t="n">
        <v>4</v>
      </c>
      <c r="E70" s="243" t="n">
        <v>1</v>
      </c>
      <c r="F70" s="250" t="inlineStr">
        <is>
          <t>Infrastructure &amp; the Underground City</t>
        </is>
      </c>
      <c r="G70" s="243" t="n">
        <v>1</v>
      </c>
      <c r="H70" s="171" t="inlineStr">
        <is>
          <t>United Kingdom</t>
        </is>
      </c>
      <c r="I70" s="247" t="n">
        <v>46319</v>
      </c>
    </row>
    <row r="71" ht="28" customHeight="1">
      <c r="A71" s="231" t="inlineStr">
        <is>
          <t>아주경제</t>
        </is>
      </c>
      <c r="B71" s="243" t="n">
        <v>1</v>
      </c>
      <c r="C71" s="244">
        <f>SUMPRODUCT(Stories!$W$4:$W$103,--(Stories!$J$4:$J$103=$A71))</f>
        <v/>
      </c>
      <c r="D71" s="245" t="n">
        <v>4</v>
      </c>
      <c r="E71" s="243" t="n">
        <v>1</v>
      </c>
      <c r="F71" s="250" t="inlineStr">
        <is>
          <t>Infrastructure &amp; the Underground City</t>
        </is>
      </c>
      <c r="G71" s="243" t="n">
        <v>1</v>
      </c>
      <c r="H71" s="171" t="inlineStr">
        <is>
          <t>South Korea</t>
        </is>
      </c>
      <c r="I71" s="247" t="n">
        <v>46319</v>
      </c>
    </row>
    <row r="72" ht="28" customHeight="1">
      <c r="A72" s="231" t="inlineStr">
        <is>
          <t>충청신문</t>
        </is>
      </c>
      <c r="B72" s="243" t="n">
        <v>1</v>
      </c>
      <c r="C72" s="244">
        <f>SUMPRODUCT(Stories!$W$4:$W$103,--(Stories!$J$4:$J$103=$A72))</f>
        <v/>
      </c>
      <c r="D72" s="245" t="n">
        <v>5</v>
      </c>
      <c r="E72" s="243" t="n">
        <v>1</v>
      </c>
      <c r="F72" s="250" t="inlineStr">
        <is>
          <t>Infrastructure &amp; the Underground City</t>
        </is>
      </c>
      <c r="G72" s="243" t="n">
        <v>1</v>
      </c>
      <c r="H72" s="171" t="inlineStr">
        <is>
          <t>South Korea</t>
        </is>
      </c>
      <c r="I72" s="247" t="n">
        <v>46319</v>
      </c>
    </row>
  </sheetData>
  <conditionalFormatting sqref="B4:B72">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46320</v>
      </c>
      <c r="K2" s="256">
        <f>COUNTIFS(Stories!$W$4:$W$103,1,Stories!$K$4:$K$103,J2)</f>
        <v/>
      </c>
      <c r="M2" s="256" t="n">
        <v>1</v>
      </c>
      <c r="N2" s="258">
        <f>IFERROR(LARGE(Stories!$X$4:$X$103,M2),"")</f>
        <v/>
      </c>
      <c r="O2" s="256">
        <f>IF(N2="","",MATCH(N2,Stories!$X$4:$X$103,0))</f>
        <v/>
      </c>
      <c r="P2" s="256">
        <f>IF(O2="","",INDEX(Stories!$V$4:$V$103,O2)&amp;"")</f>
        <v/>
      </c>
      <c r="Q2" s="256">
        <f>IF(O2="","",IF(LEN(INDEX(Stories!$B$4:$B$103,O2))&gt;120,LEFT(INDEX(Stories!$B$4:$B$103,O2),118)&amp;"…",INDEX(Stories!$B$4:$B$103,O2)&amp;""))</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2</v>
      </c>
      <c r="J3" s="257" t="n">
        <v>46319</v>
      </c>
      <c r="K3" s="256">
        <f>COUNTIFS(Stories!$W$4:$W$103,1,Stories!$K$4:$K$103,J3)</f>
        <v/>
      </c>
      <c r="M3" s="256" t="n">
        <v>2</v>
      </c>
      <c r="N3" s="258">
        <f>IFERROR(LARGE(Stories!$X$4:$X$103,M3),"")</f>
        <v/>
      </c>
      <c r="O3" s="256">
        <f>IF(N3="","",MATCH(N3,Stories!$X$4:$X$103,0))</f>
        <v/>
      </c>
      <c r="P3" s="256">
        <f>IF(O3="","",INDEX(Stories!$V$4:$V$103,O3)&amp;"")</f>
        <v/>
      </c>
      <c r="Q3" s="256">
        <f>IF(O3="","",IF(LEN(INDEX(Stories!$B$4:$B$103,O3))&gt;120,LEFT(INDEX(Stories!$B$4:$B$103,O3),118)&amp;"…",INDEX(Stories!$B$4:$B$103,O3)&amp;""))</f>
        <v/>
      </c>
    </row>
    <row r="4">
      <c r="A4" s="256" t="inlineStr">
        <is>
          <t>Digital Geotechnics</t>
        </is>
      </c>
      <c r="B4" s="256" t="inlineStr">
        <is>
          <t>News brief</t>
        </is>
      </c>
      <c r="C4" s="256" t="n">
        <v>4</v>
      </c>
      <c r="E4" s="256" t="inlineStr">
        <is>
          <t>Commissioned</t>
        </is>
      </c>
      <c r="G4" s="256" t="inlineStr">
        <is>
          <t>Stories in this workbook</t>
        </is>
      </c>
      <c r="H4" s="256" t="n">
        <v>100</v>
      </c>
      <c r="M4" s="256" t="n">
        <v>3</v>
      </c>
      <c r="N4" s="258">
        <f>IFERROR(LARGE(Stories!$X$4:$X$103,M4),"")</f>
        <v/>
      </c>
      <c r="O4" s="256">
        <f>IF(N4="","",MATCH(N4,Stories!$X$4:$X$103,0))</f>
        <v/>
      </c>
      <c r="P4" s="256">
        <f>IF(O4="","",INDEX(Stories!$V$4:$V$103,O4)&amp;"")</f>
        <v/>
      </c>
      <c r="Q4" s="256">
        <f>IF(O4="","",IF(LEN(INDEX(Stories!$B$4:$B$103,O4))&gt;120,LEFT(INDEX(Stories!$B$4:$B$103,O4),118)&amp;"…",INDEX(Stories!$B$4:$B$103,O4)&amp;""))</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IFERROR(LARGE(Stories!$X$4:$X$103,M5),"")</f>
        <v/>
      </c>
      <c r="O5" s="256">
        <f>IF(N5="","",MATCH(N5,Stories!$X$4:$X$103,0))</f>
        <v/>
      </c>
      <c r="P5" s="256">
        <f>IF(O5="","",INDEX(Stories!$V$4:$V$103,O5)&amp;"")</f>
        <v/>
      </c>
      <c r="Q5" s="256">
        <f>IF(O5="","",IF(LEN(INDEX(Stories!$B$4:$B$103,O5))&gt;120,LEFT(INDEX(Stories!$B$4:$B$103,O5),118)&amp;"…",INDEX(Stories!$B$4:$B$103,O5)&amp;""))</f>
        <v/>
      </c>
    </row>
    <row r="6">
      <c r="A6" s="256" t="inlineStr">
        <is>
          <t>Ground Improvement &amp; Innovation</t>
        </is>
      </c>
      <c r="B6" s="256" t="inlineStr">
        <is>
          <t>Regional insight</t>
        </is>
      </c>
      <c r="E6" s="256" t="inlineStr">
        <is>
          <t>Not used</t>
        </is>
      </c>
      <c r="G6" s="256" t="inlineStr">
        <is>
          <t>Stories in the selection</t>
        </is>
      </c>
      <c r="H6" s="256">
        <f>COUNTIF(Stories!$W$4:$W$103,1)</f>
        <v/>
      </c>
      <c r="M6" s="256" t="n">
        <v>5</v>
      </c>
      <c r="N6" s="258">
        <f>IFERROR(LARGE(Stories!$X$4:$X$103,M6),"")</f>
        <v/>
      </c>
      <c r="O6" s="256">
        <f>IF(N6="","",MATCH(N6,Stories!$X$4:$X$103,0))</f>
        <v/>
      </c>
      <c r="P6" s="256">
        <f>IF(O6="","",INDEX(Stories!$V$4:$V$103,O6)&amp;"")</f>
        <v/>
      </c>
      <c r="Q6" s="256">
        <f>IF(O6="","",IF(LEN(INDEX(Stories!$B$4:$B$103,O6))&gt;120,LEFT(INDEX(Stories!$B$4:$B$103,O6),118)&amp;"…",INDEX(Stories!$B$4:$B$103,O6)&amp;""))</f>
        <v/>
      </c>
    </row>
    <row r="7">
      <c r="A7" s="256" t="inlineStr">
        <is>
          <t>Infrastructure &amp; the Underground City</t>
        </is>
      </c>
      <c r="B7" s="256" t="inlineStr">
        <is>
          <t>Watch only</t>
        </is>
      </c>
      <c r="M7" s="256" t="n">
        <v>6</v>
      </c>
      <c r="N7" s="258">
        <f>IFERROR(LARGE(Stories!$X$4:$X$103,M7),"")</f>
        <v/>
      </c>
      <c r="O7" s="256">
        <f>IF(N7="","",MATCH(N7,Stories!$X$4:$X$103,0))</f>
        <v/>
      </c>
      <c r="P7" s="256">
        <f>IF(O7="","",INDEX(Stories!$V$4:$V$103,O7)&amp;"")</f>
        <v/>
      </c>
      <c r="Q7" s="256">
        <f>IF(O7="","",IF(LEN(INDEX(Stories!$B$4:$B$103,O7))&gt;120,LEFT(INDEX(Stories!$B$4:$B$103,O7),118)&amp;"…",INDEX(Stories!$B$4:$B$103,O7)&amp;""))</f>
        <v/>
      </c>
    </row>
    <row r="8">
      <c r="A8" s="256" t="inlineStr">
        <is>
          <t>Offshore, Coasts &amp; Water</t>
        </is>
      </c>
      <c r="M8" s="256" t="n">
        <v>7</v>
      </c>
      <c r="N8" s="258">
        <f>IFERROR(LARGE(Stories!$X$4:$X$103,M8),"")</f>
        <v/>
      </c>
      <c r="O8" s="256">
        <f>IF(N8="","",MATCH(N8,Stories!$X$4:$X$103,0))</f>
        <v/>
      </c>
      <c r="P8" s="256">
        <f>IF(O8="","",INDEX(Stories!$V$4:$V$103,O8)&amp;"")</f>
        <v/>
      </c>
      <c r="Q8" s="256">
        <f>IF(O8="","",IF(LEN(INDEX(Stories!$B$4:$B$103,O8))&gt;120,LEFT(INDEX(Stories!$B$4:$B$103,O8),118)&amp;"…",INDEX(Stories!$B$4:$B$103,O8)&amp;""))</f>
        <v/>
      </c>
    </row>
    <row r="9">
      <c r="A9" s="256" t="inlineStr">
        <is>
          <t>Characterisation &amp; Modelling</t>
        </is>
      </c>
      <c r="M9" s="256" t="n">
        <v>8</v>
      </c>
      <c r="N9" s="258">
        <f>IFERROR(LARGE(Stories!$X$4:$X$103,M9),"")</f>
        <v/>
      </c>
      <c r="O9" s="256">
        <f>IF(N9="","",MATCH(N9,Stories!$X$4:$X$103,0))</f>
        <v/>
      </c>
      <c r="P9" s="256">
        <f>IF(O9="","",INDEX(Stories!$V$4:$V$103,O9)&amp;"")</f>
        <v/>
      </c>
      <c r="Q9" s="256">
        <f>IF(O9="","",IF(LEN(INDEX(Stories!$B$4:$B$103,O9))&gt;120,LEFT(INDEX(Stories!$B$4:$B$103,O9),118)&amp;"…",INDEX(Stories!$B$4:$B$103,O9)&amp;""))</f>
        <v/>
      </c>
    </row>
    <row r="10">
      <c r="A10" s="256" t="inlineStr">
        <is>
          <t>Geotechnics &amp; Society</t>
        </is>
      </c>
      <c r="M10" s="256" t="n">
        <v>9</v>
      </c>
      <c r="N10" s="258">
        <f>IFERROR(LARGE(Stories!$X$4:$X$103,M10),"")</f>
        <v/>
      </c>
      <c r="O10" s="256">
        <f>IF(N10="","",MATCH(N10,Stories!$X$4:$X$103,0))</f>
        <v/>
      </c>
      <c r="P10" s="256">
        <f>IF(O10="","",INDEX(Stories!$V$4:$V$103,O10)&amp;"")</f>
        <v/>
      </c>
      <c r="Q10" s="256">
        <f>IF(O10="","",IF(LEN(INDEX(Stories!$B$4:$B$103,O10))&gt;120,LEFT(INDEX(Stories!$B$4:$B$103,O10),118)&amp;"…",INDEX(Stories!$B$4:$B$103,O10)&amp;""))</f>
        <v/>
      </c>
    </row>
    <row r="11">
      <c r="A11" s="256" t="inlineStr">
        <is>
          <t>General</t>
        </is>
      </c>
      <c r="M11" s="256" t="n">
        <v>10</v>
      </c>
      <c r="N11" s="258">
        <f>IFERROR(LARGE(Stories!$X$4:$X$103,M11),"")</f>
        <v/>
      </c>
      <c r="O11" s="256">
        <f>IF(N11="","",MATCH(N11,Stories!$X$4:$X$103,0))</f>
        <v/>
      </c>
      <c r="P11" s="256">
        <f>IF(O11="","",INDEX(Stories!$V$4:$V$103,O11)&amp;"")</f>
        <v/>
      </c>
      <c r="Q11" s="256">
        <f>IF(O11="","",IF(LEN(INDEX(Stories!$B$4:$B$103,O11))&gt;120,LEFT(INDEX(Stories!$B$4:$B$103,O11),118)&amp;"…",INDEX(Stories!$B$4:$B$103,O11)&amp;""))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2026-10-25T05:58:35Z</dcterms:created>
  <dcterms:modified xmlns:dcterms="http://purl.org/dc/terms/" xmlns:xsi="http://www.w3.org/2001/XMLSchema-instance" xsi:type="dcterms:W3CDTF">2026-10-25T05:58:35Z</dcterms:modified>
</cp:coreProperties>
</file>