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tables/table3.xml" ContentType="application/vnd.openxmlformats-officedocument.spreadsheetml.table+xml"/>
  <Override PartName="/xl/worksheets/sheet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Dashboard" sheetId="2" state="visible" r:id="rId2"/>
    <sheet xmlns:r="http://schemas.openxmlformats.org/officeDocument/2006/relationships" name="Stories" sheetId="3" state="visible" r:id="rId3"/>
    <sheet xmlns:r="http://schemas.openxmlformats.org/officeDocument/2006/relationships" name="By theme" sheetId="4" state="visible" r:id="rId4"/>
    <sheet xmlns:r="http://schemas.openxmlformats.org/officeDocument/2006/relationships" name="Research" sheetId="5" state="visible" r:id="rId5"/>
    <sheet xmlns:r="http://schemas.openxmlformats.org/officeDocument/2006/relationships" name="Events" sheetId="6" state="visible" r:id="rId6"/>
    <sheet xmlns:r="http://schemas.openxmlformats.org/officeDocument/2006/relationships" name="Sources" sheetId="7" state="visible" r:id="rId7"/>
    <sheet xmlns:r="http://schemas.openxmlformats.org/officeDocument/2006/relationships" name="Lists" sheetId="8" state="hidden" r:id="rId8"/>
  </sheets>
  <definedNames>
    <definedName name="_xlnm.Print_Titles" localSheetId="0">'Start here'!$1:$3</definedName>
    <definedName name="_xlnm.Print_Titles" localSheetId="1">'Dashboard'!$1:$6</definedName>
    <definedName name="_xlnm.Print_Titles" localSheetId="2">'Stories'!$3:$3</definedName>
    <definedName name="_xlnm.Print_Area" localSheetId="2">'Stories'!$A$1:$K$63</definedName>
    <definedName name="_xlnm.Print_Titles" localSheetId="3">'By theme'!$1:$2</definedName>
    <definedName name="_xlnm.Print_Titles" localSheetId="4">'Research'!$3:$3</definedName>
    <definedName name="_xlnm.Print_Area" localSheetId="4">'Research'!$A$1:$K$23</definedName>
    <definedName name="_xlnm.Print_Titles" localSheetId="5">'Events'!$1:$2</definedName>
    <definedName name="_xlnm.Print_Titles" localSheetId="6">'Sources'!$3:$3</definedName>
    <definedName name="_xlnm.Print_Titles" localSheetId="7">'Lists'!$1:$1</definedName>
  </definedNames>
  <calcPr calcId="124519" fullCalcOnLoad="1"/>
</workbook>
</file>

<file path=xl/styles.xml><?xml version="1.0" encoding="utf-8"?>
<styleSheet xmlns="http://schemas.openxmlformats.org/spreadsheetml/2006/main">
  <numFmts count="6">
    <numFmt numFmtId="164" formatCode="0;-0;&quot;–&quot;"/>
    <numFmt numFmtId="165" formatCode="yyyy-mm-dd"/>
    <numFmt numFmtId="166" formatCode="dd mmm yyyy"/>
    <numFmt numFmtId="167" formatCode="&quot;✓&quot;;&quot;&quot;;&quot;&quot;"/>
    <numFmt numFmtId="168" formatCode="0.0"/>
    <numFmt numFmtId="169" formatCode="dd mmm yy;;"/>
  </numFmts>
  <fonts count="73">
    <font>
      <name val="Calibri"/>
      <family val="2"/>
      <color theme="1"/>
      <sz val="11"/>
      <scheme val="minor"/>
    </font>
    <font>
      <name val="Arial"/>
      <b val="1"/>
      <color rgb="0016324F"/>
      <sz val="14"/>
    </font>
    <font>
      <name val="Arial"/>
      <b val="1"/>
      <color rgb="001D5A8A"/>
      <sz val="9"/>
      <u val="single"/>
    </font>
    <font>
      <name val="Arial"/>
      <i val="1"/>
      <color rgb="005B6573"/>
      <sz val="9"/>
    </font>
    <font>
      <name val="Arial"/>
      <b val="1"/>
      <color rgb="00FFFFFF"/>
      <sz val="10"/>
    </font>
    <font>
      <name val="Arial"/>
      <b val="1"/>
      <color rgb="0016324F"/>
      <sz val="10"/>
    </font>
    <font>
      <name val="Arial"/>
      <color rgb="005B6573"/>
      <sz val="9"/>
    </font>
    <font>
      <name val="Arial"/>
      <b val="1"/>
      <color rgb="001D5A8A"/>
      <sz val="10"/>
      <u val="single"/>
    </font>
    <font>
      <name val="Arial"/>
      <b val="1"/>
      <color rgb="00D38B00"/>
      <sz val="9"/>
    </font>
    <font>
      <name val="Arial"/>
      <b val="1"/>
      <color rgb="001B2430"/>
      <sz val="10"/>
    </font>
    <font>
      <name val="Arial"/>
      <b val="1"/>
      <color rgb="006B4FD6"/>
      <sz val="9"/>
    </font>
    <font>
      <name val="Arial"/>
      <color rgb="001B2430"/>
      <sz val="10"/>
    </font>
    <font>
      <name val="Arial"/>
      <i val="1"/>
      <color rgb="005B6573"/>
      <sz val="10"/>
    </font>
    <font>
      <name val="Arial"/>
      <color rgb="001B2430"/>
      <sz val="9"/>
    </font>
    <font>
      <name val="Arial"/>
      <color rgb="005B6573"/>
      <sz val="8"/>
    </font>
    <font>
      <name val="Arial"/>
      <b val="1"/>
      <color rgb="001E7B4F"/>
      <sz val="10"/>
    </font>
    <font>
      <name val="Arial"/>
      <b val="1"/>
      <color rgb="000B97A5"/>
      <sz val="9"/>
    </font>
    <font>
      <name val="Arial"/>
      <b val="1"/>
      <color rgb="002563D6"/>
      <sz val="9"/>
    </font>
    <font>
      <name val="Arial"/>
      <b val="1"/>
      <color rgb="00E04F2C"/>
      <sz val="9"/>
    </font>
    <font>
      <name val="Arial"/>
      <b val="1"/>
      <color rgb="001F9D63"/>
      <sz val="9"/>
    </font>
    <font>
      <name val="Arial"/>
      <b val="1"/>
      <color rgb="00C23D7B"/>
      <sz val="9"/>
    </font>
    <font>
      <name val="Arial"/>
      <b val="1"/>
      <color rgb="008A5A2B"/>
      <sz val="9"/>
    </font>
    <font>
      <name val="Arial"/>
      <b val="1"/>
      <color rgb="00E04F2C"/>
      <sz val="10"/>
    </font>
    <font>
      <name val="Arial"/>
      <b val="1"/>
      <color rgb="000B97A5"/>
      <sz val="10"/>
    </font>
    <font>
      <name val="Arial"/>
      <b val="1"/>
      <color rgb="002563D6"/>
      <sz val="10"/>
    </font>
    <font>
      <name val="Arial"/>
      <b val="1"/>
      <color rgb="001F9D63"/>
      <sz val="10"/>
    </font>
    <font>
      <name val="Arial"/>
      <b val="1"/>
      <color rgb="006B4FD6"/>
      <sz val="10"/>
    </font>
    <font>
      <name val="Arial"/>
      <b val="1"/>
      <color rgb="008A5A2B"/>
      <sz val="10"/>
    </font>
    <font>
      <name val="Arial"/>
      <b val="1"/>
      <color rgb="00D38B00"/>
      <sz val="10"/>
    </font>
    <font>
      <name val="Arial"/>
      <b val="1"/>
      <color rgb="00C23D7B"/>
      <sz val="10"/>
    </font>
    <font>
      <name val="Arial"/>
      <b val="1"/>
      <color rgb="0016324F"/>
      <sz val="12"/>
    </font>
    <font>
      <name val="Arial"/>
      <b val="1"/>
      <color rgb="00FFFFFF"/>
      <sz val="9"/>
    </font>
    <font>
      <name val="Arial"/>
      <b val="1"/>
      <color rgb="00C9A227"/>
      <sz val="9"/>
    </font>
    <font>
      <name val="Arial"/>
      <b val="1"/>
      <color rgb="0036506C"/>
      <sz val="9"/>
    </font>
    <font>
      <name val="Arial"/>
      <color rgb="001D5A8A"/>
      <sz val="9"/>
      <u val="single"/>
    </font>
    <font>
      <name val="Arial"/>
      <b val="1"/>
      <color rgb="000A6D78"/>
      <sz val="9"/>
    </font>
    <font>
      <name val="Arial"/>
      <b val="1"/>
      <color rgb="007D5A0C"/>
      <sz val="9"/>
    </font>
    <font>
      <name val="Arial"/>
      <b val="1"/>
      <color rgb="00FFFFFF"/>
      <sz val="12"/>
    </font>
    <font>
      <name val="Arial"/>
      <b val="1"/>
      <color rgb="00FFFFFF"/>
      <sz val="18"/>
    </font>
    <font>
      <name val="Arial"/>
      <i val="1"/>
      <color rgb="00FFFFFF"/>
      <sz val="10"/>
    </font>
    <font>
      <name val="Arial"/>
      <b val="1"/>
      <color rgb="005B6573"/>
      <sz val="8"/>
    </font>
    <font>
      <name val="Arial"/>
      <b val="1"/>
      <color rgb="0016324F"/>
      <sz val="11"/>
    </font>
    <font>
      <name val="Arial"/>
      <i val="1"/>
      <color rgb="005B6573"/>
      <sz val="8"/>
    </font>
    <font>
      <name val="Arial"/>
      <b val="1"/>
      <color rgb="00FFFFFF"/>
      <sz val="22"/>
    </font>
    <font>
      <name val="Arial"/>
      <b val="1"/>
      <color rgb="0016324F"/>
      <sz val="8"/>
    </font>
    <font>
      <name val="Arial"/>
      <b val="1"/>
      <color rgb="000B97A5"/>
      <sz val="8"/>
    </font>
    <font>
      <name val="Arial"/>
      <b val="1"/>
      <color rgb="001E7B4F"/>
      <sz val="8"/>
    </font>
    <font>
      <name val="Arial"/>
      <b val="1"/>
      <color rgb="00D38B00"/>
      <sz val="8"/>
    </font>
    <font>
      <name val="Arial"/>
      <b val="1"/>
      <color rgb="006B4FD6"/>
      <sz val="8"/>
    </font>
    <font>
      <name val="Arial"/>
      <b val="1"/>
      <color rgb="002563D6"/>
      <sz val="8"/>
    </font>
    <font>
      <name val="Arial"/>
      <b val="1"/>
      <color rgb="00C9A227"/>
      <sz val="12"/>
    </font>
    <font>
      <name val="Arial"/>
      <b val="1"/>
      <color rgb="005B6573"/>
      <sz val="10"/>
    </font>
    <font>
      <name val="Arial"/>
      <b val="1"/>
      <color rgb="001B2430"/>
      <sz val="9"/>
    </font>
    <font>
      <name val="Arial"/>
      <color rgb="001B2430"/>
      <sz val="8"/>
    </font>
    <font>
      <name val="Arial"/>
      <b val="1"/>
      <color rgb="0064748B"/>
      <sz val="10"/>
    </font>
    <font>
      <name val="Arial"/>
      <b val="1"/>
      <color rgb="008A94A3"/>
      <sz val="10"/>
    </font>
    <font>
      <name val="Arial"/>
      <b val="1"/>
      <color rgb="004DA06E"/>
      <sz val="10"/>
    </font>
    <font>
      <name val="Arial"/>
      <b val="1"/>
      <color rgb="00D9A21B"/>
      <sz val="10"/>
    </font>
    <font>
      <name val="Arial"/>
      <b val="1"/>
      <color rgb="004A5563"/>
      <sz val="10"/>
    </font>
    <font>
      <name val="Arial"/>
      <b val="1"/>
      <color rgb="001D4FB8"/>
      <sz val="10"/>
    </font>
    <font>
      <name val="Arial"/>
      <b val="1"/>
      <color rgb="008A5300"/>
      <sz val="10"/>
    </font>
    <font>
      <name val="Arial"/>
      <b val="1"/>
      <color rgb="0017663F"/>
      <sz val="10"/>
    </font>
    <font>
      <name val="Arial"/>
      <b val="1"/>
      <color rgb="007A8491"/>
      <sz val="10"/>
    </font>
    <font>
      <name val="Arial"/>
      <color rgb="005B6573"/>
      <sz val="10"/>
    </font>
    <font>
      <name val="Arial"/>
      <color rgb="001B2430"/>
      <sz val="11"/>
    </font>
    <font>
      <name val="Arial"/>
      <b val="1"/>
      <color rgb="001F9D63"/>
      <sz val="10"/>
      <u val="single"/>
    </font>
    <font>
      <name val="Arial"/>
      <b val="1"/>
      <color rgb="006B4FD6"/>
      <sz val="10"/>
      <u val="single"/>
    </font>
    <font>
      <name val="Arial"/>
      <b val="1"/>
      <color rgb="00E04F2C"/>
      <sz val="10"/>
      <u val="single"/>
    </font>
    <font>
      <name val="Arial"/>
      <b val="1"/>
      <color rgb="00D38B00"/>
      <sz val="10"/>
      <u val="single"/>
    </font>
    <font>
      <name val="Arial"/>
      <b val="1"/>
      <color rgb="002563D6"/>
      <sz val="10"/>
      <u val="single"/>
    </font>
    <font>
      <name val="Arial"/>
      <b val="1"/>
      <color rgb="000B97A5"/>
      <sz val="10"/>
      <u val="single"/>
    </font>
    <font>
      <name val="Arial"/>
      <b val="1"/>
      <color rgb="00C23D7B"/>
      <sz val="10"/>
      <u val="single"/>
    </font>
    <font>
      <name val="Arial"/>
      <b val="1"/>
      <color rgb="008A5A2B"/>
      <sz val="10"/>
      <u val="single"/>
    </font>
  </fonts>
  <fills count="47">
    <fill>
      <patternFill/>
    </fill>
    <fill>
      <patternFill patternType="gray125"/>
    </fill>
    <fill>
      <patternFill patternType="solid">
        <fgColor rgb="0016324F"/>
        <bgColor rgb="0016324F"/>
      </patternFill>
    </fill>
    <fill>
      <patternFill patternType="solid">
        <fgColor rgb="00C9A227"/>
        <bgColor rgb="00C9A227"/>
      </patternFill>
    </fill>
    <fill>
      <patternFill patternType="solid">
        <fgColor rgb="00F8EED9"/>
        <bgColor rgb="00F8EED9"/>
      </patternFill>
    </fill>
    <fill>
      <patternFill patternType="solid">
        <fgColor rgb="00FFFBEF"/>
        <bgColor rgb="00FFFBEF"/>
      </patternFill>
    </fill>
    <fill>
      <patternFill patternType="solid">
        <fgColor rgb="00DAEFF2"/>
        <bgColor rgb="00DAEFF2"/>
      </patternFill>
    </fill>
    <fill>
      <patternFill patternType="solid">
        <fgColor rgb="00DEE8F9"/>
        <bgColor rgb="00DEE8F9"/>
      </patternFill>
    </fill>
    <fill>
      <patternFill patternType="solid">
        <fgColor rgb="00FAE5DF"/>
        <bgColor rgb="00FAE5DF"/>
      </patternFill>
    </fill>
    <fill>
      <patternFill patternType="solid">
        <fgColor rgb="00E9E5F9"/>
        <bgColor rgb="00E9E5F9"/>
      </patternFill>
    </fill>
    <fill>
      <patternFill patternType="solid">
        <fgColor rgb="00F6E2EB"/>
        <bgColor rgb="00F6E2EB"/>
      </patternFill>
    </fill>
    <fill>
      <patternFill patternType="solid">
        <fgColor rgb="00EDE6DF"/>
        <bgColor rgb="00EDE6DF"/>
      </patternFill>
    </fill>
    <fill>
      <patternFill patternType="solid">
        <fgColor rgb="00DDF0E8"/>
        <bgColor rgb="00DDF0E8"/>
      </patternFill>
    </fill>
    <fill>
      <patternFill patternType="solid">
        <fgColor rgb="001F9D63"/>
        <bgColor rgb="001F9D63"/>
      </patternFill>
    </fill>
    <fill>
      <patternFill patternType="solid">
        <fgColor rgb="00E0F1E9"/>
        <bgColor rgb="00E0F1E9"/>
      </patternFill>
    </fill>
    <fill>
      <patternFill patternType="solid">
        <fgColor rgb="006B4FD6"/>
        <bgColor rgb="006B4FD6"/>
      </patternFill>
    </fill>
    <fill>
      <patternFill patternType="solid">
        <fgColor rgb="00EAE6F9"/>
        <bgColor rgb="00EAE6F9"/>
      </patternFill>
    </fill>
    <fill>
      <patternFill patternType="solid">
        <fgColor rgb="00E04F2C"/>
        <bgColor rgb="00E04F2C"/>
      </patternFill>
    </fill>
    <fill>
      <patternFill patternType="solid">
        <fgColor rgb="00FBE6E1"/>
        <bgColor rgb="00FBE6E1"/>
      </patternFill>
    </fill>
    <fill>
      <patternFill patternType="solid">
        <fgColor rgb="00D38B00"/>
        <bgColor rgb="00D38B00"/>
      </patternFill>
    </fill>
    <fill>
      <patternFill patternType="solid">
        <fgColor rgb="00F9EFDB"/>
        <bgColor rgb="00F9EFDB"/>
      </patternFill>
    </fill>
    <fill>
      <patternFill patternType="solid">
        <fgColor rgb="002563D6"/>
        <bgColor rgb="002563D6"/>
      </patternFill>
    </fill>
    <fill>
      <patternFill patternType="solid">
        <fgColor rgb="00E0E9F9"/>
        <bgColor rgb="00E0E9F9"/>
      </patternFill>
    </fill>
    <fill>
      <patternFill patternType="solid">
        <fgColor rgb="000B97A5"/>
        <bgColor rgb="000B97A5"/>
      </patternFill>
    </fill>
    <fill>
      <patternFill patternType="solid">
        <fgColor rgb="00DDF0F2"/>
        <bgColor rgb="00DDF0F2"/>
      </patternFill>
    </fill>
    <fill>
      <patternFill patternType="solid">
        <fgColor rgb="00C23D7B"/>
        <bgColor rgb="00C23D7B"/>
      </patternFill>
    </fill>
    <fill>
      <patternFill patternType="solid">
        <fgColor rgb="00F6E4ED"/>
        <bgColor rgb="00F6E4ED"/>
      </patternFill>
    </fill>
    <fill>
      <patternFill patternType="solid">
        <fgColor rgb="008A5A2B"/>
        <bgColor rgb="008A5A2B"/>
      </patternFill>
    </fill>
    <fill>
      <patternFill patternType="solid">
        <fgColor rgb="00EFE8E1"/>
        <bgColor rgb="00EFE8E1"/>
      </patternFill>
    </fill>
    <fill>
      <patternFill patternType="solid">
        <fgColor rgb="0023466B"/>
        <bgColor rgb="0023466B"/>
      </patternFill>
    </fill>
    <fill>
      <patternFill patternType="solid">
        <fgColor rgb="00FFF4CC"/>
        <bgColor rgb="00FFF4CC"/>
      </patternFill>
    </fill>
    <fill>
      <patternFill patternType="solid">
        <fgColor rgb="00F4F6F9"/>
        <bgColor rgb="00F4F6F9"/>
      </patternFill>
    </fill>
    <fill>
      <patternFill patternType="solid">
        <fgColor rgb="00DEE2E6"/>
        <bgColor rgb="00DEE2E6"/>
      </patternFill>
    </fill>
    <fill>
      <patternFill patternType="solid">
        <fgColor rgb="001E7B4F"/>
        <bgColor rgb="001E7B4F"/>
      </patternFill>
    </fill>
    <fill>
      <patternFill patternType="solid">
        <fgColor rgb="00E0EDE6"/>
        <bgColor rgb="00E0EDE6"/>
      </patternFill>
    </fill>
    <fill>
      <patternFill patternType="solid">
        <fgColor rgb="00FFFFFF"/>
        <bgColor rgb="00FFFFFF"/>
      </patternFill>
    </fill>
    <fill>
      <patternFill patternType="solid">
        <fgColor rgb="00E9ECEF"/>
        <bgColor rgb="00E9ECEF"/>
      </patternFill>
    </fill>
    <fill>
      <patternFill patternType="solid">
        <fgColor rgb="00ECEFF3"/>
        <bgColor rgb="00ECEFF3"/>
      </patternFill>
    </fill>
    <fill>
      <patternFill patternType="solid">
        <fgColor rgb="00DCE7FB"/>
        <bgColor rgb="00DCE7FB"/>
      </patternFill>
    </fill>
    <fill>
      <patternFill patternType="solid">
        <fgColor rgb="00FBE6C2"/>
        <bgColor rgb="00FBE6C2"/>
      </patternFill>
    </fill>
    <fill>
      <patternFill patternType="solid">
        <fgColor rgb="00D3EDDF"/>
        <bgColor rgb="00D3EDDF"/>
      </patternFill>
    </fill>
    <fill>
      <patternFill patternType="solid">
        <fgColor rgb="00F1F2F4"/>
        <bgColor rgb="00F1F2F4"/>
      </patternFill>
    </fill>
    <fill>
      <patternFill patternType="solid">
        <fgColor rgb="004DA06E"/>
        <bgColor rgb="004DA06E"/>
      </patternFill>
    </fill>
    <fill>
      <patternFill patternType="solid">
        <fgColor rgb="00D9A21B"/>
        <bgColor rgb="00D9A21B"/>
      </patternFill>
    </fill>
    <fill>
      <patternFill patternType="solid">
        <fgColor rgb="00A3ADB8"/>
        <bgColor rgb="00A3ADB8"/>
      </patternFill>
    </fill>
    <fill>
      <patternFill patternType="solid">
        <fgColor rgb="00C9CED6"/>
        <bgColor rgb="00C9CED6"/>
      </patternFill>
    </fill>
    <fill>
      <patternFill patternType="solid">
        <fgColor rgb="00B8C0CA"/>
        <bgColor rgb="00B8C0CA"/>
      </patternFill>
    </fill>
  </fills>
  <borders count="25">
    <border>
      <left/>
      <right/>
      <top/>
      <bottom/>
      <diagonal/>
    </border>
    <border>
      <bottom style="medium">
        <color rgb="00C9A227"/>
      </bottom>
    </border>
    <border>
      <bottom style="thin">
        <color rgb="001F9D63"/>
      </bottom>
    </border>
    <border>
      <bottom style="thin">
        <color rgb="00D9DEE3"/>
      </bottom>
    </border>
    <border>
      <bottom style="thin">
        <color rgb="006B4FD6"/>
      </bottom>
    </border>
    <border>
      <bottom style="thin">
        <color rgb="00E04F2C"/>
      </bottom>
    </border>
    <border>
      <bottom style="thin">
        <color rgb="00D38B00"/>
      </bottom>
    </border>
    <border>
      <bottom style="thin">
        <color rgb="002563D6"/>
      </bottom>
    </border>
    <border>
      <bottom style="thin">
        <color rgb="000B97A5"/>
      </bottom>
    </border>
    <border>
      <bottom style="thin">
        <color rgb="00C23D7B"/>
      </bottom>
    </border>
    <border>
      <bottom style="thin">
        <color rgb="008A5A2B"/>
      </bottom>
    </border>
    <border>
      <left style="medium">
        <color rgb="00C9A227"/>
      </left>
      <top style="medium">
        <color rgb="00C9A227"/>
      </top>
      <bottom style="medium">
        <color rgb="00C9A227"/>
      </bottom>
    </border>
    <border>
      <top style="medium">
        <color rgb="00C9A227"/>
      </top>
      <bottom style="medium">
        <color rgb="00C9A227"/>
      </bottom>
    </border>
    <border>
      <right style="medium">
        <color rgb="00C9A227"/>
      </right>
      <top style="medium">
        <color rgb="00C9A227"/>
      </top>
      <bottom style="medium">
        <color rgb="00C9A227"/>
      </bottom>
    </border>
    <border>
      <left style="thick">
        <color rgb="00FFFFFF"/>
      </left>
      <right style="thick">
        <color rgb="00FFFFFF"/>
      </right>
    </border>
    <border>
      <left style="thick">
        <color rgb="001F9D63"/>
      </left>
      <bottom style="thin">
        <color rgb="00D9DEE3"/>
      </bottom>
    </border>
    <border>
      <left style="thick">
        <color rgb="006B4FD6"/>
      </left>
      <bottom style="thin">
        <color rgb="00D9DEE3"/>
      </bottom>
    </border>
    <border>
      <left style="thick">
        <color rgb="00E04F2C"/>
      </left>
      <bottom style="thin">
        <color rgb="00D9DEE3"/>
      </bottom>
    </border>
    <border>
      <left style="thick">
        <color rgb="00D38B00"/>
      </left>
      <bottom style="thin">
        <color rgb="00D9DEE3"/>
      </bottom>
    </border>
    <border>
      <left style="thick">
        <color rgb="002563D6"/>
      </left>
      <bottom style="thin">
        <color rgb="00D9DEE3"/>
      </bottom>
    </border>
    <border>
      <left style="thick">
        <color rgb="000B97A5"/>
      </left>
      <bottom style="thin">
        <color rgb="00D9DEE3"/>
      </bottom>
    </border>
    <border>
      <left style="thick">
        <color rgb="00C23D7B"/>
      </left>
      <bottom style="thin">
        <color rgb="00D9DEE3"/>
      </bottom>
    </border>
    <border>
      <left style="thick">
        <color rgb="008A5A2B"/>
      </left>
      <bottom style="thin">
        <color rgb="00D9DEE3"/>
      </bottom>
    </border>
    <border>
      <left style="thick">
        <color rgb="0064748B"/>
      </left>
      <bottom style="thin">
        <color rgb="00D9DEE3"/>
      </bottom>
    </border>
    <border>
      <right style="thin">
        <color rgb="00FFFFFF"/>
      </right>
      <bottom style="thin">
        <color rgb="00D9DEE3"/>
      </bottom>
    </border>
  </borders>
  <cellStyleXfs count="1">
    <xf numFmtId="0" fontId="0" fillId="0" borderId="0"/>
  </cellStyleXfs>
  <cellXfs count="257">
    <xf numFmtId="0" fontId="0" fillId="0" borderId="0" pivotButton="0" quotePrefix="0" xfId="0"/>
    <xf numFmtId="0" fontId="0" fillId="2" borderId="0" pivotButton="0" quotePrefix="0" xfId="0"/>
    <xf numFmtId="0" fontId="38" fillId="2" borderId="0" applyAlignment="1" pivotButton="0" quotePrefix="0" xfId="0">
      <alignment vertical="center"/>
    </xf>
    <xf numFmtId="0" fontId="0" fillId="29" borderId="0" pivotButton="0" quotePrefix="0" xfId="0"/>
    <xf numFmtId="0" fontId="39" fillId="29" borderId="0" applyAlignment="1" pivotButton="0" quotePrefix="0" xfId="0">
      <alignment vertical="center"/>
    </xf>
    <xf numFmtId="0" fontId="0" fillId="3" borderId="0" pivotButton="0" quotePrefix="0" xfId="0"/>
    <xf numFmtId="0" fontId="64" fillId="0" borderId="0" applyAlignment="1" pivotButton="0" quotePrefix="0" xfId="0">
      <alignment vertical="center" wrapText="1"/>
    </xf>
    <xf numFmtId="0" fontId="30" fillId="0" borderId="1" applyAlignment="1" pivotButton="0" quotePrefix="0" xfId="0">
      <alignment vertical="bottom"/>
    </xf>
    <xf numFmtId="0" fontId="0" fillId="0" borderId="1" pivotButton="0" quotePrefix="0" xfId="0"/>
    <xf numFmtId="0" fontId="7" fillId="0" borderId="3" applyAlignment="1" pivotButton="0" quotePrefix="0" xfId="0">
      <alignment horizontal="left" vertical="top"/>
    </xf>
    <xf numFmtId="0" fontId="11" fillId="0" borderId="3" applyAlignment="1" pivotButton="0" quotePrefix="0" xfId="0">
      <alignment vertical="top" wrapText="1"/>
    </xf>
    <xf numFmtId="0" fontId="0" fillId="0" borderId="3" pivotButton="0" quotePrefix="0" xfId="0"/>
    <xf numFmtId="0" fontId="5" fillId="0" borderId="3" applyAlignment="1" pivotButton="0" quotePrefix="0" xfId="0">
      <alignment horizontal="center" vertical="top"/>
    </xf>
    <xf numFmtId="0" fontId="58" fillId="37" borderId="3" applyAlignment="1" pivotButton="0" quotePrefix="0" xfId="0">
      <alignment horizontal="center" vertical="top"/>
    </xf>
    <xf numFmtId="0" fontId="59" fillId="38" borderId="3" applyAlignment="1" pivotButton="0" quotePrefix="0" xfId="0">
      <alignment horizontal="center" vertical="top"/>
    </xf>
    <xf numFmtId="0" fontId="60" fillId="39" borderId="3" applyAlignment="1" pivotButton="0" quotePrefix="0" xfId="0">
      <alignment horizontal="center" vertical="top"/>
    </xf>
    <xf numFmtId="0" fontId="61" fillId="40" borderId="3" applyAlignment="1" pivotButton="0" quotePrefix="0" xfId="0">
      <alignment horizontal="center" vertical="top"/>
    </xf>
    <xf numFmtId="0" fontId="62" fillId="41" borderId="3" applyAlignment="1" pivotButton="0" quotePrefix="0" xfId="0">
      <alignment horizontal="center" vertical="top"/>
    </xf>
    <xf numFmtId="0" fontId="4" fillId="33" borderId="3" applyAlignment="1" pivotButton="0" quotePrefix="0" xfId="0">
      <alignment horizontal="center" vertical="top"/>
    </xf>
    <xf numFmtId="0" fontId="4" fillId="42" borderId="3" applyAlignment="1" pivotButton="0" quotePrefix="0" xfId="0">
      <alignment horizontal="center" vertical="top"/>
    </xf>
    <xf numFmtId="0" fontId="4" fillId="43" borderId="3" applyAlignment="1" pivotButton="0" quotePrefix="0" xfId="0">
      <alignment horizontal="center" vertical="top"/>
    </xf>
    <xf numFmtId="0" fontId="9" fillId="44" borderId="3" applyAlignment="1" pivotButton="0" quotePrefix="0" xfId="0">
      <alignment horizontal="center" vertical="top"/>
    </xf>
    <xf numFmtId="0" fontId="9" fillId="45" borderId="3" applyAlignment="1" pivotButton="0" quotePrefix="0" xfId="0">
      <alignment horizontal="center" vertical="top"/>
    </xf>
    <xf numFmtId="0" fontId="9" fillId="46" borderId="3" applyAlignment="1" pivotButton="0" quotePrefix="0" xfId="0">
      <alignment horizontal="center" vertical="top"/>
    </xf>
    <xf numFmtId="0" fontId="65" fillId="14" borderId="3" applyAlignment="1" pivotButton="0" quotePrefix="0" xfId="0">
      <alignment horizontal="left" vertical="top" indent="1"/>
    </xf>
    <xf numFmtId="0" fontId="66" fillId="16" borderId="3" applyAlignment="1" pivotButton="0" quotePrefix="0" xfId="0">
      <alignment horizontal="left" vertical="top" indent="1"/>
    </xf>
    <xf numFmtId="0" fontId="67" fillId="18" borderId="3" applyAlignment="1" pivotButton="0" quotePrefix="0" xfId="0">
      <alignment horizontal="left" vertical="top" indent="1"/>
    </xf>
    <xf numFmtId="0" fontId="68" fillId="20" borderId="3" applyAlignment="1" pivotButton="0" quotePrefix="0" xfId="0">
      <alignment horizontal="left" vertical="top" indent="1"/>
    </xf>
    <xf numFmtId="0" fontId="69" fillId="22" borderId="3" applyAlignment="1" pivotButton="0" quotePrefix="0" xfId="0">
      <alignment horizontal="left" vertical="top" indent="1"/>
    </xf>
    <xf numFmtId="0" fontId="70" fillId="24" borderId="3" applyAlignment="1" pivotButton="0" quotePrefix="0" xfId="0">
      <alignment horizontal="left" vertical="top" indent="1"/>
    </xf>
    <xf numFmtId="0" fontId="71" fillId="26" borderId="3" applyAlignment="1" pivotButton="0" quotePrefix="0" xfId="0">
      <alignment horizontal="left" vertical="top" indent="1"/>
    </xf>
    <xf numFmtId="0" fontId="72" fillId="28" borderId="3" applyAlignment="1" pivotButton="0" quotePrefix="0" xfId="0">
      <alignment horizontal="left" vertical="top" indent="1"/>
    </xf>
    <xf numFmtId="0" fontId="51" fillId="0" borderId="3" applyAlignment="1" pivotButton="0" quotePrefix="0" xfId="0">
      <alignment horizontal="left" vertical="top"/>
    </xf>
    <xf numFmtId="0" fontId="9" fillId="0" borderId="3" applyAlignment="1" pivotButton="0" quotePrefix="0" xfId="0">
      <alignment horizontal="left" vertical="top"/>
    </xf>
    <xf numFmtId="0" fontId="40" fillId="0" borderId="0" applyAlignment="1" pivotButton="0" quotePrefix="0" xfId="0">
      <alignment vertical="bottom"/>
    </xf>
    <xf numFmtId="0" fontId="42" fillId="31" borderId="0" applyAlignment="1" pivotButton="0" quotePrefix="0" xfId="0">
      <alignment vertical="center" wrapText="1" indent="1"/>
    </xf>
    <xf numFmtId="0" fontId="0" fillId="31" borderId="0" pivotButton="0" quotePrefix="0" xfId="0"/>
    <xf numFmtId="0" fontId="41" fillId="30" borderId="11" applyAlignment="1" pivotButton="0" quotePrefix="0" xfId="0">
      <alignment horizontal="left" vertical="center" indent="1"/>
    </xf>
    <xf numFmtId="0" fontId="0" fillId="30" borderId="12" pivotButton="0" quotePrefix="0" xfId="0"/>
    <xf numFmtId="0" fontId="0" fillId="30" borderId="13" pivotButton="0" quotePrefix="0" xfId="0"/>
    <xf numFmtId="0" fontId="3" fillId="0" borderId="0" applyAlignment="1" pivotButton="0" quotePrefix="0" xfId="0">
      <alignment vertical="center"/>
    </xf>
    <xf numFmtId="3" fontId="43" fillId="2" borderId="14" applyAlignment="1" pivotButton="0" quotePrefix="0" xfId="0">
      <alignment horizontal="center" vertical="center"/>
    </xf>
    <xf numFmtId="0" fontId="0" fillId="2" borderId="14" pivotButton="0" quotePrefix="0" xfId="0"/>
    <xf numFmtId="3" fontId="43" fillId="23" borderId="14" applyAlignment="1" pivotButton="0" quotePrefix="0" xfId="0">
      <alignment horizontal="center" vertical="center"/>
    </xf>
    <xf numFmtId="0" fontId="0" fillId="23" borderId="14" pivotButton="0" quotePrefix="0" xfId="0"/>
    <xf numFmtId="3" fontId="43" fillId="33" borderId="14" applyAlignment="1" pivotButton="0" quotePrefix="0" xfId="0">
      <alignment horizontal="center" vertical="center"/>
    </xf>
    <xf numFmtId="0" fontId="0" fillId="33" borderId="14" pivotButton="0" quotePrefix="0" xfId="0"/>
    <xf numFmtId="3" fontId="43" fillId="19" borderId="14" applyAlignment="1" pivotButton="0" quotePrefix="0" xfId="0">
      <alignment horizontal="center" vertical="center"/>
    </xf>
    <xf numFmtId="0" fontId="0" fillId="19" borderId="14" pivotButton="0" quotePrefix="0" xfId="0"/>
    <xf numFmtId="3" fontId="43" fillId="15" borderId="14" applyAlignment="1" pivotButton="0" quotePrefix="0" xfId="0">
      <alignment horizontal="center" vertical="center"/>
    </xf>
    <xf numFmtId="0" fontId="0" fillId="15" borderId="14" pivotButton="0" quotePrefix="0" xfId="0"/>
    <xf numFmtId="3" fontId="43" fillId="21" borderId="14" applyAlignment="1" pivotButton="0" quotePrefix="0" xfId="0">
      <alignment horizontal="center" vertical="center"/>
    </xf>
    <xf numFmtId="0" fontId="0" fillId="21" borderId="14" pivotButton="0" quotePrefix="0" xfId="0"/>
    <xf numFmtId="0" fontId="44" fillId="32" borderId="14" applyAlignment="1" pivotButton="0" quotePrefix="0" xfId="0">
      <alignment horizontal="center" vertical="center"/>
    </xf>
    <xf numFmtId="0" fontId="0" fillId="32" borderId="14" pivotButton="0" quotePrefix="0" xfId="0"/>
    <xf numFmtId="0" fontId="45" fillId="24" borderId="14" applyAlignment="1" pivotButton="0" quotePrefix="0" xfId="0">
      <alignment horizontal="center" vertical="center"/>
    </xf>
    <xf numFmtId="0" fontId="0" fillId="24" borderId="14" pivotButton="0" quotePrefix="0" xfId="0"/>
    <xf numFmtId="0" fontId="46" fillId="34" borderId="14" applyAlignment="1" pivotButton="0" quotePrefix="0" xfId="0">
      <alignment horizontal="center" vertical="center"/>
    </xf>
    <xf numFmtId="0" fontId="0" fillId="34" borderId="14" pivotButton="0" quotePrefix="0" xfId="0"/>
    <xf numFmtId="0" fontId="47" fillId="20" borderId="14" applyAlignment="1" pivotButton="0" quotePrefix="0" xfId="0">
      <alignment horizontal="center" vertical="center"/>
    </xf>
    <xf numFmtId="0" fontId="0" fillId="20" borderId="14" pivotButton="0" quotePrefix="0" xfId="0"/>
    <xf numFmtId="0" fontId="48" fillId="16" borderId="14" applyAlignment="1" pivotButton="0" quotePrefix="0" xfId="0">
      <alignment horizontal="center" vertical="center"/>
    </xf>
    <xf numFmtId="0" fontId="0" fillId="16" borderId="14" pivotButton="0" quotePrefix="0" xfId="0"/>
    <xf numFmtId="0" fontId="49" fillId="22" borderId="14" applyAlignment="1" pivotButton="0" quotePrefix="0" xfId="0">
      <alignment horizontal="center" vertical="center"/>
    </xf>
    <xf numFmtId="0" fontId="0" fillId="22" borderId="14" pivotButton="0" quotePrefix="0" xfId="0"/>
    <xf numFmtId="0" fontId="14" fillId="32" borderId="14" applyAlignment="1" pivotButton="0" quotePrefix="0" xfId="0">
      <alignment horizontal="center" vertical="center"/>
    </xf>
    <xf numFmtId="0" fontId="14" fillId="24" borderId="14" applyAlignment="1" pivotButton="0" quotePrefix="0" xfId="0">
      <alignment horizontal="center" vertical="center"/>
    </xf>
    <xf numFmtId="0" fontId="14" fillId="34" borderId="14" applyAlignment="1" pivotButton="0" quotePrefix="0" xfId="0">
      <alignment horizontal="center" vertical="center"/>
    </xf>
    <xf numFmtId="0" fontId="14" fillId="20" borderId="14" applyAlignment="1" pivotButton="0" quotePrefix="0" xfId="0">
      <alignment horizontal="center" vertical="center"/>
    </xf>
    <xf numFmtId="0" fontId="14" fillId="16" borderId="14" applyAlignment="1" pivotButton="0" quotePrefix="0" xfId="0">
      <alignment horizontal="center" vertical="center"/>
    </xf>
    <xf numFmtId="0" fontId="14" fillId="22" borderId="14" applyAlignment="1" pivotButton="0" quotePrefix="0" xfId="0">
      <alignment horizontal="center" vertical="center"/>
    </xf>
    <xf numFmtId="0" fontId="31" fillId="2" borderId="0" applyAlignment="1" pivotButton="0" quotePrefix="0" xfId="0">
      <alignment horizontal="center" vertical="center" wrapText="1"/>
    </xf>
    <xf numFmtId="0" fontId="31" fillId="2" borderId="0" applyAlignment="1" pivotButton="0" quotePrefix="0" xfId="0">
      <alignment horizontal="left" vertical="center" wrapText="1" indent="1"/>
    </xf>
    <xf numFmtId="0" fontId="50" fillId="35" borderId="3" applyAlignment="1" pivotButton="0" quotePrefix="0" xfId="0">
      <alignment horizontal="center" vertical="center"/>
    </xf>
    <xf numFmtId="0" fontId="51" fillId="35" borderId="3" applyAlignment="1" pivotButton="0" quotePrefix="0" xfId="0">
      <alignment vertical="center" wrapText="1" indent="1"/>
    </xf>
    <xf numFmtId="0" fontId="0" fillId="35" borderId="3" pivotButton="0" quotePrefix="0" xfId="0"/>
    <xf numFmtId="169" fontId="13" fillId="35" borderId="3" applyAlignment="1" pivotButton="0" quotePrefix="0" xfId="0">
      <alignment horizontal="center" vertical="center"/>
    </xf>
    <xf numFmtId="0" fontId="52" fillId="35" borderId="3" applyAlignment="1" pivotButton="0" quotePrefix="0" xfId="0">
      <alignment vertical="center" wrapText="1" indent="1"/>
    </xf>
    <xf numFmtId="164" fontId="9" fillId="35" borderId="3" applyAlignment="1" pivotButton="0" quotePrefix="0" xfId="0">
      <alignment horizontal="center" vertical="center"/>
    </xf>
    <xf numFmtId="0" fontId="13" fillId="35" borderId="3" applyAlignment="1" pivotButton="0" quotePrefix="0" xfId="0">
      <alignment vertical="center" wrapText="1" indent="1"/>
    </xf>
    <xf numFmtId="0" fontId="6" fillId="35" borderId="3" applyAlignment="1" pivotButton="0" quotePrefix="0" xfId="0">
      <alignment horizontal="center" vertical="center"/>
    </xf>
    <xf numFmtId="0" fontId="53" fillId="35" borderId="3" applyAlignment="1" pivotButton="0" quotePrefix="0" xfId="0">
      <alignment horizontal="center" vertical="center"/>
    </xf>
    <xf numFmtId="0" fontId="50" fillId="31" borderId="3" applyAlignment="1" pivotButton="0" quotePrefix="0" xfId="0">
      <alignment horizontal="center" vertical="center"/>
    </xf>
    <xf numFmtId="0" fontId="51" fillId="31" borderId="3" applyAlignment="1" pivotButton="0" quotePrefix="0" xfId="0">
      <alignment vertical="center" wrapText="1" indent="1"/>
    </xf>
    <xf numFmtId="0" fontId="0" fillId="31" borderId="3" pivotButton="0" quotePrefix="0" xfId="0"/>
    <xf numFmtId="169" fontId="13" fillId="31" borderId="3" applyAlignment="1" pivotButton="0" quotePrefix="0" xfId="0">
      <alignment horizontal="center" vertical="center"/>
    </xf>
    <xf numFmtId="0" fontId="52" fillId="31" borderId="3" applyAlignment="1" pivotButton="0" quotePrefix="0" xfId="0">
      <alignment vertical="center" wrapText="1" indent="1"/>
    </xf>
    <xf numFmtId="164" fontId="9" fillId="31" borderId="3" applyAlignment="1" pivotButton="0" quotePrefix="0" xfId="0">
      <alignment horizontal="center" vertical="center"/>
    </xf>
    <xf numFmtId="0" fontId="13" fillId="31" borderId="3" applyAlignment="1" pivotButton="0" quotePrefix="0" xfId="0">
      <alignment vertical="center" wrapText="1" indent="1"/>
    </xf>
    <xf numFmtId="0" fontId="6" fillId="31" borderId="3" applyAlignment="1" pivotButton="0" quotePrefix="0" xfId="0">
      <alignment horizontal="center" vertical="center"/>
    </xf>
    <xf numFmtId="0" fontId="53" fillId="31" borderId="3" applyAlignment="1" pivotButton="0" quotePrefix="0" xfId="0">
      <alignment horizontal="center" vertical="center"/>
    </xf>
    <xf numFmtId="0" fontId="42" fillId="0" borderId="0" applyAlignment="1" pivotButton="0" quotePrefix="0" xfId="0">
      <alignment vertical="center"/>
    </xf>
    <xf numFmtId="0" fontId="25" fillId="14" borderId="15" applyAlignment="1" pivotButton="0" quotePrefix="0" xfId="0">
      <alignment vertical="center" indent="1"/>
    </xf>
    <xf numFmtId="0" fontId="0" fillId="14" borderId="15" pivotButton="0" quotePrefix="0" xfId="0"/>
    <xf numFmtId="0" fontId="9" fillId="0" borderId="3" applyAlignment="1" pivotButton="0" quotePrefix="0" xfId="0">
      <alignment horizontal="center"/>
    </xf>
    <xf numFmtId="0" fontId="11" fillId="0" borderId="3" applyAlignment="1" pivotButton="0" quotePrefix="0" xfId="0">
      <alignment horizontal="center"/>
    </xf>
    <xf numFmtId="9" fontId="6" fillId="0" borderId="3" applyAlignment="1" pivotButton="0" quotePrefix="0" xfId="0">
      <alignment horizontal="center"/>
    </xf>
    <xf numFmtId="0" fontId="26" fillId="16" borderId="16" applyAlignment="1" pivotButton="0" quotePrefix="0" xfId="0">
      <alignment vertical="center" indent="1"/>
    </xf>
    <xf numFmtId="0" fontId="0" fillId="16" borderId="16" pivotButton="0" quotePrefix="0" xfId="0"/>
    <xf numFmtId="0" fontId="22" fillId="18" borderId="17" applyAlignment="1" pivotButton="0" quotePrefix="0" xfId="0">
      <alignment vertical="center" indent="1"/>
    </xf>
    <xf numFmtId="0" fontId="0" fillId="18" borderId="17" pivotButton="0" quotePrefix="0" xfId="0"/>
    <xf numFmtId="0" fontId="28" fillId="20" borderId="18" applyAlignment="1" pivotButton="0" quotePrefix="0" xfId="0">
      <alignment vertical="center" indent="1"/>
    </xf>
    <xf numFmtId="0" fontId="0" fillId="20" borderId="18" pivotButton="0" quotePrefix="0" xfId="0"/>
    <xf numFmtId="0" fontId="24" fillId="22" borderId="19" applyAlignment="1" pivotButton="0" quotePrefix="0" xfId="0">
      <alignment vertical="center" indent="1"/>
    </xf>
    <xf numFmtId="0" fontId="0" fillId="22" borderId="19" pivotButton="0" quotePrefix="0" xfId="0"/>
    <xf numFmtId="0" fontId="23" fillId="24" borderId="20" applyAlignment="1" pivotButton="0" quotePrefix="0" xfId="0">
      <alignment vertical="center" indent="1"/>
    </xf>
    <xf numFmtId="0" fontId="0" fillId="24" borderId="20" pivotButton="0" quotePrefix="0" xfId="0"/>
    <xf numFmtId="0" fontId="29" fillId="26" borderId="21" applyAlignment="1" pivotButton="0" quotePrefix="0" xfId="0">
      <alignment vertical="center" indent="1"/>
    </xf>
    <xf numFmtId="0" fontId="0" fillId="26" borderId="21" pivotButton="0" quotePrefix="0" xfId="0"/>
    <xf numFmtId="0" fontId="27" fillId="28" borderId="22" applyAlignment="1" pivotButton="0" quotePrefix="0" xfId="0">
      <alignment vertical="center" indent="1"/>
    </xf>
    <xf numFmtId="0" fontId="0" fillId="28" borderId="22" pivotButton="0" quotePrefix="0" xfId="0"/>
    <xf numFmtId="0" fontId="54" fillId="36" borderId="23" applyAlignment="1" pivotButton="0" quotePrefix="0" xfId="0">
      <alignment vertical="center" indent="1"/>
    </xf>
    <xf numFmtId="0" fontId="0" fillId="36" borderId="23" pivotButton="0" quotePrefix="0" xfId="0"/>
    <xf numFmtId="0" fontId="28" fillId="0" borderId="3" applyAlignment="1" pivotButton="0" quotePrefix="0" xfId="0">
      <alignment vertical="center" indent="1"/>
    </xf>
    <xf numFmtId="0" fontId="15" fillId="0" borderId="3" applyAlignment="1" pivotButton="0" quotePrefix="0" xfId="0">
      <alignment vertical="center" indent="1"/>
    </xf>
    <xf numFmtId="0" fontId="58" fillId="37" borderId="3" applyAlignment="1" pivotButton="0" quotePrefix="0" xfId="0">
      <alignment vertical="center" indent="1"/>
    </xf>
    <xf numFmtId="0" fontId="0" fillId="37" borderId="3" pivotButton="0" quotePrefix="0" xfId="0"/>
    <xf numFmtId="0" fontId="24" fillId="0" borderId="3" applyAlignment="1" pivotButton="0" quotePrefix="0" xfId="0">
      <alignment vertical="center" indent="1"/>
    </xf>
    <xf numFmtId="0" fontId="56" fillId="0" borderId="3" applyAlignment="1" pivotButton="0" quotePrefix="0" xfId="0">
      <alignment vertical="center" indent="1"/>
    </xf>
    <xf numFmtId="0" fontId="59" fillId="38" borderId="3" applyAlignment="1" pivotButton="0" quotePrefix="0" xfId="0">
      <alignment vertical="center" indent="1"/>
    </xf>
    <xf numFmtId="0" fontId="0" fillId="38" borderId="3" pivotButton="0" quotePrefix="0" xfId="0"/>
    <xf numFmtId="0" fontId="26" fillId="0" borderId="3" applyAlignment="1" pivotButton="0" quotePrefix="0" xfId="0">
      <alignment vertical="center" indent="1"/>
    </xf>
    <xf numFmtId="0" fontId="57" fillId="0" borderId="3" applyAlignment="1" pivotButton="0" quotePrefix="0" xfId="0">
      <alignment vertical="center" indent="1"/>
    </xf>
    <xf numFmtId="0" fontId="60" fillId="39" borderId="3" applyAlignment="1" pivotButton="0" quotePrefix="0" xfId="0">
      <alignment vertical="center" indent="1"/>
    </xf>
    <xf numFmtId="0" fontId="0" fillId="39" borderId="3" pivotButton="0" quotePrefix="0" xfId="0"/>
    <xf numFmtId="0" fontId="25" fillId="0" borderId="3" applyAlignment="1" pivotButton="0" quotePrefix="0" xfId="0">
      <alignment vertical="center" indent="1"/>
    </xf>
    <xf numFmtId="0" fontId="61" fillId="40" borderId="3" applyAlignment="1" pivotButton="0" quotePrefix="0" xfId="0">
      <alignment vertical="center" indent="1"/>
    </xf>
    <xf numFmtId="0" fontId="0" fillId="40" borderId="3" pivotButton="0" quotePrefix="0" xfId="0"/>
    <xf numFmtId="0" fontId="55" fillId="0" borderId="3" applyAlignment="1" pivotButton="0" quotePrefix="0" xfId="0">
      <alignment vertical="center" indent="1"/>
    </xf>
    <xf numFmtId="0" fontId="62" fillId="41" borderId="3" applyAlignment="1" pivotButton="0" quotePrefix="0" xfId="0">
      <alignment vertical="center" indent="1"/>
    </xf>
    <xf numFmtId="0" fontId="0" fillId="41" borderId="3" pivotButton="0" quotePrefix="0" xfId="0"/>
    <xf numFmtId="0" fontId="25" fillId="0" borderId="15" applyAlignment="1" pivotButton="0" quotePrefix="0" xfId="0">
      <alignment vertical="center" indent="1"/>
    </xf>
    <xf numFmtId="0" fontId="0" fillId="0" borderId="15" pivotButton="0" quotePrefix="0" xfId="0"/>
    <xf numFmtId="0" fontId="11" fillId="0" borderId="24" applyAlignment="1" pivotButton="0" quotePrefix="0" xfId="0">
      <alignment horizontal="center"/>
    </xf>
    <xf numFmtId="0" fontId="26" fillId="0" borderId="16" applyAlignment="1" pivotButton="0" quotePrefix="0" xfId="0">
      <alignment vertical="center" indent="1"/>
    </xf>
    <xf numFmtId="0" fontId="0" fillId="0" borderId="16" pivotButton="0" quotePrefix="0" xfId="0"/>
    <xf numFmtId="0" fontId="22" fillId="0" borderId="17" applyAlignment="1" pivotButton="0" quotePrefix="0" xfId="0">
      <alignment vertical="center" indent="1"/>
    </xf>
    <xf numFmtId="0" fontId="0" fillId="0" borderId="17" pivotButton="0" quotePrefix="0" xfId="0"/>
    <xf numFmtId="0" fontId="28" fillId="0" borderId="18" applyAlignment="1" pivotButton="0" quotePrefix="0" xfId="0">
      <alignment vertical="center" indent="1"/>
    </xf>
    <xf numFmtId="0" fontId="0" fillId="0" borderId="18" pivotButton="0" quotePrefix="0" xfId="0"/>
    <xf numFmtId="0" fontId="24" fillId="0" borderId="19" applyAlignment="1" pivotButton="0" quotePrefix="0" xfId="0">
      <alignment vertical="center" indent="1"/>
    </xf>
    <xf numFmtId="0" fontId="0" fillId="0" borderId="19" pivotButton="0" quotePrefix="0" xfId="0"/>
    <xf numFmtId="0" fontId="23" fillId="0" borderId="20" applyAlignment="1" pivotButton="0" quotePrefix="0" xfId="0">
      <alignment vertical="center" indent="1"/>
    </xf>
    <xf numFmtId="0" fontId="0" fillId="0" borderId="20" pivotButton="0" quotePrefix="0" xfId="0"/>
    <xf numFmtId="0" fontId="29" fillId="0" borderId="21" applyAlignment="1" pivotButton="0" quotePrefix="0" xfId="0">
      <alignment vertical="center" indent="1"/>
    </xf>
    <xf numFmtId="0" fontId="0" fillId="0" borderId="21" pivotButton="0" quotePrefix="0" xfId="0"/>
    <xf numFmtId="0" fontId="27" fillId="0" borderId="22" applyAlignment="1" pivotButton="0" quotePrefix="0" xfId="0">
      <alignment vertical="center" indent="1"/>
    </xf>
    <xf numFmtId="0" fontId="0" fillId="0" borderId="22" pivotButton="0" quotePrefix="0" xfId="0"/>
    <xf numFmtId="0" fontId="54" fillId="0" borderId="23" applyAlignment="1" pivotButton="0" quotePrefix="0" xfId="0">
      <alignment vertical="center" indent="1"/>
    </xf>
    <xf numFmtId="0" fontId="0" fillId="0" borderId="23" pivotButton="0" quotePrefix="0" xfId="0"/>
    <xf numFmtId="0" fontId="11" fillId="0" borderId="3" applyAlignment="1" pivotButton="0" quotePrefix="0" xfId="0">
      <alignment vertical="center" indent="1"/>
    </xf>
    <xf numFmtId="0" fontId="63" fillId="0" borderId="3" applyAlignment="1" pivotButton="0" quotePrefix="0" xfId="0">
      <alignment horizontal="center"/>
    </xf>
    <xf numFmtId="0" fontId="1" fillId="0" borderId="0" applyAlignment="1" pivotButton="0" quotePrefix="0" xfId="0">
      <alignment vertical="center"/>
    </xf>
    <xf numFmtId="0" fontId="2" fillId="0" borderId="0" applyAlignment="1" pivotButton="0" quotePrefix="0" xfId="0">
      <alignment horizontal="left" vertical="center"/>
    </xf>
    <xf numFmtId="0" fontId="3" fillId="0" borderId="0" pivotButton="0" quotePrefix="0" xfId="0"/>
    <xf numFmtId="0" fontId="4" fillId="2" borderId="0" applyAlignment="1" pivotButton="0" quotePrefix="0" xfId="0">
      <alignment horizontal="center" vertical="center" wrapText="1"/>
    </xf>
    <xf numFmtId="0" fontId="4" fillId="2" borderId="0" applyAlignment="1" pivotButton="0" quotePrefix="0" xfId="0">
      <alignment horizontal="left" vertical="center" wrapText="1"/>
    </xf>
    <xf numFmtId="0" fontId="5" fillId="3" borderId="0" applyAlignment="1" pivotButton="0" quotePrefix="0" xfId="0">
      <alignment horizontal="left" vertical="center" wrapText="1"/>
    </xf>
    <xf numFmtId="0" fontId="6" fillId="0" borderId="0" applyAlignment="1" pivotButton="0" quotePrefix="0" xfId="0">
      <alignment horizontal="center" vertical="top"/>
    </xf>
    <xf numFmtId="0" fontId="7" fillId="0" borderId="0" applyAlignment="1" pivotButton="0" quotePrefix="0" xfId="0">
      <alignment vertical="top" wrapText="1"/>
    </xf>
    <xf numFmtId="0" fontId="8" fillId="4" borderId="0" applyAlignment="1" pivotButton="0" quotePrefix="0" xfId="0">
      <alignment vertical="top" wrapText="1"/>
    </xf>
    <xf numFmtId="164" fontId="9" fillId="0" borderId="0" applyAlignment="1" pivotButton="0" quotePrefix="0" xfId="0">
      <alignment horizontal="center" vertical="top"/>
    </xf>
    <xf numFmtId="0" fontId="10" fillId="0" borderId="0" applyAlignment="1" pivotButton="0" quotePrefix="0" xfId="0">
      <alignment vertical="top" wrapText="1"/>
    </xf>
    <xf numFmtId="0" fontId="9" fillId="5" borderId="0" applyAlignment="1" pivotButton="0" quotePrefix="0" xfId="0">
      <alignment horizontal="center" vertical="top"/>
    </xf>
    <xf numFmtId="0" fontId="11" fillId="5" borderId="0" applyAlignment="1" pivotButton="0" quotePrefix="0" xfId="0">
      <alignment vertical="top"/>
    </xf>
    <xf numFmtId="0" fontId="11" fillId="5" borderId="0" applyAlignment="1" pivotButton="0" quotePrefix="0" xfId="0">
      <alignment vertical="top" wrapText="1"/>
    </xf>
    <xf numFmtId="0" fontId="11" fillId="0" borderId="0" applyAlignment="1" pivotButton="0" quotePrefix="0" xfId="0">
      <alignment vertical="top" wrapText="1"/>
    </xf>
    <xf numFmtId="166" fontId="11" fillId="0" borderId="0" applyAlignment="1" pivotButton="0" quotePrefix="0" xfId="0">
      <alignment vertical="top"/>
    </xf>
    <xf numFmtId="0" fontId="12" fillId="0" borderId="0" applyAlignment="1" pivotButton="0" quotePrefix="0" xfId="0">
      <alignment vertical="top" wrapText="1"/>
    </xf>
    <xf numFmtId="0" fontId="11" fillId="0" borderId="0" applyAlignment="1" pivotButton="0" quotePrefix="0" xfId="0">
      <alignment vertical="top"/>
    </xf>
    <xf numFmtId="0" fontId="13" fillId="0" borderId="0" applyAlignment="1" pivotButton="0" quotePrefix="0" xfId="0">
      <alignment vertical="top"/>
    </xf>
    <xf numFmtId="0" fontId="6" fillId="0" borderId="0" applyAlignment="1" pivotButton="0" quotePrefix="0" xfId="0">
      <alignment vertical="top" wrapText="1"/>
    </xf>
    <xf numFmtId="0" fontId="14" fillId="0" borderId="0" applyAlignment="1" pivotButton="0" quotePrefix="0" xfId="0">
      <alignment vertical="top"/>
    </xf>
    <xf numFmtId="167" fontId="15" fillId="0" borderId="0" applyAlignment="1" pivotButton="0" quotePrefix="0" xfId="0">
      <alignment horizontal="center" vertical="top"/>
    </xf>
    <xf numFmtId="1" fontId="6" fillId="0" borderId="0" pivotButton="0" quotePrefix="0" xfId="0"/>
    <xf numFmtId="0" fontId="16" fillId="6" borderId="0" applyAlignment="1" pivotButton="0" quotePrefix="0" xfId="0">
      <alignment vertical="top" wrapText="1"/>
    </xf>
    <xf numFmtId="0" fontId="8" fillId="0" borderId="0" applyAlignment="1" pivotButton="0" quotePrefix="0" xfId="0">
      <alignment vertical="top" wrapText="1"/>
    </xf>
    <xf numFmtId="0" fontId="17" fillId="7" borderId="0" applyAlignment="1" pivotButton="0" quotePrefix="0" xfId="0">
      <alignment vertical="top" wrapText="1"/>
    </xf>
    <xf numFmtId="0" fontId="18" fillId="8" borderId="0" applyAlignment="1" pivotButton="0" quotePrefix="0" xfId="0">
      <alignment vertical="top" wrapText="1"/>
    </xf>
    <xf numFmtId="0" fontId="10" fillId="9" borderId="0" applyAlignment="1" pivotButton="0" quotePrefix="0" xfId="0">
      <alignment vertical="top" wrapText="1"/>
    </xf>
    <xf numFmtId="0" fontId="17" fillId="0" borderId="0" applyAlignment="1" pivotButton="0" quotePrefix="0" xfId="0">
      <alignment vertical="top" wrapText="1"/>
    </xf>
    <xf numFmtId="0" fontId="19" fillId="0" borderId="0" applyAlignment="1" pivotButton="0" quotePrefix="0" xfId="0">
      <alignment vertical="top" wrapText="1"/>
    </xf>
    <xf numFmtId="0" fontId="20" fillId="10" borderId="0" applyAlignment="1" pivotButton="0" quotePrefix="0" xfId="0">
      <alignment vertical="top" wrapText="1"/>
    </xf>
    <xf numFmtId="0" fontId="21" fillId="11" borderId="0" applyAlignment="1" pivotButton="0" quotePrefix="0" xfId="0">
      <alignment vertical="top" wrapText="1"/>
    </xf>
    <xf numFmtId="0" fontId="19" fillId="12" borderId="0" applyAlignment="1" pivotButton="0" quotePrefix="0" xfId="0">
      <alignment vertical="top" wrapText="1"/>
    </xf>
    <xf numFmtId="0" fontId="37" fillId="13" borderId="0" applyAlignment="1" pivotButton="0" quotePrefix="0" xfId="0">
      <alignment vertical="center" indent="1"/>
    </xf>
    <xf numFmtId="0" fontId="0" fillId="13" borderId="0" pivotButton="0" quotePrefix="0" xfId="0"/>
    <xf numFmtId="0" fontId="19" fillId="14" borderId="2" applyAlignment="1" pivotButton="0" quotePrefix="0" xfId="0">
      <alignment horizontal="center" vertical="center"/>
    </xf>
    <xf numFmtId="0" fontId="19" fillId="14" borderId="2" applyAlignment="1" pivotButton="0" quotePrefix="0" xfId="0">
      <alignment horizontal="left" vertical="center"/>
    </xf>
    <xf numFmtId="0" fontId="6" fillId="0" borderId="3" applyAlignment="1" pivotButton="0" quotePrefix="0" xfId="0">
      <alignment horizontal="center" vertical="top"/>
    </xf>
    <xf numFmtId="164" fontId="9" fillId="0" borderId="3" applyAlignment="1" pivotButton="0" quotePrefix="0" xfId="0">
      <alignment horizontal="center" vertical="top"/>
    </xf>
    <xf numFmtId="0" fontId="9" fillId="0" borderId="3" applyAlignment="1" pivotButton="0" quotePrefix="0" xfId="0">
      <alignment vertical="top" wrapText="1"/>
    </xf>
    <xf numFmtId="0" fontId="34" fillId="0" borderId="3" applyAlignment="1" pivotButton="0" quotePrefix="0" xfId="0">
      <alignment horizontal="center" vertical="top"/>
    </xf>
    <xf numFmtId="0" fontId="17" fillId="0" borderId="3" applyAlignment="1" pivotButton="0" quotePrefix="0" xfId="0">
      <alignment vertical="top" wrapText="1"/>
    </xf>
    <xf numFmtId="0" fontId="11" fillId="0" borderId="3" applyAlignment="1" pivotButton="0" quotePrefix="0" xfId="0">
      <alignment horizontal="center" vertical="top"/>
    </xf>
    <xf numFmtId="0" fontId="13" fillId="0" borderId="3" applyAlignment="1" pivotButton="0" quotePrefix="0" xfId="0">
      <alignment vertical="top" wrapText="1"/>
    </xf>
    <xf numFmtId="166" fontId="13" fillId="0" borderId="3" applyAlignment="1" pivotButton="0" quotePrefix="0" xfId="0">
      <alignment horizontal="center" vertical="top"/>
    </xf>
    <xf numFmtId="0" fontId="10" fillId="0" borderId="3" applyAlignment="1" pivotButton="0" quotePrefix="0" xfId="0">
      <alignment vertical="top" wrapText="1"/>
    </xf>
    <xf numFmtId="0" fontId="37" fillId="15" borderId="0" applyAlignment="1" pivotButton="0" quotePrefix="0" xfId="0">
      <alignment vertical="center" indent="1"/>
    </xf>
    <xf numFmtId="0" fontId="0" fillId="15" borderId="0" pivotButton="0" quotePrefix="0" xfId="0"/>
    <xf numFmtId="0" fontId="10" fillId="16" borderId="4" applyAlignment="1" pivotButton="0" quotePrefix="0" xfId="0">
      <alignment horizontal="center" vertical="center"/>
    </xf>
    <xf numFmtId="0" fontId="10" fillId="16" borderId="4" applyAlignment="1" pivotButton="0" quotePrefix="0" xfId="0">
      <alignment horizontal="left" vertical="center"/>
    </xf>
    <xf numFmtId="0" fontId="37" fillId="17" borderId="0" applyAlignment="1" pivotButton="0" quotePrefix="0" xfId="0">
      <alignment vertical="center" indent="1"/>
    </xf>
    <xf numFmtId="0" fontId="0" fillId="17" borderId="0" pivotButton="0" quotePrefix="0" xfId="0"/>
    <xf numFmtId="0" fontId="18" fillId="18" borderId="5" applyAlignment="1" pivotButton="0" quotePrefix="0" xfId="0">
      <alignment horizontal="center" vertical="center"/>
    </xf>
    <xf numFmtId="0" fontId="18" fillId="18" borderId="5" applyAlignment="1" pivotButton="0" quotePrefix="0" xfId="0">
      <alignment horizontal="left" vertical="center"/>
    </xf>
    <xf numFmtId="0" fontId="8" fillId="0" borderId="3" applyAlignment="1" pivotButton="0" quotePrefix="0" xfId="0">
      <alignment vertical="top" wrapText="1"/>
    </xf>
    <xf numFmtId="0" fontId="19" fillId="0" borderId="3" applyAlignment="1" pivotButton="0" quotePrefix="0" xfId="0">
      <alignment vertical="top" wrapText="1"/>
    </xf>
    <xf numFmtId="0" fontId="37" fillId="19" borderId="0" applyAlignment="1" pivotButton="0" quotePrefix="0" xfId="0">
      <alignment vertical="center" indent="1"/>
    </xf>
    <xf numFmtId="0" fontId="0" fillId="19" borderId="0" pivotButton="0" quotePrefix="0" xfId="0"/>
    <xf numFmtId="0" fontId="8" fillId="20" borderId="6" applyAlignment="1" pivotButton="0" quotePrefix="0" xfId="0">
      <alignment horizontal="center" vertical="center"/>
    </xf>
    <xf numFmtId="0" fontId="8" fillId="20" borderId="6" applyAlignment="1" pivotButton="0" quotePrefix="0" xfId="0">
      <alignment horizontal="left" vertical="center"/>
    </xf>
    <xf numFmtId="0" fontId="37" fillId="21" borderId="0" applyAlignment="1" pivotButton="0" quotePrefix="0" xfId="0">
      <alignment vertical="center" indent="1"/>
    </xf>
    <xf numFmtId="0" fontId="0" fillId="21" borderId="0" pivotButton="0" quotePrefix="0" xfId="0"/>
    <xf numFmtId="0" fontId="17" fillId="22" borderId="7" applyAlignment="1" pivotButton="0" quotePrefix="0" xfId="0">
      <alignment horizontal="center" vertical="center"/>
    </xf>
    <xf numFmtId="0" fontId="17" fillId="22" borderId="7" applyAlignment="1" pivotButton="0" quotePrefix="0" xfId="0">
      <alignment horizontal="left" vertical="center"/>
    </xf>
    <xf numFmtId="0" fontId="37" fillId="23" borderId="0" applyAlignment="1" pivotButton="0" quotePrefix="0" xfId="0">
      <alignment vertical="center" indent="1"/>
    </xf>
    <xf numFmtId="0" fontId="0" fillId="23" borderId="0" pivotButton="0" quotePrefix="0" xfId="0"/>
    <xf numFmtId="0" fontId="16" fillId="24" borderId="8" applyAlignment="1" pivotButton="0" quotePrefix="0" xfId="0">
      <alignment horizontal="center" vertical="center"/>
    </xf>
    <xf numFmtId="0" fontId="16" fillId="24" borderId="8" applyAlignment="1" pivotButton="0" quotePrefix="0" xfId="0">
      <alignment horizontal="left" vertical="center"/>
    </xf>
    <xf numFmtId="0" fontId="37" fillId="25" borderId="0" applyAlignment="1" pivotButton="0" quotePrefix="0" xfId="0">
      <alignment vertical="center" indent="1"/>
    </xf>
    <xf numFmtId="0" fontId="0" fillId="25" borderId="0" pivotButton="0" quotePrefix="0" xfId="0"/>
    <xf numFmtId="0" fontId="20" fillId="26" borderId="9" applyAlignment="1" pivotButton="0" quotePrefix="0" xfId="0">
      <alignment horizontal="center" vertical="center"/>
    </xf>
    <xf numFmtId="0" fontId="20" fillId="26" borderId="9" applyAlignment="1" pivotButton="0" quotePrefix="0" xfId="0">
      <alignment horizontal="left" vertical="center"/>
    </xf>
    <xf numFmtId="0" fontId="37" fillId="27" borderId="0" applyAlignment="1" pivotButton="0" quotePrefix="0" xfId="0">
      <alignment vertical="center" indent="1"/>
    </xf>
    <xf numFmtId="0" fontId="0" fillId="27" borderId="0" pivotButton="0" quotePrefix="0" xfId="0"/>
    <xf numFmtId="0" fontId="21" fillId="28" borderId="10" applyAlignment="1" pivotButton="0" quotePrefix="0" xfId="0">
      <alignment horizontal="center" vertical="center"/>
    </xf>
    <xf numFmtId="0" fontId="21" fillId="28" borderId="10" applyAlignment="1" pivotButton="0" quotePrefix="0" xfId="0">
      <alignment horizontal="left" vertical="center"/>
    </xf>
    <xf numFmtId="0" fontId="9" fillId="5" borderId="0" applyAlignment="1" pivotButton="0" quotePrefix="0" xfId="0">
      <alignment horizontal="center" vertical="top"/>
    </xf>
    <xf numFmtId="0" fontId="9" fillId="0" borderId="0" applyAlignment="1" pivotButton="0" quotePrefix="0" xfId="0">
      <alignment vertical="top" wrapText="1"/>
    </xf>
    <xf numFmtId="0" fontId="13" fillId="0" borderId="0" applyAlignment="1" pivotButton="0" quotePrefix="0" xfId="0">
      <alignment vertical="top" wrapText="1"/>
    </xf>
    <xf numFmtId="166" fontId="11" fillId="0" borderId="0" applyAlignment="1" pivotButton="0" quotePrefix="0" xfId="0">
      <alignment vertical="top"/>
    </xf>
    <xf numFmtId="0" fontId="3" fillId="0" borderId="0" applyAlignment="1" pivotButton="0" quotePrefix="0" xfId="0">
      <alignment vertical="top" wrapText="1"/>
    </xf>
    <xf numFmtId="0" fontId="14" fillId="0" borderId="0" applyAlignment="1" pivotButton="0" quotePrefix="0" xfId="0">
      <alignment vertical="top"/>
    </xf>
    <xf numFmtId="0" fontId="12" fillId="0" borderId="0" pivotButton="0" quotePrefix="0" xfId="0"/>
    <xf numFmtId="166" fontId="9" fillId="0" borderId="0" applyAlignment="1" pivotButton="0" quotePrefix="0" xfId="0">
      <alignment vertical="top"/>
    </xf>
    <xf numFmtId="0" fontId="32" fillId="0" borderId="0" applyAlignment="1" pivotButton="0" quotePrefix="0" xfId="0">
      <alignment horizontal="center" vertical="top"/>
    </xf>
    <xf numFmtId="0" fontId="33" fillId="0" borderId="0" applyAlignment="1" pivotButton="0" quotePrefix="0" xfId="0">
      <alignment vertical="top" wrapText="1"/>
    </xf>
    <xf numFmtId="0" fontId="34" fillId="0" borderId="0" applyAlignment="1" pivotButton="0" quotePrefix="0" xfId="0">
      <alignment vertical="top"/>
    </xf>
    <xf numFmtId="0" fontId="35" fillId="0" borderId="0" applyAlignment="1" pivotButton="0" quotePrefix="0" xfId="0">
      <alignment vertical="top" wrapText="1"/>
    </xf>
    <xf numFmtId="0" fontId="36" fillId="0" borderId="0" applyAlignment="1" pivotButton="0" quotePrefix="0" xfId="0">
      <alignment vertical="top" wrapText="1"/>
    </xf>
    <xf numFmtId="0" fontId="11" fillId="0" borderId="0" applyAlignment="1" pivotButton="0" quotePrefix="0" xfId="0">
      <alignment horizontal="center" vertical="top"/>
    </xf>
    <xf numFmtId="0" fontId="5" fillId="0" borderId="0" applyAlignment="1" pivotButton="0" quotePrefix="0" xfId="0">
      <alignment horizontal="center" vertical="top"/>
    </xf>
    <xf numFmtId="168" fontId="11" fillId="0" borderId="0" applyAlignment="1" pivotButton="0" quotePrefix="0" xfId="0">
      <alignment horizontal="center" vertical="top"/>
    </xf>
    <xf numFmtId="0" fontId="22" fillId="0" borderId="0" applyAlignment="1" pivotButton="0" quotePrefix="0" xfId="0">
      <alignment vertical="top" wrapText="1"/>
    </xf>
    <xf numFmtId="166" fontId="11" fillId="0" borderId="0" applyAlignment="1" pivotButton="0" quotePrefix="0" xfId="0">
      <alignment horizontal="center" vertical="top"/>
    </xf>
    <xf numFmtId="0" fontId="23" fillId="0" borderId="0" applyAlignment="1" pivotButton="0" quotePrefix="0" xfId="0">
      <alignment vertical="top" wrapText="1"/>
    </xf>
    <xf numFmtId="0" fontId="24" fillId="0" borderId="0" applyAlignment="1" pivotButton="0" quotePrefix="0" xfId="0">
      <alignment vertical="top" wrapText="1"/>
    </xf>
    <xf numFmtId="0" fontId="25" fillId="0" borderId="0" applyAlignment="1" pivotButton="0" quotePrefix="0" xfId="0">
      <alignment vertical="top" wrapText="1"/>
    </xf>
    <xf numFmtId="0" fontId="26" fillId="0" borderId="0" applyAlignment="1" pivotButton="0" quotePrefix="0" xfId="0">
      <alignment vertical="top" wrapText="1"/>
    </xf>
    <xf numFmtId="0" fontId="27" fillId="0" borderId="0" applyAlignment="1" pivotButton="0" quotePrefix="0" xfId="0">
      <alignment vertical="top" wrapText="1"/>
    </xf>
    <xf numFmtId="0" fontId="28" fillId="0" borderId="0" applyAlignment="1" pivotButton="0" quotePrefix="0" xfId="0">
      <alignment vertical="top" wrapText="1"/>
    </xf>
    <xf numFmtId="0" fontId="29" fillId="0" borderId="0" applyAlignment="1" pivotButton="0" quotePrefix="0" xfId="0">
      <alignment vertical="top" wrapText="1"/>
    </xf>
    <xf numFmtId="0" fontId="9" fillId="0" borderId="0" pivotButton="0" quotePrefix="0" xfId="0"/>
    <xf numFmtId="0" fontId="11" fillId="0" borderId="0" pivotButton="0" quotePrefix="0" xfId="0"/>
    <xf numFmtId="165" fontId="11" fillId="0" borderId="0" pivotButton="0" quotePrefix="0" xfId="0"/>
    <xf numFmtId="1" fontId="11" fillId="0" borderId="0" pivotButton="0" quotePrefix="0" xfId="0"/>
  </cellXfs>
  <cellStyles count="1">
    <cellStyle name="Normal" xfId="0" builtinId="0" hidden="0"/>
  </cellStyles>
  <dxfs count="21">
    <dxf>
      <font>
        <b val="1"/>
        <color rgb="001F9D63"/>
      </font>
      <fill>
        <patternFill patternType="solid">
          <fgColor rgb="00DDF0E8"/>
          <bgColor rgb="00DDF0E8"/>
        </patternFill>
      </fill>
    </dxf>
    <dxf>
      <font>
        <b val="1"/>
        <color rgb="006B4FD6"/>
      </font>
      <fill>
        <patternFill patternType="solid">
          <fgColor rgb="00E9E5F9"/>
          <bgColor rgb="00E9E5F9"/>
        </patternFill>
      </fill>
    </dxf>
    <dxf>
      <font>
        <b val="1"/>
        <color rgb="00E04F2C"/>
      </font>
      <fill>
        <patternFill patternType="solid">
          <fgColor rgb="00FAE5DF"/>
          <bgColor rgb="00FAE5DF"/>
        </patternFill>
      </fill>
    </dxf>
    <dxf>
      <font>
        <b val="1"/>
        <color rgb="00D38B00"/>
      </font>
      <fill>
        <patternFill patternType="solid">
          <fgColor rgb="00F8EED9"/>
          <bgColor rgb="00F8EED9"/>
        </patternFill>
      </fill>
    </dxf>
    <dxf>
      <font>
        <b val="1"/>
        <color rgb="002563D6"/>
      </font>
      <fill>
        <patternFill patternType="solid">
          <fgColor rgb="00DEE8F9"/>
          <bgColor rgb="00DEE8F9"/>
        </patternFill>
      </fill>
    </dxf>
    <dxf>
      <font>
        <b val="1"/>
        <color rgb="000B97A5"/>
      </font>
      <fill>
        <patternFill patternType="solid">
          <fgColor rgb="00DAEFF2"/>
          <bgColor rgb="00DAEFF2"/>
        </patternFill>
      </fill>
    </dxf>
    <dxf>
      <font>
        <b val="1"/>
        <color rgb="00C23D7B"/>
      </font>
      <fill>
        <patternFill patternType="solid">
          <fgColor rgb="00F6E2EB"/>
          <bgColor rgb="00F6E2EB"/>
        </patternFill>
      </fill>
    </dxf>
    <dxf>
      <font>
        <b val="1"/>
        <color rgb="008A5A2B"/>
      </font>
      <fill>
        <patternFill patternType="solid">
          <fgColor rgb="00EDE6DF"/>
          <bgColor rgb="00EDE6DF"/>
        </patternFill>
      </fill>
    </dxf>
    <dxf>
      <font>
        <b val="1"/>
        <color rgb="0064748B"/>
      </font>
      <fill>
        <patternFill patternType="solid">
          <fgColor rgb="00E8EAEE"/>
          <bgColor rgb="00E8EAEE"/>
        </patternFill>
      </fill>
    </dxf>
    <dxf>
      <font>
        <b val="1"/>
        <color rgb="001D5A8A"/>
        <u val="single"/>
      </font>
    </dxf>
    <dxf>
      <font>
        <b val="1"/>
        <color rgb="00FFFFFF"/>
      </font>
      <fill>
        <patternFill patternType="solid">
          <fgColor rgb="001E7B4F"/>
          <bgColor rgb="001E7B4F"/>
        </patternFill>
      </fill>
    </dxf>
    <dxf>
      <font>
        <b val="1"/>
        <color rgb="00FFFFFF"/>
      </font>
      <fill>
        <patternFill patternType="solid">
          <fgColor rgb="004DA06E"/>
          <bgColor rgb="004DA06E"/>
        </patternFill>
      </fill>
    </dxf>
    <dxf>
      <font>
        <b val="1"/>
        <color rgb="00FFFFFF"/>
      </font>
      <fill>
        <patternFill patternType="solid">
          <fgColor rgb="00D9A21B"/>
          <bgColor rgb="00D9A21B"/>
        </patternFill>
      </fill>
    </dxf>
    <dxf>
      <font>
        <b val="1"/>
        <color rgb="001B2430"/>
      </font>
      <fill>
        <patternFill patternType="solid">
          <fgColor rgb="00A3ADB8"/>
          <bgColor rgb="00A3ADB8"/>
        </patternFill>
      </fill>
    </dxf>
    <dxf>
      <font>
        <b val="1"/>
        <color rgb="001B2430"/>
      </font>
      <fill>
        <patternFill patternType="solid">
          <fgColor rgb="00C9CED6"/>
          <bgColor rgb="00C9CED6"/>
        </patternFill>
      </fill>
    </dxf>
    <dxf>
      <font>
        <color rgb="009AA3AE"/>
      </font>
    </dxf>
    <dxf>
      <font>
        <b val="1"/>
        <color rgb="004A5563"/>
      </font>
      <fill>
        <patternFill patternType="solid">
          <fgColor rgb="00ECEFF3"/>
          <bgColor rgb="00ECEFF3"/>
        </patternFill>
      </fill>
    </dxf>
    <dxf>
      <font>
        <b val="1"/>
        <color rgb="001D4FB8"/>
      </font>
      <fill>
        <patternFill patternType="solid">
          <fgColor rgb="00DCE7FB"/>
          <bgColor rgb="00DCE7FB"/>
        </patternFill>
      </fill>
    </dxf>
    <dxf>
      <font>
        <b val="1"/>
        <color rgb="008A5300"/>
      </font>
      <fill>
        <patternFill patternType="solid">
          <fgColor rgb="00FBE6C2"/>
          <bgColor rgb="00FBE6C2"/>
        </patternFill>
      </fill>
    </dxf>
    <dxf>
      <font>
        <b val="1"/>
        <color rgb="0017663F"/>
      </font>
      <fill>
        <patternFill patternType="solid">
          <fgColor rgb="00D3EDDF"/>
          <bgColor rgb="00D3EDDF"/>
        </patternFill>
      </fill>
    </dxf>
    <dxf>
      <font>
        <b val="1"/>
        <color rgb="007A8491"/>
      </font>
      <fill>
        <patternFill patternType="solid">
          <fgColor rgb="00F1F2F4"/>
          <bgColor rgb="00F1F2F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Stories by theme (this selection)</a:t>
            </a:r>
          </a:p>
        </rich>
      </tx>
      <overlay val="0"/>
    </title>
    <plotArea>
      <barChart>
        <barDir val="bar"/>
        <grouping val="clustered"/>
        <ser>
          <idx val="0"/>
          <order val="0"/>
          <tx>
            <strRef>
              <f>'Dashboard'!F27</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1F9D63"/>
              </a:solidFill>
              <a:ln xmlns:a="http://schemas.openxmlformats.org/drawingml/2006/main">
                <a:solidFill>
                  <a:srgbClr val="1F9D63"/>
                </a:solidFill>
                <a:prstDash val="solid"/>
              </a:ln>
            </spPr>
          </dPt>
          <dPt>
            <idx val="1"/>
            <spPr>
              <a:solidFill xmlns:a="http://schemas.openxmlformats.org/drawingml/2006/main">
                <a:srgbClr val="6B4FD6"/>
              </a:solidFill>
              <a:ln xmlns:a="http://schemas.openxmlformats.org/drawingml/2006/main">
                <a:solidFill>
                  <a:srgbClr val="6B4FD6"/>
                </a:solidFill>
                <a:prstDash val="solid"/>
              </a:ln>
            </spPr>
          </dPt>
          <dPt>
            <idx val="2"/>
            <spPr>
              <a:solidFill xmlns:a="http://schemas.openxmlformats.org/drawingml/2006/main">
                <a:srgbClr val="E04F2C"/>
              </a:solidFill>
              <a:ln xmlns:a="http://schemas.openxmlformats.org/drawingml/2006/main">
                <a:solidFill>
                  <a:srgbClr val="E04F2C"/>
                </a:solidFill>
                <a:prstDash val="solid"/>
              </a:ln>
            </spPr>
          </dPt>
          <dPt>
            <idx val="3"/>
            <spPr>
              <a:solidFill xmlns:a="http://schemas.openxmlformats.org/drawingml/2006/main">
                <a:srgbClr val="D38B00"/>
              </a:solidFill>
              <a:ln xmlns:a="http://schemas.openxmlformats.org/drawingml/2006/main">
                <a:solidFill>
                  <a:srgbClr val="D38B00"/>
                </a:solidFill>
                <a:prstDash val="solid"/>
              </a:ln>
            </spPr>
          </dPt>
          <dPt>
            <idx val="4"/>
            <spPr>
              <a:solidFill xmlns:a="http://schemas.openxmlformats.org/drawingml/2006/main">
                <a:srgbClr val="2563D6"/>
              </a:solidFill>
              <a:ln xmlns:a="http://schemas.openxmlformats.org/drawingml/2006/main">
                <a:solidFill>
                  <a:srgbClr val="2563D6"/>
                </a:solidFill>
                <a:prstDash val="solid"/>
              </a:ln>
            </spPr>
          </dPt>
          <dPt>
            <idx val="5"/>
            <spPr>
              <a:solidFill xmlns:a="http://schemas.openxmlformats.org/drawingml/2006/main">
                <a:srgbClr val="0B97A5"/>
              </a:solidFill>
              <a:ln xmlns:a="http://schemas.openxmlformats.org/drawingml/2006/main">
                <a:solidFill>
                  <a:srgbClr val="0B97A5"/>
                </a:solidFill>
                <a:prstDash val="solid"/>
              </a:ln>
            </spPr>
          </dPt>
          <dPt>
            <idx val="6"/>
            <spPr>
              <a:solidFill xmlns:a="http://schemas.openxmlformats.org/drawingml/2006/main">
                <a:srgbClr val="C23D7B"/>
              </a:solidFill>
              <a:ln xmlns:a="http://schemas.openxmlformats.org/drawingml/2006/main">
                <a:solidFill>
                  <a:srgbClr val="C23D7B"/>
                </a:solidFill>
                <a:prstDash val="solid"/>
              </a:ln>
            </spPr>
          </dPt>
          <dPt>
            <idx val="7"/>
            <spPr>
              <a:solidFill xmlns:a="http://schemas.openxmlformats.org/drawingml/2006/main">
                <a:srgbClr val="8A5A2B"/>
              </a:solidFill>
              <a:ln xmlns:a="http://schemas.openxmlformats.org/drawingml/2006/main">
                <a:solidFill>
                  <a:srgbClr val="8A5A2B"/>
                </a:solidFill>
                <a:prstDash val="solid"/>
              </a:ln>
            </spPr>
          </dPt>
          <dPt>
            <idx val="8"/>
            <spPr>
              <a:solidFill xmlns:a="http://schemas.openxmlformats.org/drawingml/2006/main">
                <a:srgbClr val="64748B"/>
              </a:solidFill>
              <a:ln xmlns:a="http://schemas.openxmlformats.org/drawingml/2006/main">
                <a:solidFill>
                  <a:srgbClr val="64748B"/>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'Dashboard'!$B$28:$B$36</f>
            </numRef>
          </cat>
          <val>
            <numRef>
              <f>'Dashboard'!$F$28:$F$36</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Suggested editorial use</a:t>
            </a:r>
          </a:p>
        </rich>
      </tx>
      <overlay val="0"/>
    </title>
    <plotArea>
      <barChart>
        <barDir val="bar"/>
        <grouping val="clustered"/>
        <ser>
          <idx val="0"/>
          <order val="0"/>
          <tx>
            <strRef>
              <f>'Dashboard'!E39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D38B00"/>
              </a:solidFill>
              <a:ln xmlns:a="http://schemas.openxmlformats.org/drawingml/2006/main">
                <a:solidFill>
                  <a:srgbClr val="D38B00"/>
                </a:solidFill>
                <a:prstDash val="solid"/>
              </a:ln>
            </spPr>
          </dPt>
          <dPt>
            <idx val="1"/>
            <spPr>
              <a:solidFill xmlns:a="http://schemas.openxmlformats.org/drawingml/2006/main">
                <a:srgbClr val="2563D6"/>
              </a:solidFill>
              <a:ln xmlns:a="http://schemas.openxmlformats.org/drawingml/2006/main">
                <a:solidFill>
                  <a:srgbClr val="2563D6"/>
                </a:solidFill>
                <a:prstDash val="solid"/>
              </a:ln>
            </spPr>
          </dPt>
          <dPt>
            <idx val="2"/>
            <spPr>
              <a:solidFill xmlns:a="http://schemas.openxmlformats.org/drawingml/2006/main">
                <a:srgbClr val="6B4FD6"/>
              </a:solidFill>
              <a:ln xmlns:a="http://schemas.openxmlformats.org/drawingml/2006/main">
                <a:solidFill>
                  <a:srgbClr val="6B4FD6"/>
                </a:solidFill>
                <a:prstDash val="solid"/>
              </a:ln>
            </spPr>
          </dPt>
          <dPt>
            <idx val="3"/>
            <spPr>
              <a:solidFill xmlns:a="http://schemas.openxmlformats.org/drawingml/2006/main">
                <a:srgbClr val="1F9D63"/>
              </a:solidFill>
              <a:ln xmlns:a="http://schemas.openxmlformats.org/drawingml/2006/main">
                <a:solidFill>
                  <a:srgbClr val="1F9D63"/>
                </a:solidFill>
                <a:prstDash val="solid"/>
              </a:ln>
            </spPr>
          </dPt>
          <dPt>
            <idx val="4"/>
            <spPr>
              <a:solidFill xmlns:a="http://schemas.openxmlformats.org/drawingml/2006/main">
                <a:srgbClr val="8A94A3"/>
              </a:solidFill>
              <a:ln xmlns:a="http://schemas.openxmlformats.org/drawingml/2006/main">
                <a:solidFill>
                  <a:srgbClr val="8A94A3"/>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'Dashboard'!$B$40:$B$44</f>
            </numRef>
          </cat>
          <val>
            <numRef>
              <f>'Dashboard'!$E$40:$E$44</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Geotechnical relevance</a:t>
            </a:r>
          </a:p>
        </rich>
      </tx>
      <overlay val="0"/>
    </title>
    <plotArea>
      <barChart>
        <barDir val="col"/>
        <grouping val="clustered"/>
        <ser>
          <idx val="0"/>
          <order val="0"/>
          <tx>
            <strRef>
              <f>'Dashboard'!K39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1E7B4F"/>
              </a:solidFill>
              <a:ln xmlns:a="http://schemas.openxmlformats.org/drawingml/2006/main">
                <a:solidFill>
                  <a:srgbClr val="1E7B4F"/>
                </a:solidFill>
                <a:prstDash val="solid"/>
              </a:ln>
            </spPr>
          </dPt>
          <dPt>
            <idx val="1"/>
            <spPr>
              <a:solidFill xmlns:a="http://schemas.openxmlformats.org/drawingml/2006/main">
                <a:srgbClr val="4DA06E"/>
              </a:solidFill>
              <a:ln xmlns:a="http://schemas.openxmlformats.org/drawingml/2006/main">
                <a:solidFill>
                  <a:srgbClr val="4DA06E"/>
                </a:solidFill>
                <a:prstDash val="solid"/>
              </a:ln>
            </spPr>
          </dPt>
          <dPt>
            <idx val="2"/>
            <spPr>
              <a:solidFill xmlns:a="http://schemas.openxmlformats.org/drawingml/2006/main">
                <a:srgbClr val="D9A21B"/>
              </a:solidFill>
              <a:ln xmlns:a="http://schemas.openxmlformats.org/drawingml/2006/main">
                <a:solidFill>
                  <a:srgbClr val="D9A21B"/>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'Dashboard'!$H$40:$H$42</f>
            </numRef>
          </cat>
          <val>
            <numRef>
              <f>'Dashboard'!$K$40:$K$42</f>
            </numRef>
          </val>
        </ser>
        <gapWidth val="55"/>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Planning status</a:t>
            </a:r>
          </a:p>
        </rich>
      </tx>
      <overlay val="0"/>
    </title>
    <plotArea>
      <barChart>
        <barDir val="col"/>
        <grouping val="clustered"/>
        <ser>
          <idx val="0"/>
          <order val="0"/>
          <tx>
            <strRef>
              <f>'Dashboard'!Q39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A3ADB8"/>
              </a:solidFill>
              <a:ln xmlns:a="http://schemas.openxmlformats.org/drawingml/2006/main">
                <a:solidFill>
                  <a:srgbClr val="A3ADB8"/>
                </a:solidFill>
                <a:prstDash val="solid"/>
              </a:ln>
            </spPr>
          </dPt>
          <dPt>
            <idx val="1"/>
            <spPr>
              <a:solidFill xmlns:a="http://schemas.openxmlformats.org/drawingml/2006/main">
                <a:srgbClr val="2563D6"/>
              </a:solidFill>
              <a:ln xmlns:a="http://schemas.openxmlformats.org/drawingml/2006/main">
                <a:solidFill>
                  <a:srgbClr val="2563D6"/>
                </a:solidFill>
                <a:prstDash val="solid"/>
              </a:ln>
            </spPr>
          </dPt>
          <dPt>
            <idx val="2"/>
            <spPr>
              <a:solidFill xmlns:a="http://schemas.openxmlformats.org/drawingml/2006/main">
                <a:srgbClr val="D38B00"/>
              </a:solidFill>
              <a:ln xmlns:a="http://schemas.openxmlformats.org/drawingml/2006/main">
                <a:solidFill>
                  <a:srgbClr val="D38B00"/>
                </a:solidFill>
                <a:prstDash val="solid"/>
              </a:ln>
            </spPr>
          </dPt>
          <dPt>
            <idx val="3"/>
            <spPr>
              <a:solidFill xmlns:a="http://schemas.openxmlformats.org/drawingml/2006/main">
                <a:srgbClr val="1E7B4F"/>
              </a:solidFill>
              <a:ln xmlns:a="http://schemas.openxmlformats.org/drawingml/2006/main">
                <a:solidFill>
                  <a:srgbClr val="1E7B4F"/>
                </a:solidFill>
                <a:prstDash val="solid"/>
              </a:ln>
            </spPr>
          </dPt>
          <dPt>
            <idx val="4"/>
            <spPr>
              <a:solidFill xmlns:a="http://schemas.openxmlformats.org/drawingml/2006/main">
                <a:srgbClr val="D5DAE0"/>
              </a:solidFill>
              <a:ln xmlns:a="http://schemas.openxmlformats.org/drawingml/2006/main">
                <a:solidFill>
                  <a:srgbClr val="D5DAE0"/>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'Dashboard'!$N$40:$N$44</f>
            </numRef>
          </cat>
          <val>
            <numRef>
              <f>'Dashboard'!$Q$40:$Q$44</f>
            </numRef>
          </val>
        </ser>
        <gapWidth val="55"/>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Stories per issue window</a:t>
            </a:r>
          </a:p>
        </rich>
      </tx>
      <overlay val="0"/>
    </title>
    <plotArea>
      <barChart>
        <barDir val="col"/>
        <grouping val="clustered"/>
        <ser>
          <idx val="0"/>
          <order val="0"/>
          <tx>
            <strRef>
              <f>'Dashboard'!F73</f>
            </strRef>
          </tx>
          <spPr>
            <a:solidFill xmlns:a="http://schemas.openxmlformats.org/drawingml/2006/main">
              <a:srgbClr val="D9DEE3"/>
            </a:solidFill>
            <a:ln xmlns:a="http://schemas.openxmlformats.org/drawingml/2006/main">
              <a:solidFill>
                <a:srgbClr val="D9DEE3"/>
              </a:solidFill>
              <a:prstDash val="solid"/>
            </a:ln>
          </spPr>
          <invertIfNegative val="0"/>
          <cat>
            <numRef>
              <f>'Dashboard'!$B$74</f>
            </numRef>
          </cat>
          <val>
            <numRef>
              <f>'Dashboard'!$F$74</f>
            </numRef>
          </val>
        </ser>
        <ser>
          <idx val="1"/>
          <order val="1"/>
          <tx>
            <strRef>
              <f>'Dashboard'!G73</f>
            </strRef>
          </tx>
          <spPr>
            <a:solidFill xmlns:a="http://schemas.openxmlformats.org/drawingml/2006/main">
              <a:srgbClr val="C9A227"/>
            </a:solidFill>
            <a:ln xmlns:a="http://schemas.openxmlformats.org/drawingml/2006/main">
              <a:solidFill>
                <a:srgbClr val="C9A227"/>
              </a:solidFill>
              <a:prstDash val="solid"/>
            </a:ln>
          </spPr>
          <invertIfNegative val="0"/>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'Dashboard'!$B$74</f>
            </numRef>
          </cat>
          <val>
            <numRef>
              <f>'Dashboard'!$G$74</f>
            </numRef>
          </val>
        </ser>
        <gapWidth val="40"/>
        <overlap val="100"/>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legend>
      <legendPos val="t"/>
      <overlay val="0"/>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11</col>
      <colOff>0</colOff>
      <row>25</row>
      <rowOff>0</rowOff>
    </from>
    <ext cx="6048000" cy="2692063"/>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col>
      <colOff>0</colOff>
      <row>45</row>
      <rowOff>0</rowOff>
    </from>
    <ext cx="4031999" cy="2232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7</col>
      <colOff>0</colOff>
      <row>45</row>
      <rowOff>0</rowOff>
    </from>
    <ext cx="4031999" cy="2232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13</col>
      <colOff>0</colOff>
      <row>45</row>
      <rowOff>0</rowOff>
    </from>
    <ext cx="4031999" cy="2232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8</col>
      <colOff>0</colOff>
      <row>72</row>
      <rowOff>0</rowOff>
    </from>
    <ext cx="7416000" cy="234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ables/table1.xml><?xml version="1.0" encoding="utf-8"?>
<table xmlns="http://schemas.openxmlformats.org/spreadsheetml/2006/main" id="1" name="StoriesTable" displayName="StoriesTable" ref="A3:X63" headerRowCount="1">
  <autoFilter ref="A3:X63"/>
  <tableColumns count="24">
    <tableColumn id="1" name="No."/>
    <tableColumn id="2" name="Headline (English)"/>
    <tableColumn id="3" name="Theme"/>
    <tableColumn id="4" name="Relevance"/>
    <tableColumn id="5" name="Suggested use"/>
    <tableColumn id="6" name="Status"/>
    <tableColumn id="7" name="Assigned to"/>
    <tableColumn id="8" name="Editor notes"/>
    <tableColumn id="9" name="Magazine angle"/>
    <tableColumn id="10" name="Source"/>
    <tableColumn id="11" name="Digest date"/>
    <tableColumn id="12" name="Original headline"/>
    <tableColumn id="13" name="Summary"/>
    <tableColumn id="14" name="Country"/>
    <tableColumn id="15" name="Place"/>
    <tableColumn id="16" name="Developing story"/>
    <tableColumn id="17" name="Google News edition"/>
    <tableColumn id="18" name="Published"/>
    <tableColumn id="19" name="Issue window"/>
    <tableColumn id="20" name="Keywords"/>
    <tableColumn id="21" name="Keyword score"/>
    <tableColumn id="22" name="Article URL"/>
    <tableColumn id="23" name="In Dashboard selection"/>
    <tableColumn id="24" name="Top-10 key (helper)"/>
  </tableColumns>
  <tableStyleInfo name="TableStyleLight1" showRowStripes="1"/>
</table>
</file>

<file path=xl/tables/table2.xml><?xml version="1.0" encoding="utf-8"?>
<table xmlns="http://schemas.openxmlformats.org/spreadsheetml/2006/main" id="2" name="ResearchTable" displayName="ResearchTable" ref="A3:N23" headerRowCount="1">
  <autoFilter ref="A3:N23"/>
  <tableColumns count="14">
    <tableColumn id="1" name="No."/>
    <tableColumn id="2" name="Paper"/>
    <tableColumn id="3" name="Theme"/>
    <tableColumn id="4" name="Use in practice"/>
    <tableColumn id="5" name="Status"/>
    <tableColumn id="6" name="Editor notes"/>
    <tableColumn id="7" name="Why it matters in practice"/>
    <tableColumn id="8" name="Journal"/>
    <tableColumn id="9" name="Authors"/>
    <tableColumn id="10" name="Published"/>
    <tableColumn id="11" name="Digest date"/>
    <tableColumn id="12" name="Abstract"/>
    <tableColumn id="13" name="Keywords"/>
    <tableColumn id="14" name="DOI link"/>
  </tableColumns>
  <tableStyleInfo name="TableStyleLight1" showRowStripes="1"/>
</table>
</file>

<file path=xl/tables/table3.xml><?xml version="1.0" encoding="utf-8"?>
<table xmlns="http://schemas.openxmlformats.org/spreadsheetml/2006/main" id="3" name="SourcesTable" displayName="SourcesTable" ref="A3:I44" headerRowCount="1">
  <autoFilter ref="A3:I44"/>
  <tableColumns count="9">
    <tableColumn id="1" name="Source"/>
    <tableColumn id="2" name="Stories"/>
    <tableColumn id="3" name="In current selection"/>
    <tableColumn id="4" name="Average relevance"/>
    <tableColumn id="5" name="Rated 4 or 5"/>
    <tableColumn id="6" name="Most frequent theme"/>
    <tableColumn id="7" name="Themes covered"/>
    <tableColumn id="8" name="Google News editions"/>
    <tableColumn id="9" name="Latest digest"/>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hyperlink" Target="https://news.google.com/rss/articles/CBMiowFBVV95cUxNbDZHMUZRd0NyUDliQlNXWEZ4bUdaWFJJbk1NRHZIdUlpRzFObmV2bzBkUVpKbzhuUmkxZHI1U0JENHktOGIxOGlvbEtwS3RScWJ0SWhGR0gtNU9lWWNSc1RoMmtsWjJIT3F2ZzByazhRVUViN2FLa3RqSGt5VkxKZUM3WjdrT2NGc2tYeWJWQmR2RmxEZzlYUmczNFBjMlpXVVNB?oc=5" TargetMode="External" Id="rId1"/><Relationship Type="http://schemas.openxmlformats.org/officeDocument/2006/relationships/hyperlink" Target="https://www.geplus.co.uk/key-topics/sustainability/floating-wind-needs-grounded-solutions-23-10-2026/" TargetMode="External" Id="rId2"/><Relationship Type="http://schemas.openxmlformats.org/officeDocument/2006/relationships/hyperlink" Target="https://news.google.com/rss/articles/CBMibkFVX3lxTE9HOUMyWW5vRXVWOG5ZemlXOFFsQWYwVl9lRW53VTV1MVFFQUF4eGgwWTRKQ0p5RGlWLUgzdUNUSW9aQXRRMkduTGFBVmhOVWluT19OLXU5REgzMVdVOUwtTVRmY3Y5WGdwaE9RcG9B0gFuQVVfeXFMT0c5QzJZbm9FdVY4bll6aVc4UWxBZjBWX2VFbndVNXUxUUVBQXh4aDBZNEpDSnlEaVYtSDN1Q1RJb1pBdFEyR25MYUFWaE5VaW5PX04tdTlESDMxV1U5TC1NVGZjdjlYZ3BoT1Fwb0E?oc=5" TargetMode="External" Id="rId3"/><Relationship Type="http://schemas.openxmlformats.org/officeDocument/2006/relationships/hyperlink" Target="https://news.google.com/rss/articles/CBMiiAJBVV95cUxPQkl0dnN1WVR0endSWTZuYVpjZTBnV2VWTnVTVjdyb1NJTlFKVjJWY21lS0dPZzFrSkdlSlI2VU5Cc1NMQ0VHNTlPWUFkSVRZWEhWbFRxaU91bXRRMTF6LW9kYWVKSHFBOUptTVZuTGdTX1lZYzBDQkZ5QTJGUmVXcVd3c3lmU01zM3Zjd1VmZ183aFkxOERqQWJHbVlqMU5EbzBRSWpHRjNMeFVHRXlVSURpZHFnRXZIX1Q0X3RSMW8zcVZKVFZoOWViVlYzVnNWZloxTW5LNThJTWV2bURLSjJ1eEZiRFhnd2phLVVjUV9mdHVjN0Q0dE93WE9wRVR1ZlFFTE8tNnk?oc=5" TargetMode="External" Id="rId4"/><Relationship Type="http://schemas.openxmlformats.org/officeDocument/2006/relationships/hyperlink" Target="https://news.google.com/rss/articles/CBMic0FVX3lxTE1zSGZTbjJtMlg2SGZxUUtTSjJMZVdlSUkxSjZBeEV1WExBUUh4ZjdOZWIzcGRHczE1dVZiOWgyQUxTdkZWOEJfM0Y1dk1mcGpKekl0dGR4VE1YRVhoYTFjV09IZGQ3dUNQcl9BSlN0QzhUSkE?oc=5" TargetMode="External" Id="rId5"/><Relationship Type="http://schemas.openxmlformats.org/officeDocument/2006/relationships/hyperlink" Target="https://news.google.com/rss/articles/CBMibkFVX3lxTE8wdVhYVXYyQ3RwMHAtOTNnUkh5TnhCcEtVem9XenhDMFo2UVFHbWtIaGIzVHhLb1BFQmd2akRLZkFMd1pQNWJDRElESUY1SUdvLWFfd1ZaUW5tZ0ZFcmIxckZxbXg1Z1RrbXI5V0Zn?oc=5" TargetMode="External" Id="rId6"/><Relationship Type="http://schemas.openxmlformats.org/officeDocument/2006/relationships/hyperlink" Target="https://www.geplus.co.uk/news/project-news/m4-landslip-work-begins-as-part-of-wider-repair-programme-23-10-2026/" TargetMode="External" Id="rId7"/><Relationship Type="http://schemas.openxmlformats.org/officeDocument/2006/relationships/hyperlink" Target="https://news.google.com/rss/articles/CBMia0FVX3lxTE45UVhrbTdIV2NXaVloOTBleGdWeThGbHNoSTJtMTE3cFlfalpoYVBnUEFoUVRJQUp5Z2pVOEZvaGZzRUtjRWtOMzY3Wll0RHJOUTB6c0JYdGEzOXk2VXltZUFkc3RURDBUYUg4?oc=5" TargetMode="External" Id="rId8"/><Relationship Type="http://schemas.openxmlformats.org/officeDocument/2006/relationships/hyperlink" Targe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 TargetMode="External" Id="rId9"/><Relationship Type="http://schemas.openxmlformats.org/officeDocument/2006/relationships/hyperlink" Target="https://news.google.com/rss/articles/CBMiogFBVV95cUxQNGhpZmtjSDF5eDFZZEJXaTdIZWo2QVZTRDVlc3E0T2pvQ2tRaURBcHpRUk5hSmFDNjNuaGV5X1pHeVdqc2RjR1dOQVhPc2tUUVRmb2RiWnB0dWNDcU96QUxGcVg1dmNxRlpfdTNmT0Z5ZG4wSXNTSmR5OUY4ZmRZcW9kNmRHS0ZaVUxyMW9ySU5TSWJlNzJCWWJaZGlrRHd1a2c?oc=5" TargetMode="External" Id="rId10"/><Relationship Type="http://schemas.openxmlformats.org/officeDocument/2006/relationships/hyperlink" Targe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 TargetMode="External" Id="rId11"/><Relationship Type="http://schemas.openxmlformats.org/officeDocument/2006/relationships/hyperlink" Target="https://news.google.com/rss/articles/CBMipwFBVV95cUxQM0JfTHl5bmwxRmJ6Y3lLZ2l6XzB1c0lkclVfRzJ2clZEV29YU25kOWNsX1hXNjFuUnJnVGNjRXBFa0V2RWlYVllQOVEzV1ZCY3VYNENpdk9wSGVNNlUtNGVwdGZhZDY5UUVTYW1OZHQ1TkFoUURUTFMwSWdoLU90QTU2VE5Md1NKOU1Rd041aXFxNUJ1OGc3QTAxLUpGbndSWXh0czMzSQ?oc=5" TargetMode="External" Id="rId12"/><Relationship Type="http://schemas.openxmlformats.org/officeDocument/2006/relationships/hyperlink" Target="https://news.google.com/rss/articles/CBMirwFBVV95cUxPRkxsbl9ZdlM1cmloa1JxT3ZENFdkYUI5U3pIZy1UM005NU9SVVFIVjVmZ1ZvTDNybGJkMHAtc3Ewd3RldnRYWHlrSnQ2R1hXN2xpR1BNREFxTlRlb2tFMnFJZ01VSEZqN0ZheUtlbWJEd3h2SURJb3ppVWl6dTU2Y21zZGJGR1hpMWdNUmNfdWluZDJQYzZkeC1QTHhEUFNmcVhTVWtnWWxiUDczMmtr?oc=5" TargetMode="External" Id="rId13"/><Relationship Type="http://schemas.openxmlformats.org/officeDocument/2006/relationships/hyperlink" Target="https://news.google.com/rss/articles/CBMiogFBVV95cUxOYkthemxCdGdtc1c3TnBBbGY4MVZlMDFvWnZiX3E4UERSQ1lsX2g4R0x5VHVaVndQdnJHQTBZSy02bV8wT1d4RVZ6WHRVN2w0UUx1MFRMbDhINzgtWlJJLXFKOHIzWFRZa1VmZUVFNUNCM3hRdE9GUGZpdVNQQnd3ZmxRTWZFOGU5REFvOTg4cG40YkU1bDhlZ2pQSkR5Ti04Q1E?oc=5" TargetMode="External" Id="rId14"/><Relationship Type="http://schemas.openxmlformats.org/officeDocument/2006/relationships/hyperlink" Target="https://news.google.com/rss/articles/CBMi4wFBVV95cUxOV1p0dUF2OVZleURvUHhJbGxjNFdrR3hCalZqUEZ0SktHbHdzLTZEMmtBT3lWYXVkY0l3SDM0TjNwWTBtM0FjdlRoYzlfQTBQLVNaLUFtWDNrMU9KbXBzLVZWekN4bGFVSzA0R1RLOFBiMlBsSnNILVBuZ1hEemQtZm9FaE1URVdSREVoRzZDM0dPZkNwdzJfQ3pMRjZ0cFJmLXB6a3ZyZ2NjcjNMTllsVmV6X0M0OVhpcHA5a3RiU0lMdnhoeXJwVGp1SDRwYlFkd3M0emJTTEkwQjVmS0VxVDNqUdIB6AFBVV95cUxObTcwd3VqRWxyLWRxRWVkWEJubW50cjBiaFhrWHl0QTQteWxtUzYxZHo5NGgzdmtVdHprVVlPcWhZX25LQXBfbU5ZM3E4UmRMU3ZLYXl1UFNfOTFvSi1mam9sMTE4MVp1aWdTWmptM2ViUThUOFZsSTBFSHZ1azFQOUN4dWtid1RwQlQwRVVRV2p1OUFhaWh2Q3RuWThaNkh4NFhhckhac1ozQzR0bzAtbExmcU5RVm15WGNzd3RTcEY4QkhwTTBvZ1JBbU9zME9qeXRrM0c1OTRKUlBzYy1DUkJ2Y2RBaW9q?oc=5" TargetMode="External" Id="rId15"/><Relationship Type="http://schemas.openxmlformats.org/officeDocument/2006/relationships/hyperlink" Target="https://news.google.com/rss/articles/CBMif0FVX3lxTE4zQm1aVUtwTUM2RWlZZXpKOEdDX0xZYk41cGNLaDNFNDNlQko2SGxxTmVtLVBBQm9VZkFIOFBmUE1PSE1KclNSUHNQMDhUTGRiWnE0R0ZPcDFFV3E4R3U4M19FZzI2akVUNFRvRkgwSkxuMkZpWmU4Tlh5WTNoQ2M?oc=5" TargetMode="External" Id="rId16"/><Relationship Type="http://schemas.openxmlformats.org/officeDocument/2006/relationships/hyperlink" Target="https://news.google.com/rss/articles/CBMimwFBVV95cUxPLTkyck5DaWR1VmtTV3hIeXVJaWNDUnNpR1AzZDlLbVdzdC1kSmJfTjM3T000WGlLSWt5S2hfSzItS3Y5MkFJZWRZaktBTlNVVFFyRjNHRndpczhWYkdvNFBFY1MxbXA4VTRWWlpCeVdqTWFNbG9HTldyRlRwQkdUYVV2SDNBOGFRUU9WM3pIMG16RUZBWGttYTRmVQ?oc=5" TargetMode="External" Id="rId17"/><Relationship Type="http://schemas.openxmlformats.org/officeDocument/2006/relationships/hyperlink" Target="https://news.google.com/rss/articles/CBMingFBVV95cUxQS3doM1BoVjZsRlp4V0theDZtSFZUWEhySWJwSDIzUFpjV09lV201bzV0OFFuYVZrS1lJT3BXd2ZJNVpWbWpJbm5MSlpUb004MnlwRlJYMmV3bnpNWEZSc0pocTBxaWRHcHVYc3lPdmFESG85TUc5UkJ4YVljMWZPbmJzcWlXd25iTTRuQmNjNHg3U3BHalpHTUNTWE9nQQ?oc=5" TargetMode="External" Id="rId18"/><Relationship Type="http://schemas.openxmlformats.org/officeDocument/2006/relationships/hyperlink" Target="https://news.google.com/rss/articles/CBMilwFBVV95cUxNcG13NlMtVlJSQ0ZDYTM0cGN0NmZzaEtGVDFnV2ZGNkIzM1p0MU0wdUFpbnNDdFFDa0l6M1F6NW5hX2pMNFViN2lfWE80dlJFUGpiOWRfSFhBRWN1d1g2b3o5a1kxNUhIVHRNUUJ6TG5EMXdxcnE2bG9TTWxIc2dDUjBLTlpmNjg5WFVtZE15SWhRY0sxSWtv?oc=5" TargetMode="External" Id="rId19"/><Relationship Type="http://schemas.openxmlformats.org/officeDocument/2006/relationships/hyperlink" Target="https://news.google.com/rss/articles/CBMiugFBVV95cUxPTWJZUVVOZ3hOTjliMDhtRWVCaFQyYnB3SzNtaDlrOGg4b1VzVnUzM3Rjc3l3T0ZrUFBXNWRWRnJNdGF4WVpJR29aS1VjSkFIZnFubFVCZnJFS3NQZW93VHlaQ2p6RUcxbFhlOUdzRmZGRDhkVHZFTkkwSk1rZm1vdWFXS0JDdkxsWDg4YzhHWVoyeEVSQnRocXlqcnRab1lSSS1GQXhNT24zSTlCTGhVU2c5NzUwaWctdXc?oc=5" TargetMode="External" Id="rId20"/><Relationship Type="http://schemas.openxmlformats.org/officeDocument/2006/relationships/hyperlink" Target="https://news.google.com/rss/articles/CBMiigFBVV95cUxPZWVidFMzVlYxMDdISl9EQ2U0U3hiaVU2NmFPN09jYzZUem1CaXB3N1I4S1l0VW9Ka1l1LU9kVnY2bDQzUnFKWUFiNnF3azVkeEZoUGpxREdXNExtd2ZwRWVtNmZPTUkxUnA5TmFsczUyX3hkLUpJYmtFVU5yeTRONV9nb2VfNjVPZnc?oc=5" TargetMode="External" Id="rId21"/><Relationship Type="http://schemas.openxmlformats.org/officeDocument/2006/relationships/hyperlink" Target="https://news.google.com/rss/articles/CBMi4wFBVV95cUxQSXAyb195dGp6RURzRWliZzhoYmI2S0RUbUJQZG10eHVNSDVFZDE0bW1naTNubEgxU1k5UWxOTV9QUjJiLXZxWlJjOVV5aTh5V1J3Tm11UFdsZ2dJMnYzWTdvekpSWXhoSG1QZGF2a2o3UXRkWjh6VTNqcS14cXBJSUd4NXplcUg1Ri1EN1IzN1dyblF3clU3ZE42YmNra1hhYVF5c1Azd2I0U3VoaFY0a1pDY1huU3NmUXhOQnAzeHVSY3BQTV9uV3hsckJxaUx1SHhPQ1VUU21kZWFVZGJVRGtzRQ?oc=5" TargetMode="External" Id="rId22"/><Relationship Type="http://schemas.openxmlformats.org/officeDocument/2006/relationships/hyperlink" Target="https://news.google.com/rss/articles/CBMimwFBVV95cUxPMFBaWmJuQ3NGTklKMkNGckRqWFA0WW1sLXlvY1QxanR4YkN6YVVpejBld3ctZVREbkVPWnVab2FBOEZtTXoyeVRmTDE3TXF3ck5IRzNkNFJRZ0lmZmlqLTIwWGZhV0N0RFFiNGVPMnJBcHc4RXBBdjRqdmh5WnZSb1VkZ3B2Q3hva0JybF8tbVI0WjVQVFVsNHUxTQ?oc=5" TargetMode="External" Id="rId23"/><Relationship Type="http://schemas.openxmlformats.org/officeDocument/2006/relationships/hyperlink" Target="https://news.google.com/rss/articles/CBMia0FVX3lxTE5yN3NxbVRJdUpIaWRZaHJQMGx1MktYUTdSRHlXd0xCR0tiSkhtNEotVmltaFRvVzFvY3Qxcm1JOFVCb1RBWXVtMTZRVWRtdC1DMERha1RoblFxTjhBT01GR1hWQ1JLTlRFMW1V?oc=5" TargetMode="External" Id="rId24"/><Relationship Type="http://schemas.openxmlformats.org/officeDocument/2006/relationships/hyperlink" Target="https://news.google.com/rss/articles/CBMikwFBVV95cUxOUmJPNnl3dVdQRml6UUt3S1Joa05VaE9sdjdhNWZZeVN6QUdqdnFIS2NiMWdGMl9KN093Wm1naTRFcDRoek1UTVQxNGJkZ2lkajUyVnhRRFF4ZTV1UlhsS3NodG80YlpGdlpuOHRaaGFnaXJ5cDN4eTd0VFZJdldPMlczVVZ1NmZZdExSemVKM3lXWUk?oc=5" TargetMode="External" Id="rId25"/><Relationship Type="http://schemas.openxmlformats.org/officeDocument/2006/relationships/hyperlink" Target="https://news.google.com/rss/articles/CBMiWEFVX3lxTE1USkR5eG9yOEoxdF9oR1JuMU4tOUdCNkREX0dNUFFvWWd5UXZaT0ZkQk54eUhVbFg4QlI5SF8yTHlGZFZldTBsdnpFRDY5X290bkt0YzBXOTbSAVhBVV95cUxNVEpEeXhvcjhKMXRfaEdSbjFOLTlHQjZERF9HTVBRb1lneVF2Wk9GZEJOeHlIVWxYOEJSOUhfMkx5RmRWZXUwbHZ6RUQ2OV9vdG5LdGMwVzk2?oc=5" TargetMode="External" Id="rId26"/><Relationship Type="http://schemas.openxmlformats.org/officeDocument/2006/relationships/hyperlink" Target="https://news.google.com/rss/articles/CBMikgFBVV95cUxPcTFMNDFOcFc5MjJHLWgxTldJbW9TT3doRG10TDRuSzlYNGNSSU5DOU1Razc0dkRYY0IyeVN1OHoyT3U2WG9wNUh5VW81UEd6anIwMDF1Ym1yQ3VlVk4wZ05saEh2VFFBMnZqOV9nbkFud0NMbWZ6NW9UU0pha0E3enQxdHQtU3JaNktBMlNxWTg2Zw?oc=5" TargetMode="External" Id="rId27"/><Relationship Type="http://schemas.openxmlformats.org/officeDocument/2006/relationships/hyperlink" Target="https://news.google.com/rss/articles/CBMiUkFVX3lxTFBBaDhzbmpCUVV6Y1lGN3hyYllJRGRHNkUta1M3SVpkamJ5MGktVWZHdDJqLWloWW40SmVzTldUSWc0UXliVXJOVWR2VmJoWUtGc0E?oc=5" TargetMode="External" Id="rId28"/><Relationship Type="http://schemas.openxmlformats.org/officeDocument/2006/relationships/hyperlink" Target="https://news.google.com/rss/articles/CBMihgFBVV95cUxNZlBjUzdTUHFfNm9fQnZtclVPRG1ZdWtERFVpMHRYYzRrTGV1alZYeU4yR240ZnM4bFZEMkhFMEtJbk1fakR3dzgyRm12YkZZdkpnTjE4UGNBR2otMlpsbkVpdDdGbXBPbUdYaU5ldjBqUnA1c1hwcFF4Yjl3NXVFcHRacHlTZw?oc=5" TargetMode="External" Id="rId29"/><Relationship Type="http://schemas.openxmlformats.org/officeDocument/2006/relationships/hyperlink" Target="https://news.google.com/rss/articles/CBMibEFVX3lxTE9qd0p2T2p3a1lzbEg5TnFXNDZ2VXRhLWIzbGk1U0pnQlFCUk1RU2tqdFFXeEt4RkM3bThuVUUyelBfNHJMdlFmMThyZG9UakhLLTFqTGJBTDBKVmN1bXlqQmYyX1U3eHIyWTNfTw?oc=5" TargetMode="External" Id="rId30"/><Relationship Type="http://schemas.openxmlformats.org/officeDocument/2006/relationships/hyperlink" Target="https://news.google.com/rss/articles/CBMilgFBVV95cUxPaWJCQW9La1Z3UklqdWVaNWVLV3l0TFplUEg0R3h5ZzBSNlJtZnpNb2FONml5V3FqbnJGTnZvQ2JZSllHZGRoX3NWR0l6Q0oyWE02RXlncnRfREVCa0xBRnVMTDNhcWRxLURrVTNJUEl5UkdlU0RtdU9UcUpVdVFzblQ0UmdOVlR0YTBfTVpDbjZud2p5d1E?oc=5" TargetMode="External" Id="rId31"/><Relationship Type="http://schemas.openxmlformats.org/officeDocument/2006/relationships/hyperlink" Target="https://news.google.com/rss/articles/CBMi4gFBVV95cUxObEFsSlpBN09veGl1WXBBcWNHZFplTFFzQlIzSVZJUFVYdGdwcV9OZVY5TTBSM2JZbTdOd2liZFJyX3lscDU5VU1iVmZwaVU0bnZTSnk3ektFWm9QNEF4Y2ZMRldYdWVabGdKaW5yc21qQWxGNWcxOVZFNkRCLS14ZHpLc29Mel9vZENjazdLRWdMRm5uUEhob0pUS09pSVJEWXNjSlV4SE9ESFZyUVdEaENkUFpRTkt2SUZWb1FDRXAyMEd2LVhHTXhiODEwa3dwV1BvVXpQc2E3aUJXc1ZtQ3d30gHiAUFVX3lxTE5sQWxKWkE3T294aXVZcEFxY0dkWmVMUXNCUjNJVklQVVh0Z3BxX05lVjlNMFIzYlltN053aWJkUnJfeWxwNTlVTWJWZnBpVTRudlNKeTd6S0Vab1A0QXhjZkxGV1h1ZVpsZ0ppbnJzbWpBbEY1ZzE5VkU2REItLXhkektzb0x6X29kQ2NrN0tFZ0xGbm5QSGhvSlRLT2lJUkRZc2NKVXhIT0RIVnJRV0RoQ2RQWlFOS3ZJRlZvUUNFcDIwR3YtWEdNeGI4MTBrd3BXUG9VelBzYTdpQldzVm1Dd3c?oc=5" TargetMode="External" Id="rId32"/><Relationship Type="http://schemas.openxmlformats.org/officeDocument/2006/relationships/hyperlink" Target="https://news.google.com/rss/articles/CBMijgFBVV95cUxORHhvYWNuVVRGRXIybWtsektBWDRYYkhhLWlYd2FwS0pBV2wzWklDdzN3UGxXLWZpa1ZLT0lWM0RZa1RXY0ZDRS1HYUdDV1RJU2dWWFpWalZ3cEhkaGJsYjk2WUZrWXQ3M2hXTWFVSGxSYjFhUzBOVlNnSUYxdVhtMGNBellTcmV4Q295SDJ3?oc=5" TargetMode="External" Id="rId33"/><Relationship Type="http://schemas.openxmlformats.org/officeDocument/2006/relationships/hyperlink" Targe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 TargetMode="External" Id="rId34"/><Relationship Type="http://schemas.openxmlformats.org/officeDocument/2006/relationships/hyperlink" Target="https://news.google.com/rss/articles/CBMi8wFBVV95cUxNNlBCakVVSHBHTXI5UXNfdFF4SmtBTHZaWWhZaF9TYklINTZFZVpuNHlSbE5HNHBIUmJyd1BQSlJtamZ1ZGxBU1lxVmVib2RHRVFPRmszbmFtWVNxenlGeVk2TGRpaXJRNUdPbklLUXRCY1E1ZGhhQVB2Q0pHSU9VMTZJMkVfRnh2ZHJ3V3JJTmtqUDhUX1lMMk1GX3IxVGRDY0VNbHpmY0pWcmJVN1p6eWFzLWQ5ZmdoOEZrRXBNRHNaRDFlYkpXdDZORU5iek80RHBwUzdBb1A3OF9DTExya013WnpwYTRuWjJLeFhXc3ZCUlk?oc=5" TargetMode="External" Id="rId35"/><Relationship Type="http://schemas.openxmlformats.org/officeDocument/2006/relationships/hyperlink" Target="https://news.google.com/rss/articles/CBMi6AJBVV95cUxPTTNxbUF2ODR0d0dfM2ZBb3B0Y0lvRElsVjNPbk1aV0JSMF9SeHFfbGk1cFNVTTZ2TjhlTW5ldEVCcmVmdHNSM0xxN0hIbjFveHdxdVBJSl9FLUNDOUJ6a0tWcy1SQTltUWJuUHl3SDNmbzlEc2NSWW5JemxmOVJidVZBUjhwYUV2NTc1cnBKUkw4Zlg4bzJlbkJaTzA3Y1Rvel9zbVFEZ1lRVUdsaTNRLU9YZG9RbXZLcXZTQ3BaUXJLcV9BMlYxRU9DZl91YVV6OExlSnU4bnh5V0wxVWVvV29jWVdlQ2x5dTVXT202T1JTek5nbEhkdkZlMHFPd3UxZ0hUdXl0cVUxYXBybmNNcmFkS0VmeGhhNDc1V3dMRGpQelpZSDZGaFZIRnpFVGRKZTV3VURCTkNaMW5WZnpGcUd2VjlsZzd0VjJRa1BCUE1IWXNCSHZ5VHNrQlhUZUlFWjYxWHpmbzPSAfwCQVVfeXFMUEN6dkx4WFpjY3ozMFFuZnZiNEc4ZFlsSUNhemhCMXdKQi1DbEhMS1gwdzBwZTBjME9ZdjJaX2FhM0JmcWx5MnNDMHNsZC1iTDBkbmdjZHhLZjZaSVBfWGZZUmVONnpWU0RucGM4a0lKNjVsWVdyd1BJMG1mdm5lRHMyU3lhTW84am52eVJTMjNzZ2duTGpScGN0NlA0QkdBV1hTV3E0WllEc182YXE1Y1lvOUhEWHhNUXpRcHRfbGtXZFFReXZXSnE1Z3MtVWc2YXNfT0JWLW1OSkRaYWJrdWtiRU9JRU1EQjUwcTNSem1obGNocHYyV2pLQVhlbGJBZDM1RGx2UkNJVUY0VV9jR1VBZUtGOEs1OVdOQzVkZU1sYVU4RkpxSkNpdUpyeS10QmZiX0xwSUs2U0FFd0JFckY1SElKZEptMHhwUklKN0YwekFCTkpFLXRuZjBmUFpYc3pGWVQtMG9uajhwOXlUN295QllOaE9tazdSbEc?oc=5" TargetMode="External" Id="rId36"/><Relationship Type="http://schemas.openxmlformats.org/officeDocument/2006/relationships/hyperlink" Target="https://news.google.com/rss/articles/CBMi5AFBVV95cUxQN2dkNUMtV1kwNUFwMFA0VWRsUmN6Q3RhTDhyTWtHODFmSHhEWWdtT0Jwazg3Nk54S0ZnRF82OHpybVI2OVhIbkp0c1dQX3N1Ny1OTkZhR2hHQUMzYXJfT3BzX3I2Y3d6WndQNno2QTloWDFESzVxUTRMZDZOSDNQUzJYVTBsTks2Mll4SjZRYkZxbWxjOHByeGVkUkg5d1d3UWxmQUtBTG1lWDRTMGNOQWZnRGRtR3c4a2xiRUFHY3laMDJzX0VYUk9GZkR2akQ3bkNKeGU1aVYwb1F0WE14WVVVQ0bSAYwBQVVfeXFMT2I5Zk9zQW9sMnMteVFacFllV19JRWVQT0JfUGNTSTJ0R2FLYmpjTEhkQ3EzWTVmRDRWUWxJcTF3WmxDNnJIaUV2amNuNm5sSTJJV08wb184aWR0czBDRm5qdnN5WEM3ak5zQl9mendjUDhHaU0tbzVjQTNwY1dzNUUxT3pVU3kxeVpXa2k?oc=5" TargetMode="External" Id="rId37"/><Relationship Type="http://schemas.openxmlformats.org/officeDocument/2006/relationships/hyperlink" Target="https://news.google.com/rss/articles/CBMi7AFBVV95cUxON0hLN3oxMFdMX0dlRUtVNHhVQ2Y2Nk00NHlEUUVSb1N0bmRXakNHcUNOcFcyVWl1UXp1Wm5ObjE1X0RDdThWSWJZazE2WVA5MTR0ckM0OV9BeHVOUFoySjUyRFdrN1FiVDVzd253R0JKSE9yN3ZzN0NHS1hJSGwxNmVQUzVyZlNsbURWQ3ZBdktrTkdYWElFcVBpVm5FU3pFeGZpNkl4V08zMkpGOTM2R0czXzJVS1NTcXBGcnViOXZmTmJJRFJkNXpSUTNEanFWeWpDdU9xbE9mVXFndU1zNVh2TC0zcHpuWEcwcg?oc=5" TargetMode="External" Id="rId38"/><Relationship Type="http://schemas.openxmlformats.org/officeDocument/2006/relationships/hyperlink" Target="https://news.google.com/rss/articles/CBMijAFBVV95cUxOLWcwOXFBTWY2NnVDYW5EVi1yMldxeWpKd3NNTjB6SjMtS2FFRjBYQUd6ek1FYkVnVndOX0J3YXk1a3dVZW9KRWFCaV9KaHc4a25tdDBTWmFXc2hnU09sWEtNb2gxVjFhQ3RJaEJpVWhURWowRjNwVlV6ZG9RWVRlb1lpYXBrUV9YU0dDOQ?oc=5" TargetMode="External" Id="rId39"/><Relationship Type="http://schemas.openxmlformats.org/officeDocument/2006/relationships/hyperlink" Target="https://news.google.com/rss/articles/CBMibkFVX3lxTE5PclBzMHZTYkNxbkRYVWFacWgzMjRTdE1JdmNYSi1xbTlBaVZLRTVjTHpCTlQ4c2lEQ2xoMk9kcEdROGxBOFI4Zk9YV3JGSXdUZDg1blVlelJzbU54VjkzTkUySEV5Z2x2aHY5R0xB?oc=5" TargetMode="External" Id="rId40"/><Relationship Type="http://schemas.openxmlformats.org/officeDocument/2006/relationships/hyperlink" Target="https://news.google.com/rss/articles/CBMic0FVX3lxTE85MmNnNDd2QkUzaFV4QTZmTmJXNTAzbUZfMjdpdlNaSjEyODN0eW51ZUp0RzE3SHY2NzRuQlZtOHdtcnFQLWlBOGQ5eVQ3QTU1REJMWTRvZm1qTFZHZWZ0ZU9WTGRiYkhJNGVEaEliZW9GZWc?oc=5" TargetMode="External" Id="rId41"/><Relationship Type="http://schemas.openxmlformats.org/officeDocument/2006/relationships/hyperlink" Target="https://news.google.com/rss/articles/CBMivgFBVV95cUxOeUJHRExHRm0xT2ZMLXFqWWFjaXRUWDFrY2FpaDdYc3dlVy1tYy1GQ1hZSDk1OFZFVElOOU5NMVVia21KM2xPSUhWdnk3ZHRkTWV1emJBZkhQclp3aUtiUzRiX0dVZUZhaGRpUWlJUE8tUmhha1ZLUS1TRGM2dGlxRWJ2UWFkNGNsakZ6S1NTMWw0NGp0V0Zlc0xXTzBTRkJKaGZPT2tNcExKRHBaZXN2U3pIMkVKNTRVdy1mUkxB?oc=5" TargetMode="External" Id="rId42"/><Relationship Type="http://schemas.openxmlformats.org/officeDocument/2006/relationships/hyperlink" Target="https://news.google.com/rss/articles/CBMioAFBVV95cUxQdGo5XzZaLXUtaGVxUE5qb0ltRENoMjhVWlN4b0dqZFpPREJTNGw4Rld2bmtEX2VnSlB4TkJYVkxPUjdzZXYxZ2tWOG5kaWpUSFF1UGRjaUNKY3NOTkpVeFZpOFhMOW1QYkZIQXZ0ZTV4NjBseUVBYzdBdDNPTGNtc0pMRXFSWWM0SmVhS05Ld2hVemp5bHdkX290ZFltU3NC?oc=5" TargetMode="External" Id="rId43"/><Relationship Type="http://schemas.openxmlformats.org/officeDocument/2006/relationships/hyperlink" Target="https://www.tunnelsandtunnelling.com/news/snowy-2-0-cost-and-completion-date-revised/" TargetMode="External" Id="rId44"/><Relationship Type="http://schemas.openxmlformats.org/officeDocument/2006/relationships/hyperlink" Target="https://tunnellingjournal.com/mobile-shield-deployed-for-a14-vinci-tunnel-reconstruction/" TargetMode="External" Id="rId45"/><Relationship Type="http://schemas.openxmlformats.org/officeDocument/2006/relationships/hyperlink" Target="https://news.google.com/rss/articles/CBMilgFBVV95cUxPbVV1NmdrOGFidElfXzZzV1ppbDBCOEc5V0luUWxOSTAwMXNGdmhVMkoxMjUwSUpmbU5lQlBuNkFVTXZGMk5IRzd5Y0taREt0ckRUT3VqSjBfbGFPTmRjUTZFS18wLTQ5Wi1ZdnFtYWd1QmN0U0Nsekx4ZzR0YVk0dmhhTXVpTW1rdEpCbGlKLTZNVXVzMEE?oc=5" TargetMode="External" Id="rId46"/><Relationship Type="http://schemas.openxmlformats.org/officeDocument/2006/relationships/hyperlink" Target="https://www.tunnelsandtunnelling.com/news/abergeldie-awarded-patent-for-underground-hydrogen-storage-solution/" TargetMode="External" Id="rId47"/><Relationship Type="http://schemas.openxmlformats.org/officeDocument/2006/relationships/hyperlink" Target="https://tunnellingjournal.com/snowy-2-0-cost-rises-to-a22-2bn-as-tunnelling-reaches-65-completion/" TargetMode="External" Id="rId48"/><Relationship Type="http://schemas.openxmlformats.org/officeDocument/2006/relationships/hyperlink" Target="https://news.google.com/rss/articles/CBMiygFBVV95cUxNYnltUmU0VEdCNDdXUG4xWjNBYXRMUEdlU2dIanhJeHFBalFBOG9DaWx0Tk5KVnZqeGZSMkxZQTNNSkdzWTJHZl9oSDRRWXZOb2YwNFVLNWw5ZjBUY0ZZdTNpOWg5RlQ3M2xDMkt6bkRvMFhXc1k3bTZmVmpVLU9zdTEtQ1R6U1hvWmlPVHA3WjFwc1IwNldOSHV6UGI5VldtdS01bjQ4ZXl4d0N2bjBtWVFqRktLUkZtMFhtVmhrUUVkSEhBbmtJMjJ3?oc=5" TargetMode="External" Id="rId49"/><Relationship Type="http://schemas.openxmlformats.org/officeDocument/2006/relationships/hyperlink" Target="https://news.google.com/rss/articles/CBMixwFBVV95cUxPZGJXSXRVamN6M3Z6Ymc2NnU0ODdaRThOc2tqRWNRQ0VLeklmMTViYzh1RVZESzNZOUlwVkZBUS0zcDB5UFFXdlB1TUM0N0NSU1BJZFNSRERhdnBSeS1jU1B3aVFUQmh6bkxCbUFROEJ1NS0wUDVuMUhFeGNleWtCVUxBendKR0dFekxHQVFNejlTN0hOcGZadDZmWGRiZHdGZ0xNZVRuc21BYnpUWHg3LWx4UzJPbHNxVUJpWWxLdUtWVEhBcnBr?oc=5" TargetMode="External" Id="rId50"/><Relationship Type="http://schemas.openxmlformats.org/officeDocument/2006/relationships/hyperlink" Target="https://news.google.com/rss/articles/CBMi0gFBVV95cUxNcGZlMTE5MjVLdXpRZjFKNzcxQnZ5YmFUQ0xkeGljcmdESFNjZE1xai1JR196X3BEcTl6eWZmWjlPU3ZpQktHM3hWSmJvVEtUaGlSb2hNUWtmcjNpbV9hZXhRdVR1UEdMeC1fMTducHM4bElIOGFLZFhvZnZIMXM5OHRYdEJ4N2NVNGhGa181Qm8zTTd6d2dTQjVkSUZrRHdwcE5LVUxxY3JhSnN2di15NFVXWXJDU011NW5uejZQVmNtcHpvOU9NOXFzbVJNVU9TdnfSAeYBQVVfeXFMTXdwTjRSMVRXVjFOUGJEU1dkVDB2c1dCc0c0MnZIN1hZVHl4Z24taWFocko0SldESnk3LWltclY2TU94d0liMXM3YkxiVndZQVhCWFc5ZEROYjdCNFRCVmlEaTl0X2ZOXzRJQmtKSTFPWTVsNjZncVBudnBmckRjX1M3OEUwSVNYT2RtUF9SYzgxQlJHMWgxYVRkcUYwck9IOXBzeUE2Yi01QXRVeG1IQTFvOUxsaU9TNlVobzJROUhFVmV3bng5NFZnSlV3SFNiQXFkTGFMVFBwZUp2dUhIV1Z1RU5rNFE?oc=5" TargetMode="External" Id="rId51"/><Relationship Type="http://schemas.openxmlformats.org/officeDocument/2006/relationships/hyperlink" Target="https://news.google.com/rss/articles/CBMiREFVX3lxTE9KcGh5bWlxWEhKT3FXdU5qVjNOd3c3clQ1bGw1YWFmaHljV0U3ckZYcndLVTgtakJFSHZZQ3ViYXg2QnV4?oc=5" TargetMode="External" Id="rId52"/><Relationship Type="http://schemas.openxmlformats.org/officeDocument/2006/relationships/hyperlink" Target="https://news.google.com/rss/articles/CBMijAFBVV95cUxQdDFPZ1hLdVRrLUxWRTkyRWtWTjdrMTlTMi1EdW5meVA1dG5ZUWxNZ09MRThFeTk0OThLTDg4QkhBRlQwMzZkTnRBWnh2ZjdTWkhVWTcxX0QxYnNrMW9XOHNyVFZxeHpJMkthZDJRbGtsV0VuTjkwLXFTN0JSS2k2NU85em9uLWgtTjBjUQ?oc=5" TargetMode="External" Id="rId53"/><Relationship Type="http://schemas.openxmlformats.org/officeDocument/2006/relationships/hyperlink" Target="https://news.google.com/rss/articles/CBMic0FVX3lxTE56eFFxMjNpU2dPWkppM1RsMEJJbThwdXcyYk1id0t2V1RCYUFMQTJzVGRGMFBxODZlSi1IVERlM29jWGtJRUtkb1M5em1ISlMwd1hBVnkwNEVOb1hiWlkzNU9JZUJJbWZXNUFZWTh5YkE5SE0?oc=5" TargetMode="External" Id="rId54"/><Relationship Type="http://schemas.openxmlformats.org/officeDocument/2006/relationships/hyperlink" Target="https://news.google.com/rss/articles/CBMi0AFBVV95cUxNZm5rakRuTlVuWjFiMGV5Z2p4SmRJUTlTc3E4S0g0WnVzaEcwRTVTWjdrVVlBRl84ckNvRUpXQjh2bTY2R2RnNFZGOG5uVnpDZnBpSUM1S3JVd05lQUd0cVNNaG4zYUdNSjUyVmZ5TnZfM2RZN0UxUFFMeUJxSEgxSC16bFBlcG52cEN4RVh3dC1EM3g5R1ZTS2tuNVczZEJNRDdfaTZrMXRXb0cwS1NrdS1lb0VITjU5ajZfeXpINS1PVjNNeTNkNkJlX0o3R3NO?oc=5" TargetMode="External" Id="rId55"/><Relationship Type="http://schemas.openxmlformats.org/officeDocument/2006/relationships/hyperlink" Target="https://news.google.com/rss/articles/CBMieEFVX3lxTE5YeFpJbnV5Wkk5VGczTmxUT3Vod1U2UWltZHhMQmtKclRjcURMSGpiSjRHSWNNMjJUWmM2Z1JlUkNHNlgwU09XZXFaNEpKWEoyRG5pdzVvMFQ0aGc4VjdfZG1uWl9FWlVpNnJPTGZRam11WUtBaHdwVNIBfkFVX3lxTFBVV01qejl4ci1ZT3FCdDUtc1ppR3Y3UDM2Y0FjZFpYUEN4UUltSWgwd0Y4Y0lJY1UwTkI0Tm9YeFN2N19qMmhKaGpyQXNKN2hvOFpkZ2VWdno5NmFyOVY3WE9PdXNfTGJpVm9xUThadkdmV0xLNGZhTjFjdkFEQQ?oc=5" TargetMode="External" Id="rId56"/><Relationship Type="http://schemas.openxmlformats.org/officeDocument/2006/relationships/hyperlink" Target="https://news.google.com/rss/articles/CBMijgFBVV95cUxNdzRhVnVlVUVUU1k4S3pUQVo2RFJENXlEM1V6Z2FrVzRMQ2cxb0pZNkJpWUY5UWFHd1ZIUEZmU2x4SGtydEtXN3k2bTBIYWQ3VmZNZkNTRkhfRFctd3JZdThkRW1HTWIxYmVXRDZsazFZVTJsUzVjTWk0R2FIUElZRG5lLUpaeXpHRlZSdFBn?oc=5" TargetMode="External" Id="rId57"/><Relationship Type="http://schemas.openxmlformats.org/officeDocument/2006/relationships/hyperlink" Target="https://news.google.com/rss/articles/CBMilgFBVV95cUxNS29sd2RXaDlmWXJYMzNQSnJKZGpCWmJpOE9kVEdWQ2RFcUd0UHBGdHdRczJLbFRwTHFDb0ZPY1lHOHNsRGtTLXhTb081eGdyWF9YcmcxZkFrc2VNNzBJOUxNU1ppYnZtWlZBTTlZcXNfa2xNVUZWRTUyMkRlTHRUMmJ4Nk95a1kybUNTTmVPaklQSHktWUE?oc=5" TargetMode="External" Id="rId58"/><Relationship Type="http://schemas.openxmlformats.org/officeDocument/2006/relationships/hyperlink" Target="https://news.google.com/rss/articles/CBMizAFBVV95cUxOX3FrTEZHRzR0dFNpaDRjdm9hSlZqREtnQ0Nhak51bmpSbTdqOWtyeDNxV0RmekhHR1JNRjlOSXNzb295b0ZjdVJRb29aaUJLbE9JbDJlLUFkMHg4MnZpVkVnVE9pMW1pM3U5YlBjVmZGTVBxVlBtTkJOeHNleHBoQldIRGdNQXo5UExaQ2tqYmZ5Rnd1aEtuakUxalItUnk3ak83Nm5YNDFVZXo4bFBETEZ6czd4N2I1aE1jZnB3OE80Ym1EM2prQkZXMTc?oc=5" TargetMode="External" Id="rId59"/><Relationship Type="http://schemas.openxmlformats.org/officeDocument/2006/relationships/hyperlink" Target="https://news.google.com/rss/articles/CBMixgFBVV95cUxOVi1Wa2xtWXg5NW1rUUJDa2xWblVjTVpQY3QwdFdWVzJnQzBFcVJKSUtIdFdlMXZmdVhTX2FETTJOREZwVVJ0Yk5TdHVPdjhfX2tvV08yMVhBYVROS0hlalBzMWtuSHBmTWRNcTJhNTN4a0w3b1BIdnVxajVyOER5OGo4dmthTS1nM2ZqOG5Ja1ZkRTR1MFVvWXNhQ3ctX3FfZF9wdjJ6cEppVmc5OXRlWEp6NmRaWllSdGRDQmF6N2RWR3VVZnc?oc=5" TargetMode="External" Id="rId60"/><Relationship Type="http://schemas.openxmlformats.org/officeDocument/2006/relationships/table" Target="/xl/tables/table1.xml" Id="rId61"/></Relationships>
</file>

<file path=xl/worksheets/_rels/sheet4.xml.rels><Relationships xmlns="http://schemas.openxmlformats.org/package/2006/relationships"><Relationship Type="http://schemas.openxmlformats.org/officeDocument/2006/relationships/hyperlink" Target="https://www.tunnelsandtunnelling.com/news/snowy-2-0-cost-and-completion-date-revised/" TargetMode="External" Id="rId1"/><Relationship Type="http://schemas.openxmlformats.org/officeDocument/2006/relationships/hyperlink" Target="https://www.tunnelsandtunnelling.com/news/abergeldie-awarded-patent-for-underground-hydrogen-storage-solution/" TargetMode="External" Id="rId2"/><Relationship Type="http://schemas.openxmlformats.org/officeDocument/2006/relationships/hyperlink" Target="https://tunnellingjournal.com/snowy-2-0-cost-rises-to-a22-2bn-as-tunnelling-reaches-65-completion/" TargetMode="External" Id="rId3"/><Relationship Type="http://schemas.openxmlformats.org/officeDocument/2006/relationships/hyperlink" Target="https://news.google.com/rss/articles/CBMibkFVX3lxTE8wdVhYVXYyQ3RwMHAtOTNnUkh5TnhCcEtVem9XenhDMFo2UVFHbWtIaGIzVHhLb1BFQmd2akRLZkFMd1pQNWJDRElESUY1SUdvLWFfd1ZaUW5tZ0ZFcmIxckZxbXg1Z1RrbXI5V0Zn?oc=5" TargetMode="External" Id="rId4"/><Relationship Type="http://schemas.openxmlformats.org/officeDocument/2006/relationships/hyperlink" Target="https://news.google.com/rss/articles/CBMic0FVX3lxTE1zSGZTbjJtMlg2SGZxUUtTSjJMZVdlSUkxSjZBeEV1WExBUUh4ZjdOZWIzcGRHczE1dVZiOWgyQUxTdkZWOEJfM0Y1dk1mcGpKekl0dGR4VE1YRVhoYTFjV09IZGQ3dUNQcl9BSlN0QzhUSkE?oc=5" TargetMode="External" Id="rId5"/><Relationship Type="http://schemas.openxmlformats.org/officeDocument/2006/relationships/hyperlink" Target="https://www.geplus.co.uk/news/project-news/m4-landslip-work-begins-as-part-of-wider-repair-programme-23-10-2026/" TargetMode="External" Id="rId6"/><Relationship Type="http://schemas.openxmlformats.org/officeDocument/2006/relationships/hyperlink" Target="https://news.google.com/rss/articles/CBMia0FVX3lxTE45UVhrbTdIV2NXaVloOTBleGdWeThGbHNoSTJtMTE3cFlfalpoYVBnUEFoUVRJQUp5Z2pVOEZvaGZzRUtjRWtOMzY3Wll0RHJOUTB6c0JYdGEzOXk2VXltZUFkc3RURDBUYUg4?oc=5" TargetMode="External" Id="rId7"/><Relationship Type="http://schemas.openxmlformats.org/officeDocument/2006/relationships/hyperlink" Targe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 TargetMode="External" Id="rId8"/><Relationship Type="http://schemas.openxmlformats.org/officeDocument/2006/relationships/hyperlink" Target="https://news.google.com/rss/articles/CBMiogFBVV95cUxQNGhpZmtjSDF5eDFZZEJXaTdIZWo2QVZTRDVlc3E0T2pvQ2tRaURBcHpRUk5hSmFDNjNuaGV5X1pHeVdqc2RjR1dOQVhPc2tUUVRmb2RiWnB0dWNDcU96QUxGcVg1dmNxRlpfdTNmT0Z5ZG4wSXNTSmR5OUY4ZmRZcW9kNmRHS0ZaVUxyMW9ySU5TSWJlNzJCWWJaZGlrRHd1a2c?oc=5" TargetMode="External" Id="rId9"/><Relationship Type="http://schemas.openxmlformats.org/officeDocument/2006/relationships/hyperlink" Targe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 TargetMode="External" Id="rId10"/><Relationship Type="http://schemas.openxmlformats.org/officeDocument/2006/relationships/hyperlink" Target="https://news.google.com/rss/articles/CBMipwFBVV95cUxQM0JfTHl5bmwxRmJ6Y3lLZ2l6XzB1c0lkclVfRzJ2clZEV29YU25kOWNsX1hXNjFuUnJnVGNjRXBFa0V2RWlYVllQOVEzV1ZCY3VYNENpdk9wSGVNNlUtNGVwdGZhZDY5UUVTYW1OZHQ1TkFoUURUTFMwSWdoLU90QTU2VE5Md1NKOU1Rd041aXFxNUJ1OGc3QTAxLUpGbndSWXh0czMzSQ?oc=5" TargetMode="External" Id="rId11"/><Relationship Type="http://schemas.openxmlformats.org/officeDocument/2006/relationships/hyperlink" Target="https://news.google.com/rss/articles/CBMirwFBVV95cUxPRkxsbl9ZdlM1cmloa1JxT3ZENFdkYUI5U3pIZy1UM005NU9SVVFIVjVmZ1ZvTDNybGJkMHAtc3Ewd3RldnRYWHlrSnQ2R1hXN2xpR1BNREFxTlRlb2tFMnFJZ01VSEZqN0ZheUtlbWJEd3h2SURJb3ppVWl6dTU2Y21zZGJGR1hpMWdNUmNfdWluZDJQYzZkeC1QTHhEUFNmcVhTVWtnWWxiUDczMmtr?oc=5" TargetMode="External" Id="rId12"/><Relationship Type="http://schemas.openxmlformats.org/officeDocument/2006/relationships/hyperlink" Target="https://news.google.com/rss/articles/CBMiogFBVV95cUxOYkthemxCdGdtc1c3TnBBbGY4MVZlMDFvWnZiX3E4UERSQ1lsX2g4R0x5VHVaVndQdnJHQTBZSy02bV8wT1d4RVZ6WHRVN2w0UUx1MFRMbDhINzgtWlJJLXFKOHIzWFRZa1VmZUVFNUNCM3hRdE9GUGZpdVNQQnd3ZmxRTWZFOGU5REFvOTg4cG40YkU1bDhlZ2pQSkR5Ti04Q1E?oc=5" TargetMode="External" Id="rId13"/><Relationship Type="http://schemas.openxmlformats.org/officeDocument/2006/relationships/hyperlink" Target="https://news.google.com/rss/articles/CBMi4wFBVV95cUxOV1p0dUF2OVZleURvUHhJbGxjNFdrR3hCalZqUEZ0SktHbHdzLTZEMmtBT3lWYXVkY0l3SDM0TjNwWTBtM0FjdlRoYzlfQTBQLVNaLUFtWDNrMU9KbXBzLVZWekN4bGFVSzA0R1RLOFBiMlBsSnNILVBuZ1hEemQtZm9FaE1URVdSREVoRzZDM0dPZkNwdzJfQ3pMRjZ0cFJmLXB6a3ZyZ2NjcjNMTllsVmV6X0M0OVhpcHA5a3RiU0lMdnhoeXJwVGp1SDRwYlFkd3M0emJTTEkwQjVmS0VxVDNqUdIB6AFBVV95cUxObTcwd3VqRWxyLWRxRWVkWEJubW50cjBiaFhrWHl0QTQteWxtUzYxZHo5NGgzdmtVdHprVVlPcWhZX25LQXBfbU5ZM3E4UmRMU3ZLYXl1UFNfOTFvSi1mam9sMTE4MVp1aWdTWmptM2ViUThUOFZsSTBFSHZ1azFQOUN4dWtid1RwQlQwRVVRV2p1OUFhaWh2Q3RuWThaNkh4NFhhckhac1ozQzR0bzAtbExmcU5RVm15WGNzd3RTcEY4QkhwTTBvZ1JBbU9zME9qeXRrM0c1OTRKUlBzYy1DUkJ2Y2RBaW9q?oc=5" TargetMode="External" Id="rId14"/><Relationship Type="http://schemas.openxmlformats.org/officeDocument/2006/relationships/hyperlink" Target="https://news.google.com/rss/articles/CBMif0FVX3lxTE4zQm1aVUtwTUM2RWlZZXpKOEdDX0xZYk41cGNLaDNFNDNlQko2SGxxTmVtLVBBQm9VZkFIOFBmUE1PSE1KclNSUHNQMDhUTGRiWnE0R0ZPcDFFV3E4R3U4M19FZzI2akVUNFRvRkgwSkxuMkZpWmU4Tlh5WTNoQ2M?oc=5" TargetMode="External" Id="rId15"/><Relationship Type="http://schemas.openxmlformats.org/officeDocument/2006/relationships/hyperlink" Target="https://news.google.com/rss/articles/CBMimwFBVV95cUxPLTkyck5DaWR1VmtTV3hIeXVJaWNDUnNpR1AzZDlLbVdzdC1kSmJfTjM3T000WGlLSWt5S2hfSzItS3Y5MkFJZWRZaktBTlNVVFFyRjNHRndpczhWYkdvNFBFY1MxbXA4VTRWWlpCeVdqTWFNbG9HTldyRlRwQkdUYVV2SDNBOGFRUU9WM3pIMG16RUZBWGttYTRmVQ?oc=5" TargetMode="External" Id="rId16"/><Relationship Type="http://schemas.openxmlformats.org/officeDocument/2006/relationships/hyperlink" Target="https://news.google.com/rss/articles/CBMiugFBVV95cUxPTWJZUVVOZ3hOTjliMDhtRWVCaFQyYnB3SzNtaDlrOGg4b1VzVnUzM3Rjc3l3T0ZrUFBXNWRWRnJNdGF4WVpJR29aS1VjSkFIZnFubFVCZnJFS3NQZW93VHlaQ2p6RUcxbFhlOUdzRmZGRDhkVHZFTkkwSk1rZm1vdWFXS0JDdkxsWDg4YzhHWVoyeEVSQnRocXlqcnRab1lSSS1GQXhNT24zSTlCTGhVU2c5NzUwaWctdXc?oc=5" TargetMode="External" Id="rId17"/><Relationship Type="http://schemas.openxmlformats.org/officeDocument/2006/relationships/hyperlink" Target="https://news.google.com/rss/articles/CBMiigFBVV95cUxPZWVidFMzVlYxMDdISl9EQ2U0U3hiaVU2NmFPN09jYzZUem1CaXB3N1I4S1l0VW9Ka1l1LU9kVnY2bDQzUnFKWUFiNnF3azVkeEZoUGpxREdXNExtd2ZwRWVtNmZPTUkxUnA5TmFsczUyX3hkLUpJYmtFVU5yeTRONV9nb2VfNjVPZnc?oc=5" TargetMode="External" Id="rId18"/><Relationship Type="http://schemas.openxmlformats.org/officeDocument/2006/relationships/hyperlink" Target="https://news.google.com/rss/articles/CBMi4wFBVV95cUxQSXAyb195dGp6RURzRWliZzhoYmI2S0RUbUJQZG10eHVNSDVFZDE0bW1naTNubEgxU1k5UWxOTV9QUjJiLXZxWlJjOVV5aTh5V1J3Tm11UFdsZ2dJMnYzWTdvekpSWXhoSG1QZGF2a2o3UXRkWjh6VTNqcS14cXBJSUd4NXplcUg1Ri1EN1IzN1dyblF3clU3ZE42YmNra1hhYVF5c1Azd2I0U3VoaFY0a1pDY1huU3NmUXhOQnAzeHVSY3BQTV9uV3hsckJxaUx1SHhPQ1VUU21kZWFVZGJVRGtzRQ?oc=5" TargetMode="External" Id="rId19"/><Relationship Type="http://schemas.openxmlformats.org/officeDocument/2006/relationships/hyperlink" Target="https://news.google.com/rss/articles/CBMimwFBVV95cUxPMFBaWmJuQ3NGTklKMkNGckRqWFA0WW1sLXlvY1QxanR4YkN6YVVpejBld3ctZVREbkVPWnVab2FBOEZtTXoyeVRmTDE3TXF3ck5IRzNkNFJRZ0lmZmlqLTIwWGZhV0N0RFFiNGVPMnJBcHc4RXBBdjRqdmh5WnZSb1VkZ3B2Q3hva0JybF8tbVI0WjVQVFVsNHUxTQ?oc=5" TargetMode="External" Id="rId20"/><Relationship Type="http://schemas.openxmlformats.org/officeDocument/2006/relationships/hyperlink" Target="https://news.google.com/rss/articles/CBMia0FVX3lxTE5yN3NxbVRJdUpIaWRZaHJQMGx1MktYUTdSRHlXd0xCR0tiSkhtNEotVmltaFRvVzFvY3Qxcm1JOFVCb1RBWXVtMTZRVWRtdC1DMERha1RoblFxTjhBT01GR1hWQ1JLTlRFMW1V?oc=5" TargetMode="External" Id="rId21"/><Relationship Type="http://schemas.openxmlformats.org/officeDocument/2006/relationships/hyperlink" Target="https://news.google.com/rss/articles/CBMiowFBVV95cUxNbDZHMUZRd0NyUDliQlNXWEZ4bUdaWFJJbk1NRHZIdUlpRzFObmV2bzBkUVpKbzhuUmkxZHI1U0JENHktOGIxOGlvbEtwS3RScWJ0SWhGR0gtNU9lWWNSc1RoMmtsWjJIT3F2ZzByazhRVUViN2FLa3RqSGt5VkxKZUM3WjdrT2NGc2tYeWJWQmR2RmxEZzlYUmczNFBjMlpXVVNB?oc=5" TargetMode="External" Id="rId22"/><Relationship Type="http://schemas.openxmlformats.org/officeDocument/2006/relationships/hyperlink" Target="https://news.google.com/rss/articles/CBMiiAJBVV95cUxPQkl0dnN1WVR0endSWTZuYVpjZTBnV2VWTnVTVjdyb1NJTlFKVjJWY21lS0dPZzFrSkdlSlI2VU5Cc1NMQ0VHNTlPWUFkSVRZWEhWbFRxaU91bXRRMTF6LW9kYWVKSHFBOUptTVZuTGdTX1lZYzBDQkZ5QTJGUmVXcVd3c3lmU01zM3Zjd1VmZ183aFkxOERqQWJHbVlqMU5EbzBRSWpHRjNMeFVHRXlVSURpZHFnRXZIX1Q0X3RSMW8zcVZKVFZoOWViVlYzVnNWZloxTW5LNThJTWV2bURLSjJ1eEZiRFhnd2phLVVjUV9mdHVjN0Q0dE93WE9wRVR1ZlFFTE8tNnk?oc=5" TargetMode="External" Id="rId23"/><Relationship Type="http://schemas.openxmlformats.org/officeDocument/2006/relationships/hyperlink" Target="https://news.google.com/rss/articles/CBMibkFVX3lxTE9HOUMyWW5vRXVWOG5ZemlXOFFsQWYwVl9lRW53VTV1MVFFQUF4eGgwWTRKQ0p5RGlWLUgzdUNUSW9aQXRRMkduTGFBVmhOVWluT19OLXU5REgzMVdVOUwtTVRmY3Y5WGdwaE9RcG9B0gFuQVVfeXFMT0c5QzJZbm9FdVY4bll6aVc4UWxBZjBWX2VFbndVNXUxUUVBQXh4aDBZNEpDSnlEaVYtSDN1Q1RJb1pBdFEyR25MYUFWaE5VaW5PX04tdTlESDMxV1U5TC1NVGZjdjlYZ3BoT1Fwb0E?oc=5" TargetMode="External" Id="rId24"/><Relationship Type="http://schemas.openxmlformats.org/officeDocument/2006/relationships/hyperlink" Target="https://news.google.com/rss/articles/CBMiWEFVX3lxTE1USkR5eG9yOEoxdF9oR1JuMU4tOUdCNkREX0dNUFFvWWd5UXZaT0ZkQk54eUhVbFg4QlI5SF8yTHlGZFZldTBsdnpFRDY5X290bkt0YzBXOTbSAVhBVV95cUxNVEpEeXhvcjhKMXRfaEdSbjFOLTlHQjZERF9HTVBRb1lneVF2Wk9GZEJOeHlIVWxYOEJSOUhfMkx5RmRWZXUwbHZ6RUQ2OV9vdG5LdGMwVzk2?oc=5" TargetMode="External" Id="rId25"/><Relationship Type="http://schemas.openxmlformats.org/officeDocument/2006/relationships/hyperlink" Target="https://news.google.com/rss/articles/CBMikgFBVV95cUxPcTFMNDFOcFc5MjJHLWgxTldJbW9TT3doRG10TDRuSzlYNGNSSU5DOU1Razc0dkRYY0IyeVN1OHoyT3U2WG9wNUh5VW81UEd6anIwMDF1Ym1yQ3VlVk4wZ05saEh2VFFBMnZqOV9nbkFud0NMbWZ6NW9UU0pha0E3enQxdHQtU3JaNktBMlNxWTg2Zw?oc=5" TargetMode="External" Id="rId26"/><Relationship Type="http://schemas.openxmlformats.org/officeDocument/2006/relationships/hyperlink" Target="https://news.google.com/rss/articles/CBMiUkFVX3lxTFBBaDhzbmpCUVV6Y1lGN3hyYllJRGRHNkUta1M3SVpkamJ5MGktVWZHdDJqLWloWW40SmVzTldUSWc0UXliVXJOVWR2VmJoWUtGc0E?oc=5" TargetMode="External" Id="rId27"/><Relationship Type="http://schemas.openxmlformats.org/officeDocument/2006/relationships/hyperlink" Target="https://news.google.com/rss/articles/CBMibEFVX3lxTE9qd0p2T2p3a1lzbEg5TnFXNDZ2VXRhLWIzbGk1U0pnQlFCUk1RU2tqdFFXeEt4RkM3bThuVUUyelBfNHJMdlFmMThyZG9UakhLLTFqTGJBTDBKVmN1bXlqQmYyX1U3eHIyWTNfTw?oc=5" TargetMode="External" Id="rId28"/><Relationship Type="http://schemas.openxmlformats.org/officeDocument/2006/relationships/hyperlink" Target="https://news.google.com/rss/articles/CBMi8wFBVV95cUxNNlBCakVVSHBHTXI5UXNfdFF4SmtBTHZaWWhZaF9TYklINTZFZVpuNHlSbE5HNHBIUmJyd1BQSlJtamZ1ZGxBU1lxVmVib2RHRVFPRmszbmFtWVNxenlGeVk2TGRpaXJRNUdPbklLUXRCY1E1ZGhhQVB2Q0pHSU9VMTZJMkVfRnh2ZHJ3V3JJTmtqUDhUX1lMMk1GX3IxVGRDY0VNbHpmY0pWcmJVN1p6eWFzLWQ5ZmdoOEZrRXBNRHNaRDFlYkpXdDZORU5iek80RHBwUzdBb1A3OF9DTExya013WnpwYTRuWjJLeFhXc3ZCUlk?oc=5" TargetMode="External" Id="rId29"/><Relationship Type="http://schemas.openxmlformats.org/officeDocument/2006/relationships/hyperlink" Target="https://news.google.com/rss/articles/CBMi6AJBVV95cUxPTTNxbUF2ODR0d0dfM2ZBb3B0Y0lvRElsVjNPbk1aV0JSMF9SeHFfbGk1cFNVTTZ2TjhlTW5ldEVCcmVmdHNSM0xxN0hIbjFveHdxdVBJSl9FLUNDOUJ6a0tWcy1SQTltUWJuUHl3SDNmbzlEc2NSWW5JemxmOVJidVZBUjhwYUV2NTc1cnBKUkw4Zlg4bzJlbkJaTzA3Y1Rvel9zbVFEZ1lRVUdsaTNRLU9YZG9RbXZLcXZTQ3BaUXJLcV9BMlYxRU9DZl91YVV6OExlSnU4bnh5V0wxVWVvV29jWVdlQ2x5dTVXT202T1JTek5nbEhkdkZlMHFPd3UxZ0hUdXl0cVUxYXBybmNNcmFkS0VmeGhhNDc1V3dMRGpQelpZSDZGaFZIRnpFVGRKZTV3VURCTkNaMW5WZnpGcUd2VjlsZzd0VjJRa1BCUE1IWXNCSHZ5VHNrQlhUZUlFWjYxWHpmbzPSAfwCQVVfeXFMUEN6dkx4WFpjY3ozMFFuZnZiNEc4ZFlsSUNhemhCMXdKQi1DbEhMS1gwdzBwZTBjME9ZdjJaX2FhM0JmcWx5MnNDMHNsZC1iTDBkbmdjZHhLZjZaSVBfWGZZUmVONnpWU0RucGM4a0lKNjVsWVdyd1BJMG1mdm5lRHMyU3lhTW84am52eVJTMjNzZ2duTGpScGN0NlA0QkdBV1hTV3E0WllEc182YXE1Y1lvOUhEWHhNUXpRcHRfbGtXZFFReXZXSnE1Z3MtVWc2YXNfT0JWLW1OSkRaYWJrdWtiRU9JRU1EQjUwcTNSem1obGNocHYyV2pLQVhlbGJBZDM1RGx2UkNJVUY0VV9jR1VBZUtGOEs1OVdOQzVkZU1sYVU4RkpxSkNpdUpyeS10QmZiX0xwSUs2U0FFd0JFckY1SElKZEptMHhwUklKN0YwekFCTkpFLXRuZjBmUFpYc3pGWVQtMG9uajhwOXlUN295QllOaE9tazdSbEc?oc=5" TargetMode="External" Id="rId30"/><Relationship Type="http://schemas.openxmlformats.org/officeDocument/2006/relationships/hyperlink" Target="https://news.google.com/rss/articles/CBMi5AFBVV95cUxQN2dkNUMtV1kwNUFwMFA0VWRsUmN6Q3RhTDhyTWtHODFmSHhEWWdtT0Jwazg3Nk54S0ZnRF82OHpybVI2OVhIbkp0c1dQX3N1Ny1OTkZhR2hHQUMzYXJfT3BzX3I2Y3d6WndQNno2QTloWDFESzVxUTRMZDZOSDNQUzJYVTBsTks2Mll4SjZRYkZxbWxjOHByeGVkUkg5d1d3UWxmQUtBTG1lWDRTMGNOQWZnRGRtR3c4a2xiRUFHY3laMDJzX0VYUk9GZkR2akQ3bkNKeGU1aVYwb1F0WE14WVVVQ0bSAYwBQVVfeXFMT2I5Zk9zQW9sMnMteVFacFllV19JRWVQT0JfUGNTSTJ0R2FLYmpjTEhkQ3EzWTVmRDRWUWxJcTF3WmxDNnJIaUV2amNuNm5sSTJJV08wb184aWR0czBDRm5qdnN5WEM3ak5zQl9mendjUDhHaU0tbzVjQTNwY1dzNUUxT3pVU3kxeVpXa2k?oc=5" TargetMode="External" Id="rId31"/><Relationship Type="http://schemas.openxmlformats.org/officeDocument/2006/relationships/hyperlink" Target="https://news.google.com/rss/articles/CBMi7AFBVV95cUxON0hLN3oxMFdMX0dlRUtVNHhVQ2Y2Nk00NHlEUUVSb1N0bmRXakNHcUNOcFcyVWl1UXp1Wm5ObjE1X0RDdThWSWJZazE2WVA5MTR0ckM0OV9BeHVOUFoySjUyRFdrN1FiVDVzd253R0JKSE9yN3ZzN0NHS1hJSGwxNmVQUzVyZlNsbURWQ3ZBdktrTkdYWElFcVBpVm5FU3pFeGZpNkl4V08zMkpGOTM2R0czXzJVS1NTcXBGcnViOXZmTmJJRFJkNXpSUTNEanFWeWpDdU9xbE9mVXFndU1zNVh2TC0zcHpuWEcwcg?oc=5" TargetMode="External" Id="rId32"/><Relationship Type="http://schemas.openxmlformats.org/officeDocument/2006/relationships/hyperlink" Target="https://news.google.com/rss/articles/CBMioAFBVV95cUxQdGo5XzZaLXUtaGVxUE5qb0ltRENoMjhVWlN4b0dqZFpPREJTNGw4Rld2bmtEX2VnSlB4TkJYVkxPUjdzZXYxZ2tWOG5kaWpUSFF1UGRjaUNKY3NOTkpVeFZpOFhMOW1QYkZIQXZ0ZTV4NjBseUVBYzdBdDNPTGNtc0pMRXFSWWM0SmVhS05Ld2hVemp5bHdkX290ZFltU3NC?oc=5" TargetMode="External" Id="rId33"/><Relationship Type="http://schemas.openxmlformats.org/officeDocument/2006/relationships/hyperlink" Target="https://tunnellingjournal.com/mobile-shield-deployed-for-a14-vinci-tunnel-reconstruction/" TargetMode="External" Id="rId34"/><Relationship Type="http://schemas.openxmlformats.org/officeDocument/2006/relationships/hyperlink" Target="https://news.google.com/rss/articles/CBMilgFBVV95cUxPbVV1NmdrOGFidElfXzZzV1ppbDBCOEc5V0luUWxOSTAwMXNGdmhVMkoxMjUwSUpmbU5lQlBuNkFVTXZGMk5IRzd5Y0taREt0ckRUT3VqSjBfbGFPTmRjUTZFS18wLTQ5Wi1ZdnFtYWd1QmN0U0Nsekx4ZzR0YVk0dmhhTXVpTW1rdEpCbGlKLTZNVXVzMEE?oc=5" TargetMode="External" Id="rId35"/><Relationship Type="http://schemas.openxmlformats.org/officeDocument/2006/relationships/hyperlink" Target="https://news.google.com/rss/articles/CBMiREFVX3lxTE9KcGh5bWlxWEhKT3FXdU5qVjNOd3c3clQ1bGw1YWFmaHljV0U3ckZYcndLVTgtakJFSHZZQ3ViYXg2QnV4?oc=5" TargetMode="External" Id="rId36"/><Relationship Type="http://schemas.openxmlformats.org/officeDocument/2006/relationships/hyperlink" Target="https://news.google.com/rss/articles/CBMijAFBVV95cUxQdDFPZ1hLdVRrLUxWRTkyRWtWTjdrMTlTMi1EdW5meVA1dG5ZUWxNZ09MRThFeTk0OThLTDg4QkhBRlQwMzZkTnRBWnh2ZjdTWkhVWTcxX0QxYnNrMW9XOHNyVFZxeHpJMkthZDJRbGtsV0VuTjkwLXFTN0JSS2k2NU85em9uLWgtTjBjUQ?oc=5" TargetMode="External" Id="rId37"/><Relationship Type="http://schemas.openxmlformats.org/officeDocument/2006/relationships/hyperlink" Target="https://news.google.com/rss/articles/CBMic0FVX3lxTE56eFFxMjNpU2dPWkppM1RsMEJJbThwdXcyYk1id0t2V1RCYUFMQTJzVGRGMFBxODZlSi1IVERlM29jWGtJRUtkb1M5em1ISlMwd1hBVnkwNEVOb1hiWlkzNU9JZUJJbWZXNUFZWTh5YkE5SE0?oc=5" TargetMode="External" Id="rId38"/><Relationship Type="http://schemas.openxmlformats.org/officeDocument/2006/relationships/hyperlink" Target="https://news.google.com/rss/articles/CBMi0AFBVV95cUxNZm5rakRuTlVuWjFiMGV5Z2p4SmRJUTlTc3E4S0g0WnVzaEcwRTVTWjdrVVlBRl84ckNvRUpXQjh2bTY2R2RnNFZGOG5uVnpDZnBpSUM1S3JVd05lQUd0cVNNaG4zYUdNSjUyVmZ5TnZfM2RZN0UxUFFMeUJxSEgxSC16bFBlcG52cEN4RVh3dC1EM3g5R1ZTS2tuNVczZEJNRDdfaTZrMXRXb0cwS1NrdS1lb0VITjU5ajZfeXpINS1PVjNNeTNkNkJlX0o3R3NO?oc=5" TargetMode="External" Id="rId39"/><Relationship Type="http://schemas.openxmlformats.org/officeDocument/2006/relationships/hyperlink" Target="https://news.google.com/rss/articles/CBMieEFVX3lxTE5YeFpJbnV5Wkk5VGczTmxUT3Vod1U2UWltZHhMQmtKclRjcURMSGpiSjRHSWNNMjJUWmM2Z1JlUkNHNlgwU09XZXFaNEpKWEoyRG5pdzVvMFQ0aGc4VjdfZG1uWl9FWlVpNnJPTGZRam11WUtBaHdwVNIBfkFVX3lxTFBVV01qejl4ci1ZT3FCdDUtc1ppR3Y3UDM2Y0FjZFpYUEN4UUltSWgwd0Y4Y0lJY1UwTkI0Tm9YeFN2N19qMmhKaGpyQXNKN2hvOFpkZ2VWdno5NmFyOVY3WE9PdXNfTGJpVm9xUThadkdmV0xLNGZhTjFjdkFEQQ?oc=5" TargetMode="External" Id="rId40"/><Relationship Type="http://schemas.openxmlformats.org/officeDocument/2006/relationships/hyperlink" Target="https://www.geplus.co.uk/key-topics/sustainability/floating-wind-needs-grounded-solutions-23-10-2026/" TargetMode="External" Id="rId41"/><Relationship Type="http://schemas.openxmlformats.org/officeDocument/2006/relationships/hyperlink" Target="https://news.google.com/rss/articles/CBMingFBVV95cUxQS3doM1BoVjZsRlp4V0theDZtSFZUWEhySWJwSDIzUFpjV09lV201bzV0OFFuYVZrS1lJT3BXd2ZJNVpWbWpJbm5MSlpUb004MnlwRlJYMmV3bnpNWEZSc0pocTBxaWRHcHVYc3lPdmFESG85TUc5UkJ4YVljMWZPbmJzcWlXd25iTTRuQmNjNHg3U3BHalpHTUNTWE9nQQ?oc=5" TargetMode="External" Id="rId42"/><Relationship Type="http://schemas.openxmlformats.org/officeDocument/2006/relationships/hyperlink" Target="https://news.google.com/rss/articles/CBMilwFBVV95cUxNcG13NlMtVlJSQ0ZDYTM0cGN0NmZzaEtGVDFnV2ZGNkIzM1p0MU0wdUFpbnNDdFFDa0l6M1F6NW5hX2pMNFViN2lfWE80dlJFUGpiOWRfSFhBRWN1d1g2b3o5a1kxNUhIVHRNUUJ6TG5EMXdxcnE2bG9TTWxIc2dDUjBLTlpmNjg5WFVtZE15SWhRY0sxSWtv?oc=5" TargetMode="External" Id="rId43"/><Relationship Type="http://schemas.openxmlformats.org/officeDocument/2006/relationships/hyperlink" Target="https://news.google.com/rss/articles/CBMikwFBVV95cUxOUmJPNnl3dVdQRml6UUt3S1Joa05VaE9sdjdhNWZZeVN6QUdqdnFIS2NiMWdGMl9KN093Wm1naTRFcDRoek1UTVQxNGJkZ2lkajUyVnhRRFF4ZTV1UlhsS3NodG80YlpGdlpuOHRaaGFnaXJ5cDN4eTd0VFZJdldPMlczVVZ1NmZZdExSemVKM3lXWUk?oc=5" TargetMode="External" Id="rId44"/><Relationship Type="http://schemas.openxmlformats.org/officeDocument/2006/relationships/hyperlink" Target="https://news.google.com/rss/articles/CBMihgFBVV95cUxNZlBjUzdTUHFfNm9fQnZtclVPRG1ZdWtERFVpMHRYYzRrTGV1alZYeU4yR240ZnM4bFZEMkhFMEtJbk1fakR3dzgyRm12YkZZdkpnTjE4UGNBR2otMlpsbkVpdDdGbXBPbUdYaU5ldjBqUnA1c1hwcFF4Yjl3NXVFcHRacHlTZw?oc=5" TargetMode="External" Id="rId45"/><Relationship Type="http://schemas.openxmlformats.org/officeDocument/2006/relationships/hyperlink" Target="https://news.google.com/rss/articles/CBMic0FVX3lxTE85MmNnNDd2QkUzaFV4QTZmTmJXNTAzbUZfMjdpdlNaSjEyODN0eW51ZUp0RzE3SHY2NzRuQlZtOHdtcnFQLWlBOGQ5eVQ3QTU1REJMWTRvZm1qTFZHZWZ0ZU9WTGRiYkhJNGVEaEliZW9GZWc?oc=5" TargetMode="External" Id="rId46"/><Relationship Type="http://schemas.openxmlformats.org/officeDocument/2006/relationships/hyperlink" Target="https://news.google.com/rss/articles/CBMivgFBVV95cUxOeUJHRExHRm0xT2ZMLXFqWWFjaXRUWDFrY2FpaDdYc3dlVy1tYy1GQ1hZSDk1OFZFVElOOU5NMVVia21KM2xPSUhWdnk3ZHRkTWV1emJBZkhQclp3aUtiUzRiX0dVZUZhaGRpUWlJUE8tUmhha1ZLUS1TRGM2dGlxRWJ2UWFkNGNsakZ6S1NTMWw0NGp0V0Zlc0xXTzBTRkJKaGZPT2tNcExKRHBaZXN2U3pIMkVKNTRVdy1mUkxB?oc=5" TargetMode="External" Id="rId47"/><Relationship Type="http://schemas.openxmlformats.org/officeDocument/2006/relationships/hyperlink" Target="https://news.google.com/rss/articles/CBMi0gFBVV95cUxNcGZlMTE5MjVLdXpRZjFKNzcxQnZ5YmFUQ0xkeGljcmdESFNjZE1xai1JR196X3BEcTl6eWZmWjlPU3ZpQktHM3hWSmJvVEtUaGlSb2hNUWtmcjNpbV9hZXhRdVR1UEdMeC1fMTducHM4bElIOGFLZFhvZnZIMXM5OHRYdEJ4N2NVNGhGa181Qm8zTTd6d2dTQjVkSUZrRHdwcE5LVUxxY3JhSnN2di15NFVXWXJDU011NW5uejZQVmNtcHpvOU9NOXFzbVJNVU9TdnfSAeYBQVVfeXFMTXdwTjRSMVRXVjFOUGJEU1dkVDB2c1dCc0c0MnZIN1hZVHl4Z24taWFocko0SldESnk3LWltclY2TU94d0liMXM3YkxiVndZQVhCWFc5ZEROYjdCNFRCVmlEaTl0X2ZOXzRJQmtKSTFPWTVsNjZncVBudnBmckRjX1M3OEUwSVNYT2RtUF9SYzgxQlJHMWgxYVRkcUYwck9IOXBzeUE2Yi01QXRVeG1IQTFvOUxsaU9TNlVobzJROUhFVmV3bng5NFZnSlV3SFNiQXFkTGFMVFBwZUp2dUhIV1Z1RU5rNFE?oc=5" TargetMode="External" Id="rId48"/><Relationship Type="http://schemas.openxmlformats.org/officeDocument/2006/relationships/hyperlink" Target="https://news.google.com/rss/articles/CBMizAFBVV95cUxOX3FrTEZHRzR0dFNpaDRjdm9hSlZqREtnQ0Nhak51bmpSbTdqOWtyeDNxV0RmekhHR1JNRjlOSXNzb295b0ZjdVJRb29aaUJLbE9JbDJlLUFkMHg4MnZpVkVnVE9pMW1pM3U5YlBjVmZGTVBxVlBtTkJOeHNleHBoQldIRGdNQXo5UExaQ2tqYmZ5Rnd1aEtuakUxalItUnk3ak83Nm5YNDFVZXo4bFBETEZ6czd4N2I1aE1jZnB3OE80Ym1EM2prQkZXMTc?oc=5" TargetMode="External" Id="rId49"/><Relationship Type="http://schemas.openxmlformats.org/officeDocument/2006/relationships/hyperlink" Target="https://news.google.com/rss/articles/CBMixgFBVV95cUxOVi1Wa2xtWXg5NW1rUUJDa2xWblVjTVpQY3QwdFdWVzJnQzBFcVJKSUtIdFdlMXZmdVhTX2FETTJOREZwVVJ0Yk5TdHVPdjhfX2tvV08yMVhBYVROS0hlalBzMWtuSHBmTWRNcTJhNTN4a0w3b1BIdnVxajVyOER5OGo4dmthTS1nM2ZqOG5Ja1ZkRTR1MFVvWXNhQ3ctX3FfZF9wdjJ6cEppVmc5OXRlWEp6NmRaWllSdGRDQmF6N2RWR3VVZnc?oc=5" TargetMode="External" Id="rId50"/><Relationship Type="http://schemas.openxmlformats.org/officeDocument/2006/relationships/hyperlink" Target="https://news.google.com/rss/articles/CBMilgFBVV95cUxPaWJCQW9La1Z3UklqdWVaNWVLV3l0TFplUEg0R3h5ZzBSNlJtZnpNb2FONml5V3FqbnJGTnZvQ2JZSllHZGRoX3NWR0l6Q0oyWE02RXlncnRfREVCa0xBRnVMTDNhcWRxLURrVTNJUEl5UkdlU0RtdU9UcUpVdVFzblQ0UmdOVlR0YTBfTVpDbjZud2p5d1E?oc=5" TargetMode="External" Id="rId51"/><Relationship Type="http://schemas.openxmlformats.org/officeDocument/2006/relationships/hyperlink" Target="https://news.google.com/rss/articles/CBMijgFBVV95cUxORHhvYWNuVVRGRXIybWtsektBWDRYYkhhLWlYd2FwS0pBV2wzWklDdzN3UGxXLWZpa1ZLT0lWM0RZa1RXY0ZDRS1HYUdDV1RJU2dWWFpWalZ3cEhkaGJsYjk2WUZrWXQ3M2hXTWFVSGxSYjFhUzBOVlNnSUYxdVhtMGNBellTcmV4Q295SDJ3?oc=5" TargetMode="External" Id="rId52"/><Relationship Type="http://schemas.openxmlformats.org/officeDocument/2006/relationships/hyperlink" Targe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 TargetMode="External" Id="rId53"/><Relationship Type="http://schemas.openxmlformats.org/officeDocument/2006/relationships/hyperlink" Target="https://news.google.com/rss/articles/CBMijAFBVV95cUxOLWcwOXFBTWY2NnVDYW5EVi1yMldxeWpKd3NNTjB6SjMtS2FFRjBYQUd6ek1FYkVnVndOX0J3YXk1a3dVZW9KRWFCaV9KaHc4a25tdDBTWmFXc2hnU09sWEtNb2gxVjFhQ3RJaEJpVWhURWowRjNwVlV6ZG9RWVRlb1lpYXBrUV9YU0dDOQ?oc=5" TargetMode="External" Id="rId54"/><Relationship Type="http://schemas.openxmlformats.org/officeDocument/2006/relationships/hyperlink" Target="https://news.google.com/rss/articles/CBMibkFVX3lxTE5PclBzMHZTYkNxbkRYVWFacWgzMjRTdE1JdmNYSi1xbTlBaVZLRTVjTHpCTlQ4c2lEQ2xoMk9kcEdROGxBOFI4Zk9YV3JGSXdUZDg1blVlelJzbU54VjkzTkUySEV5Z2x2aHY5R0xB?oc=5" TargetMode="External" Id="rId55"/><Relationship Type="http://schemas.openxmlformats.org/officeDocument/2006/relationships/hyperlink" Target="https://news.google.com/rss/articles/CBMiygFBVV95cUxNYnltUmU0VEdCNDdXUG4xWjNBYXRMUEdlU2dIanhJeHFBalFBOG9DaWx0Tk5KVnZqeGZSMkxZQTNNSkdzWTJHZl9oSDRRWXZOb2YwNFVLNWw5ZjBUY0ZZdTNpOWg5RlQ3M2xDMkt6bkRvMFhXc1k3bTZmVmpVLU9zdTEtQ1R6U1hvWmlPVHA3WjFwc1IwNldOSHV6UGI5VldtdS01bjQ4ZXl4d0N2bjBtWVFqRktLUkZtMFhtVmhrUUVkSEhBbmtJMjJ3?oc=5" TargetMode="External" Id="rId56"/><Relationship Type="http://schemas.openxmlformats.org/officeDocument/2006/relationships/hyperlink" Target="https://news.google.com/rss/articles/CBMi4gFBVV95cUxObEFsSlpBN09veGl1WXBBcWNHZFplTFFzQlIzSVZJUFVYdGdwcV9OZVY5TTBSM2JZbTdOd2liZFJyX3lscDU5VU1iVmZwaVU0bnZTSnk3ektFWm9QNEF4Y2ZMRldYdWVabGdKaW5yc21qQWxGNWcxOVZFNkRCLS14ZHpLc29Mel9vZENjazdLRWdMRm5uUEhob0pUS09pSVJEWXNjSlV4SE9ESFZyUVdEaENkUFpRTkt2SUZWb1FDRXAyMEd2LVhHTXhiODEwa3dwV1BvVXpQc2E3aUJXc1ZtQ3d30gHiAUFVX3lxTE5sQWxKWkE3T294aXVZcEFxY0dkWmVMUXNCUjNJVklQVVh0Z3BxX05lVjlNMFIzYlltN053aWJkUnJfeWxwNTlVTWJWZnBpVTRudlNKeTd6S0Vab1A0QXhjZkxGV1h1ZVpsZ0ppbnJzbWpBbEY1ZzE5VkU2REItLXhkektzb0x6X29kQ2NrN0tFZ0xGbm5QSGhvSlRLT2lJUkRZc2NKVXhIT0RIVnJRV0RoQ2RQWlFOS3ZJRlZvUUNFcDIwR3YtWEdNeGI4MTBrd3BXUG9VelBzYTdpQldzVm1Dd3c?oc=5" TargetMode="External" Id="rId57"/><Relationship Type="http://schemas.openxmlformats.org/officeDocument/2006/relationships/hyperlink" Target="https://news.google.com/rss/articles/CBMixwFBVV95cUxPZGJXSXRVamN6M3Z6Ymc2NnU0ODdaRThOc2tqRWNRQ0VLeklmMTViYzh1RVZESzNZOUlwVkZBUS0zcDB5UFFXdlB1TUM0N0NSU1BJZFNSRERhdnBSeS1jU1B3aVFUQmh6bkxCbUFROEJ1NS0wUDVuMUhFeGNleWtCVUxBendKR0dFekxHQVFNejlTN0hOcGZadDZmWGRiZHdGZ0xNZVRuc21BYnpUWHg3LWx4UzJPbHNxVUJpWWxLdUtWVEhBcnBr?oc=5" TargetMode="External" Id="rId58"/><Relationship Type="http://schemas.openxmlformats.org/officeDocument/2006/relationships/hyperlink" Target="https://news.google.com/rss/articles/CBMijgFBVV95cUxNdzRhVnVlVUVUU1k4S3pUQVo2RFJENXlEM1V6Z2FrVzRMQ2cxb0pZNkJpWUY5UWFHd1ZIUEZmU2x4SGtydEtXN3k2bTBIYWQ3VmZNZkNTRkhfRFctd3JZdThkRW1HTWIxYmVXRDZsazFZVTJsUzVjTWk0R2FIUElZRG5lLUpaeXpHRlZSdFBn?oc=5" TargetMode="External" Id="rId59"/><Relationship Type="http://schemas.openxmlformats.org/officeDocument/2006/relationships/hyperlink" Target="https://news.google.com/rss/articles/CBMilgFBVV95cUxNS29sd2RXaDlmWXJYMzNQSnJKZGpCWmJpOE9kVEdWQ2RFcUd0UHBGdHdRczJLbFRwTHFDb0ZPY1lHOHNsRGtTLXhTb081eGdyWF9YcmcxZkFrc2VNNzBJOUxNU1ppYnZtWlZBTTlZcXNfa2xNVUZWRTUyMkRlTHRUMmJ4Nk95a1kybUNTTmVPaklQSHktWUE?oc=5" TargetMode="External" Id="rId60"/></Relationships>
</file>

<file path=xl/worksheets/_rels/sheet5.xml.rels><Relationships xmlns="http://schemas.openxmlformats.org/package/2006/relationships"><Relationship Type="http://schemas.openxmlformats.org/officeDocument/2006/relationships/hyperlink" Target="https://doi.org/10.1061/jggefk.gteng-15394" TargetMode="External" Id="rId1"/><Relationship Type="http://schemas.openxmlformats.org/officeDocument/2006/relationships/hyperlink" Target="https://doi.org/10.1016/j.trgeo.2026.102499" TargetMode="External" Id="rId2"/><Relationship Type="http://schemas.openxmlformats.org/officeDocument/2006/relationships/hyperlink" Target="https://doi.org/10.1016/j.sandf.2026.101892" TargetMode="External" Id="rId3"/><Relationship Type="http://schemas.openxmlformats.org/officeDocument/2006/relationships/hyperlink" Target="https://doi.org/10.1680/jgeen.26.00025" TargetMode="External" Id="rId4"/><Relationship Type="http://schemas.openxmlformats.org/officeDocument/2006/relationships/hyperlink" Target="https://doi.org/10.1016/j.tust.2026.108244" TargetMode="External" Id="rId5"/><Relationship Type="http://schemas.openxmlformats.org/officeDocument/2006/relationships/hyperlink" Target="https://doi.org/10.1061/jggefk.gteng-15418" TargetMode="External" Id="rId6"/><Relationship Type="http://schemas.openxmlformats.org/officeDocument/2006/relationships/hyperlink" Target="https://doi.org/10.1007/s10346-026-02861-3" TargetMode="External" Id="rId7"/><Relationship Type="http://schemas.openxmlformats.org/officeDocument/2006/relationships/hyperlink" Target="https://doi.org/10.1007/s11440-026-03261-6" TargetMode="External" Id="rId8"/><Relationship Type="http://schemas.openxmlformats.org/officeDocument/2006/relationships/hyperlink" Target="https://doi.org/10.1016/j.compgeo.2026.108759" TargetMode="External" Id="rId9"/><Relationship Type="http://schemas.openxmlformats.org/officeDocument/2006/relationships/hyperlink" Target="https://doi.org/10.1016/j.enggeo.2026.109161" TargetMode="External" Id="rId10"/><Relationship Type="http://schemas.openxmlformats.org/officeDocument/2006/relationships/hyperlink" Target="https://doi.org/10.1016/j.enggeo.2026.109162" TargetMode="External" Id="rId11"/><Relationship Type="http://schemas.openxmlformats.org/officeDocument/2006/relationships/hyperlink" Target="https://doi.org/10.1016/j.soildyn.2026.110756" TargetMode="External" Id="rId12"/><Relationship Type="http://schemas.openxmlformats.org/officeDocument/2006/relationships/hyperlink" Target="https://doi.org/10.1061/jggefk.gteng-15142" TargetMode="External" Id="rId13"/><Relationship Type="http://schemas.openxmlformats.org/officeDocument/2006/relationships/hyperlink" Target="https://doi.org/10.1080/17499518.2026.2750358" TargetMode="External" Id="rId14"/><Relationship Type="http://schemas.openxmlformats.org/officeDocument/2006/relationships/hyperlink" Target="https://doi.org/10.1016/j.tust.2026.108241" TargetMode="External" Id="rId15"/><Relationship Type="http://schemas.openxmlformats.org/officeDocument/2006/relationships/hyperlink" Target="https://doi.org/10.1016/j.enggeo.2026.109168" TargetMode="External" Id="rId16"/><Relationship Type="http://schemas.openxmlformats.org/officeDocument/2006/relationships/hyperlink" Target="https://doi.org/10.1016/j.compgeo.2026.108765" TargetMode="External" Id="rId17"/><Relationship Type="http://schemas.openxmlformats.org/officeDocument/2006/relationships/hyperlink" Target="https://doi.org/10.1016/j.trgeo.2026.102482" TargetMode="External" Id="rId18"/><Relationship Type="http://schemas.openxmlformats.org/officeDocument/2006/relationships/hyperlink" Target="https://doi.org/10.1061/jggefk.gteng-15428" TargetMode="External" Id="rId19"/><Relationship Type="http://schemas.openxmlformats.org/officeDocument/2006/relationships/hyperlink" Target="https://doi.org/10.1016/j.undsp.2026.09.005" TargetMode="External" Id="rId20"/><Relationship Type="http://schemas.openxmlformats.org/officeDocument/2006/relationships/table" Target="/xl/tables/table2.xml" Id="rId21"/></Relationships>
</file>

<file path=xl/worksheets/_rels/sheet6.xml.rels><Relationships xmlns="http://schemas.openxmlformats.org/package/2006/relationships"><Relationship Type="http://schemas.openxmlformats.org/officeDocument/2006/relationships/hyperlink" Target="https://geoinstitute.org/news/call-abstract-geo-congress-2027-part-asce2027" TargetMode="External" Id="rId1"/><Relationship Type="http://schemas.openxmlformats.org/officeDocument/2006/relationships/hyperlink" Target="https://www.issmge.org/news/2nd-is-gi-2027-lyon-call-for-abstracts" TargetMode="External" Id="rId2"/><Relationship Type="http://schemas.openxmlformats.org/officeDocument/2006/relationships/hyperlink" Target="https://about.ita-aites.org/future-events/2350/world-tunnel-congress-wtc-2027" TargetMode="External" Id="rId3"/><Relationship Type="http://schemas.openxmlformats.org/officeDocument/2006/relationships/hyperlink" Target="https://www.issmge.org/news/tc223-june-news-update" TargetMode="External" Id="rId4"/><Relationship Type="http://schemas.openxmlformats.org/officeDocument/2006/relationships/hyperlink" Target="https://www.issmge.org/news/tc223-june-news-update" TargetMode="External" Id="rId5"/><Relationship Type="http://schemas.openxmlformats.org/officeDocument/2006/relationships/hyperlink" Target="https://www.issmge.org/events/18arc" TargetMode="External" Id="rId6"/></Relationships>
</file>

<file path=xl/worksheets/_rels/sheet7.xml.rels><Relationships xmlns="http://schemas.openxmlformats.org/package/2006/relationships"><Relationship Type="http://schemas.openxmlformats.org/officeDocument/2006/relationships/table" Target="/xl/tables/table3.xml" Id="rId1"/></Relationships>
</file>

<file path=xl/worksheets/sheet1.xml><?xml version="1.0" encoding="utf-8"?>
<worksheet xmlns="http://schemas.openxmlformats.org/spreadsheetml/2006/main">
  <sheetPr>
    <tabColor rgb="00C9A227"/>
    <outlinePr summaryBelow="1" summaryRight="1"/>
    <pageSetUpPr fitToPage="1"/>
  </sheetPr>
  <dimension ref="A1:E51"/>
  <sheetViews>
    <sheetView showGridLines="0" tabSelected="1" workbookViewId="0">
      <selection activeCell="A1" sqref="A1"/>
    </sheetView>
  </sheetViews>
  <sheetFormatPr baseColWidth="8" defaultRowHeight="15"/>
  <cols>
    <col width="2" customWidth="1" min="1" max="1"/>
    <col width="38" customWidth="1" min="2" max="2"/>
    <col width="70" customWidth="1" min="3" max="3"/>
    <col width="24" customWidth="1" min="4" max="4"/>
    <col width="2" customWidth="1" min="5" max="5"/>
  </cols>
  <sheetData>
    <row r="1" ht="34" customHeight="1">
      <c r="A1" s="1" t="n"/>
      <c r="B1" s="2" t="inlineStr">
        <is>
          <t>Geotechnical News · Whole archive</t>
        </is>
      </c>
      <c r="C1" s="1" t="n"/>
      <c r="D1" s="1" t="n"/>
      <c r="E1" s="1" t="n"/>
    </row>
    <row r="2" ht="20" customHeight="1">
      <c r="A2" s="3" t="n"/>
      <c r="B2" s="4" t="inlineStr">
        <is>
          <t>All 1 issue windows · generated 24 Oct 2026</t>
        </is>
      </c>
      <c r="C2" s="3" t="n"/>
      <c r="D2" s="3" t="n"/>
      <c r="E2" s="3" t="n"/>
    </row>
    <row r="3" ht="4" customHeight="1">
      <c r="A3" s="5" t="n"/>
      <c r="B3" s="5" t="n"/>
      <c r="C3" s="5" t="n"/>
      <c r="D3" s="5" t="n"/>
      <c r="E3" s="5" t="n"/>
    </row>
    <row r="5" ht="30" customHeight="1">
      <c r="B5" s="6" t="inlineStr">
        <is>
          <t>This workbook holds 60 stories from 1 daily digest, 24 Oct 2026 to 24 Oct 2026, in 8 themes and from 41 sources.</t>
        </is>
      </c>
    </row>
    <row r="7" ht="22" customHeight="1">
      <c r="B7" s="7" t="inlineStr">
        <is>
          <t>What is in this workbook</t>
        </is>
      </c>
      <c r="C7" s="8" t="n"/>
      <c r="D7" s="8" t="n"/>
    </row>
    <row r="8" ht="31" customHeight="1">
      <c r="B8" s="9" t="inlineStr">
        <is>
          <t>Dashboard →</t>
        </is>
      </c>
      <c r="C8" s="10" t="inlineStr">
        <is>
          <t>Key figures, the Top 10 stories, charts by theme, use, relevance and planning status, a theme × use heat map and a timeline. Choose what it shows with the yellow selectors at the top.</t>
        </is>
      </c>
      <c r="D8" s="11" t="n"/>
    </row>
    <row r="9" ht="44" customHeight="1">
      <c r="B9" s="9" t="inlineStr">
        <is>
          <t>Stories →</t>
        </is>
      </c>
      <c r="C9" s="10" t="inlineStr">
        <is>
          <t>Every story as a filterable Excel table, newest digest first; click a headline to open the article. The gold columns – Status, Assigned to and Editor notes – are for you to fill in. Further right: where each story happened (Country, Place) and the Developing story it belongs to.</t>
        </is>
      </c>
      <c r="D9" s="11" t="n"/>
    </row>
    <row r="10" ht="31" customHeight="1">
      <c r="B10" s="9" t="inlineStr">
        <is>
          <t>By theme →</t>
        </is>
      </c>
      <c r="C10" s="10" t="inlineStr">
        <is>
          <t>A read-only reading view: one section per theme, best stories first. Collapse or expand sections with the − / + buttons in the left margin.</t>
        </is>
      </c>
      <c r="D10" s="11" t="n"/>
    </row>
    <row r="11" ht="31" customHeight="1">
      <c r="B11" s="9" t="inlineStr">
        <is>
          <t>Research →</t>
        </is>
      </c>
      <c r="C11" s="10" t="inlineStr">
        <is>
          <t>20 new papers from geotechnical journals for the Academia-to-Industry pages, best rated for use in practice first, with why each matters and a link to the paper. Status and Editor notes work as in Stories.</t>
        </is>
      </c>
      <c r="D11" s="11" t="n"/>
    </row>
    <row r="12" ht="31" customHeight="1">
      <c r="B12" s="9" t="inlineStr">
        <is>
          <t>Events →</t>
        </is>
      </c>
      <c r="C12" s="10" t="inlineStr">
        <is>
          <t>The events calendar on 24 Oct 2026: 0 open call-for-papers deadlines with the days left, and 6 upcoming events (ISSMGE conferences, other conferences, courses and webinars), each linked to its website.</t>
        </is>
      </c>
      <c r="D12" s="11" t="n"/>
    </row>
    <row r="13" ht="31" customHeight="1">
      <c r="B13" s="9" t="inlineStr">
        <is>
          <t>Sources →</t>
        </is>
      </c>
      <c r="C13" s="10" t="inlineStr">
        <is>
          <t>The outlets that supplied stories: how many, average relevance, main theme and how many match the current Dashboard selection.</t>
        </is>
      </c>
      <c r="D13" s="11" t="n"/>
    </row>
    <row r="15" ht="22" customHeight="1">
      <c r="B15" s="7" t="inlineStr">
        <is>
          <t>How to use the Dashboard selectors</t>
        </is>
      </c>
      <c r="C15" s="8" t="n"/>
      <c r="D15" s="8" t="n"/>
    </row>
    <row r="16" ht="31" customHeight="1">
      <c r="B16" s="12" t="inlineStr">
        <is>
          <t>1</t>
        </is>
      </c>
      <c r="C16" s="10" t="inlineStr">
        <is>
          <t>Open the Dashboard. The yellow boxes at the top are selectors: Theme, Suggested use, Minimum relevance and Issue window.</t>
        </is>
      </c>
      <c r="D16" s="11" t="n"/>
    </row>
    <row r="17" ht="31" customHeight="1">
      <c r="B17" s="12" t="inlineStr">
        <is>
          <t>2</t>
        </is>
      </c>
      <c r="C17" s="10" t="inlineStr">
        <is>
          <t>Click a yellow box, then the ▼ arrow that appears beside it, and pick a value. Choose “All …” or “Any” to clear that selector.</t>
        </is>
      </c>
      <c r="D17" s="11" t="n"/>
    </row>
    <row r="18" ht="31" customHeight="1">
      <c r="B18" s="12" t="inlineStr">
        <is>
          <t>3</t>
        </is>
      </c>
      <c r="C18" s="10" t="inlineStr">
        <is>
          <t>The key figures, tables, charts, heat map and the Top 10 list recalculate at once. Headlines in the Top 10 open the article.</t>
        </is>
      </c>
      <c r="D18" s="11" t="n"/>
    </row>
    <row r="19" ht="31" customHeight="1">
      <c r="B19" s="12" t="inlineStr">
        <is>
          <t>4</t>
        </is>
      </c>
      <c r="C19" s="10" t="inlineStr">
        <is>
          <t>In Stories, set each story’s Status as you plan the issue. The Dashboard’s Planning status table and chart, and the PLANNED figure, count them straight away.</t>
        </is>
      </c>
      <c r="D19" s="11" t="n"/>
    </row>
    <row r="20" ht="31" customHeight="1">
      <c r="B20" s="12" t="inlineStr">
        <is>
          <t>5</t>
        </is>
      </c>
      <c r="C20" s="10" t="inlineStr">
        <is>
          <t>Filters in the Stories table (▼ in its header) only hide rows; the Dashboard follows the selectors. To list exactly what the Dashboard shows, filter the ‘In Dashboard selection’ column of Stories to ✓.</t>
        </is>
      </c>
      <c r="D20" s="11" t="n"/>
    </row>
    <row r="22" ht="22" customHeight="1">
      <c r="B22" s="7" t="inlineStr">
        <is>
          <t>Planning status (Stories › Status)</t>
        </is>
      </c>
      <c r="C22" s="8" t="n"/>
      <c r="D22" s="8" t="n"/>
    </row>
    <row r="23" ht="18" customHeight="1">
      <c r="B23" s="13" t="inlineStr">
        <is>
          <t>To review</t>
        </is>
      </c>
      <c r="C23" s="10" t="inlineStr">
        <is>
          <t>New from the scan, not looked at yet (every story starts here)</t>
        </is>
      </c>
      <c r="D23" s="11" t="n"/>
    </row>
    <row r="24" ht="18" customHeight="1">
      <c r="B24" s="14" t="inlineStr">
        <is>
          <t>Shortlisted</t>
        </is>
      </c>
      <c r="C24" s="10" t="inlineStr">
        <is>
          <t>Worth considering for the issue</t>
        </is>
      </c>
      <c r="D24" s="11" t="n"/>
    </row>
    <row r="25" ht="18" customHeight="1">
      <c r="B25" s="15" t="inlineStr">
        <is>
          <t>Commissioned</t>
        </is>
      </c>
      <c r="C25" s="10" t="inlineStr">
        <is>
          <t>A writer or contributor has been asked to cover it</t>
        </is>
      </c>
      <c r="D25" s="11" t="n"/>
    </row>
    <row r="26" ht="18" customHeight="1">
      <c r="B26" s="16" t="inlineStr">
        <is>
          <t>Published</t>
        </is>
      </c>
      <c r="C26" s="10" t="inlineStr">
        <is>
          <t>Used in a published issue or newsletter</t>
        </is>
      </c>
      <c r="D26" s="11" t="n"/>
    </row>
    <row r="27" ht="18" customHeight="1">
      <c r="B27" s="17" t="inlineStr">
        <is>
          <t>Not used</t>
        </is>
      </c>
      <c r="C27" s="10" t="inlineStr">
        <is>
          <t>Reviewed and set aside</t>
        </is>
      </c>
      <c r="D27" s="11" t="n"/>
    </row>
    <row r="29" ht="22" customHeight="1">
      <c r="B29" s="7" t="inlineStr">
        <is>
          <t>Relevance scale (AI triage)</t>
        </is>
      </c>
      <c r="C29" s="8" t="n"/>
      <c r="D29" s="8" t="n"/>
    </row>
    <row r="30" ht="18" customHeight="1">
      <c r="B30" s="18" t="inlineStr">
        <is>
          <t>5 / 5</t>
        </is>
      </c>
      <c r="C30" s="10" t="inlineStr">
        <is>
          <t>Rich geotechnical lesson or a major ground-related event</t>
        </is>
      </c>
      <c r="D30" s="11" t="n"/>
    </row>
    <row r="31" ht="18" customHeight="1">
      <c r="B31" s="19" t="inlineStr">
        <is>
          <t>4 / 5</t>
        </is>
      </c>
      <c r="C31" s="10" t="inlineStr">
        <is>
          <t>Strong ground-engineering content</t>
        </is>
      </c>
      <c r="D31" s="11" t="n"/>
    </row>
    <row r="32" ht="18" customHeight="1">
      <c r="B32" s="20" t="inlineStr">
        <is>
          <t>3 / 5</t>
        </is>
      </c>
      <c r="C32" s="10" t="inlineStr">
        <is>
          <t>Clear ground-engineering element, worth a brief</t>
        </is>
      </c>
      <c r="D32" s="11" t="n"/>
    </row>
    <row r="33" ht="18" customHeight="1">
      <c r="B33" s="21" t="inlineStr">
        <is>
          <t>2 / 5</t>
        </is>
      </c>
      <c r="C33" s="10" t="inlineStr">
        <is>
          <t>Weak link to geotechnics</t>
        </is>
      </c>
      <c r="D33" s="11" t="n"/>
    </row>
    <row r="34" ht="18" customHeight="1">
      <c r="B34" s="22" t="inlineStr">
        <is>
          <t>1 / 5</t>
        </is>
      </c>
      <c r="C34" s="10" t="inlineStr">
        <is>
          <t>Not really geotechnical</t>
        </is>
      </c>
      <c r="D34" s="11" t="n"/>
    </row>
    <row r="35" ht="18" customHeight="1">
      <c r="B35" s="23" t="inlineStr">
        <is>
          <t>–</t>
        </is>
      </c>
      <c r="C35" s="10" t="inlineStr">
        <is>
          <t>Shown as –. Not rated by AI: ranked on keyword matches only</t>
        </is>
      </c>
      <c r="D35" s="11" t="n"/>
    </row>
    <row r="37" ht="22" customHeight="1">
      <c r="B37" s="7" t="inlineStr">
        <is>
          <t>Jump to a theme (opens its section in By theme)</t>
        </is>
      </c>
      <c r="C37" s="8" t="n"/>
      <c r="D37" s="8" t="n"/>
    </row>
    <row r="38" ht="18" customHeight="1">
      <c r="B38" s="24" t="inlineStr">
        <is>
          <t>Sustainability &amp; the Energy Transition</t>
        </is>
      </c>
      <c r="C38" s="10" t="inlineStr">
        <is>
          <t>3 stories · 0 rated 5 / 5 · 0 feature leads</t>
        </is>
      </c>
      <c r="D38" s="11" t="n"/>
    </row>
    <row r="39" ht="18" customHeight="1">
      <c r="B39" s="25" t="inlineStr">
        <is>
          <t>Digital Geotechnics</t>
        </is>
      </c>
      <c r="C39" s="10" t="inlineStr">
        <is>
          <t>1 story · 1 rated 5 / 5 · 0 feature leads</t>
        </is>
      </c>
      <c r="D39" s="11" t="n"/>
    </row>
    <row r="40" ht="18" customHeight="1">
      <c r="B40" s="26" t="inlineStr">
        <is>
          <t>Hazards &amp; Resilience</t>
        </is>
      </c>
      <c r="C40" s="10" t="inlineStr">
        <is>
          <t>17 stories · 1 rated 5 / 5 · 8 feature leads</t>
        </is>
      </c>
      <c r="D40" s="11" t="n"/>
    </row>
    <row r="41" ht="18" customHeight="1">
      <c r="B41" s="27" t="inlineStr">
        <is>
          <t>Ground Improvement &amp; Innovation</t>
        </is>
      </c>
      <c r="C41" s="10" t="inlineStr">
        <is>
          <t>2 stories · 2 rated 5 / 5 · 1 feature lead</t>
        </is>
      </c>
      <c r="D41" s="11" t="n"/>
    </row>
    <row r="42" ht="18" customHeight="1">
      <c r="B42" s="28" t="inlineStr">
        <is>
          <t>Infrastructure &amp; the Underground City</t>
        </is>
      </c>
      <c r="C42" s="10" t="inlineStr">
        <is>
          <t>17 stories · 1 rated 5 / 5 · 7 feature leads</t>
        </is>
      </c>
      <c r="D42" s="11" t="n"/>
    </row>
    <row r="43" ht="18" customHeight="1">
      <c r="B43" s="29" t="inlineStr">
        <is>
          <t>Offshore, Coasts &amp; Water</t>
        </is>
      </c>
      <c r="C43" s="10" t="inlineStr">
        <is>
          <t>10 stories · 1 rated 5 / 5 · 3 feature leads</t>
        </is>
      </c>
      <c r="D43" s="11" t="n"/>
    </row>
    <row r="44" ht="18" customHeight="1">
      <c r="B44" s="30" t="inlineStr">
        <is>
          <t>Characterisation &amp; Modelling</t>
        </is>
      </c>
      <c r="C44" s="10" t="inlineStr">
        <is>
          <t>6 stories · 0 rated 5 / 5 · 4 feature leads</t>
        </is>
      </c>
      <c r="D44" s="11" t="n"/>
    </row>
    <row r="45" ht="18" customHeight="1">
      <c r="B45" s="31" t="inlineStr">
        <is>
          <t>Geotechnics &amp; Society</t>
        </is>
      </c>
      <c r="C45" s="10" t="inlineStr">
        <is>
          <t>4 stories · 0 rated 5 / 5 · 1 feature lead</t>
        </is>
      </c>
      <c r="D45" s="11" t="n"/>
    </row>
    <row r="46" ht="18" customHeight="1">
      <c r="B46" s="32" t="inlineStr">
        <is>
          <t>No stories yet</t>
        </is>
      </c>
      <c r="C46" s="10" t="inlineStr">
        <is>
          <t>General</t>
        </is>
      </c>
      <c r="D46" s="11" t="n"/>
    </row>
    <row r="48" ht="22" customHeight="1">
      <c r="B48" s="7" t="inlineStr">
        <is>
          <t>Good to know</t>
        </is>
      </c>
      <c r="C48" s="8" t="n"/>
      <c r="D48" s="8" t="n"/>
    </row>
    <row r="49" ht="44" customHeight="1">
      <c r="B49" s="33" t="inlineStr">
        <is>
          <t>Blank figures?</t>
        </is>
      </c>
      <c r="C49" s="10" t="inlineStr">
        <is>
          <t>The Dashboard is calculated when the file opens. If it shows blanks or zeros in Excel, click Enable Editing in the yellow bar at the top (files from the internet open in Protected View); in LibreOffice press Ctrl+Shift+F9.</t>
        </is>
      </c>
      <c r="D49" s="11" t="n"/>
    </row>
    <row r="50" ht="31" customHeight="1">
      <c r="B50" s="33" t="inlineStr">
        <is>
          <t>Your edits</t>
        </is>
      </c>
      <c r="C50" s="10" t="inlineStr">
        <is>
          <t>This file is generated again after every scan. Status, Assigned to and Editor notes are kept only in the copy you save, so keep one working copy per issue.</t>
        </is>
      </c>
      <c r="D50" s="11" t="n"/>
    </row>
    <row r="51" ht="31" customHeight="1">
      <c r="B51" s="33" t="inlineStr">
        <is>
          <t>Lists sheet</t>
        </is>
      </c>
      <c r="C51" s="10" t="inlineStr">
        <is>
          <t>A hidden sheet holds the values offered by the dropdowns and some helper cells. There is no need to change it.</t>
        </is>
      </c>
      <c r="D51" s="11" t="n"/>
    </row>
  </sheetData>
  <mergeCells count="37">
    <mergeCell ref="C34:D34"/>
    <mergeCell ref="C24:D24"/>
    <mergeCell ref="C30:D30"/>
    <mergeCell ref="C33:D33"/>
    <mergeCell ref="B1:D1"/>
    <mergeCell ref="C42:D42"/>
    <mergeCell ref="C45:D45"/>
    <mergeCell ref="C26:D26"/>
    <mergeCell ref="C35:D35"/>
    <mergeCell ref="C20:D20"/>
    <mergeCell ref="C10:D10"/>
    <mergeCell ref="C16:D16"/>
    <mergeCell ref="C25:D25"/>
    <mergeCell ref="C41:D41"/>
    <mergeCell ref="C50:D50"/>
    <mergeCell ref="C44:D44"/>
    <mergeCell ref="C40:D40"/>
    <mergeCell ref="C9:D9"/>
    <mergeCell ref="C31:D31"/>
    <mergeCell ref="C43:D43"/>
    <mergeCell ref="C12:D12"/>
    <mergeCell ref="B5:D5"/>
    <mergeCell ref="C46:D46"/>
    <mergeCell ref="C11:D11"/>
    <mergeCell ref="C51:D51"/>
    <mergeCell ref="C27:D27"/>
    <mergeCell ref="C23:D23"/>
    <mergeCell ref="C17:D17"/>
    <mergeCell ref="C39:D39"/>
    <mergeCell ref="C8:D8"/>
    <mergeCell ref="C32:D32"/>
    <mergeCell ref="C38:D38"/>
    <mergeCell ref="C19:D19"/>
    <mergeCell ref="C13:D13"/>
    <mergeCell ref="C18:D18"/>
    <mergeCell ref="B2:D2"/>
    <mergeCell ref="C49:D49"/>
  </mergeCells>
  <hyperlinks>
    <hyperlink ref="B8" location="'Dashboard'!A1" display="Dashboard →"/>
    <hyperlink ref="B9" location="'Stories'!A1" display="Stories →"/>
    <hyperlink ref="B10" location="'By theme'!A1" display="By theme →"/>
    <hyperlink ref="B11" location="'Research'!A1" display="Research →"/>
    <hyperlink ref="B12" location="'Events'!A1" display="Events →"/>
    <hyperlink ref="B13" location="'Sources'!A1" display="Sources →"/>
    <hyperlink ref="B38" location="'By theme'!A4" display="Sustainability &amp; the Energy Transition"/>
    <hyperlink ref="B39" location="'By theme'!A10" display="Digital Geotechnics"/>
    <hyperlink ref="B40" location="'By theme'!A14" display="Hazards &amp; Resilience"/>
    <hyperlink ref="B41" location="'By theme'!A34" display="Ground Improvement &amp; Innovation"/>
    <hyperlink ref="B42" location="'By theme'!A39" display="Infrastructure &amp; the Underground City"/>
    <hyperlink ref="B43" location="'By theme'!A59" display="Offshore, Coasts &amp; Water"/>
    <hyperlink ref="B44" location="'By theme'!A72" display="Characterisation &amp; Modelling"/>
    <hyperlink ref="B45" location="'By theme'!A81" display="Geotechnics &amp; Society"/>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2.xml><?xml version="1.0" encoding="utf-8"?>
<worksheet xmlns="http://schemas.openxmlformats.org/spreadsheetml/2006/main">
  <sheetPr>
    <tabColor rgb="0016324F"/>
    <outlinePr summaryBelow="1" summaryRight="1"/>
    <pageSetUpPr fitToPage="1"/>
  </sheetPr>
  <dimension ref="A1:T74"/>
  <sheetViews>
    <sheetView showGridLines="0" tabSelected="0" workbookViewId="0">
      <pane ySplit="6" topLeftCell="A7" activePane="bottomLeft" state="frozen"/>
      <selection pane="bottomLeft" activeCell="A1" sqref="A1"/>
    </sheetView>
  </sheetViews>
  <sheetFormatPr baseColWidth="8" defaultRowHeight="15"/>
  <cols>
    <col width="2"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2" customWidth="1" min="20" max="20"/>
  </cols>
  <sheetData>
    <row r="1" ht="34" customHeight="1">
      <c r="A1" s="1" t="n"/>
      <c r="B1" s="2" t="inlineStr">
        <is>
          <t>Geotechnical News · Whole archive</t>
        </is>
      </c>
      <c r="C1" s="1" t="n"/>
      <c r="D1" s="1" t="n"/>
      <c r="E1" s="1" t="n"/>
      <c r="F1" s="1" t="n"/>
      <c r="G1" s="1" t="n"/>
      <c r="H1" s="1" t="n"/>
      <c r="I1" s="1" t="n"/>
      <c r="J1" s="1" t="n"/>
      <c r="K1" s="1" t="n"/>
      <c r="L1" s="1" t="n"/>
      <c r="M1" s="1" t="n"/>
      <c r="N1" s="1" t="n"/>
      <c r="O1" s="1" t="n"/>
      <c r="P1" s="1" t="n"/>
      <c r="Q1" s="1" t="n"/>
      <c r="R1" s="1" t="n"/>
      <c r="S1" s="1" t="n"/>
      <c r="T1" s="1" t="n"/>
    </row>
    <row r="2" ht="20" customHeight="1">
      <c r="A2" s="3" t="n"/>
      <c r="B2" s="4" t="inlineStr">
        <is>
          <t>All 1 issue windows · generated 24 Oct 2026</t>
        </is>
      </c>
      <c r="C2" s="3" t="n"/>
      <c r="D2" s="3" t="n"/>
      <c r="E2" s="3" t="n"/>
      <c r="F2" s="3" t="n"/>
      <c r="G2" s="3" t="n"/>
      <c r="H2" s="3" t="n"/>
      <c r="I2" s="3" t="n"/>
      <c r="J2" s="3" t="n"/>
      <c r="K2" s="3" t="n"/>
      <c r="L2" s="3" t="n"/>
      <c r="M2" s="3" t="n"/>
      <c r="N2" s="3" t="n"/>
      <c r="O2" s="3" t="n"/>
      <c r="P2" s="3" t="n"/>
      <c r="Q2" s="3" t="n"/>
      <c r="R2" s="3" t="n"/>
      <c r="S2" s="3" t="n"/>
      <c r="T2" s="3" t="n"/>
    </row>
    <row r="3" ht="4" customHeight="1">
      <c r="A3" s="5" t="n"/>
      <c r="B3" s="5" t="n"/>
      <c r="C3" s="5" t="n"/>
      <c r="D3" s="5" t="n"/>
      <c r="E3" s="5" t="n"/>
      <c r="F3" s="5" t="n"/>
      <c r="G3" s="5" t="n"/>
      <c r="H3" s="5" t="n"/>
      <c r="I3" s="5" t="n"/>
      <c r="J3" s="5" t="n"/>
      <c r="K3" s="5" t="n"/>
      <c r="L3" s="5" t="n"/>
      <c r="M3" s="5" t="n"/>
      <c r="N3" s="5" t="n"/>
      <c r="O3" s="5" t="n"/>
      <c r="P3" s="5" t="n"/>
      <c r="Q3" s="5" t="n"/>
      <c r="R3" s="5" t="n"/>
      <c r="S3" s="5" t="n"/>
      <c r="T3" s="5" t="n"/>
    </row>
    <row r="4" ht="16" customHeight="1">
      <c r="B4" s="34" t="inlineStr">
        <is>
          <t>THEME</t>
        </is>
      </c>
      <c r="G4" s="34" t="inlineStr">
        <is>
          <t>SUGGESTED USE</t>
        </is>
      </c>
      <c r="K4" s="34" t="inlineStr">
        <is>
          <t>MINIMUM RELEVANCE (OUT OF 5)</t>
        </is>
      </c>
      <c r="N4" s="34" t="inlineStr">
        <is>
          <t>ISSUE WINDOW</t>
        </is>
      </c>
      <c r="Q4" s="35" t="inlineStr">
        <is>
          <t>Tip: click a yellow box, then its ▼ arrow, to choose. Pick “All …” or “Any” to clear it. Everything below updates.</t>
        </is>
      </c>
      <c r="R4" s="36" t="n"/>
      <c r="S4" s="36" t="n"/>
    </row>
    <row r="5" ht="26" customHeight="1">
      <c r="B5" s="37" t="inlineStr">
        <is>
          <t>All themes</t>
        </is>
      </c>
      <c r="C5" s="38" t="n"/>
      <c r="D5" s="38" t="n"/>
      <c r="E5" s="38" t="n"/>
      <c r="F5" s="39" t="n"/>
      <c r="G5" s="37" t="inlineStr">
        <is>
          <t>All uses</t>
        </is>
      </c>
      <c r="H5" s="38" t="n"/>
      <c r="I5" s="38" t="n"/>
      <c r="J5" s="39" t="n"/>
      <c r="K5" s="37" t="inlineStr">
        <is>
          <t>Any</t>
        </is>
      </c>
      <c r="L5" s="38" t="n"/>
      <c r="M5" s="39" t="n"/>
      <c r="N5" s="37" t="inlineStr">
        <is>
          <t>All windows</t>
        </is>
      </c>
      <c r="O5" s="38" t="n"/>
      <c r="P5" s="39" t="n"/>
      <c r="Q5" s="36" t="n"/>
      <c r="R5" s="36" t="n"/>
      <c r="S5" s="36" t="n"/>
    </row>
    <row r="6" ht="18" customHeight="1">
      <c r="B6" s="40">
        <f>"Showing "&amp;Lists!$H$6&amp;" of "&amp;Lists!$H$4&amp;" stories"&amp;IF(Lists!$H$5," – no selector set."," for the selection above. Set every box back to All / Any to see everything.")</f>
        <v/>
      </c>
    </row>
    <row r="7" ht="8" customHeight="1"/>
    <row r="8" ht="36" customHeight="1">
      <c r="B8" s="41">
        <f>Lists!$H$6</f>
        <v/>
      </c>
      <c r="C8" s="42" t="n"/>
      <c r="D8" s="42" t="n"/>
      <c r="E8" s="43">
        <f>IF(Lists!$H$5,Lists!$H$3,COUNTIF(Lists!$K$2:$K$2,"&gt;0"))</f>
        <v/>
      </c>
      <c r="F8" s="44" t="n"/>
      <c r="G8" s="44" t="n"/>
      <c r="H8" s="45">
        <f>COUNTIFS(Stories!$W$4:$W$63,1,Stories!$D$4:$D$63,5)</f>
        <v/>
      </c>
      <c r="I8" s="46" t="n"/>
      <c r="J8" s="46" t="n"/>
      <c r="K8" s="47">
        <f>COUNTIFS(Stories!$W$4:$W$63,1,Stories!$E$4:$E$63,"Feature lead")</f>
        <v/>
      </c>
      <c r="L8" s="48" t="n"/>
      <c r="M8" s="48" t="n"/>
      <c r="N8" s="49">
        <f>COUNTIFS(Stories!$W$4:$W$63,1,Stories!$F$4:$F$63,"Shortlisted")+COUNTIFS(Stories!$W$4:$W$63,1,Stories!$F$4:$F$63,"Commissioned")+COUNTIFS(Stories!$W$4:$W$63,1,Stories!$F$4:$F$63,"Published")</f>
        <v/>
      </c>
      <c r="O8" s="50" t="n"/>
      <c r="P8" s="50" t="n"/>
      <c r="Q8" s="51">
        <f>COUNTIF(Sources!$C$4:$C$44,"&gt;0")</f>
        <v/>
      </c>
      <c r="R8" s="52" t="n"/>
      <c r="S8" s="52" t="n"/>
    </row>
    <row r="9" ht="15" customHeight="1">
      <c r="B9" s="53" t="inlineStr">
        <is>
          <t>STORIES</t>
        </is>
      </c>
      <c r="C9" s="54" t="n"/>
      <c r="D9" s="54" t="n"/>
      <c r="E9" s="55">
        <f>IF(Lists!$H$5,"DAILY DIGESTS","DIGESTS WITH MATCHES")</f>
        <v/>
      </c>
      <c r="F9" s="56" t="n"/>
      <c r="G9" s="56" t="n"/>
      <c r="H9" s="57" t="inlineStr">
        <is>
          <t>RATED 5 / 5</t>
        </is>
      </c>
      <c r="I9" s="58" t="n"/>
      <c r="J9" s="58" t="n"/>
      <c r="K9" s="59" t="inlineStr">
        <is>
          <t>FEATURE LEADS</t>
        </is>
      </c>
      <c r="L9" s="60" t="n"/>
      <c r="M9" s="60" t="n"/>
      <c r="N9" s="61" t="inlineStr">
        <is>
          <t>PLANNED</t>
        </is>
      </c>
      <c r="O9" s="62" t="n"/>
      <c r="P9" s="62" t="n"/>
      <c r="Q9" s="63" t="inlineStr">
        <is>
          <t>SOURCES</t>
        </is>
      </c>
      <c r="R9" s="64" t="n"/>
      <c r="S9" s="64" t="n"/>
    </row>
    <row r="10" ht="15" customHeight="1">
      <c r="B10" s="65">
        <f>"of "&amp;Lists!$H$4&amp;" in this workbook"</f>
        <v/>
      </c>
      <c r="C10" s="54" t="n"/>
      <c r="D10" s="54" t="n"/>
      <c r="E10" s="66">
        <f>IF(Lists!$H$5,"scans in this period","of "&amp;Lists!$H$3&amp;" scans in this period")</f>
        <v/>
      </c>
      <c r="F10" s="56" t="n"/>
      <c r="G10" s="56" t="n"/>
      <c r="H10" s="67">
        <f>"rated 4 / 5: "&amp;COUNTIFS(Stories!$W$4:$W$63,1,Stories!$D$4:$D$63,4)</f>
        <v/>
      </c>
      <c r="I10" s="58" t="n"/>
      <c r="J10" s="58" t="n"/>
      <c r="K10" s="68">
        <f>"news briefs: "&amp;COUNTIFS(Stories!$W$4:$W$63,1,Stories!$E$4:$E$63,"News brief")</f>
        <v/>
      </c>
      <c r="L10" s="60" t="n"/>
      <c r="M10" s="60" t="n"/>
      <c r="N10" s="69">
        <f>"shortlisted or later · to review: "&amp;COUNTIFS(Stories!$W$4:$W$63,1,Stories!$F$4:$F$63,"To review")</f>
        <v/>
      </c>
      <c r="O10" s="62" t="n"/>
      <c r="P10" s="62" t="n"/>
      <c r="Q10" s="70">
        <f>"of 41 outlets in this workbook"</f>
        <v/>
      </c>
      <c r="R10" s="64" t="n"/>
      <c r="S10" s="64" t="n"/>
    </row>
    <row r="11" ht="12" customHeight="1"/>
    <row r="12" ht="22" customHeight="1">
      <c r="B12" s="7" t="inlineStr">
        <is>
          <t>Top 10 stories for this selection</t>
        </is>
      </c>
      <c r="C12" s="8" t="n"/>
      <c r="D12" s="8" t="n"/>
      <c r="E12" s="8" t="n"/>
      <c r="F12" s="8" t="n"/>
      <c r="G12" s="8" t="n"/>
      <c r="H12" s="8" t="n"/>
      <c r="I12" s="8" t="n"/>
      <c r="J12" s="8" t="n"/>
      <c r="K12" s="8" t="n"/>
      <c r="L12" s="8" t="n"/>
      <c r="M12" s="8" t="n"/>
      <c r="N12" s="8" t="n"/>
      <c r="O12" s="8" t="n"/>
      <c r="P12" s="8" t="n"/>
      <c r="Q12" s="8" t="n"/>
      <c r="R12" s="8" t="n"/>
      <c r="S12" s="8" t="n"/>
    </row>
    <row r="13" ht="20" customHeight="1">
      <c r="B13" s="71" t="inlineStr">
        <is>
          <t>#</t>
        </is>
      </c>
      <c r="C13" s="72" t="inlineStr">
        <is>
          <t>Headline (click to open the article)</t>
        </is>
      </c>
      <c r="D13" s="1" t="n"/>
      <c r="E13" s="1" t="n"/>
      <c r="F13" s="1" t="n"/>
      <c r="G13" s="1" t="n"/>
      <c r="H13" s="1" t="n"/>
      <c r="I13" s="71" t="inlineStr">
        <is>
          <t>Digest</t>
        </is>
      </c>
      <c r="J13" s="72" t="inlineStr">
        <is>
          <t>Theme</t>
        </is>
      </c>
      <c r="K13" s="1" t="n"/>
      <c r="L13" s="1" t="n"/>
      <c r="M13" s="71" t="inlineStr">
        <is>
          <t>Relevance</t>
        </is>
      </c>
      <c r="N13" s="72" t="inlineStr">
        <is>
          <t>Suggested use</t>
        </is>
      </c>
      <c r="O13" s="1" t="n"/>
      <c r="P13" s="72" t="inlineStr">
        <is>
          <t>Source</t>
        </is>
      </c>
      <c r="Q13" s="1" t="n"/>
      <c r="R13" s="71" t="inlineStr">
        <is>
          <t>Story No.</t>
        </is>
      </c>
      <c r="S13" s="71" t="inlineStr">
        <is>
          <t>Status</t>
        </is>
      </c>
    </row>
    <row r="14" ht="30" customHeight="1">
      <c r="B14" s="73">
        <f>IF(Lists!$O$2="","",1)</f>
        <v/>
      </c>
      <c r="C14" s="74">
        <f>IF(Lists!$O$2="","No stories match this selection – choose “All …” or “Any” in a box above.",IF(AND(Lists!$P$2&lt;&gt;"",LEN(Lists!$P$2)&lt;=255),HYPERLINK(Lists!$P$2,Lists!$Q$2),HYPERLINK("#'Stories'!B"&amp;(Lists!$O$2+3),Lists!$Q$2)))</f>
        <v/>
      </c>
      <c r="D14" s="75" t="n"/>
      <c r="E14" s="75" t="n"/>
      <c r="F14" s="75" t="n"/>
      <c r="G14" s="75" t="n"/>
      <c r="H14" s="75" t="n"/>
      <c r="I14" s="76">
        <f>IF(Lists!$O$2="","",INDEX(Stories!$K$4:$K$63,Lists!$O$2))</f>
        <v/>
      </c>
      <c r="J14" s="77">
        <f>IF(Lists!$O$2="","",INDEX(Stories!$C$4:$C$63,Lists!$O$2)&amp;"")</f>
        <v/>
      </c>
      <c r="K14" s="75" t="n"/>
      <c r="L14" s="75" t="n"/>
      <c r="M14" s="78">
        <f>IF(Lists!$O$2="","",INDEX(Stories!$D$4:$D$63,Lists!$O$2))</f>
        <v/>
      </c>
      <c r="N14" s="79">
        <f>IF(Lists!$O$2="","",INDEX(Stories!$E$4:$E$63,Lists!$O$2)&amp;"")</f>
        <v/>
      </c>
      <c r="O14" s="75" t="n"/>
      <c r="P14" s="79">
        <f>IF(Lists!$O$2="","",INDEX(Stories!$J$4:$J$63,Lists!$O$2)&amp;"")</f>
        <v/>
      </c>
      <c r="Q14" s="75" t="n"/>
      <c r="R14" s="80">
        <f>IF(Lists!$O$2="","",INDEX(Stories!$A$4:$A$63,Lists!$O$2))</f>
        <v/>
      </c>
      <c r="S14" s="81">
        <f>IF(Lists!$O$2="","",INDEX(Stories!$F$4:$F$63,Lists!$O$2)&amp;"")</f>
        <v/>
      </c>
    </row>
    <row r="15" ht="30" customHeight="1">
      <c r="B15" s="82">
        <f>IF(Lists!$O$3="","",2)</f>
        <v/>
      </c>
      <c r="C15" s="83">
        <f>IF(Lists!$O$3="","",IF(AND(Lists!$P$3&lt;&gt;"",LEN(Lists!$P$3)&lt;=255),HYPERLINK(Lists!$P$3,Lists!$Q$3),HYPERLINK("#'Stories'!B"&amp;(Lists!$O$3+3),Lists!$Q$3)))</f>
        <v/>
      </c>
      <c r="D15" s="84" t="n"/>
      <c r="E15" s="84" t="n"/>
      <c r="F15" s="84" t="n"/>
      <c r="G15" s="84" t="n"/>
      <c r="H15" s="84" t="n"/>
      <c r="I15" s="85">
        <f>IF(Lists!$O$3="","",INDEX(Stories!$K$4:$K$63,Lists!$O$3))</f>
        <v/>
      </c>
      <c r="J15" s="86">
        <f>IF(Lists!$O$3="","",INDEX(Stories!$C$4:$C$63,Lists!$O$3)&amp;"")</f>
        <v/>
      </c>
      <c r="K15" s="84" t="n"/>
      <c r="L15" s="84" t="n"/>
      <c r="M15" s="87">
        <f>IF(Lists!$O$3="","",INDEX(Stories!$D$4:$D$63,Lists!$O$3))</f>
        <v/>
      </c>
      <c r="N15" s="88">
        <f>IF(Lists!$O$3="","",INDEX(Stories!$E$4:$E$63,Lists!$O$3)&amp;"")</f>
        <v/>
      </c>
      <c r="O15" s="84" t="n"/>
      <c r="P15" s="88">
        <f>IF(Lists!$O$3="","",INDEX(Stories!$J$4:$J$63,Lists!$O$3)&amp;"")</f>
        <v/>
      </c>
      <c r="Q15" s="84" t="n"/>
      <c r="R15" s="89">
        <f>IF(Lists!$O$3="","",INDEX(Stories!$A$4:$A$63,Lists!$O$3))</f>
        <v/>
      </c>
      <c r="S15" s="90">
        <f>IF(Lists!$O$3="","",INDEX(Stories!$F$4:$F$63,Lists!$O$3)&amp;"")</f>
        <v/>
      </c>
    </row>
    <row r="16" ht="30" customHeight="1">
      <c r="B16" s="73">
        <f>IF(Lists!$O$4="","",3)</f>
        <v/>
      </c>
      <c r="C16" s="74">
        <f>IF(Lists!$O$4="","",IF(AND(Lists!$P$4&lt;&gt;"",LEN(Lists!$P$4)&lt;=255),HYPERLINK(Lists!$P$4,Lists!$Q$4),HYPERLINK("#'Stories'!B"&amp;(Lists!$O$4+3),Lists!$Q$4)))</f>
        <v/>
      </c>
      <c r="D16" s="75" t="n"/>
      <c r="E16" s="75" t="n"/>
      <c r="F16" s="75" t="n"/>
      <c r="G16" s="75" t="n"/>
      <c r="H16" s="75" t="n"/>
      <c r="I16" s="76">
        <f>IF(Lists!$O$4="","",INDEX(Stories!$K$4:$K$63,Lists!$O$4))</f>
        <v/>
      </c>
      <c r="J16" s="77">
        <f>IF(Lists!$O$4="","",INDEX(Stories!$C$4:$C$63,Lists!$O$4)&amp;"")</f>
        <v/>
      </c>
      <c r="K16" s="75" t="n"/>
      <c r="L16" s="75" t="n"/>
      <c r="M16" s="78">
        <f>IF(Lists!$O$4="","",INDEX(Stories!$D$4:$D$63,Lists!$O$4))</f>
        <v/>
      </c>
      <c r="N16" s="79">
        <f>IF(Lists!$O$4="","",INDEX(Stories!$E$4:$E$63,Lists!$O$4)&amp;"")</f>
        <v/>
      </c>
      <c r="O16" s="75" t="n"/>
      <c r="P16" s="79">
        <f>IF(Lists!$O$4="","",INDEX(Stories!$J$4:$J$63,Lists!$O$4)&amp;"")</f>
        <v/>
      </c>
      <c r="Q16" s="75" t="n"/>
      <c r="R16" s="80">
        <f>IF(Lists!$O$4="","",INDEX(Stories!$A$4:$A$63,Lists!$O$4))</f>
        <v/>
      </c>
      <c r="S16" s="81">
        <f>IF(Lists!$O$4="","",INDEX(Stories!$F$4:$F$63,Lists!$O$4)&amp;"")</f>
        <v/>
      </c>
    </row>
    <row r="17" ht="30" customHeight="1">
      <c r="B17" s="82">
        <f>IF(Lists!$O$5="","",4)</f>
        <v/>
      </c>
      <c r="C17" s="83">
        <f>IF(Lists!$O$5="","",IF(AND(Lists!$P$5&lt;&gt;"",LEN(Lists!$P$5)&lt;=255),HYPERLINK(Lists!$P$5,Lists!$Q$5),HYPERLINK("#'Stories'!B"&amp;(Lists!$O$5+3),Lists!$Q$5)))</f>
        <v/>
      </c>
      <c r="D17" s="84" t="n"/>
      <c r="E17" s="84" t="n"/>
      <c r="F17" s="84" t="n"/>
      <c r="G17" s="84" t="n"/>
      <c r="H17" s="84" t="n"/>
      <c r="I17" s="85">
        <f>IF(Lists!$O$5="","",INDEX(Stories!$K$4:$K$63,Lists!$O$5))</f>
        <v/>
      </c>
      <c r="J17" s="86">
        <f>IF(Lists!$O$5="","",INDEX(Stories!$C$4:$C$63,Lists!$O$5)&amp;"")</f>
        <v/>
      </c>
      <c r="K17" s="84" t="n"/>
      <c r="L17" s="84" t="n"/>
      <c r="M17" s="87">
        <f>IF(Lists!$O$5="","",INDEX(Stories!$D$4:$D$63,Lists!$O$5))</f>
        <v/>
      </c>
      <c r="N17" s="88">
        <f>IF(Lists!$O$5="","",INDEX(Stories!$E$4:$E$63,Lists!$O$5)&amp;"")</f>
        <v/>
      </c>
      <c r="O17" s="84" t="n"/>
      <c r="P17" s="88">
        <f>IF(Lists!$O$5="","",INDEX(Stories!$J$4:$J$63,Lists!$O$5)&amp;"")</f>
        <v/>
      </c>
      <c r="Q17" s="84" t="n"/>
      <c r="R17" s="89">
        <f>IF(Lists!$O$5="","",INDEX(Stories!$A$4:$A$63,Lists!$O$5))</f>
        <v/>
      </c>
      <c r="S17" s="90">
        <f>IF(Lists!$O$5="","",INDEX(Stories!$F$4:$F$63,Lists!$O$5)&amp;"")</f>
        <v/>
      </c>
    </row>
    <row r="18" ht="30" customHeight="1">
      <c r="B18" s="73">
        <f>IF(Lists!$O$6="","",5)</f>
        <v/>
      </c>
      <c r="C18" s="74">
        <f>IF(Lists!$O$6="","",IF(AND(Lists!$P$6&lt;&gt;"",LEN(Lists!$P$6)&lt;=255),HYPERLINK(Lists!$P$6,Lists!$Q$6),HYPERLINK("#'Stories'!B"&amp;(Lists!$O$6+3),Lists!$Q$6)))</f>
        <v/>
      </c>
      <c r="D18" s="75" t="n"/>
      <c r="E18" s="75" t="n"/>
      <c r="F18" s="75" t="n"/>
      <c r="G18" s="75" t="n"/>
      <c r="H18" s="75" t="n"/>
      <c r="I18" s="76">
        <f>IF(Lists!$O$6="","",INDEX(Stories!$K$4:$K$63,Lists!$O$6))</f>
        <v/>
      </c>
      <c r="J18" s="77">
        <f>IF(Lists!$O$6="","",INDEX(Stories!$C$4:$C$63,Lists!$O$6)&amp;"")</f>
        <v/>
      </c>
      <c r="K18" s="75" t="n"/>
      <c r="L18" s="75" t="n"/>
      <c r="M18" s="78">
        <f>IF(Lists!$O$6="","",INDEX(Stories!$D$4:$D$63,Lists!$O$6))</f>
        <v/>
      </c>
      <c r="N18" s="79">
        <f>IF(Lists!$O$6="","",INDEX(Stories!$E$4:$E$63,Lists!$O$6)&amp;"")</f>
        <v/>
      </c>
      <c r="O18" s="75" t="n"/>
      <c r="P18" s="79">
        <f>IF(Lists!$O$6="","",INDEX(Stories!$J$4:$J$63,Lists!$O$6)&amp;"")</f>
        <v/>
      </c>
      <c r="Q18" s="75" t="n"/>
      <c r="R18" s="80">
        <f>IF(Lists!$O$6="","",INDEX(Stories!$A$4:$A$63,Lists!$O$6))</f>
        <v/>
      </c>
      <c r="S18" s="81">
        <f>IF(Lists!$O$6="","",INDEX(Stories!$F$4:$F$63,Lists!$O$6)&amp;"")</f>
        <v/>
      </c>
    </row>
    <row r="19" ht="30" customHeight="1">
      <c r="B19" s="82">
        <f>IF(Lists!$O$7="","",6)</f>
        <v/>
      </c>
      <c r="C19" s="83">
        <f>IF(Lists!$O$7="","",IF(AND(Lists!$P$7&lt;&gt;"",LEN(Lists!$P$7)&lt;=255),HYPERLINK(Lists!$P$7,Lists!$Q$7),HYPERLINK("#'Stories'!B"&amp;(Lists!$O$7+3),Lists!$Q$7)))</f>
        <v/>
      </c>
      <c r="D19" s="84" t="n"/>
      <c r="E19" s="84" t="n"/>
      <c r="F19" s="84" t="n"/>
      <c r="G19" s="84" t="n"/>
      <c r="H19" s="84" t="n"/>
      <c r="I19" s="85">
        <f>IF(Lists!$O$7="","",INDEX(Stories!$K$4:$K$63,Lists!$O$7))</f>
        <v/>
      </c>
      <c r="J19" s="86">
        <f>IF(Lists!$O$7="","",INDEX(Stories!$C$4:$C$63,Lists!$O$7)&amp;"")</f>
        <v/>
      </c>
      <c r="K19" s="84" t="n"/>
      <c r="L19" s="84" t="n"/>
      <c r="M19" s="87">
        <f>IF(Lists!$O$7="","",INDEX(Stories!$D$4:$D$63,Lists!$O$7))</f>
        <v/>
      </c>
      <c r="N19" s="88">
        <f>IF(Lists!$O$7="","",INDEX(Stories!$E$4:$E$63,Lists!$O$7)&amp;"")</f>
        <v/>
      </c>
      <c r="O19" s="84" t="n"/>
      <c r="P19" s="88">
        <f>IF(Lists!$O$7="","",INDEX(Stories!$J$4:$J$63,Lists!$O$7)&amp;"")</f>
        <v/>
      </c>
      <c r="Q19" s="84" t="n"/>
      <c r="R19" s="89">
        <f>IF(Lists!$O$7="","",INDEX(Stories!$A$4:$A$63,Lists!$O$7))</f>
        <v/>
      </c>
      <c r="S19" s="90">
        <f>IF(Lists!$O$7="","",INDEX(Stories!$F$4:$F$63,Lists!$O$7)&amp;"")</f>
        <v/>
      </c>
    </row>
    <row r="20" ht="30" customHeight="1">
      <c r="B20" s="73">
        <f>IF(Lists!$O$8="","",7)</f>
        <v/>
      </c>
      <c r="C20" s="74">
        <f>IF(Lists!$O$8="","",IF(AND(Lists!$P$8&lt;&gt;"",LEN(Lists!$P$8)&lt;=255),HYPERLINK(Lists!$P$8,Lists!$Q$8),HYPERLINK("#'Stories'!B"&amp;(Lists!$O$8+3),Lists!$Q$8)))</f>
        <v/>
      </c>
      <c r="D20" s="75" t="n"/>
      <c r="E20" s="75" t="n"/>
      <c r="F20" s="75" t="n"/>
      <c r="G20" s="75" t="n"/>
      <c r="H20" s="75" t="n"/>
      <c r="I20" s="76">
        <f>IF(Lists!$O$8="","",INDEX(Stories!$K$4:$K$63,Lists!$O$8))</f>
        <v/>
      </c>
      <c r="J20" s="77">
        <f>IF(Lists!$O$8="","",INDEX(Stories!$C$4:$C$63,Lists!$O$8)&amp;"")</f>
        <v/>
      </c>
      <c r="K20" s="75" t="n"/>
      <c r="L20" s="75" t="n"/>
      <c r="M20" s="78">
        <f>IF(Lists!$O$8="","",INDEX(Stories!$D$4:$D$63,Lists!$O$8))</f>
        <v/>
      </c>
      <c r="N20" s="79">
        <f>IF(Lists!$O$8="","",INDEX(Stories!$E$4:$E$63,Lists!$O$8)&amp;"")</f>
        <v/>
      </c>
      <c r="O20" s="75" t="n"/>
      <c r="P20" s="79">
        <f>IF(Lists!$O$8="","",INDEX(Stories!$J$4:$J$63,Lists!$O$8)&amp;"")</f>
        <v/>
      </c>
      <c r="Q20" s="75" t="n"/>
      <c r="R20" s="80">
        <f>IF(Lists!$O$8="","",INDEX(Stories!$A$4:$A$63,Lists!$O$8))</f>
        <v/>
      </c>
      <c r="S20" s="81">
        <f>IF(Lists!$O$8="","",INDEX(Stories!$F$4:$F$63,Lists!$O$8)&amp;"")</f>
        <v/>
      </c>
    </row>
    <row r="21" ht="30" customHeight="1">
      <c r="B21" s="82">
        <f>IF(Lists!$O$9="","",8)</f>
        <v/>
      </c>
      <c r="C21" s="83">
        <f>IF(Lists!$O$9="","",IF(AND(Lists!$P$9&lt;&gt;"",LEN(Lists!$P$9)&lt;=255),HYPERLINK(Lists!$P$9,Lists!$Q$9),HYPERLINK("#'Stories'!B"&amp;(Lists!$O$9+3),Lists!$Q$9)))</f>
        <v/>
      </c>
      <c r="D21" s="84" t="n"/>
      <c r="E21" s="84" t="n"/>
      <c r="F21" s="84" t="n"/>
      <c r="G21" s="84" t="n"/>
      <c r="H21" s="84" t="n"/>
      <c r="I21" s="85">
        <f>IF(Lists!$O$9="","",INDEX(Stories!$K$4:$K$63,Lists!$O$9))</f>
        <v/>
      </c>
      <c r="J21" s="86">
        <f>IF(Lists!$O$9="","",INDEX(Stories!$C$4:$C$63,Lists!$O$9)&amp;"")</f>
        <v/>
      </c>
      <c r="K21" s="84" t="n"/>
      <c r="L21" s="84" t="n"/>
      <c r="M21" s="87">
        <f>IF(Lists!$O$9="","",INDEX(Stories!$D$4:$D$63,Lists!$O$9))</f>
        <v/>
      </c>
      <c r="N21" s="88">
        <f>IF(Lists!$O$9="","",INDEX(Stories!$E$4:$E$63,Lists!$O$9)&amp;"")</f>
        <v/>
      </c>
      <c r="O21" s="84" t="n"/>
      <c r="P21" s="88">
        <f>IF(Lists!$O$9="","",INDEX(Stories!$J$4:$J$63,Lists!$O$9)&amp;"")</f>
        <v/>
      </c>
      <c r="Q21" s="84" t="n"/>
      <c r="R21" s="89">
        <f>IF(Lists!$O$9="","",INDEX(Stories!$A$4:$A$63,Lists!$O$9))</f>
        <v/>
      </c>
      <c r="S21" s="90">
        <f>IF(Lists!$O$9="","",INDEX(Stories!$F$4:$F$63,Lists!$O$9)&amp;"")</f>
        <v/>
      </c>
    </row>
    <row r="22" ht="30" customHeight="1">
      <c r="B22" s="73">
        <f>IF(Lists!$O$10="","",9)</f>
        <v/>
      </c>
      <c r="C22" s="74">
        <f>IF(Lists!$O$10="","",IF(AND(Lists!$P$10&lt;&gt;"",LEN(Lists!$P$10)&lt;=255),HYPERLINK(Lists!$P$10,Lists!$Q$10),HYPERLINK("#'Stories'!B"&amp;(Lists!$O$10+3),Lists!$Q$10)))</f>
        <v/>
      </c>
      <c r="D22" s="75" t="n"/>
      <c r="E22" s="75" t="n"/>
      <c r="F22" s="75" t="n"/>
      <c r="G22" s="75" t="n"/>
      <c r="H22" s="75" t="n"/>
      <c r="I22" s="76">
        <f>IF(Lists!$O$10="","",INDEX(Stories!$K$4:$K$63,Lists!$O$10))</f>
        <v/>
      </c>
      <c r="J22" s="77">
        <f>IF(Lists!$O$10="","",INDEX(Stories!$C$4:$C$63,Lists!$O$10)&amp;"")</f>
        <v/>
      </c>
      <c r="K22" s="75" t="n"/>
      <c r="L22" s="75" t="n"/>
      <c r="M22" s="78">
        <f>IF(Lists!$O$10="","",INDEX(Stories!$D$4:$D$63,Lists!$O$10))</f>
        <v/>
      </c>
      <c r="N22" s="79">
        <f>IF(Lists!$O$10="","",INDEX(Stories!$E$4:$E$63,Lists!$O$10)&amp;"")</f>
        <v/>
      </c>
      <c r="O22" s="75" t="n"/>
      <c r="P22" s="79">
        <f>IF(Lists!$O$10="","",INDEX(Stories!$J$4:$J$63,Lists!$O$10)&amp;"")</f>
        <v/>
      </c>
      <c r="Q22" s="75" t="n"/>
      <c r="R22" s="80">
        <f>IF(Lists!$O$10="","",INDEX(Stories!$A$4:$A$63,Lists!$O$10))</f>
        <v/>
      </c>
      <c r="S22" s="81">
        <f>IF(Lists!$O$10="","",INDEX(Stories!$F$4:$F$63,Lists!$O$10)&amp;"")</f>
        <v/>
      </c>
    </row>
    <row r="23" ht="30" customHeight="1">
      <c r="B23" s="82">
        <f>IF(Lists!$O$11="","",10)</f>
        <v/>
      </c>
      <c r="C23" s="83">
        <f>IF(Lists!$O$11="","",IF(AND(Lists!$P$11&lt;&gt;"",LEN(Lists!$P$11)&lt;=255),HYPERLINK(Lists!$P$11,Lists!$Q$11),HYPERLINK("#'Stories'!B"&amp;(Lists!$O$11+3),Lists!$Q$11)))</f>
        <v/>
      </c>
      <c r="D23" s="84" t="n"/>
      <c r="E23" s="84" t="n"/>
      <c r="F23" s="84" t="n"/>
      <c r="G23" s="84" t="n"/>
      <c r="H23" s="84" t="n"/>
      <c r="I23" s="85">
        <f>IF(Lists!$O$11="","",INDEX(Stories!$K$4:$K$63,Lists!$O$11))</f>
        <v/>
      </c>
      <c r="J23" s="86">
        <f>IF(Lists!$O$11="","",INDEX(Stories!$C$4:$C$63,Lists!$O$11)&amp;"")</f>
        <v/>
      </c>
      <c r="K23" s="84" t="n"/>
      <c r="L23" s="84" t="n"/>
      <c r="M23" s="87">
        <f>IF(Lists!$O$11="","",INDEX(Stories!$D$4:$D$63,Lists!$O$11))</f>
        <v/>
      </c>
      <c r="N23" s="88">
        <f>IF(Lists!$O$11="","",INDEX(Stories!$E$4:$E$63,Lists!$O$11)&amp;"")</f>
        <v/>
      </c>
      <c r="O23" s="84" t="n"/>
      <c r="P23" s="88">
        <f>IF(Lists!$O$11="","",INDEX(Stories!$J$4:$J$63,Lists!$O$11)&amp;"")</f>
        <v/>
      </c>
      <c r="Q23" s="84" t="n"/>
      <c r="R23" s="89">
        <f>IF(Lists!$O$11="","",INDEX(Stories!$A$4:$A$63,Lists!$O$11))</f>
        <v/>
      </c>
      <c r="S23" s="90">
        <f>IF(Lists!$O$11="","",INDEX(Stories!$F$4:$F$63,Lists!$O$11)&amp;"")</f>
        <v/>
      </c>
    </row>
    <row r="24">
      <c r="C24" s="91" t="inlineStr">
        <is>
          <t>Ranked by relevance, then keyword score, then newest digest. Find a story in the Stories sheet by its Story No.</t>
        </is>
      </c>
    </row>
    <row r="25"/>
    <row r="26" ht="22" customHeight="1">
      <c r="B26" s="7" t="inlineStr">
        <is>
          <t>Stories by theme</t>
        </is>
      </c>
      <c r="C26" s="8" t="n"/>
      <c r="D26" s="8" t="n"/>
      <c r="E26" s="8" t="n"/>
      <c r="F26" s="8" t="n"/>
      <c r="G26" s="8" t="n"/>
      <c r="H26" s="8" t="n"/>
      <c r="I26" s="8" t="n"/>
      <c r="J26" s="8" t="n"/>
    </row>
    <row r="27" ht="28" customHeight="1">
      <c r="B27" s="72" t="inlineStr">
        <is>
          <t>Theme</t>
        </is>
      </c>
      <c r="C27" s="1" t="n"/>
      <c r="D27" s="1" t="n"/>
      <c r="E27" s="1" t="n"/>
      <c r="F27" s="71" t="inlineStr">
        <is>
          <t>Stories</t>
        </is>
      </c>
      <c r="G27" s="71" t="inlineStr">
        <is>
          <t>Rated 5</t>
        </is>
      </c>
      <c r="H27" s="71" t="inlineStr">
        <is>
          <t>Rated 4</t>
        </is>
      </c>
      <c r="I27" s="71" t="inlineStr">
        <is>
          <t>Feature leads</t>
        </is>
      </c>
      <c r="J27" s="71" t="inlineStr">
        <is>
          <t>Share</t>
        </is>
      </c>
    </row>
    <row r="28" ht="18" customHeight="1">
      <c r="B28" s="92" t="inlineStr">
        <is>
          <t>Sustainability &amp; the Energy Transition</t>
        </is>
      </c>
      <c r="C28" s="93" t="n"/>
      <c r="D28" s="93" t="n"/>
      <c r="E28" s="93" t="n"/>
      <c r="F28" s="94">
        <f>SUMPRODUCT(Stories!$W$4:$W$63,--(Stories!$C$4:$C$63=$B28))</f>
        <v/>
      </c>
      <c r="G28" s="95">
        <f>SUMPRODUCT(Stories!$W$4:$W$63,--(Stories!$C$4:$C$63=$B28),--(Stories!$D$4:$D$63=5))</f>
        <v/>
      </c>
      <c r="H28" s="95">
        <f>SUMPRODUCT(Stories!$W$4:$W$63,--(Stories!$C$4:$C$63=$B28),--(Stories!$D$4:$D$63=4))</f>
        <v/>
      </c>
      <c r="I28" s="95">
        <f>SUMPRODUCT(Stories!$W$4:$W$63,--(Stories!$C$4:$C$63=$B28),--(Stories!$E$4:$E$63="Feature lead"))</f>
        <v/>
      </c>
      <c r="J28" s="96">
        <f>IF(Lists!$H$6=0,0,F28/Lists!$H$6)</f>
        <v/>
      </c>
    </row>
    <row r="29" ht="18" customHeight="1">
      <c r="B29" s="97" t="inlineStr">
        <is>
          <t>Digital Geotechnics</t>
        </is>
      </c>
      <c r="C29" s="98" t="n"/>
      <c r="D29" s="98" t="n"/>
      <c r="E29" s="98" t="n"/>
      <c r="F29" s="94">
        <f>SUMPRODUCT(Stories!$W$4:$W$63,--(Stories!$C$4:$C$63=$B29))</f>
        <v/>
      </c>
      <c r="G29" s="95">
        <f>SUMPRODUCT(Stories!$W$4:$W$63,--(Stories!$C$4:$C$63=$B29),--(Stories!$D$4:$D$63=5))</f>
        <v/>
      </c>
      <c r="H29" s="95">
        <f>SUMPRODUCT(Stories!$W$4:$W$63,--(Stories!$C$4:$C$63=$B29),--(Stories!$D$4:$D$63=4))</f>
        <v/>
      </c>
      <c r="I29" s="95">
        <f>SUMPRODUCT(Stories!$W$4:$W$63,--(Stories!$C$4:$C$63=$B29),--(Stories!$E$4:$E$63="Feature lead"))</f>
        <v/>
      </c>
      <c r="J29" s="96">
        <f>IF(Lists!$H$6=0,0,F29/Lists!$H$6)</f>
        <v/>
      </c>
    </row>
    <row r="30" ht="18" customHeight="1">
      <c r="B30" s="99" t="inlineStr">
        <is>
          <t>Hazards &amp; Resilience</t>
        </is>
      </c>
      <c r="C30" s="100" t="n"/>
      <c r="D30" s="100" t="n"/>
      <c r="E30" s="100" t="n"/>
      <c r="F30" s="94">
        <f>SUMPRODUCT(Stories!$W$4:$W$63,--(Stories!$C$4:$C$63=$B30))</f>
        <v/>
      </c>
      <c r="G30" s="95">
        <f>SUMPRODUCT(Stories!$W$4:$W$63,--(Stories!$C$4:$C$63=$B30),--(Stories!$D$4:$D$63=5))</f>
        <v/>
      </c>
      <c r="H30" s="95">
        <f>SUMPRODUCT(Stories!$W$4:$W$63,--(Stories!$C$4:$C$63=$B30),--(Stories!$D$4:$D$63=4))</f>
        <v/>
      </c>
      <c r="I30" s="95">
        <f>SUMPRODUCT(Stories!$W$4:$W$63,--(Stories!$C$4:$C$63=$B30),--(Stories!$E$4:$E$63="Feature lead"))</f>
        <v/>
      </c>
      <c r="J30" s="96">
        <f>IF(Lists!$H$6=0,0,F30/Lists!$H$6)</f>
        <v/>
      </c>
    </row>
    <row r="31" ht="18" customHeight="1">
      <c r="B31" s="101" t="inlineStr">
        <is>
          <t>Ground Improvement &amp; Innovation</t>
        </is>
      </c>
      <c r="C31" s="102" t="n"/>
      <c r="D31" s="102" t="n"/>
      <c r="E31" s="102" t="n"/>
      <c r="F31" s="94">
        <f>SUMPRODUCT(Stories!$W$4:$W$63,--(Stories!$C$4:$C$63=$B31))</f>
        <v/>
      </c>
      <c r="G31" s="95">
        <f>SUMPRODUCT(Stories!$W$4:$W$63,--(Stories!$C$4:$C$63=$B31),--(Stories!$D$4:$D$63=5))</f>
        <v/>
      </c>
      <c r="H31" s="95">
        <f>SUMPRODUCT(Stories!$W$4:$W$63,--(Stories!$C$4:$C$63=$B31),--(Stories!$D$4:$D$63=4))</f>
        <v/>
      </c>
      <c r="I31" s="95">
        <f>SUMPRODUCT(Stories!$W$4:$W$63,--(Stories!$C$4:$C$63=$B31),--(Stories!$E$4:$E$63="Feature lead"))</f>
        <v/>
      </c>
      <c r="J31" s="96">
        <f>IF(Lists!$H$6=0,0,F31/Lists!$H$6)</f>
        <v/>
      </c>
    </row>
    <row r="32" ht="18" customHeight="1">
      <c r="B32" s="103" t="inlineStr">
        <is>
          <t>Infrastructure &amp; the Underground City</t>
        </is>
      </c>
      <c r="C32" s="104" t="n"/>
      <c r="D32" s="104" t="n"/>
      <c r="E32" s="104" t="n"/>
      <c r="F32" s="94">
        <f>SUMPRODUCT(Stories!$W$4:$W$63,--(Stories!$C$4:$C$63=$B32))</f>
        <v/>
      </c>
      <c r="G32" s="95">
        <f>SUMPRODUCT(Stories!$W$4:$W$63,--(Stories!$C$4:$C$63=$B32),--(Stories!$D$4:$D$63=5))</f>
        <v/>
      </c>
      <c r="H32" s="95">
        <f>SUMPRODUCT(Stories!$W$4:$W$63,--(Stories!$C$4:$C$63=$B32),--(Stories!$D$4:$D$63=4))</f>
        <v/>
      </c>
      <c r="I32" s="95">
        <f>SUMPRODUCT(Stories!$W$4:$W$63,--(Stories!$C$4:$C$63=$B32),--(Stories!$E$4:$E$63="Feature lead"))</f>
        <v/>
      </c>
      <c r="J32" s="96">
        <f>IF(Lists!$H$6=0,0,F32/Lists!$H$6)</f>
        <v/>
      </c>
    </row>
    <row r="33" ht="18" customHeight="1">
      <c r="B33" s="105" t="inlineStr">
        <is>
          <t>Offshore, Coasts &amp; Water</t>
        </is>
      </c>
      <c r="C33" s="106" t="n"/>
      <c r="D33" s="106" t="n"/>
      <c r="E33" s="106" t="n"/>
      <c r="F33" s="94">
        <f>SUMPRODUCT(Stories!$W$4:$W$63,--(Stories!$C$4:$C$63=$B33))</f>
        <v/>
      </c>
      <c r="G33" s="95">
        <f>SUMPRODUCT(Stories!$W$4:$W$63,--(Stories!$C$4:$C$63=$B33),--(Stories!$D$4:$D$63=5))</f>
        <v/>
      </c>
      <c r="H33" s="95">
        <f>SUMPRODUCT(Stories!$W$4:$W$63,--(Stories!$C$4:$C$63=$B33),--(Stories!$D$4:$D$63=4))</f>
        <v/>
      </c>
      <c r="I33" s="95">
        <f>SUMPRODUCT(Stories!$W$4:$W$63,--(Stories!$C$4:$C$63=$B33),--(Stories!$E$4:$E$63="Feature lead"))</f>
        <v/>
      </c>
      <c r="J33" s="96">
        <f>IF(Lists!$H$6=0,0,F33/Lists!$H$6)</f>
        <v/>
      </c>
    </row>
    <row r="34" ht="18" customHeight="1">
      <c r="B34" s="107" t="inlineStr">
        <is>
          <t>Characterisation &amp; Modelling</t>
        </is>
      </c>
      <c r="C34" s="108" t="n"/>
      <c r="D34" s="108" t="n"/>
      <c r="E34" s="108" t="n"/>
      <c r="F34" s="94">
        <f>SUMPRODUCT(Stories!$W$4:$W$63,--(Stories!$C$4:$C$63=$B34))</f>
        <v/>
      </c>
      <c r="G34" s="95">
        <f>SUMPRODUCT(Stories!$W$4:$W$63,--(Stories!$C$4:$C$63=$B34),--(Stories!$D$4:$D$63=5))</f>
        <v/>
      </c>
      <c r="H34" s="95">
        <f>SUMPRODUCT(Stories!$W$4:$W$63,--(Stories!$C$4:$C$63=$B34),--(Stories!$D$4:$D$63=4))</f>
        <v/>
      </c>
      <c r="I34" s="95">
        <f>SUMPRODUCT(Stories!$W$4:$W$63,--(Stories!$C$4:$C$63=$B34),--(Stories!$E$4:$E$63="Feature lead"))</f>
        <v/>
      </c>
      <c r="J34" s="96">
        <f>IF(Lists!$H$6=0,0,F34/Lists!$H$6)</f>
        <v/>
      </c>
    </row>
    <row r="35" ht="18" customHeight="1">
      <c r="B35" s="109" t="inlineStr">
        <is>
          <t>Geotechnics &amp; Society</t>
        </is>
      </c>
      <c r="C35" s="110" t="n"/>
      <c r="D35" s="110" t="n"/>
      <c r="E35" s="110" t="n"/>
      <c r="F35" s="94">
        <f>SUMPRODUCT(Stories!$W$4:$W$63,--(Stories!$C$4:$C$63=$B35))</f>
        <v/>
      </c>
      <c r="G35" s="95">
        <f>SUMPRODUCT(Stories!$W$4:$W$63,--(Stories!$C$4:$C$63=$B35),--(Stories!$D$4:$D$63=5))</f>
        <v/>
      </c>
      <c r="H35" s="95">
        <f>SUMPRODUCT(Stories!$W$4:$W$63,--(Stories!$C$4:$C$63=$B35),--(Stories!$D$4:$D$63=4))</f>
        <v/>
      </c>
      <c r="I35" s="95">
        <f>SUMPRODUCT(Stories!$W$4:$W$63,--(Stories!$C$4:$C$63=$B35),--(Stories!$E$4:$E$63="Feature lead"))</f>
        <v/>
      </c>
      <c r="J35" s="96">
        <f>IF(Lists!$H$6=0,0,F35/Lists!$H$6)</f>
        <v/>
      </c>
    </row>
    <row r="36" ht="18" customHeight="1">
      <c r="B36" s="111" t="inlineStr">
        <is>
          <t>General</t>
        </is>
      </c>
      <c r="C36" s="112" t="n"/>
      <c r="D36" s="112" t="n"/>
      <c r="E36" s="112" t="n"/>
      <c r="F36" s="94">
        <f>SUMPRODUCT(Stories!$W$4:$W$63,--(Stories!$C$4:$C$63=$B36))</f>
        <v/>
      </c>
      <c r="G36" s="95">
        <f>SUMPRODUCT(Stories!$W$4:$W$63,--(Stories!$C$4:$C$63=$B36),--(Stories!$D$4:$D$63=5))</f>
        <v/>
      </c>
      <c r="H36" s="95">
        <f>SUMPRODUCT(Stories!$W$4:$W$63,--(Stories!$C$4:$C$63=$B36),--(Stories!$D$4:$D$63=4))</f>
        <v/>
      </c>
      <c r="I36" s="95">
        <f>SUMPRODUCT(Stories!$W$4:$W$63,--(Stories!$C$4:$C$63=$B36),--(Stories!$E$4:$E$63="Feature lead"))</f>
        <v/>
      </c>
      <c r="J36" s="96">
        <f>IF(Lists!$H$6=0,0,F36/Lists!$H$6)</f>
        <v/>
      </c>
    </row>
    <row r="37"/>
    <row r="38" ht="22" customHeight="1">
      <c r="B38" s="7" t="inlineStr">
        <is>
          <t>Suggested editorial use</t>
        </is>
      </c>
      <c r="C38" s="8" t="n"/>
      <c r="D38" s="8" t="n"/>
      <c r="E38" s="8" t="n"/>
      <c r="F38" s="8" t="n"/>
      <c r="H38" s="7" t="inlineStr">
        <is>
          <t>Geotechnical relevance</t>
        </is>
      </c>
      <c r="I38" s="8" t="n"/>
      <c r="J38" s="8" t="n"/>
      <c r="K38" s="8" t="n"/>
      <c r="L38" s="8" t="n"/>
      <c r="N38" s="7" t="inlineStr">
        <is>
          <t>Planning status</t>
        </is>
      </c>
      <c r="O38" s="8" t="n"/>
      <c r="P38" s="8" t="n"/>
      <c r="Q38" s="8" t="n"/>
      <c r="R38" s="8" t="n"/>
    </row>
    <row r="39" ht="20" customHeight="1">
      <c r="B39" s="72" t="inlineStr">
        <is>
          <t>Use</t>
        </is>
      </c>
      <c r="C39" s="1" t="n"/>
      <c r="D39" s="1" t="n"/>
      <c r="E39" s="71" t="inlineStr">
        <is>
          <t>Stories</t>
        </is>
      </c>
      <c r="F39" s="71" t="inlineStr">
        <is>
          <t>Share</t>
        </is>
      </c>
      <c r="H39" s="72" t="inlineStr">
        <is>
          <t>Relevance</t>
        </is>
      </c>
      <c r="I39" s="1" t="n"/>
      <c r="J39" s="1" t="n"/>
      <c r="K39" s="71" t="inlineStr">
        <is>
          <t>Stories</t>
        </is>
      </c>
      <c r="L39" s="71" t="inlineStr">
        <is>
          <t>Share</t>
        </is>
      </c>
      <c r="N39" s="72" t="inlineStr">
        <is>
          <t>Status</t>
        </is>
      </c>
      <c r="O39" s="1" t="n"/>
      <c r="P39" s="1" t="n"/>
      <c r="Q39" s="71" t="inlineStr">
        <is>
          <t>Stories</t>
        </is>
      </c>
      <c r="R39" s="71" t="inlineStr">
        <is>
          <t>Share</t>
        </is>
      </c>
    </row>
    <row r="40" ht="18" customHeight="1">
      <c r="B40" s="113" t="inlineStr">
        <is>
          <t>Feature lead</t>
        </is>
      </c>
      <c r="C40" s="11" t="n"/>
      <c r="D40" s="11" t="n"/>
      <c r="E40" s="94">
        <f>SUMPRODUCT(Stories!$W$4:$W$63,--(Stories!$E$4:$E$63=$B40))</f>
        <v/>
      </c>
      <c r="F40" s="96">
        <f>IF(Lists!$H$6=0,0,E40/Lists!$H$6)</f>
        <v/>
      </c>
      <c r="H40" s="114" t="inlineStr">
        <is>
          <t>5 / 5</t>
        </is>
      </c>
      <c r="I40" s="11" t="n"/>
      <c r="J40" s="11" t="n"/>
      <c r="K40" s="94">
        <f>COUNTIFS(Stories!$W$4:$W$63,1,Stories!$D$4:$D$63,5)</f>
        <v/>
      </c>
      <c r="L40" s="96">
        <f>IF(Lists!$H$6=0,0,K40/Lists!$H$6)</f>
        <v/>
      </c>
      <c r="N40" s="115" t="inlineStr">
        <is>
          <t>To review</t>
        </is>
      </c>
      <c r="O40" s="116" t="n"/>
      <c r="P40" s="116" t="n"/>
      <c r="Q40" s="94">
        <f>COUNTIFS(Stories!$W$4:$W$63,1,Stories!$F$4:$F$63,"To review")</f>
        <v/>
      </c>
      <c r="R40" s="96">
        <f>IF(Lists!$H$6=0,0,Q40/Lists!$H$6)</f>
        <v/>
      </c>
    </row>
    <row r="41" ht="18" customHeight="1">
      <c r="B41" s="117" t="inlineStr">
        <is>
          <t>News brief</t>
        </is>
      </c>
      <c r="C41" s="11" t="n"/>
      <c r="D41" s="11" t="n"/>
      <c r="E41" s="94">
        <f>SUMPRODUCT(Stories!$W$4:$W$63,--(Stories!$E$4:$E$63=$B41))</f>
        <v/>
      </c>
      <c r="F41" s="96">
        <f>IF(Lists!$H$6=0,0,E41/Lists!$H$6)</f>
        <v/>
      </c>
      <c r="H41" s="118" t="inlineStr">
        <is>
          <t>4 / 5</t>
        </is>
      </c>
      <c r="I41" s="11" t="n"/>
      <c r="J41" s="11" t="n"/>
      <c r="K41" s="94">
        <f>COUNTIFS(Stories!$W$4:$W$63,1,Stories!$D$4:$D$63,4)</f>
        <v/>
      </c>
      <c r="L41" s="96">
        <f>IF(Lists!$H$6=0,0,K41/Lists!$H$6)</f>
        <v/>
      </c>
      <c r="N41" s="119" t="inlineStr">
        <is>
          <t>Shortlisted</t>
        </is>
      </c>
      <c r="O41" s="120" t="n"/>
      <c r="P41" s="120" t="n"/>
      <c r="Q41" s="94">
        <f>COUNTIFS(Stories!$W$4:$W$63,1,Stories!$F$4:$F$63,"Shortlisted")</f>
        <v/>
      </c>
      <c r="R41" s="96">
        <f>IF(Lists!$H$6=0,0,Q41/Lists!$H$6)</f>
        <v/>
      </c>
    </row>
    <row r="42" ht="18" customHeight="1">
      <c r="B42" s="121" t="inlineStr">
        <is>
          <t>Academia-to-Industry topic</t>
        </is>
      </c>
      <c r="C42" s="11" t="n"/>
      <c r="D42" s="11" t="n"/>
      <c r="E42" s="94">
        <f>SUMPRODUCT(Stories!$W$4:$W$63,--(Stories!$E$4:$E$63=$B42))</f>
        <v/>
      </c>
      <c r="F42" s="96">
        <f>IF(Lists!$H$6=0,0,E42/Lists!$H$6)</f>
        <v/>
      </c>
      <c r="H42" s="122" t="inlineStr">
        <is>
          <t>3 / 5</t>
        </is>
      </c>
      <c r="I42" s="11" t="n"/>
      <c r="J42" s="11" t="n"/>
      <c r="K42" s="94">
        <f>COUNTIFS(Stories!$W$4:$W$63,1,Stories!$D$4:$D$63,3)</f>
        <v/>
      </c>
      <c r="L42" s="96">
        <f>IF(Lists!$H$6=0,0,K42/Lists!$H$6)</f>
        <v/>
      </c>
      <c r="N42" s="123" t="inlineStr">
        <is>
          <t>Commissioned</t>
        </is>
      </c>
      <c r="O42" s="124" t="n"/>
      <c r="P42" s="124" t="n"/>
      <c r="Q42" s="94">
        <f>COUNTIFS(Stories!$W$4:$W$63,1,Stories!$F$4:$F$63,"Commissioned")</f>
        <v/>
      </c>
      <c r="R42" s="96">
        <f>IF(Lists!$H$6=0,0,Q42/Lists!$H$6)</f>
        <v/>
      </c>
    </row>
    <row r="43" ht="18" customHeight="1">
      <c r="B43" s="125" t="inlineStr">
        <is>
          <t>Regional insight</t>
        </is>
      </c>
      <c r="C43" s="11" t="n"/>
      <c r="D43" s="11" t="n"/>
      <c r="E43" s="94">
        <f>SUMPRODUCT(Stories!$W$4:$W$63,--(Stories!$E$4:$E$63=$B43))</f>
        <v/>
      </c>
      <c r="F43" s="96">
        <f>IF(Lists!$H$6=0,0,E43/Lists!$H$6)</f>
        <v/>
      </c>
      <c r="N43" s="126" t="inlineStr">
        <is>
          <t>Published</t>
        </is>
      </c>
      <c r="O43" s="127" t="n"/>
      <c r="P43" s="127" t="n"/>
      <c r="Q43" s="94">
        <f>COUNTIFS(Stories!$W$4:$W$63,1,Stories!$F$4:$F$63,"Published")</f>
        <v/>
      </c>
      <c r="R43" s="96">
        <f>IF(Lists!$H$6=0,0,Q43/Lists!$H$6)</f>
        <v/>
      </c>
    </row>
    <row r="44" ht="18" customHeight="1">
      <c r="B44" s="128" t="inlineStr">
        <is>
          <t>Watch only</t>
        </is>
      </c>
      <c r="C44" s="11" t="n"/>
      <c r="D44" s="11" t="n"/>
      <c r="E44" s="94">
        <f>SUMPRODUCT(Stories!$W$4:$W$63,--(Stories!$E$4:$E$63=$B44))</f>
        <v/>
      </c>
      <c r="F44" s="96">
        <f>IF(Lists!$H$6=0,0,E44/Lists!$H$6)</f>
        <v/>
      </c>
      <c r="N44" s="129" t="inlineStr">
        <is>
          <t>Not used</t>
        </is>
      </c>
      <c r="O44" s="130" t="n"/>
      <c r="P44" s="130" t="n"/>
      <c r="Q44" s="94">
        <f>COUNTIFS(Stories!$W$4:$W$63,1,Stories!$F$4:$F$63,"Not used")</f>
        <v/>
      </c>
      <c r="R44" s="96">
        <f>IF(Lists!$H$6=0,0,Q44/Lists!$H$6)</f>
        <v/>
      </c>
    </row>
    <row r="45"/>
    <row r="46"/>
    <row r="47"/>
    <row r="48"/>
    <row r="49"/>
    <row r="50"/>
    <row r="51"/>
    <row r="52"/>
    <row r="53"/>
    <row r="54"/>
    <row r="55"/>
    <row r="56"/>
    <row r="57"/>
    <row r="58"/>
    <row r="59" ht="22" customHeight="1">
      <c r="B59" s="7" t="inlineStr">
        <is>
          <t>Theme × suggested use (heat map for this selection)</t>
        </is>
      </c>
      <c r="C59" s="8" t="n"/>
      <c r="D59" s="8" t="n"/>
      <c r="E59" s="8" t="n"/>
      <c r="F59" s="8" t="n"/>
      <c r="G59" s="8" t="n"/>
      <c r="H59" s="8" t="n"/>
      <c r="I59" s="8" t="n"/>
      <c r="J59" s="8" t="n"/>
      <c r="K59" s="8" t="n"/>
    </row>
    <row r="60" ht="42" customHeight="1">
      <c r="B60" s="72" t="inlineStr">
        <is>
          <t>Theme</t>
        </is>
      </c>
      <c r="C60" s="1" t="n"/>
      <c r="D60" s="1" t="n"/>
      <c r="E60" s="1" t="n"/>
      <c r="F60" s="71" t="inlineStr">
        <is>
          <t>Feature lead</t>
        </is>
      </c>
      <c r="G60" s="71" t="inlineStr">
        <is>
          <t>News brief</t>
        </is>
      </c>
      <c r="H60" s="71" t="inlineStr">
        <is>
          <t>Academia-to-Industry topic</t>
        </is>
      </c>
      <c r="I60" s="71" t="inlineStr">
        <is>
          <t>Regional insight</t>
        </is>
      </c>
      <c r="J60" s="71" t="inlineStr">
        <is>
          <t>Watch only</t>
        </is>
      </c>
      <c r="K60" s="71" t="inlineStr">
        <is>
          <t>Total</t>
        </is>
      </c>
    </row>
    <row r="61" ht="18" customHeight="1">
      <c r="B61" s="131" t="inlineStr">
        <is>
          <t>Sustainability &amp; the Energy Transition</t>
        </is>
      </c>
      <c r="C61" s="132" t="n"/>
      <c r="D61" s="132" t="n"/>
      <c r="E61" s="132" t="n"/>
      <c r="F61" s="133">
        <f>SUMPRODUCT(Stories!$W$4:$W$63,--(Stories!$C$4:$C$63=$B61),--(Stories!$E$4:$E$63=F$60))</f>
        <v/>
      </c>
      <c r="G61" s="133">
        <f>SUMPRODUCT(Stories!$W$4:$W$63,--(Stories!$C$4:$C$63=$B61),--(Stories!$E$4:$E$63=G$60))</f>
        <v/>
      </c>
      <c r="H61" s="133">
        <f>SUMPRODUCT(Stories!$W$4:$W$63,--(Stories!$C$4:$C$63=$B61),--(Stories!$E$4:$E$63=H$60))</f>
        <v/>
      </c>
      <c r="I61" s="133">
        <f>SUMPRODUCT(Stories!$W$4:$W$63,--(Stories!$C$4:$C$63=$B61),--(Stories!$E$4:$E$63=I$60))</f>
        <v/>
      </c>
      <c r="J61" s="133">
        <f>SUMPRODUCT(Stories!$W$4:$W$63,--(Stories!$C$4:$C$63=$B61),--(Stories!$E$4:$E$63=J$60))</f>
        <v/>
      </c>
      <c r="K61" s="94">
        <f>SUM(F61:J61)</f>
        <v/>
      </c>
    </row>
    <row r="62" ht="18" customHeight="1">
      <c r="B62" s="134" t="inlineStr">
        <is>
          <t>Digital Geotechnics</t>
        </is>
      </c>
      <c r="C62" s="135" t="n"/>
      <c r="D62" s="135" t="n"/>
      <c r="E62" s="135" t="n"/>
      <c r="F62" s="133">
        <f>SUMPRODUCT(Stories!$W$4:$W$63,--(Stories!$C$4:$C$63=$B62),--(Stories!$E$4:$E$63=F$60))</f>
        <v/>
      </c>
      <c r="G62" s="133">
        <f>SUMPRODUCT(Stories!$W$4:$W$63,--(Stories!$C$4:$C$63=$B62),--(Stories!$E$4:$E$63=G$60))</f>
        <v/>
      </c>
      <c r="H62" s="133">
        <f>SUMPRODUCT(Stories!$W$4:$W$63,--(Stories!$C$4:$C$63=$B62),--(Stories!$E$4:$E$63=H$60))</f>
        <v/>
      </c>
      <c r="I62" s="133">
        <f>SUMPRODUCT(Stories!$W$4:$W$63,--(Stories!$C$4:$C$63=$B62),--(Stories!$E$4:$E$63=I$60))</f>
        <v/>
      </c>
      <c r="J62" s="133">
        <f>SUMPRODUCT(Stories!$W$4:$W$63,--(Stories!$C$4:$C$63=$B62),--(Stories!$E$4:$E$63=J$60))</f>
        <v/>
      </c>
      <c r="K62" s="94">
        <f>SUM(F62:J62)</f>
        <v/>
      </c>
    </row>
    <row r="63" ht="18" customHeight="1">
      <c r="B63" s="136" t="inlineStr">
        <is>
          <t>Hazards &amp; Resilience</t>
        </is>
      </c>
      <c r="C63" s="137" t="n"/>
      <c r="D63" s="137" t="n"/>
      <c r="E63" s="137" t="n"/>
      <c r="F63" s="133">
        <f>SUMPRODUCT(Stories!$W$4:$W$63,--(Stories!$C$4:$C$63=$B63),--(Stories!$E$4:$E$63=F$60))</f>
        <v/>
      </c>
      <c r="G63" s="133">
        <f>SUMPRODUCT(Stories!$W$4:$W$63,--(Stories!$C$4:$C$63=$B63),--(Stories!$E$4:$E$63=G$60))</f>
        <v/>
      </c>
      <c r="H63" s="133">
        <f>SUMPRODUCT(Stories!$W$4:$W$63,--(Stories!$C$4:$C$63=$B63),--(Stories!$E$4:$E$63=H$60))</f>
        <v/>
      </c>
      <c r="I63" s="133">
        <f>SUMPRODUCT(Stories!$W$4:$W$63,--(Stories!$C$4:$C$63=$B63),--(Stories!$E$4:$E$63=I$60))</f>
        <v/>
      </c>
      <c r="J63" s="133">
        <f>SUMPRODUCT(Stories!$W$4:$W$63,--(Stories!$C$4:$C$63=$B63),--(Stories!$E$4:$E$63=J$60))</f>
        <v/>
      </c>
      <c r="K63" s="94">
        <f>SUM(F63:J63)</f>
        <v/>
      </c>
    </row>
    <row r="64" ht="18" customHeight="1">
      <c r="B64" s="138" t="inlineStr">
        <is>
          <t>Ground Improvement &amp; Innovation</t>
        </is>
      </c>
      <c r="C64" s="139" t="n"/>
      <c r="D64" s="139" t="n"/>
      <c r="E64" s="139" t="n"/>
      <c r="F64" s="133">
        <f>SUMPRODUCT(Stories!$W$4:$W$63,--(Stories!$C$4:$C$63=$B64),--(Stories!$E$4:$E$63=F$60))</f>
        <v/>
      </c>
      <c r="G64" s="133">
        <f>SUMPRODUCT(Stories!$W$4:$W$63,--(Stories!$C$4:$C$63=$B64),--(Stories!$E$4:$E$63=G$60))</f>
        <v/>
      </c>
      <c r="H64" s="133">
        <f>SUMPRODUCT(Stories!$W$4:$W$63,--(Stories!$C$4:$C$63=$B64),--(Stories!$E$4:$E$63=H$60))</f>
        <v/>
      </c>
      <c r="I64" s="133">
        <f>SUMPRODUCT(Stories!$W$4:$W$63,--(Stories!$C$4:$C$63=$B64),--(Stories!$E$4:$E$63=I$60))</f>
        <v/>
      </c>
      <c r="J64" s="133">
        <f>SUMPRODUCT(Stories!$W$4:$W$63,--(Stories!$C$4:$C$63=$B64),--(Stories!$E$4:$E$63=J$60))</f>
        <v/>
      </c>
      <c r="K64" s="94">
        <f>SUM(F64:J64)</f>
        <v/>
      </c>
    </row>
    <row r="65" ht="18" customHeight="1">
      <c r="B65" s="140" t="inlineStr">
        <is>
          <t>Infrastructure &amp; the Underground City</t>
        </is>
      </c>
      <c r="C65" s="141" t="n"/>
      <c r="D65" s="141" t="n"/>
      <c r="E65" s="141" t="n"/>
      <c r="F65" s="133">
        <f>SUMPRODUCT(Stories!$W$4:$W$63,--(Stories!$C$4:$C$63=$B65),--(Stories!$E$4:$E$63=F$60))</f>
        <v/>
      </c>
      <c r="G65" s="133">
        <f>SUMPRODUCT(Stories!$W$4:$W$63,--(Stories!$C$4:$C$63=$B65),--(Stories!$E$4:$E$63=G$60))</f>
        <v/>
      </c>
      <c r="H65" s="133">
        <f>SUMPRODUCT(Stories!$W$4:$W$63,--(Stories!$C$4:$C$63=$B65),--(Stories!$E$4:$E$63=H$60))</f>
        <v/>
      </c>
      <c r="I65" s="133">
        <f>SUMPRODUCT(Stories!$W$4:$W$63,--(Stories!$C$4:$C$63=$B65),--(Stories!$E$4:$E$63=I$60))</f>
        <v/>
      </c>
      <c r="J65" s="133">
        <f>SUMPRODUCT(Stories!$W$4:$W$63,--(Stories!$C$4:$C$63=$B65),--(Stories!$E$4:$E$63=J$60))</f>
        <v/>
      </c>
      <c r="K65" s="94">
        <f>SUM(F65:J65)</f>
        <v/>
      </c>
    </row>
    <row r="66" ht="18" customHeight="1">
      <c r="B66" s="142" t="inlineStr">
        <is>
          <t>Offshore, Coasts &amp; Water</t>
        </is>
      </c>
      <c r="C66" s="143" t="n"/>
      <c r="D66" s="143" t="n"/>
      <c r="E66" s="143" t="n"/>
      <c r="F66" s="133">
        <f>SUMPRODUCT(Stories!$W$4:$W$63,--(Stories!$C$4:$C$63=$B66),--(Stories!$E$4:$E$63=F$60))</f>
        <v/>
      </c>
      <c r="G66" s="133">
        <f>SUMPRODUCT(Stories!$W$4:$W$63,--(Stories!$C$4:$C$63=$B66),--(Stories!$E$4:$E$63=G$60))</f>
        <v/>
      </c>
      <c r="H66" s="133">
        <f>SUMPRODUCT(Stories!$W$4:$W$63,--(Stories!$C$4:$C$63=$B66),--(Stories!$E$4:$E$63=H$60))</f>
        <v/>
      </c>
      <c r="I66" s="133">
        <f>SUMPRODUCT(Stories!$W$4:$W$63,--(Stories!$C$4:$C$63=$B66),--(Stories!$E$4:$E$63=I$60))</f>
        <v/>
      </c>
      <c r="J66" s="133">
        <f>SUMPRODUCT(Stories!$W$4:$W$63,--(Stories!$C$4:$C$63=$B66),--(Stories!$E$4:$E$63=J$60))</f>
        <v/>
      </c>
      <c r="K66" s="94">
        <f>SUM(F66:J66)</f>
        <v/>
      </c>
    </row>
    <row r="67" ht="18" customHeight="1">
      <c r="B67" s="144" t="inlineStr">
        <is>
          <t>Characterisation &amp; Modelling</t>
        </is>
      </c>
      <c r="C67" s="145" t="n"/>
      <c r="D67" s="145" t="n"/>
      <c r="E67" s="145" t="n"/>
      <c r="F67" s="133">
        <f>SUMPRODUCT(Stories!$W$4:$W$63,--(Stories!$C$4:$C$63=$B67),--(Stories!$E$4:$E$63=F$60))</f>
        <v/>
      </c>
      <c r="G67" s="133">
        <f>SUMPRODUCT(Stories!$W$4:$W$63,--(Stories!$C$4:$C$63=$B67),--(Stories!$E$4:$E$63=G$60))</f>
        <v/>
      </c>
      <c r="H67" s="133">
        <f>SUMPRODUCT(Stories!$W$4:$W$63,--(Stories!$C$4:$C$63=$B67),--(Stories!$E$4:$E$63=H$60))</f>
        <v/>
      </c>
      <c r="I67" s="133">
        <f>SUMPRODUCT(Stories!$W$4:$W$63,--(Stories!$C$4:$C$63=$B67),--(Stories!$E$4:$E$63=I$60))</f>
        <v/>
      </c>
      <c r="J67" s="133">
        <f>SUMPRODUCT(Stories!$W$4:$W$63,--(Stories!$C$4:$C$63=$B67),--(Stories!$E$4:$E$63=J$60))</f>
        <v/>
      </c>
      <c r="K67" s="94">
        <f>SUM(F67:J67)</f>
        <v/>
      </c>
    </row>
    <row r="68" ht="18" customHeight="1">
      <c r="B68" s="146" t="inlineStr">
        <is>
          <t>Geotechnics &amp; Society</t>
        </is>
      </c>
      <c r="C68" s="147" t="n"/>
      <c r="D68" s="147" t="n"/>
      <c r="E68" s="147" t="n"/>
      <c r="F68" s="133">
        <f>SUMPRODUCT(Stories!$W$4:$W$63,--(Stories!$C$4:$C$63=$B68),--(Stories!$E$4:$E$63=F$60))</f>
        <v/>
      </c>
      <c r="G68" s="133">
        <f>SUMPRODUCT(Stories!$W$4:$W$63,--(Stories!$C$4:$C$63=$B68),--(Stories!$E$4:$E$63=G$60))</f>
        <v/>
      </c>
      <c r="H68" s="133">
        <f>SUMPRODUCT(Stories!$W$4:$W$63,--(Stories!$C$4:$C$63=$B68),--(Stories!$E$4:$E$63=H$60))</f>
        <v/>
      </c>
      <c r="I68" s="133">
        <f>SUMPRODUCT(Stories!$W$4:$W$63,--(Stories!$C$4:$C$63=$B68),--(Stories!$E$4:$E$63=I$60))</f>
        <v/>
      </c>
      <c r="J68" s="133">
        <f>SUMPRODUCT(Stories!$W$4:$W$63,--(Stories!$C$4:$C$63=$B68),--(Stories!$E$4:$E$63=J$60))</f>
        <v/>
      </c>
      <c r="K68" s="94">
        <f>SUM(F68:J68)</f>
        <v/>
      </c>
    </row>
    <row r="69" ht="18" customHeight="1">
      <c r="B69" s="148" t="inlineStr">
        <is>
          <t>General</t>
        </is>
      </c>
      <c r="C69" s="149" t="n"/>
      <c r="D69" s="149" t="n"/>
      <c r="E69" s="149" t="n"/>
      <c r="F69" s="133">
        <f>SUMPRODUCT(Stories!$W$4:$W$63,--(Stories!$C$4:$C$63=$B69),--(Stories!$E$4:$E$63=F$60))</f>
        <v/>
      </c>
      <c r="G69" s="133">
        <f>SUMPRODUCT(Stories!$W$4:$W$63,--(Stories!$C$4:$C$63=$B69),--(Stories!$E$4:$E$63=G$60))</f>
        <v/>
      </c>
      <c r="H69" s="133">
        <f>SUMPRODUCT(Stories!$W$4:$W$63,--(Stories!$C$4:$C$63=$B69),--(Stories!$E$4:$E$63=H$60))</f>
        <v/>
      </c>
      <c r="I69" s="133">
        <f>SUMPRODUCT(Stories!$W$4:$W$63,--(Stories!$C$4:$C$63=$B69),--(Stories!$E$4:$E$63=I$60))</f>
        <v/>
      </c>
      <c r="J69" s="133">
        <f>SUMPRODUCT(Stories!$W$4:$W$63,--(Stories!$C$4:$C$63=$B69),--(Stories!$E$4:$E$63=J$60))</f>
        <v/>
      </c>
      <c r="K69" s="94">
        <f>SUM(F69:J69)</f>
        <v/>
      </c>
    </row>
    <row r="70"/>
    <row r="71"/>
    <row r="72" ht="22" customHeight="1">
      <c r="B72" s="7" t="inlineStr">
        <is>
          <t>Stories per issue window</t>
        </is>
      </c>
      <c r="C72" s="8" t="n"/>
      <c r="D72" s="8" t="n"/>
      <c r="E72" s="8" t="n"/>
      <c r="F72" s="8" t="n"/>
      <c r="G72" s="8" t="n"/>
      <c r="H72" s="8" t="n"/>
      <c r="I72" s="8" t="n"/>
      <c r="J72" s="8" t="n"/>
      <c r="K72" s="8" t="n"/>
      <c r="L72" s="8" t="n"/>
      <c r="M72" s="8" t="n"/>
      <c r="N72" s="8" t="n"/>
      <c r="O72" s="8" t="n"/>
      <c r="P72" s="8" t="n"/>
      <c r="Q72" s="8" t="n"/>
      <c r="R72" s="8" t="n"/>
      <c r="S72" s="8" t="n"/>
    </row>
    <row r="73" ht="28" customHeight="1">
      <c r="B73" s="72" t="inlineStr">
        <is>
          <t>Issue window</t>
        </is>
      </c>
      <c r="C73" s="1" t="n"/>
      <c r="D73" s="1" t="n"/>
      <c r="E73" s="1" t="n"/>
      <c r="F73" s="71" t="inlineStr">
        <is>
          <t>All stories</t>
        </is>
      </c>
      <c r="G73" s="71" t="inlineStr">
        <is>
          <t>This selection</t>
        </is>
      </c>
    </row>
    <row r="74" ht="18" customHeight="1">
      <c r="B74" s="150" t="inlineStr">
        <is>
          <t>Q4 2026</t>
        </is>
      </c>
      <c r="C74" s="11" t="n"/>
      <c r="D74" s="11" t="n"/>
      <c r="E74" s="11" t="n"/>
      <c r="F74" s="151" t="n">
        <v>60</v>
      </c>
      <c r="G74" s="94">
        <f>COUNTIFS(Stories!$W$4:$W$63,1,Stories!$S$4:$S$63,"2026-Q4")</f>
        <v/>
      </c>
    </row>
    <row r="75"/>
    <row r="76"/>
    <row r="77"/>
    <row r="78"/>
    <row r="79"/>
    <row r="80"/>
    <row r="81"/>
    <row r="82"/>
    <row r="83"/>
    <row r="84"/>
    <row r="85"/>
  </sheetData>
  <mergeCells count="112">
    <mergeCell ref="B42:D42"/>
    <mergeCell ref="N20:O20"/>
    <mergeCell ref="B65:E65"/>
    <mergeCell ref="P20:Q20"/>
    <mergeCell ref="N42:P42"/>
    <mergeCell ref="G4:J4"/>
    <mergeCell ref="B74:E74"/>
    <mergeCell ref="B68:E68"/>
    <mergeCell ref="B44:D44"/>
    <mergeCell ref="B1:S1"/>
    <mergeCell ref="N22:O22"/>
    <mergeCell ref="B36:E36"/>
    <mergeCell ref="P22:Q22"/>
    <mergeCell ref="N44:P44"/>
    <mergeCell ref="N9:P9"/>
    <mergeCell ref="N14:O14"/>
    <mergeCell ref="B31:E31"/>
    <mergeCell ref="K10:M10"/>
    <mergeCell ref="C13:H13"/>
    <mergeCell ref="N4:P4"/>
    <mergeCell ref="P13:Q13"/>
    <mergeCell ref="C15:H15"/>
    <mergeCell ref="N15:O15"/>
    <mergeCell ref="K9:M9"/>
    <mergeCell ref="K5:M5"/>
    <mergeCell ref="J13:L13"/>
    <mergeCell ref="P15:Q15"/>
    <mergeCell ref="B69:E69"/>
    <mergeCell ref="H40:J40"/>
    <mergeCell ref="B43:D43"/>
    <mergeCell ref="J15:L15"/>
    <mergeCell ref="C16:H16"/>
    <mergeCell ref="B8:D8"/>
    <mergeCell ref="N16:O16"/>
    <mergeCell ref="B64:E64"/>
    <mergeCell ref="B33:E33"/>
    <mergeCell ref="N8:P8"/>
    <mergeCell ref="B32:E32"/>
    <mergeCell ref="B10:D10"/>
    <mergeCell ref="B63:E63"/>
    <mergeCell ref="K8:M8"/>
    <mergeCell ref="J16:L16"/>
    <mergeCell ref="B35:E35"/>
    <mergeCell ref="N10:P10"/>
    <mergeCell ref="B9:D9"/>
    <mergeCell ref="B66:E66"/>
    <mergeCell ref="B6:S6"/>
    <mergeCell ref="B27:E27"/>
    <mergeCell ref="C19:H19"/>
    <mergeCell ref="H42:J42"/>
    <mergeCell ref="K4:M4"/>
    <mergeCell ref="N13:O13"/>
    <mergeCell ref="B67:E67"/>
    <mergeCell ref="B61:E61"/>
    <mergeCell ref="J14:L14"/>
    <mergeCell ref="C14:H14"/>
    <mergeCell ref="E8:G8"/>
    <mergeCell ref="B5:F5"/>
    <mergeCell ref="B29:E29"/>
    <mergeCell ref="P14:Q14"/>
    <mergeCell ref="Q8:S8"/>
    <mergeCell ref="B39:D39"/>
    <mergeCell ref="B4:F4"/>
    <mergeCell ref="E10:G10"/>
    <mergeCell ref="B2:S2"/>
    <mergeCell ref="Q10:S10"/>
    <mergeCell ref="E9:G9"/>
    <mergeCell ref="N40:P40"/>
    <mergeCell ref="N18:O18"/>
    <mergeCell ref="C17:H17"/>
    <mergeCell ref="N17:O17"/>
    <mergeCell ref="P17:Q17"/>
    <mergeCell ref="J18:L18"/>
    <mergeCell ref="B41:D41"/>
    <mergeCell ref="H8:J8"/>
    <mergeCell ref="Q4:S5"/>
    <mergeCell ref="N19:O19"/>
    <mergeCell ref="J17:L17"/>
    <mergeCell ref="P19:Q19"/>
    <mergeCell ref="B60:E60"/>
    <mergeCell ref="H10:J10"/>
    <mergeCell ref="J19:L19"/>
    <mergeCell ref="H9:J9"/>
    <mergeCell ref="C20:H20"/>
    <mergeCell ref="B34:E34"/>
    <mergeCell ref="B28:E28"/>
    <mergeCell ref="H39:J39"/>
    <mergeCell ref="C22:H22"/>
    <mergeCell ref="B30:E30"/>
    <mergeCell ref="N5:P5"/>
    <mergeCell ref="N39:P39"/>
    <mergeCell ref="J20:L20"/>
    <mergeCell ref="C21:H21"/>
    <mergeCell ref="N21:O21"/>
    <mergeCell ref="P21:Q21"/>
    <mergeCell ref="J22:L22"/>
    <mergeCell ref="Q9:S9"/>
    <mergeCell ref="B62:E62"/>
    <mergeCell ref="C23:H23"/>
    <mergeCell ref="B40:D40"/>
    <mergeCell ref="N23:O23"/>
    <mergeCell ref="J21:L21"/>
    <mergeCell ref="P23:Q23"/>
    <mergeCell ref="P16:Q16"/>
    <mergeCell ref="J23:L23"/>
    <mergeCell ref="C18:H18"/>
    <mergeCell ref="P18:Q18"/>
    <mergeCell ref="N41:P41"/>
    <mergeCell ref="B73:E73"/>
    <mergeCell ref="H41:J41"/>
    <mergeCell ref="N43:P43"/>
    <mergeCell ref="G5:J5"/>
  </mergeCells>
  <conditionalFormatting sqref="J14:J23">
    <cfRule type="expression" priority="1" dxfId="0">
      <formula>$J14=Lists!$A$3</formula>
    </cfRule>
    <cfRule type="expression" priority="2" dxfId="1">
      <formula>$J14=Lists!$A$4</formula>
    </cfRule>
    <cfRule type="expression" priority="3" dxfId="2">
      <formula>$J14=Lists!$A$5</formula>
    </cfRule>
    <cfRule type="expression" priority="4" dxfId="3">
      <formula>$J14=Lists!$A$6</formula>
    </cfRule>
    <cfRule type="expression" priority="5" dxfId="4">
      <formula>$J14=Lists!$A$7</formula>
    </cfRule>
    <cfRule type="expression" priority="6" dxfId="5">
      <formula>$J14=Lists!$A$8</formula>
    </cfRule>
    <cfRule type="expression" priority="7" dxfId="6">
      <formula>$J14=Lists!$A$9</formula>
    </cfRule>
    <cfRule type="expression" priority="8" dxfId="7">
      <formula>$J14=Lists!$A$10</formula>
    </cfRule>
    <cfRule type="expression" priority="9" dxfId="8">
      <formula>$J14=Lists!$A$11</formula>
    </cfRule>
  </conditionalFormatting>
  <conditionalFormatting sqref="C14:C23">
    <cfRule type="expression" priority="10" dxfId="9">
      <formula>Lists!$O2&lt;&gt;""</formula>
    </cfRule>
  </conditionalFormatting>
  <conditionalFormatting sqref="M14:M23">
    <cfRule type="cellIs" priority="11" operator="equal" dxfId="10">
      <formula>5</formula>
    </cfRule>
    <cfRule type="cellIs" priority="12" operator="equal" dxfId="11">
      <formula>4</formula>
    </cfRule>
    <cfRule type="cellIs" priority="13" operator="equal" dxfId="12">
      <formula>3</formula>
    </cfRule>
    <cfRule type="cellIs" priority="14" operator="equal" dxfId="13">
      <formula>2</formula>
    </cfRule>
    <cfRule type="cellIs" priority="15" operator="equal" dxfId="14">
      <formula>1</formula>
    </cfRule>
    <cfRule type="cellIs" priority="16" operator="equal" dxfId="15">
      <formula>0</formula>
    </cfRule>
  </conditionalFormatting>
  <conditionalFormatting sqref="S14:S23">
    <cfRule type="cellIs" priority="17" operator="equal" dxfId="16">
      <formula>"To review"</formula>
    </cfRule>
    <cfRule type="cellIs" priority="18" operator="equal" dxfId="17">
      <formula>"Shortlisted"</formula>
    </cfRule>
    <cfRule type="cellIs" priority="19" operator="equal" dxfId="18">
      <formula>"Commissioned"</formula>
    </cfRule>
    <cfRule type="cellIs" priority="20" operator="equal" dxfId="19">
      <formula>"Published"</formula>
    </cfRule>
    <cfRule type="cellIs" priority="21" operator="equal" dxfId="20">
      <formula>"Not used"</formula>
    </cfRule>
  </conditionalFormatting>
  <conditionalFormatting sqref="F61:J69">
    <cfRule type="colorScale" priority="22">
      <colorScale>
        <cfvo type="num" val="0"/>
        <cfvo type="percentile" val="50"/>
        <cfvo type="max"/>
        <color rgb="00FFFFFF"/>
        <color rgb="00F6E3A6"/>
        <color rgb="00D38B00"/>
      </colorScale>
    </cfRule>
  </conditionalFormatting>
  <dataValidations count="4">
    <dataValidation sqref="B5" showDropDown="0" showInputMessage="1" showErrorMessage="1" allowBlank="0" errorTitle="Theme" error="Please pick a value from the list." promptTitle="Theme" prompt="Choose one theme, or All themes." type="list">
      <formula1>Lists!$A$2:$A$11</formula1>
    </dataValidation>
    <dataValidation sqref="G5" showDropDown="0" showInputMessage="1" showErrorMessage="1" allowBlank="0" errorTitle="Suggested use" error="Please pick a value from the list." promptTitle="Suggested use" prompt="Choose an editorial use, or All uses." type="list">
      <formula1>Lists!$B$2:$B$7</formula1>
    </dataValidation>
    <dataValidation sqref="K5" showDropDown="0" showInputMessage="1" showErrorMessage="1" allowBlank="0" errorTitle="Minimum relevance" error="Please pick a value from the list." promptTitle="Minimum relevance" prompt="Show stories rated at least 3, 4 or 5 by the AI triage, or Any." type="list">
      <formula1>Lists!$C$2:$C$5</formula1>
    </dataValidation>
    <dataValidation sqref="N5" showDropDown="0" showInputMessage="1" showErrorMessage="1" allowBlank="0" errorTitle="Issue window" error="Please pick a value from the list." promptTitle="Issue window" prompt="Choose one quarterly issue window, or All windows." type="list">
      <formula1>Lists!$D$2:$D$3</formula1>
    </dataValidation>
  </dataValidation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rowBreaks count="2" manualBreakCount="2">
    <brk id="25" min="0" max="16383" man="1"/>
    <brk id="58" min="0" max="16383" man="1"/>
  </rowBreaks>
  <drawing xmlns:r="http://schemas.openxmlformats.org/officeDocument/2006/relationships" r:id="rId1"/>
</worksheet>
</file>

<file path=xl/worksheets/sheet3.xml><?xml version="1.0" encoding="utf-8"?>
<worksheet xmlns="http://schemas.openxmlformats.org/spreadsheetml/2006/main">
  <sheetPr>
    <tabColor rgb="002563D6"/>
    <outlinePr summaryBelow="1" summaryRight="1"/>
    <pageSetUpPr fitToPage="1"/>
  </sheetPr>
  <dimension ref="A1:X63"/>
  <sheetViews>
    <sheetView tabSelected="0" workbookViewId="0">
      <pane xSplit="2" ySplit="3" topLeftCell="C4" activePane="bottomRight" state="frozen"/>
      <selection pane="topRight"/>
      <selection pane="bottomLeft"/>
      <selection pane="bottomRight" activeCell="A1" sqref="A1"/>
    </sheetView>
  </sheetViews>
  <sheetFormatPr baseColWidth="8" defaultRowHeight="15"/>
  <cols>
    <col width="6" customWidth="1" min="1" max="1"/>
    <col width="46" customWidth="1" min="2" max="2"/>
    <col width="21" customWidth="1" min="3" max="3"/>
    <col width="10" customWidth="1" min="4" max="4"/>
    <col width="16" customWidth="1" min="5" max="5"/>
    <col width="14" customWidth="1" min="6" max="6"/>
    <col width="14" customWidth="1" min="7" max="7"/>
    <col width="28" customWidth="1" min="8" max="8"/>
    <col width="40" customWidth="1" min="9" max="9"/>
    <col width="19" customWidth="1" min="10" max="10"/>
    <col width="12" customWidth="1" min="11" max="11"/>
    <col width="38" customWidth="1" min="12" max="12"/>
    <col width="40" customWidth="1" min="13" max="13"/>
    <col width="16" customWidth="1" min="14" max="14"/>
    <col width="22" customWidth="1" min="15" max="15"/>
    <col width="36" customWidth="1" min="16" max="16"/>
    <col width="15" customWidth="1" min="17" max="17"/>
    <col width="12" customWidth="1" min="18" max="18"/>
    <col width="11" customWidth="1" min="19" max="19"/>
    <col width="26" customWidth="1" min="20" max="20"/>
    <col width="9" customWidth="1" min="21" max="21"/>
    <col width="30" customWidth="1" min="22" max="22"/>
    <col width="12" customWidth="1" min="23" max="23"/>
    <col hidden="1" width="12" customWidth="1" min="24" max="24"/>
  </cols>
  <sheetData>
    <row r="1" ht="26" customHeight="1">
      <c r="A1" s="152" t="inlineStr">
        <is>
          <t>Stories · 60 in this workbook</t>
        </is>
      </c>
      <c r="C1" s="153" t="inlineStr">
        <is>
          <t>← Dashboard</t>
        </is>
      </c>
      <c r="D1" s="153" t="inlineStr">
        <is>
          <t>↑ Start here</t>
        </is>
      </c>
      <c r="E1" s="153" t="inlineStr">
        <is>
          <t>By theme →</t>
        </is>
      </c>
    </row>
    <row r="2" ht="16" customHeight="1">
      <c r="C2" s="154" t="inlineStr">
        <is>
          <t>Gold columns are yours: choose a Status from its dropdown, and fill in Assigned to and Editor notes. Use ▼ in the header to filter or sort. ✓ in ‘In Dashboard selection’ (far right) marks the stories the Dashboard is showing.</t>
        </is>
      </c>
    </row>
    <row r="3" ht="32" customHeight="1">
      <c r="A3" s="155" t="inlineStr">
        <is>
          <t>No.</t>
        </is>
      </c>
      <c r="B3" s="156" t="inlineStr">
        <is>
          <t>Headline (English)</t>
        </is>
      </c>
      <c r="C3" s="156" t="inlineStr">
        <is>
          <t>Theme</t>
        </is>
      </c>
      <c r="D3" s="155" t="inlineStr">
        <is>
          <t>Relevance</t>
        </is>
      </c>
      <c r="E3" s="156" t="inlineStr">
        <is>
          <t>Suggested use</t>
        </is>
      </c>
      <c r="F3" s="157" t="inlineStr">
        <is>
          <t>Status</t>
        </is>
      </c>
      <c r="G3" s="157" t="inlineStr">
        <is>
          <t>Assigned to</t>
        </is>
      </c>
      <c r="H3" s="157" t="inlineStr">
        <is>
          <t>Editor notes</t>
        </is>
      </c>
      <c r="I3" s="156" t="inlineStr">
        <is>
          <t>Magazine angle</t>
        </is>
      </c>
      <c r="J3" s="156" t="inlineStr">
        <is>
          <t>Source</t>
        </is>
      </c>
      <c r="K3" s="155" t="inlineStr">
        <is>
          <t>Digest date</t>
        </is>
      </c>
      <c r="L3" s="156" t="inlineStr">
        <is>
          <t>Original headline</t>
        </is>
      </c>
      <c r="M3" s="156" t="inlineStr">
        <is>
          <t>Summary</t>
        </is>
      </c>
      <c r="N3" s="156" t="inlineStr">
        <is>
          <t>Country</t>
        </is>
      </c>
      <c r="O3" s="156" t="inlineStr">
        <is>
          <t>Place</t>
        </is>
      </c>
      <c r="P3" s="156" t="inlineStr">
        <is>
          <t>Developing story</t>
        </is>
      </c>
      <c r="Q3" s="156" t="inlineStr">
        <is>
          <t>Google News edition</t>
        </is>
      </c>
      <c r="R3" s="155" t="inlineStr">
        <is>
          <t>Published</t>
        </is>
      </c>
      <c r="S3" s="155" t="inlineStr">
        <is>
          <t>Issue window</t>
        </is>
      </c>
      <c r="T3" s="156" t="inlineStr">
        <is>
          <t>Keywords</t>
        </is>
      </c>
      <c r="U3" s="155" t="inlineStr">
        <is>
          <t>Keyword score</t>
        </is>
      </c>
      <c r="V3" s="156" t="inlineStr">
        <is>
          <t>Article URL</t>
        </is>
      </c>
      <c r="W3" s="155" t="inlineStr">
        <is>
          <t>In Dashboard selection</t>
        </is>
      </c>
      <c r="X3" s="155" t="inlineStr">
        <is>
          <t>Top-10 key (helper)</t>
        </is>
      </c>
    </row>
    <row r="4" ht="53" customHeight="1">
      <c r="A4" s="158" t="n">
        <v>1</v>
      </c>
      <c r="B4" s="159" t="inlineStr">
        <is>
          <t>Behavior of Square-Round Shaft Combination Helical Piles and Anchors</t>
        </is>
      </c>
      <c r="C4" s="160" t="inlineStr">
        <is>
          <t>Ground Improvement &amp; Innovation</t>
        </is>
      </c>
      <c r="D4" s="161" t="n">
        <v>5</v>
      </c>
      <c r="E4" s="162" t="inlineStr">
        <is>
          <t>Academia-to-Industry topic</t>
        </is>
      </c>
      <c r="F4" s="163" t="inlineStr">
        <is>
          <t>To review</t>
        </is>
      </c>
      <c r="G4" s="164" t="n"/>
      <c r="H4" s="165" t="n"/>
      <c r="I4" s="166" t="inlineStr">
        <is>
          <t>How do square-round shaft combination helical piles and anchors behave under load, and how can their capacity be predicted reliably?</t>
        </is>
      </c>
      <c r="J4" s="166" t="inlineStr">
        <is>
          <t>Geoengineer.org</t>
        </is>
      </c>
      <c r="K4" s="167" t="n">
        <v>46319</v>
      </c>
      <c r="L4" s="166" t="n"/>
      <c r="M4" s="168" t="n"/>
      <c r="N4" s="169" t="n"/>
      <c r="O4" s="166" t="n"/>
      <c r="P4" s="166" t="n"/>
      <c r="Q4" s="170" t="inlineStr">
        <is>
          <t>United States</t>
        </is>
      </c>
      <c r="R4" s="167" t="n">
        <v>46318</v>
      </c>
      <c r="S4" s="169" t="inlineStr">
        <is>
          <t>2026-Q4</t>
        </is>
      </c>
      <c r="T4" s="171" t="inlineStr">
        <is>
          <t>pile, shaft</t>
        </is>
      </c>
      <c r="U4" s="158" t="n">
        <v>7</v>
      </c>
      <c r="V4" s="172" t="inlineStr">
        <is>
          <t>https://news.google.com/rss/articles/CBMiowFBVV95cUxNbDZHMUZRd0NyUDliQlNXWEZ4bUdaWFJJbk1NRHZIdUlpRzFObmV2bzBkUVpKbzhuUmkxZHI1U0JENHktOGIxOGlvbEtwS3RScWJ0SWhGR0gtNU9lWWNSc1RoMmtsWjJIT3F2ZzByazhRVUViN2FLa3RqSGt5VkxKZUM3WjdrT2NGc2tYeWJWQmR2RmxEZzlYUmczNFBjMlpXVVNB?oc=5</t>
        </is>
      </c>
      <c r="W4" s="173">
        <f>IF($B4="",0,IF(AND(OR(OR(Dashboard!$B$5="All themes",Dashboard!$B$5=""),$C4=Dashboard!$B$5),OR(OR(Dashboard!$G$5="All uses",Dashboard!$G$5=""),$E4=Dashboard!$G$5),N($D4)&gt;=Lists!$H$2,OR(OR(Dashboard!$N$5="All windows",Dashboard!$N$5=""),$S4=Dashboard!$N$5)),1,0))</f>
        <v/>
      </c>
      <c r="X4" s="174">
        <f>IF($W4=1,N($D4)*1E14+MIN(MAX(N($U4),0),9999)*1E10+MIN(N($K4),99999)*1E5+99999-MIN(ROW(),99999),"")</f>
        <v/>
      </c>
    </row>
    <row r="5" ht="65.5" customHeight="1">
      <c r="A5" s="158" t="n">
        <v>2</v>
      </c>
      <c r="B5" s="159" t="inlineStr">
        <is>
          <t>Floating wind needs grounded solutions</t>
        </is>
      </c>
      <c r="C5" s="175" t="inlineStr">
        <is>
          <t>Offshore, Coasts &amp; Water</t>
        </is>
      </c>
      <c r="D5" s="161" t="n">
        <v>5</v>
      </c>
      <c r="E5" s="176" t="inlineStr">
        <is>
          <t>Feature lead</t>
        </is>
      </c>
      <c r="F5" s="163" t="inlineStr">
        <is>
          <t>To review</t>
        </is>
      </c>
      <c r="G5" s="164" t="n"/>
      <c r="H5" s="165" t="n"/>
      <c r="I5" s="166" t="inlineStr">
        <is>
          <t>What geotechnical challenges arise in anchoring floating offshore wind foundations in variable seabed soils under extreme loading?</t>
        </is>
      </c>
      <c r="J5" s="166" t="inlineStr">
        <is>
          <t>Ground Engineering</t>
        </is>
      </c>
      <c r="K5" s="167" t="n">
        <v>46319</v>
      </c>
      <c r="L5" s="166" t="n"/>
      <c r="M5" s="168" t="inlineStr">
        <is>
          <t>Floating offshore wind promises to unlock up to 80% of global marine power potential, but only if engineers can figure out how to anchor massive turbines in stormy waters and varied seabed conditions. The post Floating wind needs grounded solutions appeared first on Ground Engineering .</t>
        </is>
      </c>
      <c r="N5" s="169" t="n"/>
      <c r="O5" s="166" t="n"/>
      <c r="P5" s="166" t="n"/>
      <c r="Q5" s="170" t="n"/>
      <c r="R5" s="167" t="n">
        <v>46318</v>
      </c>
      <c r="S5" s="169" t="inlineStr">
        <is>
          <t>2026-Q4</t>
        </is>
      </c>
      <c r="T5" s="171" t="inlineStr">
        <is>
          <t>offshore wind</t>
        </is>
      </c>
      <c r="U5" s="158" t="n">
        <v>6</v>
      </c>
      <c r="V5" s="172" t="inlineStr">
        <is>
          <t>https://www.geplus.co.uk/key-topics/sustainability/floating-wind-needs-grounded-solutions-23-10-2026/</t>
        </is>
      </c>
      <c r="W5" s="173">
        <f>IF($B5="",0,IF(AND(OR(OR(Dashboard!$B$5="All themes",Dashboard!$B$5=""),$C5=Dashboard!$B$5),OR(OR(Dashboard!$G$5="All uses",Dashboard!$G$5=""),$E5=Dashboard!$G$5),N($D5)&gt;=Lists!$H$2,OR(OR(Dashboard!$N$5="All windows",Dashboard!$N$5=""),$S5=Dashboard!$N$5)),1,0))</f>
        <v/>
      </c>
      <c r="X5" s="174">
        <f>IF($W5=1,N($D5)*1E14+MIN(MAX(N($U5),0),9999)*1E10+MIN(N($K5),99999)*1E5+99999-MIN(ROW(),99999),"")</f>
        <v/>
      </c>
    </row>
    <row r="6" ht="53" customHeight="1">
      <c r="A6" s="158" t="n">
        <v>3</v>
      </c>
      <c r="B6" s="159" t="inlineStr">
        <is>
          <t>Sinkhole at excavation site: ground sank even after underground safety assessment</t>
        </is>
      </c>
      <c r="C6" s="177" t="inlineStr">
        <is>
          <t>Infrastructure &amp; the Underground City</t>
        </is>
      </c>
      <c r="D6" s="161" t="n">
        <v>5</v>
      </c>
      <c r="E6" s="176" t="inlineStr">
        <is>
          <t>Feature lead</t>
        </is>
      </c>
      <c r="F6" s="163" t="inlineStr">
        <is>
          <t>To review</t>
        </is>
      </c>
      <c r="G6" s="164" t="n"/>
      <c r="H6" s="165" t="n"/>
      <c r="I6" s="166" t="inlineStr">
        <is>
          <t>Why did ground sink at an excavation despite a completed underground safety assessment, and what gaps exist in such assessments?</t>
        </is>
      </c>
      <c r="J6" s="166" t="inlineStr">
        <is>
          <t>충청신문</t>
        </is>
      </c>
      <c r="K6" s="167" t="n">
        <v>46319</v>
      </c>
      <c r="L6" s="166" t="inlineStr">
        <is>
          <t>장종태, "굴착 현장 싱크홀...지하안전평가 받고도 땅 꺼졌다"</t>
        </is>
      </c>
      <c r="M6" s="168" t="n"/>
      <c r="N6" s="169" t="n"/>
      <c r="O6" s="166" t="n"/>
      <c r="P6" s="166" t="n"/>
      <c r="Q6" s="170" t="inlineStr">
        <is>
          <t>South Korea</t>
        </is>
      </c>
      <c r="R6" s="167" t="n">
        <v>46317</v>
      </c>
      <c r="S6" s="169" t="inlineStr">
        <is>
          <t>2026-Q4</t>
        </is>
      </c>
      <c r="T6" s="171" t="inlineStr">
        <is>
          <t>sinkhole, excavation</t>
        </is>
      </c>
      <c r="U6" s="158" t="n">
        <v>6</v>
      </c>
      <c r="V6" s="172" t="inlineStr">
        <is>
          <t>https://news.google.com/rss/articles/CBMibkFVX3lxTE9HOUMyWW5vRXVWOG5ZemlXOFFsQWYwVl9lRW53VTV1MVFFQUF4eGgwWTRKQ0p5RGlWLUgzdUNUSW9aQXRRMkduTGFBVmhOVWluT19OLXU5REgzMVdVOUwtTVRmY3Y5WGdwaE9RcG9B0gFuQVVfeXFMT0c5QzJZbm9FdVY4bll6aVc4UWxBZjBWX2VFbndVNXUxUUVBQXh4aDBZNEpDSnlEaVYtSDN1Q1RJb1pBdFEyR25MYUFWaE5VaW5PX04tdTlESDMxV1U5TC1NVGZjdjlYZ3BoT1Fwb0E?oc=5</t>
        </is>
      </c>
      <c r="W6" s="173">
        <f>IF($B6="",0,IF(AND(OR(OR(Dashboard!$B$5="All themes",Dashboard!$B$5=""),$C6=Dashboard!$B$5),OR(OR(Dashboard!$G$5="All uses",Dashboard!$G$5=""),$E6=Dashboard!$G$5),N($D6)&gt;=Lists!$H$2,OR(OR(Dashboard!$N$5="All windows",Dashboard!$N$5=""),$S6=Dashboard!$N$5)),1,0))</f>
        <v/>
      </c>
      <c r="X6" s="174">
        <f>IF($W6=1,N($D6)*1E14+MIN(MAX(N($U6),0),9999)*1E10+MIN(N($K6),99999)*1E5+99999-MIN(ROW(),99999),"")</f>
        <v/>
      </c>
    </row>
    <row r="7" ht="65.5" customHeight="1">
      <c r="A7" s="158" t="n">
        <v>4</v>
      </c>
      <c r="B7" s="159" t="inlineStr">
        <is>
          <t>Mussolini's engineers drilled 361 holes under Pisa's foundations in 1934 to straighten it, making it lean more.</t>
        </is>
      </c>
      <c r="C7" s="160" t="inlineStr">
        <is>
          <t>Ground Improvement &amp; Innovation</t>
        </is>
      </c>
      <c r="D7" s="161" t="n">
        <v>5</v>
      </c>
      <c r="E7" s="176" t="inlineStr">
        <is>
          <t>Feature lead</t>
        </is>
      </c>
      <c r="F7" s="163" t="inlineStr">
        <is>
          <t>To review</t>
        </is>
      </c>
      <c r="G7" s="164" t="n"/>
      <c r="H7" s="165" t="n"/>
      <c r="I7" s="166" t="inlineStr">
        <is>
          <t>Why did drilling holes beneath Pisa's foundations to correct its tilt backfire, and what does this teach about controlled soil removal and differential settlement in stabilisation works?</t>
        </is>
      </c>
      <c r="J7" s="166" t="inlineStr">
        <is>
          <t>Sciencepost</t>
        </is>
      </c>
      <c r="K7" s="167" t="n">
        <v>46319</v>
      </c>
      <c r="L7" s="166" t="inlineStr">
        <is>
          <t>En perçant 361 trous dans ses fondations en 1934 pour la redresser, les ingénieurs de Mussolini ont littéralement fait pencher la tour de Pise encore plus</t>
        </is>
      </c>
      <c r="M7" s="168" t="n"/>
      <c r="N7" s="169" t="n"/>
      <c r="O7" s="166" t="n"/>
      <c r="P7" s="166" t="n"/>
      <c r="Q7" s="170" t="inlineStr">
        <is>
          <t>Senegal</t>
        </is>
      </c>
      <c r="R7" s="167" t="n">
        <v>46319</v>
      </c>
      <c r="S7" s="169" t="inlineStr">
        <is>
          <t>2026-Q4</t>
        </is>
      </c>
      <c r="T7" s="171" t="inlineStr">
        <is>
          <t>foundation</t>
        </is>
      </c>
      <c r="U7" s="158" t="n">
        <v>2</v>
      </c>
      <c r="V7" s="172" t="inlineStr">
        <is>
          <t>https://news.google.com/rss/articles/CBMiiAJBVV95cUxPQkl0dnN1WVR0endSWTZuYVpjZTBnV2VWTnVTVjdyb1NJTlFKVjJWY21lS0dPZzFrSkdlSlI2VU5Cc1NMQ0VHNTlPWUFkSVRZWEhWbFRxaU91bXRRMTF6LW9kYWVKSHFBOUptTVZuTGdTX1lZYzBDQkZ5QTJGUmVXcVd3c3lmU01zM3Zjd1VmZ183aFkxOERqQWJHbVlqMU5EbzBRSWpHRjNMeFVHRXlVSURpZHFnRXZIX1Q0X3RSMW8zcVZKVFZoOWViVlYzVnNWZloxTW5LNThJTWV2bURLSjJ1eEZiRFhnd2phLVVjUV9mdHVjN0Q0dE93WE9wRVR1ZlFFTE8tNnk?oc=5</t>
        </is>
      </c>
      <c r="W7" s="173">
        <f>IF($B7="",0,IF(AND(OR(OR(Dashboard!$B$5="All themes",Dashboard!$B$5=""),$C7=Dashboard!$B$5),OR(OR(Dashboard!$G$5="All uses",Dashboard!$G$5=""),$E7=Dashboard!$G$5),N($D7)&gt;=Lists!$H$2,OR(OR(Dashboard!$N$5="All windows",Dashboard!$N$5=""),$S7=Dashboard!$N$5)),1,0))</f>
        <v/>
      </c>
      <c r="X7" s="174">
        <f>IF($W7=1,N($D7)*1E14+MIN(MAX(N($U7),0),9999)*1E10+MIN(N($K7),99999)*1E5+99999-MIN(ROW(),99999),"")</f>
        <v/>
      </c>
    </row>
    <row r="8" ht="65.5" customHeight="1">
      <c r="A8" s="158" t="n">
        <v>5</v>
      </c>
      <c r="B8" s="159" t="inlineStr">
        <is>
          <t>Serious landslides in South Gia Nghia</t>
        </is>
      </c>
      <c r="C8" s="178" t="inlineStr">
        <is>
          <t>Hazards &amp; Resilience</t>
        </is>
      </c>
      <c r="D8" s="161" t="n">
        <v>5</v>
      </c>
      <c r="E8" s="176" t="inlineStr">
        <is>
          <t>Feature lead</t>
        </is>
      </c>
      <c r="F8" s="163" t="inlineStr">
        <is>
          <t>To review</t>
        </is>
      </c>
      <c r="G8" s="164" t="n"/>
      <c r="H8" s="165" t="n"/>
      <c r="I8" s="166" t="inlineStr">
        <is>
          <t>What rainfall and slope geometry triggered this serious landslide in Nam Gia Nghia, and how should weathered residual soils on such slopes be investigated and stabilised?</t>
        </is>
      </c>
      <c r="J8" s="166" t="inlineStr">
        <is>
          <t>Vietnam.vn</t>
        </is>
      </c>
      <c r="K8" s="167" t="n">
        <v>46319</v>
      </c>
      <c r="L8" s="166" t="inlineStr">
        <is>
          <t>Sụt trượt đất nghiêm trọng ở Nam Gia Nghĩa</t>
        </is>
      </c>
      <c r="M8" s="168" t="n"/>
      <c r="N8" s="169" t="n"/>
      <c r="O8" s="166" t="n"/>
      <c r="P8" s="166" t="n"/>
      <c r="Q8" s="170" t="inlineStr">
        <is>
          <t>Vietnam</t>
        </is>
      </c>
      <c r="R8" s="167" t="n">
        <v>46317</v>
      </c>
      <c r="S8" s="169" t="inlineStr">
        <is>
          <t>2026-Q4</t>
        </is>
      </c>
      <c r="T8" s="171" t="n"/>
      <c r="U8" s="158" t="n">
        <v>0</v>
      </c>
      <c r="V8" s="172" t="inlineStr">
        <is>
          <t>https://news.google.com/rss/articles/CBMic0FVX3lxTE1zSGZTbjJtMlg2SGZxUUtTSjJMZVdlSUkxSjZBeEV1WExBUUh4ZjdOZWIzcGRHczE1dVZiOWgyQUxTdkZWOEJfM0Y1dk1mcGpKekl0dGR4VE1YRVhoYTFjV09IZGQ3dUNQcl9BSlN0QzhUSkE?oc=5</t>
        </is>
      </c>
      <c r="W8" s="173">
        <f>IF($B8="",0,IF(AND(OR(OR(Dashboard!$B$5="All themes",Dashboard!$B$5=""),$C8=Dashboard!$B$5),OR(OR(Dashboard!$G$5="All uses",Dashboard!$G$5=""),$E8=Dashboard!$G$5),N($D8)&gt;=Lists!$H$2,OR(OR(Dashboard!$N$5="All windows",Dashboard!$N$5=""),$S8=Dashboard!$N$5)),1,0))</f>
        <v/>
      </c>
      <c r="X8" s="174">
        <f>IF($W8=1,N($D8)*1E14+MIN(MAX(N($U8),0),9999)*1E10+MIN(N($K8),99999)*1E5+99999-MIN(ROW(),99999),"")</f>
        <v/>
      </c>
    </row>
    <row r="9" ht="53" customHeight="1">
      <c r="A9" s="158" t="n">
        <v>6</v>
      </c>
      <c r="B9" s="159" t="inlineStr">
        <is>
          <t>Automatic segmentation of rock mass fracture networks from UAV imagery using cross-domain transfer learning under scarce labels.</t>
        </is>
      </c>
      <c r="C9" s="179" t="inlineStr">
        <is>
          <t>Digital Geotechnics</t>
        </is>
      </c>
      <c r="D9" s="161" t="n">
        <v>5</v>
      </c>
      <c r="E9" s="162" t="inlineStr">
        <is>
          <t>Academia-to-Industry topic</t>
        </is>
      </c>
      <c r="F9" s="163" t="inlineStr">
        <is>
          <t>To review</t>
        </is>
      </c>
      <c r="G9" s="164" t="n"/>
      <c r="H9" s="165" t="n"/>
      <c r="I9" s="166" t="inlineStr">
        <is>
          <t>Can transfer learning from related image domains reliably segment rock fracture networks in UAV imagery when labelled data are scarce, and how accurate are the results?</t>
        </is>
      </c>
      <c r="J9" s="166" t="inlineStr">
        <is>
          <t>生物通</t>
        </is>
      </c>
      <c r="K9" s="167" t="n">
        <v>46319</v>
      </c>
      <c r="L9" s="166" t="inlineStr">
        <is>
          <t>标签稀缺条件下基于跨域迁移学习的无人机岩体裂隙网络自动分割方法</t>
        </is>
      </c>
      <c r="M9" s="168" t="n"/>
      <c r="N9" s="169" t="n"/>
      <c r="O9" s="166" t="n"/>
      <c r="P9" s="166" t="n"/>
      <c r="Q9" s="170" t="inlineStr">
        <is>
          <t>China</t>
        </is>
      </c>
      <c r="R9" s="167" t="n">
        <v>46318</v>
      </c>
      <c r="S9" s="169" t="inlineStr">
        <is>
          <t>2026-Q4</t>
        </is>
      </c>
      <c r="T9" s="171" t="n"/>
      <c r="U9" s="158" t="n">
        <v>0</v>
      </c>
      <c r="V9" s="172" t="inlineStr">
        <is>
          <t>https://news.google.com/rss/articles/CBMibkFVX3lxTE8wdVhYVXYyQ3RwMHAtOTNnUkh5TnhCcEtVem9XenhDMFo2UVFHbWtIaGIzVHhLb1BFQmd2akRLZkFMd1pQNWJDRElESUY1SUdvLWFfd1ZaUW5tZ0ZFcmIxckZxbXg1Z1RrbXI5V0Zn?oc=5</t>
        </is>
      </c>
      <c r="W9" s="173">
        <f>IF($B9="",0,IF(AND(OR(OR(Dashboard!$B$5="All themes",Dashboard!$B$5=""),$C9=Dashboard!$B$5),OR(OR(Dashboard!$G$5="All uses",Dashboard!$G$5=""),$E9=Dashboard!$G$5),N($D9)&gt;=Lists!$H$2,OR(OR(Dashboard!$N$5="All windows",Dashboard!$N$5=""),$S9=Dashboard!$N$5)),1,0))</f>
        <v/>
      </c>
      <c r="X9" s="174">
        <f>IF($W9=1,N($D9)*1E14+MIN(MAX(N($U9),0),9999)*1E10+MIN(N($K9),99999)*1E5+99999-MIN(ROW(),99999),"")</f>
        <v/>
      </c>
    </row>
    <row r="10" ht="65.5" customHeight="1">
      <c r="A10" s="158" t="n">
        <v>7</v>
      </c>
      <c r="B10" s="159" t="inlineStr">
        <is>
          <t>M4 landslip work begins as part of wider repair programme</t>
        </is>
      </c>
      <c r="C10" s="178" t="inlineStr">
        <is>
          <t>Hazards &amp; Resilience</t>
        </is>
      </c>
      <c r="D10" s="161" t="n">
        <v>4</v>
      </c>
      <c r="E10" s="176" t="inlineStr">
        <is>
          <t>Feature lead</t>
        </is>
      </c>
      <c r="F10" s="163" t="inlineStr">
        <is>
          <t>To review</t>
        </is>
      </c>
      <c r="G10" s="164" t="n"/>
      <c r="H10" s="165" t="n"/>
      <c r="I10" s="166" t="inlineStr">
        <is>
          <t>How should engineers diagnose and stabilise a landslipped motorway embankment, and what drainage and monitoring measures prevent recurrence?</t>
        </is>
      </c>
      <c r="J10" s="166" t="inlineStr">
        <is>
          <t>Ground Engineering</t>
        </is>
      </c>
      <c r="K10" s="167" t="n">
        <v>46319</v>
      </c>
      <c r="L10" s="166" t="n"/>
      <c r="M10" s="168" t="inlineStr">
        <is>
          <t>National Highways is starting work this autumn to stabilise 600m of embankment alongside the M4 in Wiltshire which will bring the hard shoulder back into use following a landslide. The post M4 landslip work begins as part of wider repair programme appeared first on Ground Engineering .</t>
        </is>
      </c>
      <c r="N10" s="169" t="n"/>
      <c r="O10" s="166" t="n"/>
      <c r="P10" s="166" t="n"/>
      <c r="Q10" s="170" t="n"/>
      <c r="R10" s="167" t="n">
        <v>46318</v>
      </c>
      <c r="S10" s="169" t="inlineStr">
        <is>
          <t>2026-Q4</t>
        </is>
      </c>
      <c r="T10" s="171" t="inlineStr">
        <is>
          <t>landslide, landslip, embankment</t>
        </is>
      </c>
      <c r="U10" s="158" t="n">
        <v>14</v>
      </c>
      <c r="V10" s="172" t="inlineStr">
        <is>
          <t>https://www.geplus.co.uk/news/project-news/m4-landslip-work-begins-as-part-of-wider-repair-programme-23-10-2026/</t>
        </is>
      </c>
      <c r="W10" s="173">
        <f>IF($B10="",0,IF(AND(OR(OR(Dashboard!$B$5="All themes",Dashboard!$B$5=""),$C10=Dashboard!$B$5),OR(OR(Dashboard!$G$5="All uses",Dashboard!$G$5=""),$E10=Dashboard!$G$5),N($D10)&gt;=Lists!$H$2,OR(OR(Dashboard!$N$5="All windows",Dashboard!$N$5=""),$S10=Dashboard!$N$5)),1,0))</f>
        <v/>
      </c>
      <c r="X10" s="174">
        <f>IF($W10=1,N($D10)*1E14+MIN(MAX(N($U10),0),9999)*1E10+MIN(N($K10),99999)*1E5+99999-MIN(ROW(),99999),"")</f>
        <v/>
      </c>
    </row>
    <row r="11" ht="53" customHeight="1">
      <c r="A11" s="158" t="n">
        <v>8</v>
      </c>
      <c r="B11" s="159" t="inlineStr">
        <is>
          <t>Landslide-prevention embankment threatens residential area</t>
        </is>
      </c>
      <c r="C11" s="178" t="inlineStr">
        <is>
          <t>Hazards &amp; Resilience</t>
        </is>
      </c>
      <c r="D11" s="161" t="n">
        <v>4</v>
      </c>
      <c r="E11" s="176" t="inlineStr">
        <is>
          <t>Feature lead</t>
        </is>
      </c>
      <c r="F11" s="163" t="inlineStr">
        <is>
          <t>To review</t>
        </is>
      </c>
      <c r="G11" s="164" t="n"/>
      <c r="H11" s="165" t="n"/>
      <c r="I11" s="166" t="inlineStr">
        <is>
          <t>Can retaining and protective embankments be designed to resist landslide loading from upslope slopes beside settlements, and how should such risk be assessed?</t>
        </is>
      </c>
      <c r="J11" s="166" t="inlineStr">
        <is>
          <t>Vietnam.vn</t>
        </is>
      </c>
      <c r="K11" s="167" t="n">
        <v>46319</v>
      </c>
      <c r="L11" s="166" t="inlineStr">
        <is>
          <t>Tanggul pencegah tanah longsor 'mengancam' kawasan permukiman.</t>
        </is>
      </c>
      <c r="M11" s="168" t="n"/>
      <c r="N11" s="169" t="n"/>
      <c r="O11" s="166" t="n"/>
      <c r="P11" s="166" t="n"/>
      <c r="Q11" s="170" t="inlineStr">
        <is>
          <t>Indonesia</t>
        </is>
      </c>
      <c r="R11" s="167" t="n">
        <v>46318</v>
      </c>
      <c r="S11" s="169" t="inlineStr">
        <is>
          <t>2026-Q4</t>
        </is>
      </c>
      <c r="T11" s="171" t="inlineStr">
        <is>
          <t>landslide, embankment</t>
        </is>
      </c>
      <c r="U11" s="158" t="n">
        <v>13</v>
      </c>
      <c r="V11" s="172" t="inlineStr">
        <is>
          <t>https://news.google.com/rss/articles/CBMia0FVX3lxTE45UVhrbTdIV2NXaVloOTBleGdWeThGbHNoSTJtMTE3cFlfalpoYVBnUEFoUVRJQUp5Z2pVOEZvaGZzRUtjRWtOMzY3Wll0RHJOUTB6c0JYdGEzOXk2VXltZUFkc3RURDBUYUg4?oc=5</t>
        </is>
      </c>
      <c r="W11" s="173">
        <f>IF($B11="",0,IF(AND(OR(OR(Dashboard!$B$5="All themes",Dashboard!$B$5=""),$C11=Dashboard!$B$5),OR(OR(Dashboard!$G$5="All uses",Dashboard!$G$5=""),$E11=Dashboard!$G$5),N($D11)&gt;=Lists!$H$2,OR(OR(Dashboard!$N$5="All windows",Dashboard!$N$5=""),$S11=Dashboard!$N$5)),1,0))</f>
        <v/>
      </c>
      <c r="X11" s="174">
        <f>IF($W11=1,N($D11)*1E14+MIN(MAX(N($U11),0),9999)*1E10+MIN(N($K11),99999)*1E5+99999-MIN(ROW(),99999),"")</f>
        <v/>
      </c>
    </row>
    <row r="12" ht="53" customHeight="1">
      <c r="A12" s="158" t="n">
        <v>9</v>
      </c>
      <c r="B12" s="159" t="inlineStr">
        <is>
          <t>Storms in Liguria, major landslide in Savona: the collapse destroyed a city road</t>
        </is>
      </c>
      <c r="C12" s="178" t="inlineStr">
        <is>
          <t>Hazards &amp; Resilience</t>
        </is>
      </c>
      <c r="D12" s="161" t="n">
        <v>4</v>
      </c>
      <c r="E12" s="180" t="inlineStr">
        <is>
          <t>News brief</t>
        </is>
      </c>
      <c r="F12" s="163" t="inlineStr">
        <is>
          <t>To review</t>
        </is>
      </c>
      <c r="G12" s="164" t="n"/>
      <c r="H12" s="165" t="n"/>
      <c r="I12" s="166" t="inlineStr">
        <is>
          <t>What triggered this large rock or soil slope failure in Savona during heavy rain, and what does the collapse reveal about slope stability in Liguria?</t>
        </is>
      </c>
      <c r="J12" s="166" t="inlineStr">
        <is>
          <t>agenzia giornalistica opinione</t>
        </is>
      </c>
      <c r="K12" s="167" t="n">
        <v>46319</v>
      </c>
      <c r="L12" s="166" t="inlineStr">
        <is>
          <t>RAINEWS * CRONACA: «MALTEMPO IN LIGURIA, GRANDE FRANA A SAVONA: IL CROLLO HA DISTRUTTO UNA STRADA CITTADINA</t>
        </is>
      </c>
      <c r="M12" s="168" t="n"/>
      <c r="N12" s="169" t="n"/>
      <c r="O12" s="166" t="n"/>
      <c r="P12" s="166" t="n"/>
      <c r="Q12" s="170" t="inlineStr">
        <is>
          <t>Italy</t>
        </is>
      </c>
      <c r="R12" s="167" t="n">
        <v>46317</v>
      </c>
      <c r="S12" s="169" t="inlineStr">
        <is>
          <t>2026-Q4</t>
        </is>
      </c>
      <c r="T12" s="171" t="inlineStr">
        <is>
          <t>landslide, collapse</t>
        </is>
      </c>
      <c r="U12" s="158" t="n">
        <v>11</v>
      </c>
      <c r="V12" s="172" t="inlineStr">
        <is>
          <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t>
        </is>
      </c>
      <c r="W12" s="173">
        <f>IF($B12="",0,IF(AND(OR(OR(Dashboard!$B$5="All themes",Dashboard!$B$5=""),$C12=Dashboard!$B$5),OR(OR(Dashboard!$G$5="All uses",Dashboard!$G$5=""),$E12=Dashboard!$G$5),N($D12)&gt;=Lists!$H$2,OR(OR(Dashboard!$N$5="All windows",Dashboard!$N$5=""),$S12=Dashboard!$N$5)),1,0))</f>
        <v/>
      </c>
      <c r="X12" s="174">
        <f>IF($W12=1,N($D12)*1E14+MIN(MAX(N($U12),0),9999)*1E10+MIN(N($K12),99999)*1E5+99999-MIN(ROW(),99999),"")</f>
        <v/>
      </c>
    </row>
    <row r="13" ht="65.5" customHeight="1">
      <c r="A13" s="158" t="n">
        <v>10</v>
      </c>
      <c r="B13" s="159" t="inlineStr">
        <is>
          <t>At Khanh Le pass, traffic will be interrupted at 30-minute intervals to deal with landslides; road users should plan accordingly</t>
        </is>
      </c>
      <c r="C13" s="178" t="inlineStr">
        <is>
          <t>Hazards &amp; Resilience</t>
        </is>
      </c>
      <c r="D13" s="161" t="n">
        <v>4</v>
      </c>
      <c r="E13" s="176" t="inlineStr">
        <is>
          <t>Feature lead</t>
        </is>
      </c>
      <c r="F13" s="163" t="inlineStr">
        <is>
          <t>To review</t>
        </is>
      </c>
      <c r="G13" s="164" t="n"/>
      <c r="H13" s="165" t="n"/>
      <c r="I13" s="166" t="inlineStr">
        <is>
          <t>How should traffic management and monitoring be combined with slope stabilisation on mountain passes subject to recurrent landslides?</t>
        </is>
      </c>
      <c r="J13" s="166" t="inlineStr">
        <is>
          <t>Vietnam.vn</t>
        </is>
      </c>
      <c r="K13" s="167" t="n">
        <v>46319</v>
      </c>
      <c r="L13" s="166" t="inlineStr">
        <is>
          <t>En el paso de Khanh Le, el tráfico se interrumpirá a intervalos de 30 minutos para hacer frente a los deslizamientos de tierra; los usuarios de la carretera deben tenerlo en cuenta.</t>
        </is>
      </c>
      <c r="M13" s="168" t="n"/>
      <c r="N13" s="169" t="n"/>
      <c r="O13" s="166" t="n"/>
      <c r="P13" s="166" t="n"/>
      <c r="Q13" s="170" t="inlineStr">
        <is>
          <t>Spain</t>
        </is>
      </c>
      <c r="R13" s="167" t="n">
        <v>46319</v>
      </c>
      <c r="S13" s="169" t="inlineStr">
        <is>
          <t>2026-Q4</t>
        </is>
      </c>
      <c r="T13" s="171" t="inlineStr">
        <is>
          <t>landslide</t>
        </is>
      </c>
      <c r="U13" s="158" t="n">
        <v>10</v>
      </c>
      <c r="V13" s="172" t="inlineStr">
        <is>
          <t>https://news.google.com/rss/articles/CBMiogFBVV95cUxQNGhpZmtjSDF5eDFZZEJXaTdIZWo2QVZTRDVlc3E0T2pvQ2tRaURBcHpRUk5hSmFDNjNuaGV5X1pHeVdqc2RjR1dOQVhPc2tUUVRmb2RiWnB0dWNDcU96QUxGcVg1dmNxRlpfdTNmT0Z5ZG4wSXNTSmR5OUY4ZmRZcW9kNmRHS0ZaVUxyMW9ySU5TSWJlNzJCWWJaZGlrRHd1a2c?oc=5</t>
        </is>
      </c>
      <c r="W13" s="173">
        <f>IF($B13="",0,IF(AND(OR(OR(Dashboard!$B$5="All themes",Dashboard!$B$5=""),$C13=Dashboard!$B$5),OR(OR(Dashboard!$G$5="All uses",Dashboard!$G$5=""),$E13=Dashboard!$G$5),N($D13)&gt;=Lists!$H$2,OR(OR(Dashboard!$N$5="All windows",Dashboard!$N$5=""),$S13=Dashboard!$N$5)),1,0))</f>
        <v/>
      </c>
      <c r="X13" s="174">
        <f>IF($W13=1,N($D13)*1E14+MIN(MAX(N($U13),0),9999)*1E10+MIN(N($K13),99999)*1E5+99999-MIN(ROW(),99999),"")</f>
        <v/>
      </c>
    </row>
    <row r="14" ht="53" customHeight="1">
      <c r="A14" s="158" t="n">
        <v>11</v>
      </c>
      <c r="B14" s="159" t="inlineStr">
        <is>
          <t>Valmontone, bad weather: tuff slope collapses onto Prenestina road, road partially closed</t>
        </is>
      </c>
      <c r="C14" s="178" t="inlineStr">
        <is>
          <t>Hazards &amp; Resilience</t>
        </is>
      </c>
      <c r="D14" s="161" t="n">
        <v>4</v>
      </c>
      <c r="E14" s="180" t="inlineStr">
        <is>
          <t>News brief</t>
        </is>
      </c>
      <c r="F14" s="163" t="inlineStr">
        <is>
          <t>To review</t>
        </is>
      </c>
      <c r="G14" s="164" t="n"/>
      <c r="H14" s="165" t="n"/>
      <c r="I14" s="166" t="inlineStr">
        <is>
          <t>What causes tuff cliff collapse in volcanic deposits under rainfall, and how can such slopes be assessed and stabilised near roads?</t>
        </is>
      </c>
      <c r="J14" s="166" t="inlineStr">
        <is>
          <t>Il Giornale dei Castelli Romani</t>
        </is>
      </c>
      <c r="K14" s="167" t="n">
        <v>46319</v>
      </c>
      <c r="L14" s="166" t="inlineStr">
        <is>
          <t>Valmontone, maltempo: frana costone di tufo sulla via Prenestina, strada parzialmente chiusa</t>
        </is>
      </c>
      <c r="M14" s="168" t="n"/>
      <c r="N14" s="169" t="n"/>
      <c r="O14" s="166" t="n"/>
      <c r="P14" s="166" t="n"/>
      <c r="Q14" s="170" t="inlineStr">
        <is>
          <t>Italy</t>
        </is>
      </c>
      <c r="R14" s="167" t="n">
        <v>46319</v>
      </c>
      <c r="S14" s="169" t="inlineStr">
        <is>
          <t>2026-Q4</t>
        </is>
      </c>
      <c r="T14" s="171" t="inlineStr">
        <is>
          <t>landslide</t>
        </is>
      </c>
      <c r="U14" s="158" t="n">
        <v>10</v>
      </c>
      <c r="V14" s="172" t="inlineStr">
        <is>
          <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t>
        </is>
      </c>
      <c r="W14" s="173">
        <f>IF($B14="",0,IF(AND(OR(OR(Dashboard!$B$5="All themes",Dashboard!$B$5=""),$C14=Dashboard!$B$5),OR(OR(Dashboard!$G$5="All uses",Dashboard!$G$5=""),$E14=Dashboard!$G$5),N($D14)&gt;=Lists!$H$2,OR(OR(Dashboard!$N$5="All windows",Dashboard!$N$5=""),$S14=Dashboard!$N$5)),1,0))</f>
        <v/>
      </c>
      <c r="X14" s="174">
        <f>IF($W14=1,N($D14)*1E14+MIN(MAX(N($U14),0),9999)*1E10+MIN(N($K14),99999)*1E5+99999-MIN(ROW(),99999),"")</f>
        <v/>
      </c>
    </row>
    <row r="15" ht="53" customHeight="1">
      <c r="A15" s="158" t="n">
        <v>12</v>
      </c>
      <c r="B15" s="159" t="inlineStr">
        <is>
          <t>Bonea, landslide in Capo locality: mayor closes three roads by urgent order</t>
        </is>
      </c>
      <c r="C15" s="178" t="inlineStr">
        <is>
          <t>Hazards &amp; Resilience</t>
        </is>
      </c>
      <c r="D15" s="161" t="n">
        <v>4</v>
      </c>
      <c r="E15" s="180" t="inlineStr">
        <is>
          <t>News brief</t>
        </is>
      </c>
      <c r="F15" s="163" t="inlineStr">
        <is>
          <t>To review</t>
        </is>
      </c>
      <c r="G15" s="164" t="n"/>
      <c r="H15" s="165" t="n"/>
      <c r="I15" s="166" t="inlineStr">
        <is>
          <t>What ground investigation would confirm the landslide mechanism at Capo locality and guide safe reopening of the three closed roads?</t>
        </is>
      </c>
      <c r="J15" s="166" t="inlineStr">
        <is>
          <t>Tv7 Benevento</t>
        </is>
      </c>
      <c r="K15" s="167" t="n">
        <v>46319</v>
      </c>
      <c r="L15" s="166" t="inlineStr">
        <is>
          <t>BONEA, FRANA IN LOCALITÀ CAPO: IL SINDACO CHIUDE TRE STRADE CON ORDINANZA URGENTE</t>
        </is>
      </c>
      <c r="M15" s="168" t="n"/>
      <c r="N15" s="169" t="n"/>
      <c r="O15" s="166" t="n"/>
      <c r="P15" s="166" t="n"/>
      <c r="Q15" s="170" t="inlineStr">
        <is>
          <t>Italy</t>
        </is>
      </c>
      <c r="R15" s="167" t="n">
        <v>46319</v>
      </c>
      <c r="S15" s="169" t="inlineStr">
        <is>
          <t>2026-Q4</t>
        </is>
      </c>
      <c r="T15" s="171" t="inlineStr">
        <is>
          <t>landslide</t>
        </is>
      </c>
      <c r="U15" s="158" t="n">
        <v>10</v>
      </c>
      <c r="V15" s="172" t="inlineStr">
        <is>
          <t>https://news.google.com/rss/articles/CBMipwFBVV95cUxQM0JfTHl5bmwxRmJ6Y3lLZ2l6XzB1c0lkclVfRzJ2clZEV29YU25kOWNsX1hXNjFuUnJnVGNjRXBFa0V2RWlYVllQOVEzV1ZCY3VYNENpdk9wSGVNNlUtNGVwdGZhZDY5UUVTYW1OZHQ1TkFoUURUTFMwSWdoLU90QTU2VE5Md1NKOU1Rd041aXFxNUJ1OGc3QTAxLUpGbndSWXh0czMzSQ?oc=5</t>
        </is>
      </c>
      <c r="W15" s="173">
        <f>IF($B15="",0,IF(AND(OR(OR(Dashboard!$B$5="All themes",Dashboard!$B$5=""),$C15=Dashboard!$B$5),OR(OR(Dashboard!$G$5="All uses",Dashboard!$G$5=""),$E15=Dashboard!$G$5),N($D15)&gt;=Lists!$H$2,OR(OR(Dashboard!$N$5="All windows",Dashboard!$N$5=""),$S15=Dashboard!$N$5)),1,0))</f>
        <v/>
      </c>
      <c r="X15" s="174">
        <f>IF($W15=1,N($D15)*1E14+MIN(MAX(N($U15),0),9999)*1E10+MIN(N($K15),99999)*1E5+99999-MIN(ROW(),99999),"")</f>
        <v/>
      </c>
    </row>
    <row r="16" ht="53" customHeight="1">
      <c r="A16" s="158" t="n">
        <v>13</v>
      </c>
      <c r="B16" s="159" t="inlineStr">
        <is>
          <t>La frana del Cencione Tra fango e polemiche Le ruspe sono al lavoro</t>
        </is>
      </c>
      <c r="C16" s="178" t="inlineStr">
        <is>
          <t>Hazards &amp; Resilience</t>
        </is>
      </c>
      <c r="D16" s="161" t="n">
        <v>4</v>
      </c>
      <c r="E16" s="176" t="inlineStr">
        <is>
          <t>Feature lead</t>
        </is>
      </c>
      <c r="F16" s="163" t="inlineStr">
        <is>
          <t>To review</t>
        </is>
      </c>
      <c r="G16" s="164" t="n"/>
      <c r="H16" s="165" t="n"/>
      <c r="I16" s="166" t="inlineStr">
        <is>
          <t>How should authorities balance urgent earthworks with geotechnical investigation and accountability when a landslide site becomes politically contested?</t>
        </is>
      </c>
      <c r="J16" s="166" t="inlineStr">
        <is>
          <t>Zazoom Social News</t>
        </is>
      </c>
      <c r="K16" s="167" t="n">
        <v>46319</v>
      </c>
      <c r="L16" s="166" t="n"/>
      <c r="M16" s="168" t="n"/>
      <c r="N16" s="169" t="n"/>
      <c r="O16" s="166" t="n"/>
      <c r="P16" s="166" t="n"/>
      <c r="Q16" s="170" t="inlineStr">
        <is>
          <t>Italy</t>
        </is>
      </c>
      <c r="R16" s="167" t="n">
        <v>46318</v>
      </c>
      <c r="S16" s="169" t="inlineStr">
        <is>
          <t>2026-Q4</t>
        </is>
      </c>
      <c r="T16" s="171" t="inlineStr">
        <is>
          <t>landslide</t>
        </is>
      </c>
      <c r="U16" s="158" t="n">
        <v>10</v>
      </c>
      <c r="V16" s="172" t="inlineStr">
        <is>
          <t>https://news.google.com/rss/articles/CBMirwFBVV95cUxPRkxsbl9ZdlM1cmloa1JxT3ZENFdkYUI5U3pIZy1UM005NU9SVVFIVjVmZ1ZvTDNybGJkMHAtc3Ewd3RldnRYWHlrSnQ2R1hXN2xpR1BNREFxTlRlb2tFMnFJZ01VSEZqN0ZheUtlbWJEd3h2SURJb3ppVWl6dTU2Y21zZGJGR1hpMWdNUmNfdWluZDJQYzZkeC1QTHhEUFNmcVhTVWtnWWxiUDczMmtr?oc=5</t>
        </is>
      </c>
      <c r="W16" s="173">
        <f>IF($B16="",0,IF(AND(OR(OR(Dashboard!$B$5="All themes",Dashboard!$B$5=""),$C16=Dashboard!$B$5),OR(OR(Dashboard!$G$5="All uses",Dashboard!$G$5=""),$E16=Dashboard!$G$5),N($D16)&gt;=Lists!$H$2,OR(OR(Dashboard!$N$5="All windows",Dashboard!$N$5=""),$S16=Dashboard!$N$5)),1,0))</f>
        <v/>
      </c>
      <c r="X16" s="174">
        <f>IF($W16=1,N($D16)*1E14+MIN(MAX(N($U16),0),9999)*1E10+MIN(N($K16),99999)*1E5+99999-MIN(ROW(),99999),"")</f>
        <v/>
      </c>
    </row>
    <row r="17" ht="40.5" customHeight="1">
      <c r="A17" s="158" t="n">
        <v>14</v>
      </c>
      <c r="B17" s="159" t="inlineStr">
        <is>
          <t>TNI helps landslide victims in Lae Ikan, Subulussalam</t>
        </is>
      </c>
      <c r="C17" s="178" t="inlineStr">
        <is>
          <t>Hazards &amp; Resilience</t>
        </is>
      </c>
      <c r="D17" s="161" t="n">
        <v>4</v>
      </c>
      <c r="E17" s="180" t="inlineStr">
        <is>
          <t>News brief</t>
        </is>
      </c>
      <c r="F17" s="163" t="inlineStr">
        <is>
          <t>To review</t>
        </is>
      </c>
      <c r="G17" s="164" t="n"/>
      <c r="H17" s="165" t="n"/>
      <c r="I17" s="166" t="inlineStr">
        <is>
          <t>What role can emergency response and rapid geotechnical assessment play after a landslide in a mountainous Indonesian village?</t>
        </is>
      </c>
      <c r="J17" s="166" t="inlineStr">
        <is>
          <t>RRI.co.id</t>
        </is>
      </c>
      <c r="K17" s="167" t="n">
        <v>46319</v>
      </c>
      <c r="L17" s="166" t="inlineStr">
        <is>
          <t>TNI Bantu Korban Longsor di Lae Ikan Subulussalam</t>
        </is>
      </c>
      <c r="M17" s="168" t="n"/>
      <c r="N17" s="169" t="n"/>
      <c r="O17" s="166" t="n"/>
      <c r="P17" s="166" t="n"/>
      <c r="Q17" s="170" t="inlineStr">
        <is>
          <t>Indonesia</t>
        </is>
      </c>
      <c r="R17" s="167" t="n">
        <v>46319</v>
      </c>
      <c r="S17" s="169" t="inlineStr">
        <is>
          <t>2026-Q4</t>
        </is>
      </c>
      <c r="T17" s="171" t="inlineStr">
        <is>
          <t>landslide</t>
        </is>
      </c>
      <c r="U17" s="158" t="n">
        <v>10</v>
      </c>
      <c r="V17" s="172" t="inlineStr">
        <is>
          <t>https://news.google.com/rss/articles/CBMiogFBVV95cUxOYkthemxCdGdtc1c3TnBBbGY4MVZlMDFvWnZiX3E4UERSQ1lsX2g4R0x5VHVaVndQdnJHQTBZSy02bV8wT1d4RVZ6WHRVN2w0UUx1MFRMbDhINzgtWlJJLXFKOHIzWFRZa1VmZUVFNUNCM3hRdE9GUGZpdVNQQnd3ZmxRTWZFOGU5REFvOTg4cG40YkU1bDhlZ2pQSkR5Ti04Q1E?oc=5</t>
        </is>
      </c>
      <c r="W17" s="173">
        <f>IF($B17="",0,IF(AND(OR(OR(Dashboard!$B$5="All themes",Dashboard!$B$5=""),$C17=Dashboard!$B$5),OR(OR(Dashboard!$G$5="All uses",Dashboard!$G$5=""),$E17=Dashboard!$G$5),N($D17)&gt;=Lists!$H$2,OR(OR(Dashboard!$N$5="All windows",Dashboard!$N$5=""),$S17=Dashboard!$N$5)),1,0))</f>
        <v/>
      </c>
      <c r="X17" s="174">
        <f>IF($W17=1,N($D17)*1E14+MIN(MAX(N($U17),0),9999)*1E10+MIN(N($K17),99999)*1E5+99999-MIN(ROW(),99999),"")</f>
        <v/>
      </c>
    </row>
    <row r="18" ht="53" customHeight="1">
      <c r="A18" s="158" t="n">
        <v>15</v>
      </c>
      <c r="B18" s="159" t="inlineStr">
        <is>
          <t>Intense rains cause alluvion in rural sector of Concepción: residents fear new landslides</t>
        </is>
      </c>
      <c r="C18" s="178" t="inlineStr">
        <is>
          <t>Hazards &amp; Resilience</t>
        </is>
      </c>
      <c r="D18" s="161" t="n">
        <v>4</v>
      </c>
      <c r="E18" s="176" t="inlineStr">
        <is>
          <t>Feature lead</t>
        </is>
      </c>
      <c r="F18" s="163" t="inlineStr">
        <is>
          <t>To review</t>
        </is>
      </c>
      <c r="G18" s="164" t="n"/>
      <c r="H18" s="165" t="n"/>
      <c r="I18" s="166" t="inlineStr">
        <is>
          <t>What triggered the rain-induced debris flow and slope failure in this rural hillside, and how can residents' risk of further slides be assessed?</t>
        </is>
      </c>
      <c r="J18" s="166" t="inlineStr">
        <is>
          <t>Meganoticias</t>
        </is>
      </c>
      <c r="K18" s="167" t="n">
        <v>46319</v>
      </c>
      <c r="L18" s="166" t="inlineStr">
        <is>
          <t>Intensas lluvias provocan aluvión en sector rural de Concepción: Vecinos temen nuevos deslizamientos</t>
        </is>
      </c>
      <c r="M18" s="168" t="n"/>
      <c r="N18" s="169" t="n"/>
      <c r="O18" s="166" t="n"/>
      <c r="P18" s="166" t="n"/>
      <c r="Q18" s="170" t="inlineStr">
        <is>
          <t>Chile</t>
        </is>
      </c>
      <c r="R18" s="167" t="n">
        <v>46317</v>
      </c>
      <c r="S18" s="169" t="inlineStr">
        <is>
          <t>2026-Q4</t>
        </is>
      </c>
      <c r="T18" s="171" t="inlineStr">
        <is>
          <t>landslide, debris flow</t>
        </is>
      </c>
      <c r="U18" s="158" t="n">
        <v>8</v>
      </c>
      <c r="V18" s="172" t="inlineStr">
        <is>
          <t>https://news.google.com/rss/articles/CBMi4wFBVV95cUxOV1p0dUF2OVZleURvUHhJbGxjNFdrR3hCalZqUEZ0SktHbHdzLTZEMmtBT3lWYXVkY0l3SDM0TjNwWTBtM0FjdlRoYzlfQTBQLVNaLUFtWDNrMU9KbXBzLVZWekN4bGFVSzA0R1RLOFBiMlBsSnNILVBuZ1hEemQtZm9FaE1URVdSREVoRzZDM0dPZkNwdzJfQ3pMRjZ0cFJmLXB6a3ZyZ2NjcjNMTllsVmV6X0M0OVhpcHA5a3RiU0lMdnhoeXJwVGp1SDRwYlFkd3M0emJTTEkwQjVmS0VxVDNqUdIB6AFBVV95cUxObTcwd3VqRWxyLWRxRWVkWEJubW50cjBiaFhrWHl0QTQteWxtUzYxZHo5NGgzdmtVdHprVVlPcWhZX25LQXBfbU5ZM3E4UmRMU3ZLYXl1UFNfOTFvSi1mam9sMTE4MVp1aWdTWmptM2ViUThUOFZsSTBFSHZ1azFQOUN4dWtid1RwQlQwRVVRV2p1OUFhaWh2Q3RuWThaNkh4NFhhckhac1ozQzR0bzAtbExmcU5RVm15WGNzd3RTcEY4QkhwTTBvZ1JBbU9zME9qeXRrM0c1OTRKUlBzYy1DUkJ2Y2RBaW9q?oc=5</t>
        </is>
      </c>
      <c r="W18" s="173">
        <f>IF($B18="",0,IF(AND(OR(OR(Dashboard!$B$5="All themes",Dashboard!$B$5=""),$C18=Dashboard!$B$5),OR(OR(Dashboard!$G$5="All uses",Dashboard!$G$5=""),$E18=Dashboard!$G$5),N($D18)&gt;=Lists!$H$2,OR(OR(Dashboard!$N$5="All windows",Dashboard!$N$5=""),$S18=Dashboard!$N$5)),1,0))</f>
        <v/>
      </c>
      <c r="X18" s="174">
        <f>IF($W18=1,N($D18)*1E14+MIN(MAX(N($U18),0),9999)*1E10+MIN(N($K18),99999)*1E5+99999-MIN(ROW(),99999),"")</f>
        <v/>
      </c>
    </row>
    <row r="19" ht="53" customHeight="1">
      <c r="A19" s="158" t="n">
        <v>16</v>
      </c>
      <c r="B19" s="159" t="inlineStr">
        <is>
          <t>Rockfall onto houses in Chi Lang commune, Lang Son province</t>
        </is>
      </c>
      <c r="C19" s="178" t="inlineStr">
        <is>
          <t>Hazards &amp; Resilience</t>
        </is>
      </c>
      <c r="D19" s="161" t="n">
        <v>4</v>
      </c>
      <c r="E19" s="180" t="inlineStr">
        <is>
          <t>News brief</t>
        </is>
      </c>
      <c r="F19" s="163" t="inlineStr">
        <is>
          <t>To review</t>
        </is>
      </c>
      <c r="G19" s="164" t="n"/>
      <c r="H19" s="165" t="n"/>
      <c r="I19" s="166" t="inlineStr">
        <is>
          <t>What mechanisms cause rockfall onto houses below steep slopes, and how should hazard mitigation be designed for rural settlements?</t>
        </is>
      </c>
      <c r="J19" s="166" t="inlineStr">
        <is>
          <t>Baolangson.vn</t>
        </is>
      </c>
      <c r="K19" s="167" t="n">
        <v>46319</v>
      </c>
      <c r="L19" s="166" t="inlineStr">
        <is>
          <t>Sạt lở đá xuống nhà dân tại xã Chi Lăng - Báo và Phát thanh, Truyền hình Lạng Sơn</t>
        </is>
      </c>
      <c r="M19" s="168" t="n"/>
      <c r="N19" s="169" t="n"/>
      <c r="O19" s="166" t="n"/>
      <c r="P19" s="166" t="n"/>
      <c r="Q19" s="170" t="inlineStr">
        <is>
          <t>Vietnam</t>
        </is>
      </c>
      <c r="R19" s="167" t="n">
        <v>46317</v>
      </c>
      <c r="S19" s="169" t="inlineStr">
        <is>
          <t>2026-Q4</t>
        </is>
      </c>
      <c r="T19" s="171" t="inlineStr">
        <is>
          <t>landslide, rockfall</t>
        </is>
      </c>
      <c r="U19" s="158" t="n">
        <v>8</v>
      </c>
      <c r="V19" s="172" t="inlineStr">
        <is>
          <t>https://news.google.com/rss/articles/CBMif0FVX3lxTE4zQm1aVUtwTUM2RWlZZXpKOEdDX0xZYk41cGNLaDNFNDNlQko2SGxxTmVtLVBBQm9VZkFIOFBmUE1PSE1KclNSUHNQMDhUTGRiWnE0R0ZPcDFFV3E4R3U4M19FZzI2akVUNFRvRkgwSkxuMkZpWmU4Tlh5WTNoQ2M?oc=5</t>
        </is>
      </c>
      <c r="W19" s="173">
        <f>IF($B19="",0,IF(AND(OR(OR(Dashboard!$B$5="All themes",Dashboard!$B$5=""),$C19=Dashboard!$B$5),OR(OR(Dashboard!$G$5="All uses",Dashboard!$G$5=""),$E19=Dashboard!$G$5),N($D19)&gt;=Lists!$H$2,OR(OR(Dashboard!$N$5="All windows",Dashboard!$N$5=""),$S19=Dashboard!$N$5)),1,0))</f>
        <v/>
      </c>
      <c r="X19" s="174">
        <f>IF($W19=1,N($D19)*1E14+MIN(MAX(N($U19),0),9999)*1E10+MIN(N($K19),99999)*1E5+99999-MIN(ROW(),99999),"")</f>
        <v/>
      </c>
    </row>
    <row r="20" ht="53" customHeight="1">
      <c r="A20" s="158" t="n">
        <v>17</v>
      </c>
      <c r="B20" s="159" t="inlineStr">
        <is>
          <t>Close-up of a 500-metre street section in Lam Dong province severely damaged by subsidence and landslides</t>
        </is>
      </c>
      <c r="C20" s="178" t="inlineStr">
        <is>
          <t>Hazards &amp; Resilience</t>
        </is>
      </c>
      <c r="D20" s="161" t="n">
        <v>4</v>
      </c>
      <c r="E20" s="181" t="inlineStr">
        <is>
          <t>Regional insight</t>
        </is>
      </c>
      <c r="F20" s="163" t="inlineStr">
        <is>
          <t>To review</t>
        </is>
      </c>
      <c r="G20" s="164" t="n"/>
      <c r="H20" s="165" t="n"/>
      <c r="I20" s="166" t="inlineStr">
        <is>
          <t>What combination of subsidence and landslide processes damaged this 500 m road, and how should such ground be investigated and repaired?</t>
        </is>
      </c>
      <c r="J20" s="166" t="inlineStr">
        <is>
          <t>Vietnam.vn</t>
        </is>
      </c>
      <c r="K20" s="167" t="n">
        <v>46319</v>
      </c>
      <c r="L20" s="166" t="inlineStr">
        <is>
          <t>Крупный план участка улицы длиной 500 метров в провинции Ламдонг, сильно пострадавшего от проседания грунта и оползней.</t>
        </is>
      </c>
      <c r="M20" s="168" t="n"/>
      <c r="N20" s="169" t="n"/>
      <c r="O20" s="166" t="n"/>
      <c r="P20" s="166" t="n"/>
      <c r="Q20" s="170" t="inlineStr">
        <is>
          <t>Russia</t>
        </is>
      </c>
      <c r="R20" s="167" t="n">
        <v>46317</v>
      </c>
      <c r="S20" s="169" t="inlineStr">
        <is>
          <t>2026-Q4</t>
        </is>
      </c>
      <c r="T20" s="171" t="inlineStr">
        <is>
          <t>landslide, subsidence, soil</t>
        </is>
      </c>
      <c r="U20" s="158" t="n">
        <v>8</v>
      </c>
      <c r="V20" s="172" t="inlineStr">
        <is>
          <t>https://news.google.com/rss/articles/CBMimwFBVV95cUxPLTkyck5DaWR1VmtTV3hIeXVJaWNDUnNpR1AzZDlLbVdzdC1kSmJfTjM3T000WGlLSWt5S2hfSzItS3Y5MkFJZWRZaktBTlNVVFFyRjNHRndpczhWYkdvNFBFY1MxbXA4VTRWWlpCeVdqTWFNbG9HTldyRlRwQkdUYVV2SDNBOGFRUU9WM3pIMG16RUZBWGttYTRmVQ?oc=5</t>
        </is>
      </c>
      <c r="W20" s="173">
        <f>IF($B20="",0,IF(AND(OR(OR(Dashboard!$B$5="All themes",Dashboard!$B$5=""),$C20=Dashboard!$B$5),OR(OR(Dashboard!$G$5="All uses",Dashboard!$G$5=""),$E20=Dashboard!$G$5),N($D20)&gt;=Lists!$H$2,OR(OR(Dashboard!$N$5="All windows",Dashboard!$N$5=""),$S20=Dashboard!$N$5)),1,0))</f>
        <v/>
      </c>
      <c r="X20" s="174">
        <f>IF($W20=1,N($D20)*1E14+MIN(MAX(N($U20),0),9999)*1E10+MIN(N($K20),99999)*1E5+99999-MIN(ROW(),99999),"")</f>
        <v/>
      </c>
    </row>
    <row r="21" ht="40.5" customHeight="1">
      <c r="A21" s="158" t="n">
        <v>18</v>
      </c>
      <c r="B21" s="159" t="inlineStr">
        <is>
          <t>Quang Tri: Severe coastal erosion threatens dikes, embankments, and people's lives.</t>
        </is>
      </c>
      <c r="C21" s="175" t="inlineStr">
        <is>
          <t>Offshore, Coasts &amp; Water</t>
        </is>
      </c>
      <c r="D21" s="161" t="n">
        <v>4</v>
      </c>
      <c r="E21" s="181" t="inlineStr">
        <is>
          <t>Regional insight</t>
        </is>
      </c>
      <c r="F21" s="163" t="inlineStr">
        <is>
          <t>To review</t>
        </is>
      </c>
      <c r="G21" s="164" t="n"/>
      <c r="H21" s="165" t="n"/>
      <c r="I21" s="166" t="inlineStr">
        <is>
          <t>What processes drive severe coastal erosion undermining dikes, and what protection measures suit such shorelines?</t>
        </is>
      </c>
      <c r="J21" s="166" t="inlineStr">
        <is>
          <t>Vietnam.vn</t>
        </is>
      </c>
      <c r="K21" s="167" t="n">
        <v>46319</v>
      </c>
      <c r="L21" s="166" t="n"/>
      <c r="M21" s="168" t="n"/>
      <c r="N21" s="169" t="n"/>
      <c r="O21" s="166" t="n"/>
      <c r="P21" s="166" t="n"/>
      <c r="Q21" s="170" t="inlineStr">
        <is>
          <t>Vietnam</t>
        </is>
      </c>
      <c r="R21" s="167" t="n">
        <v>46318</v>
      </c>
      <c r="S21" s="169" t="inlineStr">
        <is>
          <t>2026-Q4</t>
        </is>
      </c>
      <c r="T21" s="171" t="inlineStr">
        <is>
          <t>embankment, dike, erosion</t>
        </is>
      </c>
      <c r="U21" s="158" t="n">
        <v>7</v>
      </c>
      <c r="V21" s="172" t="inlineStr">
        <is>
          <t>https://news.google.com/rss/articles/CBMingFBVV95cUxQS3doM1BoVjZsRlp4V0theDZtSFZUWEhySWJwSDIzUFpjV09lV201bzV0OFFuYVZrS1lJT3BXd2ZJNVpWbWpJbm5MSlpUb004MnlwRlJYMmV3bnpNWEZSc0pocTBxaWRHcHVYc3lPdmFESG85TUc5UkJ4YVljMWZPbmJzcWlXd25iTTRuQmNjNHg3U3BHalpHTUNTWE9nQQ?oc=5</t>
        </is>
      </c>
      <c r="W21" s="173">
        <f>IF($B21="",0,IF(AND(OR(OR(Dashboard!$B$5="All themes",Dashboard!$B$5=""),$C21=Dashboard!$B$5),OR(OR(Dashboard!$G$5="All uses",Dashboard!$G$5=""),$E21=Dashboard!$G$5),N($D21)&gt;=Lists!$H$2,OR(OR(Dashboard!$N$5="All windows",Dashboard!$N$5=""),$S21=Dashboard!$N$5)),1,0))</f>
        <v/>
      </c>
      <c r="X21" s="174">
        <f>IF($W21=1,N($D21)*1E14+MIN(MAX(N($U21),0),9999)*1E10+MIN(N($K21),99999)*1E5+99999-MIN(ROW(),99999),"")</f>
        <v/>
      </c>
    </row>
    <row r="22" ht="40.5" customHeight="1">
      <c r="A22" s="158" t="n">
        <v>19</v>
      </c>
      <c r="B22" s="159" t="inlineStr">
        <is>
          <t>Nghe An: urgent measures needed to prevent landslide on embankment along coastal road</t>
        </is>
      </c>
      <c r="C22" s="175" t="inlineStr">
        <is>
          <t>Offshore, Coasts &amp; Water</t>
        </is>
      </c>
      <c r="D22" s="161" t="n">
        <v>4</v>
      </c>
      <c r="E22" s="181" t="inlineStr">
        <is>
          <t>Regional insight</t>
        </is>
      </c>
      <c r="F22" s="163" t="inlineStr">
        <is>
          <t>To review</t>
        </is>
      </c>
      <c r="G22" s="164" t="n"/>
      <c r="H22" s="165" t="n"/>
      <c r="I22" s="166" t="inlineStr">
        <is>
          <t>What urgent stabilisation options suit a failing embankment on a coastal road, and how should slope failure risk be assessed?</t>
        </is>
      </c>
      <c r="J22" s="166" t="inlineStr">
        <is>
          <t>Vietnam.vn</t>
        </is>
      </c>
      <c r="K22" s="167" t="n">
        <v>46319</v>
      </c>
      <c r="L22" s="166" t="inlineStr">
        <is>
          <t>Нге Ан: Необходимы срочные меры для предотвращения оползня на насыпи вдоль прибрежной дороги.</t>
        </is>
      </c>
      <c r="M22" s="168" t="n"/>
      <c r="N22" s="169" t="n"/>
      <c r="O22" s="166" t="n"/>
      <c r="P22" s="166" t="n"/>
      <c r="Q22" s="170" t="inlineStr">
        <is>
          <t>Russia</t>
        </is>
      </c>
      <c r="R22" s="167" t="n">
        <v>46318</v>
      </c>
      <c r="S22" s="169" t="inlineStr">
        <is>
          <t>2026-Q4</t>
        </is>
      </c>
      <c r="T22" s="171" t="inlineStr">
        <is>
          <t>landslide, embankment</t>
        </is>
      </c>
      <c r="U22" s="158" t="n">
        <v>7</v>
      </c>
      <c r="V22" s="172" t="inlineStr">
        <is>
          <t>https://news.google.com/rss/articles/CBMilwFBVV95cUxNcG13NlMtVlJSQ0ZDYTM0cGN0NmZzaEtGVDFnV2ZGNkIzM1p0MU0wdUFpbnNDdFFDa0l6M1F6NW5hX2pMNFViN2lfWE80dlJFUGpiOWRfSFhBRWN1d1g2b3o5a1kxNUhIVHRNUUJ6TG5EMXdxcnE2bG9TTWxIc2dDUjBLTlpmNjg5WFVtZE15SWhRY0sxSWtv?oc=5</t>
        </is>
      </c>
      <c r="W22" s="173">
        <f>IF($B22="",0,IF(AND(OR(OR(Dashboard!$B$5="All themes",Dashboard!$B$5=""),$C22=Dashboard!$B$5),OR(OR(Dashboard!$G$5="All uses",Dashboard!$G$5=""),$E22=Dashboard!$G$5),N($D22)&gt;=Lists!$H$2,OR(OR(Dashboard!$N$5="All windows",Dashboard!$N$5=""),$S22=Dashboard!$N$5)),1,0))</f>
        <v/>
      </c>
      <c r="X22" s="174">
        <f>IF($W22=1,N($D22)*1E14+MIN(MAX(N($U22),0),9999)*1E10+MIN(N($K22),99999)*1E5+99999-MIN(ROW(),99999),"")</f>
        <v/>
      </c>
    </row>
    <row r="23" ht="40.5" customHeight="1">
      <c r="A23" s="158" t="n">
        <v>20</v>
      </c>
      <c r="B23" s="159" t="inlineStr">
        <is>
          <t>57-billion-dong erosion revetment in Thanh Hoa subsides and cracks right after completion</t>
        </is>
      </c>
      <c r="C23" s="178" t="inlineStr">
        <is>
          <t>Hazards &amp; Resilience</t>
        </is>
      </c>
      <c r="D23" s="161" t="n">
        <v>4</v>
      </c>
      <c r="E23" s="176" t="inlineStr">
        <is>
          <t>Feature lead</t>
        </is>
      </c>
      <c r="F23" s="163" t="inlineStr">
        <is>
          <t>To review</t>
        </is>
      </c>
      <c r="G23" s="164" t="n"/>
      <c r="H23" s="165" t="n"/>
      <c r="I23" s="166" t="inlineStr">
        <is>
          <t>Why did a newly completed revetment subside and crack so soon, and what foundation or design checks could have prevented it?</t>
        </is>
      </c>
      <c r="J23" s="166" t="inlineStr">
        <is>
          <t>Báo Thanh Niên</t>
        </is>
      </c>
      <c r="K23" s="167" t="n">
        <v>46319</v>
      </c>
      <c r="L23" s="166" t="inlineStr">
        <is>
          <t>Kè chống sạt lở hơn 57 tỉ đồng ở Thanh Hóa vừa làm xong đã sụt lún, đứt gãy</t>
        </is>
      </c>
      <c r="M23" s="168" t="n"/>
      <c r="N23" s="169" t="n"/>
      <c r="O23" s="166" t="n"/>
      <c r="P23" s="166" t="n"/>
      <c r="Q23" s="170" t="inlineStr">
        <is>
          <t>Vietnam</t>
        </is>
      </c>
      <c r="R23" s="167" t="n">
        <v>46319</v>
      </c>
      <c r="S23" s="169" t="inlineStr">
        <is>
          <t>2026-Q4</t>
        </is>
      </c>
      <c r="T23" s="171" t="inlineStr">
        <is>
          <t>landslide, subsidence</t>
        </is>
      </c>
      <c r="U23" s="158" t="n">
        <v>7</v>
      </c>
      <c r="V23" s="172" t="inlineStr">
        <is>
          <t>https://news.google.com/rss/articles/CBMiugFBVV95cUxPTWJZUVVOZ3hOTjliMDhtRWVCaFQyYnB3SzNtaDlrOGg4b1VzVnUzM3Rjc3l3T0ZrUFBXNWRWRnJNdGF4WVpJR29aS1VjSkFIZnFubFVCZnJFS3NQZW93VHlaQ2p6RUcxbFhlOUdzRmZGRDhkVHZFTkkwSk1rZm1vdWFXS0JDdkxsWDg4YzhHWVoyeEVSQnRocXlqcnRab1lSSS1GQXhNT24zSTlCTGhVU2c5NzUwaWctdXc?oc=5</t>
        </is>
      </c>
      <c r="W23" s="173">
        <f>IF($B23="",0,IF(AND(OR(OR(Dashboard!$B$5="All themes",Dashboard!$B$5=""),$C23=Dashboard!$B$5),OR(OR(Dashboard!$G$5="All uses",Dashboard!$G$5=""),$E23=Dashboard!$G$5),N($D23)&gt;=Lists!$H$2,OR(OR(Dashboard!$N$5="All windows",Dashboard!$N$5=""),$S23=Dashboard!$N$5)),1,0))</f>
        <v/>
      </c>
      <c r="X23" s="174">
        <f>IF($W23=1,N($D23)*1E14+MIN(MAX(N($U23),0),9999)*1E10+MIN(N($K23),99999)*1E5+99999-MIN(ROW(),99999),"")</f>
        <v/>
      </c>
    </row>
    <row r="24" ht="40.5" customHeight="1">
      <c r="A24" s="158" t="n">
        <v>21</v>
      </c>
      <c r="B24" s="159" t="inlineStr">
        <is>
          <t>Lam Dong warns of serious subsidence and sliding on city streets</t>
        </is>
      </c>
      <c r="C24" s="178" t="inlineStr">
        <is>
          <t>Hazards &amp; Resilience</t>
        </is>
      </c>
      <c r="D24" s="161" t="n">
        <v>4</v>
      </c>
      <c r="E24" s="181" t="inlineStr">
        <is>
          <t>Regional insight</t>
        </is>
      </c>
      <c r="F24" s="163" t="inlineStr">
        <is>
          <t>To review</t>
        </is>
      </c>
      <c r="G24" s="164" t="n"/>
      <c r="H24" s="165" t="n"/>
      <c r="I24" s="166" t="inlineStr">
        <is>
          <t>What causes urban street subsidence and sliding in this highland city, and how should authorities monitor and warn residents?</t>
        </is>
      </c>
      <c r="J24" s="166" t="inlineStr">
        <is>
          <t>Báo và phát thanh, truyền hình Đồng Tháp</t>
        </is>
      </c>
      <c r="K24" s="167" t="n">
        <v>46319</v>
      </c>
      <c r="L24" s="166" t="inlineStr">
        <is>
          <t>Lâm Đồng: Cảnh báo sụt lún, sạt trượt nghiêm trọng đường phố</t>
        </is>
      </c>
      <c r="M24" s="168" t="n"/>
      <c r="N24" s="169" t="n"/>
      <c r="O24" s="166" t="n"/>
      <c r="P24" s="166" t="n"/>
      <c r="Q24" s="170" t="inlineStr">
        <is>
          <t>Vietnam</t>
        </is>
      </c>
      <c r="R24" s="167" t="n">
        <v>46318</v>
      </c>
      <c r="S24" s="169" t="inlineStr">
        <is>
          <t>2026-Q4</t>
        </is>
      </c>
      <c r="T24" s="171" t="inlineStr">
        <is>
          <t>landslide, subsidence</t>
        </is>
      </c>
      <c r="U24" s="158" t="n">
        <v>7</v>
      </c>
      <c r="V24" s="172" t="inlineStr">
        <is>
          <t>https://news.google.com/rss/articles/CBMiigFBVV95cUxPZWVidFMzVlYxMDdISl9EQ2U0U3hiaVU2NmFPN09jYzZUem1CaXB3N1I4S1l0VW9Ka1l1LU9kVnY2bDQzUnFKWUFiNnF3azVkeEZoUGpxREdXNExtd2ZwRWVtNmZPTUkxUnA5TmFsczUyX3hkLUpJYmtFVU5yeTRONV9nb2VfNjVPZnc?oc=5</t>
        </is>
      </c>
      <c r="W24" s="173">
        <f>IF($B24="",0,IF(AND(OR(OR(Dashboard!$B$5="All themes",Dashboard!$B$5=""),$C24=Dashboard!$B$5),OR(OR(Dashboard!$G$5="All uses",Dashboard!$G$5=""),$E24=Dashboard!$G$5),N($D24)&gt;=Lists!$H$2,OR(OR(Dashboard!$N$5="All windows",Dashboard!$N$5=""),$S24=Dashboard!$N$5)),1,0))</f>
        <v/>
      </c>
      <c r="X24" s="174">
        <f>IF($W24=1,N($D24)*1E14+MIN(MAX(N($U24),0),9999)*1E10+MIN(N($K24),99999)*1E5+99999-MIN(ROW(),99999),"")</f>
        <v/>
      </c>
    </row>
    <row r="25" ht="40.5" customHeight="1">
      <c r="A25" s="158" t="n">
        <v>22</v>
      </c>
      <c r="B25" s="159" t="inlineStr">
        <is>
          <t>Identifying a huge sinkhole in Phong Nha-Ke Bang National Park; exploring Thien Ha cave in Ninh Binh</t>
        </is>
      </c>
      <c r="C25" s="178" t="inlineStr">
        <is>
          <t>Hazards &amp; Resilience</t>
        </is>
      </c>
      <c r="D25" s="161" t="n">
        <v>4</v>
      </c>
      <c r="E25" s="176" t="inlineStr">
        <is>
          <t>Feature lead</t>
        </is>
      </c>
      <c r="F25" s="163" t="inlineStr">
        <is>
          <t>To review</t>
        </is>
      </c>
      <c r="G25" s="164" t="n"/>
      <c r="H25" s="165" t="n"/>
      <c r="I25" s="166" t="inlineStr">
        <is>
          <t>What karst processes produce giant sinkholes, and how can they be detected and assessed in limestone terrain?</t>
        </is>
      </c>
      <c r="J25" s="166" t="inlineStr">
        <is>
          <t>Kenh14.vn</t>
        </is>
      </c>
      <c r="K25" s="167" t="n">
        <v>46319</v>
      </c>
      <c r="L25" s="166" t="inlineStr">
        <is>
          <t>Xác định hố sụt lún “khủng” ở Vườn quốc gia Phong Nha-Kẻ Bàng Khám phá hang động Thiên Hà huyền ảo ở Ninh Bình</t>
        </is>
      </c>
      <c r="M25" s="168" t="n"/>
      <c r="N25" s="169" t="n"/>
      <c r="O25" s="166" t="n"/>
      <c r="P25" s="166" t="n"/>
      <c r="Q25" s="170" t="inlineStr">
        <is>
          <t>Vietnam</t>
        </is>
      </c>
      <c r="R25" s="167" t="n">
        <v>46318</v>
      </c>
      <c r="S25" s="169" t="inlineStr">
        <is>
          <t>2026-Q4</t>
        </is>
      </c>
      <c r="T25" s="171" t="inlineStr">
        <is>
          <t>sinkhole, subsidence</t>
        </is>
      </c>
      <c r="U25" s="158" t="n">
        <v>7</v>
      </c>
      <c r="V25" s="172" t="inlineStr">
        <is>
          <t>https://news.google.com/rss/articles/CBMi4wFBVV95cUxQSXAyb195dGp6RURzRWliZzhoYmI2S0RUbUJQZG10eHVNSDVFZDE0bW1naTNubEgxU1k5UWxOTV9QUjJiLXZxWlJjOVV5aTh5V1J3Tm11UFdsZ2dJMnYzWTdvekpSWXhoSG1QZGF2a2o3UXRkWjh6VTNqcS14cXBJSUd4NXplcUg1Ri1EN1IzN1dyblF3clU3ZE42YmNra1hhYVF5c1Azd2I0U3VoaFY0a1pDY1huU3NmUXhOQnAzeHVSY3BQTV9uV3hsckJxaUx1SHhPQ1VUU21kZWFVZGJVRGtzRQ?oc=5</t>
        </is>
      </c>
      <c r="W25" s="173">
        <f>IF($B25="",0,IF(AND(OR(OR(Dashboard!$B$5="All themes",Dashboard!$B$5=""),$C25=Dashboard!$B$5),OR(OR(Dashboard!$G$5="All uses",Dashboard!$G$5=""),$E25=Dashboard!$G$5),N($D25)&gt;=Lists!$H$2,OR(OR(Dashboard!$N$5="All windows",Dashboard!$N$5=""),$S25=Dashboard!$N$5)),1,0))</f>
        <v/>
      </c>
      <c r="X25" s="174">
        <f>IF($W25=1,N($D25)*1E14+MIN(MAX(N($U25),0),9999)*1E10+MIN(N($K25),99999)*1E5+99999-MIN(ROW(),99999),"")</f>
        <v/>
      </c>
    </row>
    <row r="26" ht="53" customHeight="1">
      <c r="A26" s="158" t="n">
        <v>23</v>
      </c>
      <c r="B26" s="159" t="inlineStr">
        <is>
          <t>Close-up of a 500-metre street in Lam Dong province, badly hit by subsidence and landslides</t>
        </is>
      </c>
      <c r="C26" s="178" t="inlineStr">
        <is>
          <t>Hazards &amp; Resilience</t>
        </is>
      </c>
      <c r="D26" s="161" t="n">
        <v>4</v>
      </c>
      <c r="E26" s="181" t="inlineStr">
        <is>
          <t>Regional insight</t>
        </is>
      </c>
      <c r="F26" s="163" t="inlineStr">
        <is>
          <t>To review</t>
        </is>
      </c>
      <c r="G26" s="164" t="n"/>
      <c r="H26" s="165" t="n"/>
      <c r="I26" s="166" t="inlineStr">
        <is>
          <t>What combination of subsidence and landslide processes damaged this 500 m road, and how should such ground be investigated and repaired?</t>
        </is>
      </c>
      <c r="J26" s="166" t="inlineStr">
        <is>
          <t>Vietnam.vn</t>
        </is>
      </c>
      <c r="K26" s="167" t="n">
        <v>46319</v>
      </c>
      <c r="L26" s="166" t="inlineStr">
        <is>
          <t>Gros plan sur 500 mètres de rue dans la province de Lam Dong, gravement touchée par des affaissements et des glissements de terrain.</t>
        </is>
      </c>
      <c r="M26" s="168" t="n"/>
      <c r="N26" s="169" t="n"/>
      <c r="O26" s="166" t="n"/>
      <c r="P26" s="166" t="n"/>
      <c r="Q26" s="170" t="inlineStr">
        <is>
          <t>Vietnam</t>
        </is>
      </c>
      <c r="R26" s="167" t="n">
        <v>46317</v>
      </c>
      <c r="S26" s="169" t="inlineStr">
        <is>
          <t>2026-Q4</t>
        </is>
      </c>
      <c r="T26" s="171" t="inlineStr">
        <is>
          <t>landslide, subsidence</t>
        </is>
      </c>
      <c r="U26" s="158" t="n">
        <v>7</v>
      </c>
      <c r="V26" s="172" t="inlineStr">
        <is>
          <t>https://news.google.com/rss/articles/CBMimwFBVV95cUxPMFBaWmJuQ3NGTklKMkNGckRqWFA0WW1sLXlvY1QxanR4YkN6YVVpejBld3ctZVREbkVPWnVab2FBOEZtTXoyeVRmTDE3TXF3ck5IRzNkNFJRZ0lmZmlqLTIwWGZhV0N0RFFiNGVPMnJBcHc4RXBBdjRqdmh5WnZSb1VkZ3B2Q3hva0JybF8tbVI0WjVQVFVsNHUxTQ?oc=5</t>
        </is>
      </c>
      <c r="W26" s="173">
        <f>IF($B26="",0,IF(AND(OR(OR(Dashboard!$B$5="All themes",Dashboard!$B$5=""),$C26=Dashboard!$B$5),OR(OR(Dashboard!$G$5="All uses",Dashboard!$G$5=""),$E26=Dashboard!$G$5),N($D26)&gt;=Lists!$H$2,OR(OR(Dashboard!$N$5="All windows",Dashboard!$N$5=""),$S26=Dashboard!$N$5)),1,0))</f>
        <v/>
      </c>
      <c r="X26" s="174">
        <f>IF($W26=1,N($D26)*1E14+MIN(MAX(N($U26),0),9999)*1E10+MIN(N($K26),99999)*1E5+99999-MIN(ROW(),99999),"")</f>
        <v/>
      </c>
    </row>
    <row r="27" ht="53" customHeight="1">
      <c r="A27" s="158" t="n">
        <v>24</v>
      </c>
      <c r="B27" s="159" t="inlineStr">
        <is>
          <t>Anti-landslide embankment threatens residential area</t>
        </is>
      </c>
      <c r="C27" s="178" t="inlineStr">
        <is>
          <t>Hazards &amp; Resilience</t>
        </is>
      </c>
      <c r="D27" s="161" t="n">
        <v>4</v>
      </c>
      <c r="E27" s="181" t="inlineStr">
        <is>
          <t>Regional insight</t>
        </is>
      </c>
      <c r="F27" s="163" t="inlineStr">
        <is>
          <t>To review</t>
        </is>
      </c>
      <c r="G27" s="164" t="n"/>
      <c r="H27" s="165" t="n"/>
      <c r="I27" s="166" t="inlineStr">
        <is>
          <t>Why does this anti-landslide embankment threaten housing, and what stability checks should apply to embankments near settlements?</t>
        </is>
      </c>
      <c r="J27" s="166" t="inlineStr">
        <is>
          <t>Vietnam.vn</t>
        </is>
      </c>
      <c r="K27" s="167" t="n">
        <v>46319</v>
      </c>
      <c r="L27" s="166" t="inlineStr">
        <is>
          <t>산사태 방지 제방이 주거 지역을 위협하고 있다.</t>
        </is>
      </c>
      <c r="M27" s="168" t="n"/>
      <c r="N27" s="169" t="n"/>
      <c r="O27" s="166" t="n"/>
      <c r="P27" s="166" t="n"/>
      <c r="Q27" s="170" t="inlineStr">
        <is>
          <t>South Korea</t>
        </is>
      </c>
      <c r="R27" s="167" t="n">
        <v>46319</v>
      </c>
      <c r="S27" s="169" t="inlineStr">
        <is>
          <t>2026-Q4</t>
        </is>
      </c>
      <c r="T27" s="171" t="inlineStr">
        <is>
          <t>landslide, embankment</t>
        </is>
      </c>
      <c r="U27" s="158" t="n">
        <v>7</v>
      </c>
      <c r="V27" s="172" t="inlineStr">
        <is>
          <t>https://news.google.com/rss/articles/CBMia0FVX3lxTE5yN3NxbVRJdUpIaWRZaHJQMGx1MktYUTdSRHlXd0xCR0tiSkhtNEotVmltaFRvVzFvY3Qxcm1JOFVCb1RBWXVtMTZRVWRtdC1DMERha1RoblFxTjhBT01GR1hWQ1JLTlRFMW1V?oc=5</t>
        </is>
      </c>
      <c r="W27" s="173">
        <f>IF($B27="",0,IF(AND(OR(OR(Dashboard!$B$5="All themes",Dashboard!$B$5=""),$C27=Dashboard!$B$5),OR(OR(Dashboard!$G$5="All uses",Dashboard!$G$5=""),$E27=Dashboard!$G$5),N($D27)&gt;=Lists!$H$2,OR(OR(Dashboard!$N$5="All windows",Dashboard!$N$5=""),$S27=Dashboard!$N$5)),1,0))</f>
        <v/>
      </c>
      <c r="X27" s="174">
        <f>IF($W27=1,N($D27)*1E14+MIN(MAX(N($U27),0),9999)*1E10+MIN(N($K27),99999)*1E5+99999-MIN(ROW(),99999),"")</f>
        <v/>
      </c>
    </row>
    <row r="28" ht="40.5" customHeight="1">
      <c r="A28" s="158" t="n">
        <v>25</v>
      </c>
      <c r="B28" s="159" t="inlineStr">
        <is>
          <t>Nghe An: early treatment needed for slope failure on coastal road cut</t>
        </is>
      </c>
      <c r="C28" s="175" t="inlineStr">
        <is>
          <t>Offshore, Coasts &amp; Water</t>
        </is>
      </c>
      <c r="D28" s="161" t="n">
        <v>4</v>
      </c>
      <c r="E28" s="181" t="inlineStr">
        <is>
          <t>Regional insight</t>
        </is>
      </c>
      <c r="F28" s="163" t="inlineStr">
        <is>
          <t>To review</t>
        </is>
      </c>
      <c r="G28" s="164" t="n"/>
      <c r="H28" s="165" t="n"/>
      <c r="I28" s="166" t="inlineStr">
        <is>
          <t>What causes slope failure in coastal road cuts, and which stabilisation methods are most suitable for weathered coastal soils?</t>
        </is>
      </c>
      <c r="J28" s="166" t="inlineStr">
        <is>
          <t>Vietnam.vn</t>
        </is>
      </c>
      <c r="K28" s="167" t="n">
        <v>46319</v>
      </c>
      <c r="L28" s="166" t="inlineStr">
        <is>
          <t>Nghệ An: Cần sớm xử lý sạt lở taluy dương trên tuyến đường ven biển</t>
        </is>
      </c>
      <c r="M28" s="168" t="n"/>
      <c r="N28" s="169" t="n"/>
      <c r="O28" s="166" t="n"/>
      <c r="P28" s="166" t="n"/>
      <c r="Q28" s="170" t="inlineStr">
        <is>
          <t>Vietnam</t>
        </is>
      </c>
      <c r="R28" s="167" t="n">
        <v>46318</v>
      </c>
      <c r="S28" s="169" t="inlineStr">
        <is>
          <t>2026-Q4</t>
        </is>
      </c>
      <c r="T28" s="171" t="inlineStr">
        <is>
          <t>landslide, slope</t>
        </is>
      </c>
      <c r="U28" s="158" t="n">
        <v>6</v>
      </c>
      <c r="V28" s="172" t="inlineStr">
        <is>
          <t>https://news.google.com/rss/articles/CBMikwFBVV95cUxOUmJPNnl3dVdQRml6UUt3S1Joa05VaE9sdjdhNWZZeVN6QUdqdnFIS2NiMWdGMl9KN093Wm1naTRFcDRoek1UTVQxNGJkZ2lkajUyVnhRRFF4ZTV1UlhsS3NodG80YlpGdlpuOHRaaGFnaXJ5cDN4eTd0VFZJdldPMlczVVZ1NmZZdExSemVKM3lXWUk?oc=5</t>
        </is>
      </c>
      <c r="W28" s="173">
        <f>IF($B28="",0,IF(AND(OR(OR(Dashboard!$B$5="All themes",Dashboard!$B$5=""),$C28=Dashboard!$B$5),OR(OR(Dashboard!$G$5="All uses",Dashboard!$G$5=""),$E28=Dashboard!$G$5),N($D28)&gt;=Lists!$H$2,OR(OR(Dashboard!$N$5="All windows",Dashboard!$N$5=""),$S28=Dashboard!$N$5)),1,0))</f>
        <v/>
      </c>
      <c r="X28" s="174">
        <f>IF($W28=1,N($D28)*1E14+MIN(MAX(N($U28),0),9999)*1E10+MIN(N($K28),99999)*1E5+99999-MIN(ROW(),99999),"")</f>
        <v/>
      </c>
    </row>
    <row r="29" ht="40.5" customHeight="1">
      <c r="A29" s="158" t="n">
        <v>26</v>
      </c>
      <c r="B29" s="159" t="inlineStr">
        <is>
          <t>Osan: Jo Yong-ho's restoration of Seobu-ro retaining wall after road collapse, aiming to restore public trust</t>
        </is>
      </c>
      <c r="C29" s="177" t="inlineStr">
        <is>
          <t>Infrastructure &amp; the Underground City</t>
        </is>
      </c>
      <c r="D29" s="161" t="n">
        <v>4</v>
      </c>
      <c r="E29" s="176" t="inlineStr">
        <is>
          <t>Feature lead</t>
        </is>
      </c>
      <c r="F29" s="163" t="inlineStr">
        <is>
          <t>To review</t>
        </is>
      </c>
      <c r="G29" s="164" t="n"/>
      <c r="H29" s="165" t="n"/>
      <c r="I29" s="166" t="inlineStr">
        <is>
          <t>What caused the road collapse behind this retaining wall, and how should wall reconstruction address backfill and drainage?</t>
        </is>
      </c>
      <c r="J29" s="166" t="inlineStr">
        <is>
          <t>아주경제</t>
        </is>
      </c>
      <c r="K29" s="167" t="n">
        <v>46319</v>
      </c>
      <c r="L29" s="166" t="inlineStr">
        <is>
          <t>[강대웅의 정문일침(頂門一鍼)] 조용호 시장의 오산시 서부로 옹벽 복구...무너진 도로 넘어 시민 신뢰 회복</t>
        </is>
      </c>
      <c r="M29" s="168" t="n"/>
      <c r="N29" s="169" t="n"/>
      <c r="O29" s="166" t="n"/>
      <c r="P29" s="166" t="n"/>
      <c r="Q29" s="170" t="inlineStr">
        <is>
          <t>South Korea</t>
        </is>
      </c>
      <c r="R29" s="167" t="n">
        <v>46319</v>
      </c>
      <c r="S29" s="169" t="inlineStr">
        <is>
          <t>2026-Q4</t>
        </is>
      </c>
      <c r="T29" s="171" t="inlineStr">
        <is>
          <t>retaining wall, collapse</t>
        </is>
      </c>
      <c r="U29" s="158" t="n">
        <v>5</v>
      </c>
      <c r="V29" s="172" t="inlineStr">
        <is>
          <t>https://news.google.com/rss/articles/CBMiWEFVX3lxTE1USkR5eG9yOEoxdF9oR1JuMU4tOUdCNkREX0dNUFFvWWd5UXZaT0ZkQk54eUhVbFg4QlI5SF8yTHlGZFZldTBsdnpFRDY5X290bkt0YzBXOTbSAVhBVV95cUxNVEpEeXhvcjhKMXRfaEdSbjFOLTlHQjZERF9HTVBRb1lneVF2Wk9GZEJOeHlIVWxYOEJSOUhfMkx5RmRWZXUwbHZ6RUQ2OV9vdG5LdGMwVzk2?oc=5</t>
        </is>
      </c>
      <c r="W29" s="173">
        <f>IF($B29="",0,IF(AND(OR(OR(Dashboard!$B$5="All themes",Dashboard!$B$5=""),$C29=Dashboard!$B$5),OR(OR(Dashboard!$G$5="All uses",Dashboard!$G$5=""),$E29=Dashboard!$G$5),N($D29)&gt;=Lists!$H$2,OR(OR(Dashboard!$N$5="All windows",Dashboard!$N$5=""),$S29=Dashboard!$N$5)),1,0))</f>
        <v/>
      </c>
      <c r="X29" s="174">
        <f>IF($W29=1,N($D29)*1E14+MIN(MAX(N($U29),0),9999)*1E10+MIN(N($K29),99999)*1E5+99999-MIN(ROW(),99999),"")</f>
        <v/>
      </c>
    </row>
    <row r="30" ht="53" customHeight="1">
      <c r="A30" s="158" t="n">
        <v>27</v>
      </c>
      <c r="B30" s="159" t="inlineStr">
        <is>
          <t>Lawmakers warn of major accidents as retaining wall near apartments repeatedly collapses; drainage and private land issues</t>
        </is>
      </c>
      <c r="C30" s="177" t="inlineStr">
        <is>
          <t>Infrastructure &amp; the Underground City</t>
        </is>
      </c>
      <c r="D30" s="161" t="n">
        <v>4</v>
      </c>
      <c r="E30" s="181" t="inlineStr">
        <is>
          <t>Regional insight</t>
        </is>
      </c>
      <c r="F30" s="163" t="inlineStr">
        <is>
          <t>To review</t>
        </is>
      </c>
      <c r="G30" s="164" t="n"/>
      <c r="H30" s="165" t="n"/>
      <c r="I30" s="166" t="inlineStr">
        <is>
          <t>Why do retaining walls beside apartments collapse repeatedly, and how do drainage and private land ownership complicate remediation?</t>
        </is>
      </c>
      <c r="J30" s="166" t="inlineStr">
        <is>
          <t>Naver Blog</t>
        </is>
      </c>
      <c r="K30" s="167" t="n">
        <v>46319</v>
      </c>
      <c r="L30" s="166" t="inlineStr">
        <is>
          <t>반주영 의원 “인명피해로 이어지면 큰 사고”…황성석 의원도 고촌 옹벽 안전대책 촉구 | 아파트 인접 옹벽 반복 붕괴 우려…상부 배수로·사유지 문제에 시의 적극적인 협의 주문</t>
        </is>
      </c>
      <c r="M30" s="168" t="n"/>
      <c r="N30" s="169" t="n"/>
      <c r="O30" s="166" t="n"/>
      <c r="P30" s="166" t="n"/>
      <c r="Q30" s="170" t="inlineStr">
        <is>
          <t>South Korea</t>
        </is>
      </c>
      <c r="R30" s="167" t="n">
        <v>46318</v>
      </c>
      <c r="S30" s="169" t="inlineStr">
        <is>
          <t>2026-Q4</t>
        </is>
      </c>
      <c r="T30" s="171" t="inlineStr">
        <is>
          <t>retaining wall, collapse</t>
        </is>
      </c>
      <c r="U30" s="158" t="n">
        <v>5</v>
      </c>
      <c r="V30" s="172" t="inlineStr">
        <is>
          <t>https://news.google.com/rss/articles/CBMikgFBVV95cUxPcTFMNDFOcFc5MjJHLWgxTldJbW9TT3doRG10TDRuSzlYNGNSSU5DOU1Razc0dkRYY0IyeVN1OHoyT3U2WG9wNUh5VW81UEd6anIwMDF1Ym1yQ3VlVk4wZ05saEh2VFFBMnZqOV9nbkFud0NMbWZ6NW9UU0pha0E3enQxdHQtU3JaNktBMlNxWTg2Zw?oc=5</t>
        </is>
      </c>
      <c r="W30" s="173">
        <f>IF($B30="",0,IF(AND(OR(OR(Dashboard!$B$5="All themes",Dashboard!$B$5=""),$C30=Dashboard!$B$5),OR(OR(Dashboard!$G$5="All uses",Dashboard!$G$5=""),$E30=Dashboard!$G$5),N($D30)&gt;=Lists!$H$2,OR(OR(Dashboard!$N$5="All windows",Dashboard!$N$5=""),$S30=Dashboard!$N$5)),1,0))</f>
        <v/>
      </c>
      <c r="X30" s="174">
        <f>IF($W30=1,N($D30)*1E14+MIN(MAX(N($U30),0),9999)*1E10+MIN(N($K30),99999)*1E5+99999-MIN(ROW(),99999),"")</f>
        <v/>
      </c>
    </row>
    <row r="31" ht="40.5" customHeight="1">
      <c r="A31" s="158" t="n">
        <v>28</v>
      </c>
      <c r="B31" s="159" t="inlineStr">
        <is>
          <t>Part of a retaining wall collapsed near Pioneer Park in Yalta after rains</t>
        </is>
      </c>
      <c r="C31" s="177" t="inlineStr">
        <is>
          <t>Infrastructure &amp; the Underground City</t>
        </is>
      </c>
      <c r="D31" s="161" t="n">
        <v>4</v>
      </c>
      <c r="E31" s="181" t="inlineStr">
        <is>
          <t>Regional insight</t>
        </is>
      </c>
      <c r="F31" s="163" t="inlineStr">
        <is>
          <t>To review</t>
        </is>
      </c>
      <c r="G31" s="164" t="n"/>
      <c r="H31" s="165" t="n"/>
      <c r="I31" s="166" t="inlineStr">
        <is>
          <t>Why did this retaining wall fail after heavy rain, and what drainage and wall design checks should coastal slopes receive?</t>
        </is>
      </c>
      <c r="J31" s="166" t="inlineStr">
        <is>
          <t>Крыминформ</t>
        </is>
      </c>
      <c r="K31" s="167" t="n">
        <v>46319</v>
      </c>
      <c r="L31" s="166" t="inlineStr">
        <is>
          <t>После ливней у Пионерского парка в Ялте обрушилась часть подпорной стены</t>
        </is>
      </c>
      <c r="M31" s="168" t="n"/>
      <c r="N31" s="169" t="n"/>
      <c r="O31" s="166" t="n"/>
      <c r="P31" s="166" t="n"/>
      <c r="Q31" s="170" t="inlineStr">
        <is>
          <t>Russia</t>
        </is>
      </c>
      <c r="R31" s="167" t="n">
        <v>46317</v>
      </c>
      <c r="S31" s="169" t="inlineStr">
        <is>
          <t>2026-Q4</t>
        </is>
      </c>
      <c r="T31" s="171" t="inlineStr">
        <is>
          <t>retaining wall, collapse</t>
        </is>
      </c>
      <c r="U31" s="158" t="n">
        <v>5</v>
      </c>
      <c r="V31" s="172" t="inlineStr">
        <is>
          <t>https://news.google.com/rss/articles/CBMiUkFVX3lxTFBBaDhzbmpCUVV6Y1lGN3hyYllJRGRHNkUta1M3SVpkamJ5MGktVWZHdDJqLWloWW40SmVzTldUSWc0UXliVXJOVWR2VmJoWUtGc0E?oc=5</t>
        </is>
      </c>
      <c r="W31" s="173">
        <f>IF($B31="",0,IF(AND(OR(OR(Dashboard!$B$5="All themes",Dashboard!$B$5=""),$C31=Dashboard!$B$5),OR(OR(Dashboard!$G$5="All uses",Dashboard!$G$5=""),$E31=Dashboard!$G$5),N($D31)&gt;=Lists!$H$2,OR(OR(Dashboard!$N$5="All windows",Dashboard!$N$5=""),$S31=Dashboard!$N$5)),1,0))</f>
        <v/>
      </c>
      <c r="X31" s="174">
        <f>IF($W31=1,N($D31)*1E14+MIN(MAX(N($U31),0),9999)*1E10+MIN(N($K31),99999)*1E5+99999-MIN(ROW(),99999),"")</f>
        <v/>
      </c>
    </row>
    <row r="32" ht="40.5" customHeight="1">
      <c r="A32" s="158" t="n">
        <v>29</v>
      </c>
      <c r="B32" s="159" t="inlineStr">
        <is>
          <t>Two houses collapse due to Tien River bank erosion</t>
        </is>
      </c>
      <c r="C32" s="175" t="inlineStr">
        <is>
          <t>Offshore, Coasts &amp; Water</t>
        </is>
      </c>
      <c r="D32" s="161" t="n">
        <v>4</v>
      </c>
      <c r="E32" s="180" t="inlineStr">
        <is>
          <t>News brief</t>
        </is>
      </c>
      <c r="F32" s="163" t="inlineStr">
        <is>
          <t>To review</t>
        </is>
      </c>
      <c r="G32" s="164" t="n"/>
      <c r="H32" s="165" t="n"/>
      <c r="I32" s="166" t="inlineStr">
        <is>
          <t>What riverbank erosion processes undermined these houses, and how can bank stability be assessed near settlements?</t>
        </is>
      </c>
      <c r="J32" s="166" t="inlineStr">
        <is>
          <t>VTV.vn</t>
        </is>
      </c>
      <c r="K32" s="167" t="n">
        <v>46319</v>
      </c>
      <c r="L32" s="166" t="inlineStr">
        <is>
          <t>Hai căn nhà đổ sập do sạt lở bờ sông Tiền</t>
        </is>
      </c>
      <c r="M32" s="168" t="n"/>
      <c r="N32" s="169" t="n"/>
      <c r="O32" s="166" t="n"/>
      <c r="P32" s="166" t="n"/>
      <c r="Q32" s="170" t="inlineStr">
        <is>
          <t>Vietnam</t>
        </is>
      </c>
      <c r="R32" s="167" t="n">
        <v>46318</v>
      </c>
      <c r="S32" s="169" t="inlineStr">
        <is>
          <t>2026-Q4</t>
        </is>
      </c>
      <c r="T32" s="171" t="inlineStr">
        <is>
          <t>landslide, collapse</t>
        </is>
      </c>
      <c r="U32" s="158" t="n">
        <v>5</v>
      </c>
      <c r="V32" s="172" t="inlineStr">
        <is>
          <t>https://news.google.com/rss/articles/CBMihgFBVV95cUxNZlBjUzdTUHFfNm9fQnZtclVPRG1ZdWtERFVpMHRYYzRrTGV1alZYeU4yR240ZnM4bFZEMkhFMEtJbk1fakR3dzgyRm12YkZZdkpnTjE4UGNBR2otMlpsbkVpdDdGbXBPbUdYaU5ldjBqUnA1c1hwcFF4Yjl3NXVFcHRacHlTZw?oc=5</t>
        </is>
      </c>
      <c r="W32" s="173">
        <f>IF($B32="",0,IF(AND(OR(OR(Dashboard!$B$5="All themes",Dashboard!$B$5=""),$C32=Dashboard!$B$5),OR(OR(Dashboard!$G$5="All uses",Dashboard!$G$5=""),$E32=Dashboard!$G$5),N($D32)&gt;=Lists!$H$2,OR(OR(Dashboard!$N$5="All windows",Dashboard!$N$5=""),$S32=Dashboard!$N$5)),1,0))</f>
        <v/>
      </c>
      <c r="X32" s="174">
        <f>IF($W32=1,N($D32)*1E14+MIN(MAX(N($U32),0),9999)*1E10+MIN(N($K32),99999)*1E5+99999-MIN(ROW(),99999),"")</f>
        <v/>
      </c>
    </row>
    <row r="33" ht="53" customHeight="1">
      <c r="A33" s="158" t="n">
        <v>30</v>
      </c>
      <c r="B33" s="159" t="inlineStr">
        <is>
          <t>Gochang-Buan Noeuldaegyo Enters Geotechnical Survey Phase; Construction Targeted for January 2028</t>
        </is>
      </c>
      <c r="C33" s="177" t="inlineStr">
        <is>
          <t>Infrastructure &amp; the Underground City</t>
        </is>
      </c>
      <c r="D33" s="161" t="n">
        <v>4</v>
      </c>
      <c r="E33" s="180" t="inlineStr">
        <is>
          <t>News brief</t>
        </is>
      </c>
      <c r="F33" s="163" t="inlineStr">
        <is>
          <t>To review</t>
        </is>
      </c>
      <c r="G33" s="164" t="n"/>
      <c r="H33" s="165" t="n"/>
      <c r="I33" s="166" t="inlineStr">
        <is>
          <t>What ground conditions will the geotechnical survey reveal for this Korean nuclear-related or major construction project, and how will they shape the 2028 schedule?</t>
        </is>
      </c>
      <c r="J33" s="166" t="inlineStr">
        <is>
          <t>아시아경제</t>
        </is>
      </c>
      <c r="K33" s="167" t="n">
        <v>46319</v>
      </c>
      <c r="L33" s="166" t="n"/>
      <c r="M33" s="168" t="n"/>
      <c r="N33" s="169" t="n"/>
      <c r="O33" s="166" t="n"/>
      <c r="P33" s="166" t="n"/>
      <c r="Q33" s="170" t="inlineStr">
        <is>
          <t>United Kingdom</t>
        </is>
      </c>
      <c r="R33" s="167" t="n">
        <v>46317</v>
      </c>
      <c r="S33" s="169" t="inlineStr">
        <is>
          <t>2026-Q4</t>
        </is>
      </c>
      <c r="T33" s="171" t="inlineStr">
        <is>
          <t>geotechnical</t>
        </is>
      </c>
      <c r="U33" s="158" t="n">
        <v>5</v>
      </c>
      <c r="V33" s="172" t="inlineStr">
        <is>
          <t>https://news.google.com/rss/articles/CBMibEFVX3lxTE9qd0p2T2p3a1lzbEg5TnFXNDZ2VXRhLWIzbGk1U0pnQlFCUk1RU2tqdFFXeEt4RkM3bThuVUUyelBfNHJMdlFmMThyZG9UakhLLTFqTGJBTDBKVmN1bXlqQmYyX1U3eHIyWTNfTw?oc=5</t>
        </is>
      </c>
      <c r="W33" s="173">
        <f>IF($B33="",0,IF(AND(OR(OR(Dashboard!$B$5="All themes",Dashboard!$B$5=""),$C33=Dashboard!$B$5),OR(OR(Dashboard!$G$5="All uses",Dashboard!$G$5=""),$E33=Dashboard!$G$5),N($D33)&gt;=Lists!$H$2,OR(OR(Dashboard!$N$5="All windows",Dashboard!$N$5=""),$S33=Dashboard!$N$5)),1,0))</f>
        <v/>
      </c>
      <c r="X33" s="174">
        <f>IF($W33=1,N($D33)*1E14+MIN(MAX(N($U33),0),9999)*1E10+MIN(N($K33),99999)*1E5+99999-MIN(ROW(),99999),"")</f>
        <v/>
      </c>
    </row>
    <row r="34" ht="53" customHeight="1">
      <c r="A34" s="158" t="n">
        <v>31</v>
      </c>
      <c r="B34" s="159" t="inlineStr">
        <is>
          <t>Se ha descubierto un socavón del tamaño de casi tres campos de fútbol en Phong Nha Ke Bang.</t>
        </is>
      </c>
      <c r="C34" s="182" t="inlineStr">
        <is>
          <t>Characterisation &amp; Modelling</t>
        </is>
      </c>
      <c r="D34" s="161" t="n">
        <v>4</v>
      </c>
      <c r="E34" s="176" t="inlineStr">
        <is>
          <t>Feature lead</t>
        </is>
      </c>
      <c r="F34" s="163" t="inlineStr">
        <is>
          <t>To review</t>
        </is>
      </c>
      <c r="G34" s="164" t="n"/>
      <c r="H34" s="165" t="n"/>
      <c r="I34" s="166" t="inlineStr">
        <is>
          <t>How do karst dissolution and roof collapse produce giant dolines like the one in Phong Nha Ke Bang, and how can such cavities be characterised?</t>
        </is>
      </c>
      <c r="J34" s="166" t="inlineStr">
        <is>
          <t>Vietnam.vn</t>
        </is>
      </c>
      <c r="K34" s="167" t="n">
        <v>46319</v>
      </c>
      <c r="L34" s="166" t="n"/>
      <c r="M34" s="168" t="n"/>
      <c r="N34" s="169" t="n"/>
      <c r="O34" s="166" t="n"/>
      <c r="P34" s="166" t="n"/>
      <c r="Q34" s="170" t="inlineStr">
        <is>
          <t>Colombia</t>
        </is>
      </c>
      <c r="R34" s="167" t="n">
        <v>46318</v>
      </c>
      <c r="S34" s="169" t="inlineStr">
        <is>
          <t>2026-Q4</t>
        </is>
      </c>
      <c r="T34" s="171" t="inlineStr">
        <is>
          <t>sinkhole</t>
        </is>
      </c>
      <c r="U34" s="158" t="n">
        <v>4</v>
      </c>
      <c r="V34" s="172" t="inlineStr">
        <is>
          <t>https://news.google.com/rss/articles/CBMilgFBVV95cUxPaWJCQW9La1Z3UklqdWVaNWVLV3l0TFplUEg0R3h5ZzBSNlJtZnpNb2FONml5V3FqbnJGTnZvQ2JZSllHZGRoX3NWR0l6Q0oyWE02RXlncnRfREVCa0xBRnVMTDNhcWRxLURrVTNJUEl5UkdlU0RtdU9UcUpVdVFzblQ0UmdOVlR0YTBfTVpDbjZud2p5d1E?oc=5</t>
        </is>
      </c>
      <c r="W34" s="173">
        <f>IF($B34="",0,IF(AND(OR(OR(Dashboard!$B$5="All themes",Dashboard!$B$5=""),$C34=Dashboard!$B$5),OR(OR(Dashboard!$G$5="All uses",Dashboard!$G$5=""),$E34=Dashboard!$G$5),N($D34)&gt;=Lists!$H$2,OR(OR(Dashboard!$N$5="All windows",Dashboard!$N$5=""),$S34=Dashboard!$N$5)),1,0))</f>
        <v/>
      </c>
      <c r="X34" s="174">
        <f>IF($W34=1,N($D34)*1E14+MIN(MAX(N($U34),0),9999)*1E10+MIN(N($K34),99999)*1E5+99999-MIN(ROW(),99999),"")</f>
        <v/>
      </c>
    </row>
    <row r="35" ht="53" customHeight="1">
      <c r="A35" s="158" t="n">
        <v>32</v>
      </c>
      <c r="B35" s="159" t="inlineStr">
        <is>
          <t>CEDH finds negligence by Guasave municipality in death of teacher who fell into sinkhole</t>
        </is>
      </c>
      <c r="C35" s="183" t="inlineStr">
        <is>
          <t>Geotechnics &amp; Society</t>
        </is>
      </c>
      <c r="D35" s="161" t="n">
        <v>4</v>
      </c>
      <c r="E35" s="176" t="inlineStr">
        <is>
          <t>Feature lead</t>
        </is>
      </c>
      <c r="F35" s="163" t="inlineStr">
        <is>
          <t>To review</t>
        </is>
      </c>
      <c r="G35" s="164" t="n"/>
      <c r="H35" s="165" t="n"/>
      <c r="I35" s="166" t="inlineStr">
        <is>
          <t>What duty of care should municipalities meet in managing known ground-collapse hazards in urban areas, as the Guasave case suggests?</t>
        </is>
      </c>
      <c r="J35" s="166" t="inlineStr">
        <is>
          <t>www.noroeste.com.mx</t>
        </is>
      </c>
      <c r="K35" s="167" t="n">
        <v>46319</v>
      </c>
      <c r="L35" s="166" t="inlineStr">
        <is>
          <t>CEDH acredita negligencia del Ayuntamiento de Guasave por muerte de profesor que cayó en socavón</t>
        </is>
      </c>
      <c r="M35" s="168" t="n"/>
      <c r="N35" s="169" t="n"/>
      <c r="O35" s="166" t="n"/>
      <c r="P35" s="166" t="n"/>
      <c r="Q35" s="170" t="inlineStr">
        <is>
          <t>Colombia</t>
        </is>
      </c>
      <c r="R35" s="167" t="n">
        <v>46317</v>
      </c>
      <c r="S35" s="169" t="inlineStr">
        <is>
          <t>2026-Q4</t>
        </is>
      </c>
      <c r="T35" s="171" t="inlineStr">
        <is>
          <t>sinkhole</t>
        </is>
      </c>
      <c r="U35" s="158" t="n">
        <v>4</v>
      </c>
      <c r="V35" s="172" t="inlineStr">
        <is>
          <t>https://news.google.com/rss/articles/CBMi4gFBVV95cUxObEFsSlpBN09veGl1WXBBcWNHZFplTFFzQlIzSVZJUFVYdGdwcV9OZVY5TTBSM2JZbTdOd2liZFJyX3lscDU5VU1iVmZwaVU0bnZTSnk3ektFWm9QNEF4Y2ZMRldYdWVabGdKaW5yc21qQWxGNWcxOVZFNkRCLS14ZHpLc29Mel9vZENjazdLRWdMRm5uUEhob0pUS09pSVJEWXNjSlV4SE9ESFZyUVdEaENkUFpRTkt2SUZWb1FDRXAyMEd2LVhHTXhiODEwa3dwV1BvVXpQc2E3aUJXc1ZtQ3d30gHiAUFVX3lxTE5sQWxKWkE3T294aXVZcEFxY0dkWmVMUXNCUjNJVklQVVh0Z3BxX05lVjlNMFIzYlltN053aWJkUnJfeWxwNTlVTWJWZnBpVTRudlNKeTd6S0Vab1A0QXhjZkxGV1h1ZVpsZ0ppbnJzbWpBbEY1ZzE5VkU2REItLXhkektzb0x6X29kQ2NrN0tFZ0xGbm5QSGhvSlRLT2lJUkRZc2NKVXhIT0RIVnJRV0RoQ2RQWlFOS3ZJRlZvUUNFcDIwR3YtWEdNeGI4MTBrd3BXUG9VelBzYTdpQldzVm1Dd3c?oc=5</t>
        </is>
      </c>
      <c r="W35" s="173">
        <f>IF($B35="",0,IF(AND(OR(OR(Dashboard!$B$5="All themes",Dashboard!$B$5=""),$C35=Dashboard!$B$5),OR(OR(Dashboard!$G$5="All uses",Dashboard!$G$5=""),$E35=Dashboard!$G$5),N($D35)&gt;=Lists!$H$2,OR(OR(Dashboard!$N$5="All windows",Dashboard!$N$5=""),$S35=Dashboard!$N$5)),1,0))</f>
        <v/>
      </c>
      <c r="X35" s="174">
        <f>IF($W35=1,N($D35)*1E14+MIN(MAX(N($U35),0),9999)*1E10+MIN(N($K35),99999)*1E5+99999-MIN(ROW(),99999),"")</f>
        <v/>
      </c>
    </row>
    <row r="36" ht="53" customHeight="1">
      <c r="A36" s="158" t="n">
        <v>33</v>
      </c>
      <c r="B36" s="159" t="inlineStr">
        <is>
          <t>Vista de cerca del gigantesco socavón de 120 metros de profundidad descubierto recientemente en Vietnam.</t>
        </is>
      </c>
      <c r="C36" s="182" t="inlineStr">
        <is>
          <t>Characterisation &amp; Modelling</t>
        </is>
      </c>
      <c r="D36" s="161" t="n">
        <v>4</v>
      </c>
      <c r="E36" s="176" t="inlineStr">
        <is>
          <t>Feature lead</t>
        </is>
      </c>
      <c r="F36" s="163" t="inlineStr">
        <is>
          <t>To review</t>
        </is>
      </c>
      <c r="G36" s="164" t="n"/>
      <c r="H36" s="165" t="n"/>
      <c r="I36" s="166" t="inlineStr">
        <is>
          <t>Which geomorphological and hydrogeological processes produced a 120 m deep collapse, and how can the stability of its steep walls be assessed?</t>
        </is>
      </c>
      <c r="J36" s="166" t="inlineStr">
        <is>
          <t>Vietnam.vn</t>
        </is>
      </c>
      <c r="K36" s="167" t="n">
        <v>46319</v>
      </c>
      <c r="L36" s="166" t="n"/>
      <c r="M36" s="168" t="n"/>
      <c r="N36" s="169" t="n"/>
      <c r="O36" s="166" t="n"/>
      <c r="P36" s="166" t="n"/>
      <c r="Q36" s="170" t="inlineStr">
        <is>
          <t>Colombia</t>
        </is>
      </c>
      <c r="R36" s="167" t="n">
        <v>46318</v>
      </c>
      <c r="S36" s="169" t="inlineStr">
        <is>
          <t>2026-Q4</t>
        </is>
      </c>
      <c r="T36" s="171" t="inlineStr">
        <is>
          <t>sinkhole</t>
        </is>
      </c>
      <c r="U36" s="158" t="n">
        <v>4</v>
      </c>
      <c r="V36" s="172" t="inlineStr">
        <is>
          <t>https://news.google.com/rss/articles/CBMijgFBVV95cUxORHhvYWNuVVRGRXIybWtsektBWDRYYkhhLWlYd2FwS0pBV2wzWklDdzN3UGxXLWZpa1ZLT0lWM0RZa1RXY0ZDRS1HYUdDV1RJU2dWWFpWalZ3cEhkaGJsYjk2WUZrWXQ3M2hXTWFVSGxSYjFhUzBOVlNnSUYxdVhtMGNBellTcmV4Q295SDJ3?oc=5</t>
        </is>
      </c>
      <c r="W36" s="173">
        <f>IF($B36="",0,IF(AND(OR(OR(Dashboard!$B$5="All themes",Dashboard!$B$5=""),$C36=Dashboard!$B$5),OR(OR(Dashboard!$G$5="All uses",Dashboard!$G$5=""),$E36=Dashboard!$G$5),N($D36)&gt;=Lists!$H$2,OR(OR(Dashboard!$N$5="All windows",Dashboard!$N$5=""),$S36=Dashboard!$N$5)),1,0))</f>
        <v/>
      </c>
      <c r="X36" s="174">
        <f>IF($W36=1,N($D36)*1E14+MIN(MAX(N($U36),0),9999)*1E10+MIN(N($K36),99999)*1E5+99999-MIN(ROW(),99999),"")</f>
        <v/>
      </c>
    </row>
    <row r="37" ht="53" customHeight="1">
      <c r="A37" s="158" t="n">
        <v>34</v>
      </c>
      <c r="B37" s="159" t="inlineStr">
        <is>
          <t>Primeval forest grows at bottom of 120-meter-deep sinkhole in central Vietnam</t>
        </is>
      </c>
      <c r="C37" s="182" t="inlineStr">
        <is>
          <t>Characterisation &amp; Modelling</t>
        </is>
      </c>
      <c r="D37" s="161" t="n">
        <v>4</v>
      </c>
      <c r="E37" s="176" t="inlineStr">
        <is>
          <t>Feature lead</t>
        </is>
      </c>
      <c r="F37" s="163" t="inlineStr">
        <is>
          <t>To review</t>
        </is>
      </c>
      <c r="G37" s="164" t="n"/>
      <c r="H37" s="165" t="n"/>
      <c r="I37" s="166" t="inlineStr">
        <is>
          <t>How do karst collapse sinkholes form in limestone terrain, and what do such deep features reveal about cave ground stability and hazard mapping?</t>
        </is>
      </c>
      <c r="J37" s="166" t="inlineStr">
        <is>
          <t>VnExpress International</t>
        </is>
      </c>
      <c r="K37" s="167" t="n">
        <v>46319</v>
      </c>
      <c r="L37" s="166" t="n"/>
      <c r="M37" s="168" t="n"/>
      <c r="N37" s="169" t="n"/>
      <c r="O37" s="166" t="n"/>
      <c r="P37" s="166" t="n"/>
      <c r="Q37" s="170" t="inlineStr">
        <is>
          <t>United Kingdom</t>
        </is>
      </c>
      <c r="R37" s="167" t="n">
        <v>46319</v>
      </c>
      <c r="S37" s="169" t="inlineStr">
        <is>
          <t>2026-Q4</t>
        </is>
      </c>
      <c r="T37" s="171" t="inlineStr">
        <is>
          <t>sinkhole</t>
        </is>
      </c>
      <c r="U37" s="158" t="n">
        <v>4</v>
      </c>
      <c r="V37" s="172" t="inlineStr">
        <is>
          <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t>
        </is>
      </c>
      <c r="W37" s="173">
        <f>IF($B37="",0,IF(AND(OR(OR(Dashboard!$B$5="All themes",Dashboard!$B$5=""),$C37=Dashboard!$B$5),OR(OR(Dashboard!$G$5="All uses",Dashboard!$G$5=""),$E37=Dashboard!$G$5),N($D37)&gt;=Lists!$H$2,OR(OR(Dashboard!$N$5="All windows",Dashboard!$N$5=""),$S37=Dashboard!$N$5)),1,0))</f>
        <v/>
      </c>
      <c r="X37" s="174">
        <f>IF($W37=1,N($D37)*1E14+MIN(MAX(N($U37),0),9999)*1E10+MIN(N($K37),99999)*1E5+99999-MIN(ROW(),99999),"")</f>
        <v/>
      </c>
    </row>
    <row r="38" ht="53" customHeight="1">
      <c r="A38" s="158" t="n">
        <v>35</v>
      </c>
      <c r="B38" s="159" t="inlineStr">
        <is>
          <t>Mystery in El Bosque: sinkhole appears amid rain and swallows a car</t>
        </is>
      </c>
      <c r="C38" s="177" t="inlineStr">
        <is>
          <t>Infrastructure &amp; the Underground City</t>
        </is>
      </c>
      <c r="D38" s="161" t="n">
        <v>4</v>
      </c>
      <c r="E38" s="180" t="inlineStr">
        <is>
          <t>News brief</t>
        </is>
      </c>
      <c r="F38" s="163" t="inlineStr">
        <is>
          <t>To review</t>
        </is>
      </c>
      <c r="G38" s="164" t="n"/>
      <c r="H38" s="165" t="n"/>
      <c r="I38" s="166" t="inlineStr">
        <is>
          <t>How do rainfall, leaking pipes and soil erosion combine to create sudden road sinkholes that swallow vehicles, as in El Bosque?</t>
        </is>
      </c>
      <c r="J38" s="166" t="inlineStr">
        <is>
          <t>BioBioChile</t>
        </is>
      </c>
      <c r="K38" s="167" t="n">
        <v>46319</v>
      </c>
      <c r="L38" s="166" t="inlineStr">
        <is>
          <t>Misterio en El Bosque: socavón aparece en medio de la lluvia y se traga un auto</t>
        </is>
      </c>
      <c r="M38" s="168" t="n"/>
      <c r="N38" s="169" t="n"/>
      <c r="O38" s="166" t="n"/>
      <c r="P38" s="166" t="n"/>
      <c r="Q38" s="170" t="inlineStr">
        <is>
          <t>Colombia</t>
        </is>
      </c>
      <c r="R38" s="167" t="n">
        <v>46317</v>
      </c>
      <c r="S38" s="169" t="inlineStr">
        <is>
          <t>2026-Q4</t>
        </is>
      </c>
      <c r="T38" s="171" t="inlineStr">
        <is>
          <t>sinkhole</t>
        </is>
      </c>
      <c r="U38" s="158" t="n">
        <v>4</v>
      </c>
      <c r="V38" s="172" t="inlineStr">
        <is>
          <t>https://news.google.com/rss/articles/CBMi8wFBVV95cUxNNlBCakVVSHBHTXI5UXNfdFF4SmtBTHZaWWhZaF9TYklINTZFZVpuNHlSbE5HNHBIUmJyd1BQSlJtamZ1ZGxBU1lxVmVib2RHRVFPRmszbmFtWVNxenlGeVk2TGRpaXJRNUdPbklLUXRCY1E1ZGhhQVB2Q0pHSU9VMTZJMkVfRnh2ZHJ3V3JJTmtqUDhUX1lMMk1GX3IxVGRDY0VNbHpmY0pWcmJVN1p6eWFzLWQ5ZmdoOEZrRXBNRHNaRDFlYkpXdDZORU5iek80RHBwUzdBb1A3OF9DTExya013WnpwYTRuWjJLeFhXc3ZCUlk?oc=5</t>
        </is>
      </c>
      <c r="W38" s="173">
        <f>IF($B38="",0,IF(AND(OR(OR(Dashboard!$B$5="All themes",Dashboard!$B$5=""),$C38=Dashboard!$B$5),OR(OR(Dashboard!$G$5="All uses",Dashboard!$G$5=""),$E38=Dashboard!$G$5),N($D38)&gt;=Lists!$H$2,OR(OR(Dashboard!$N$5="All windows",Dashboard!$N$5=""),$S38=Dashboard!$N$5)),1,0))</f>
        <v/>
      </c>
      <c r="X38" s="174">
        <f>IF($W38=1,N($D38)*1E14+MIN(MAX(N($U38),0),9999)*1E10+MIN(N($K38),99999)*1E5+99999-MIN(ROW(),99999),"")</f>
        <v/>
      </c>
    </row>
    <row r="39" ht="53" customHeight="1">
      <c r="A39" s="158" t="n">
        <v>36</v>
      </c>
      <c r="B39" s="159" t="inlineStr">
        <is>
          <t>More than 300 neighbourhoods at risk from rain; Eloy Alfaro sinkhole casts doubt on Quito's underground infrastructure</t>
        </is>
      </c>
      <c r="C39" s="177" t="inlineStr">
        <is>
          <t>Infrastructure &amp; the Underground City</t>
        </is>
      </c>
      <c r="D39" s="161" t="n">
        <v>4</v>
      </c>
      <c r="E39" s="176" t="inlineStr">
        <is>
          <t>Feature lead</t>
        </is>
      </c>
      <c r="F39" s="163" t="inlineStr">
        <is>
          <t>To review</t>
        </is>
      </c>
      <c r="G39" s="164" t="n"/>
      <c r="H39" s="165" t="n"/>
      <c r="I39" s="166" t="inlineStr">
        <is>
          <t>What does the Eloy Alfaro sinkhole reveal about the condition of Quito's buried infrastructure and the ground beneath rain-affected neighbourhoods?</t>
        </is>
      </c>
      <c r="J39" s="166" t="inlineStr">
        <is>
          <t>El Universo</t>
        </is>
      </c>
      <c r="K39" s="167" t="n">
        <v>46319</v>
      </c>
      <c r="L39" s="166" t="inlineStr">
        <is>
          <t>Más de 300 barrios en riesgo por las lluvias, socavón en la Eloy Alfaro pone en duda la infraestructura subterránea de Quito</t>
        </is>
      </c>
      <c r="M39" s="168" t="n"/>
      <c r="N39" s="169" t="n"/>
      <c r="O39" s="166" t="n"/>
      <c r="P39" s="166" t="n"/>
      <c r="Q39" s="170" t="inlineStr">
        <is>
          <t>Colombia</t>
        </is>
      </c>
      <c r="R39" s="167" t="n">
        <v>46318</v>
      </c>
      <c r="S39" s="169" t="inlineStr">
        <is>
          <t>2026-Q4</t>
        </is>
      </c>
      <c r="T39" s="171" t="inlineStr">
        <is>
          <t>sinkhole</t>
        </is>
      </c>
      <c r="U39" s="158" t="n">
        <v>4</v>
      </c>
      <c r="V39" s="172" t="inlineStr">
        <is>
          <t>https://news.google.com/rss/articles/CBMi6AJBVV95cUxPTTNxbUF2ODR0d0dfM2ZBb3B0Y0lvRElsVjNPbk1aV0JSMF9SeHFfbGk1cFNVTTZ2TjhlTW5ldEVCcmVmdHNSM0xxN0hIbjFveHdxdVBJSl9FLUNDOUJ6a0tWcy1SQTltUWJuUHl3SDNmbzlEc2NSWW5JemxmOVJidVZBUjhwYUV2NTc1cnBKUkw4Zlg4bzJlbkJaTzA3Y1Rvel9zbVFEZ1lRVUdsaTNRLU9YZG9RbXZLcXZTQ3BaUXJLcV9BMlYxRU9DZl91YVV6OExlSnU4bnh5V0wxVWVvV29jWVdlQ2x5dTVXT202T1JTek5nbEhkdkZlMHFPd3UxZ0hUdXl0cVUxYXBybmNNcmFkS0VmeGhhNDc1V3dMRGpQelpZSDZGaFZIRnpFVGRKZTV3VURCTkNaMW5WZnpGcUd2VjlsZzd0VjJRa1BCUE1IWXNCSHZ5VHNrQlhUZUlFWjYxWHpmbzPSAfwCQVVfeXFMUEN6dkx4WFpjY3ozMFFuZnZiNEc4ZFlsSUNhemhCMXdKQi1DbEhMS1gwdzBwZTBjME9ZdjJaX2FhM0JmcWx5MnNDMHNsZC1iTDBkbmdjZHhLZjZaSVBfWGZZUmVONnpWU0RucGM4a0lKNjVsWVdyd1BJMG1mdm5lRHMyU3lhTW84am52eVJTMjNzZ2duTGpScGN0NlA0QkdBV1hTV3E0WllEc182YXE1Y1lvOUhEWHhNUXpRcHRfbGtXZFFReXZXSnE1Z3MtVWc2YXNfT0JWLW1OSkRaYWJrdWtiRU9JRU1EQjUwcTNSem1obGNocHYyV2pLQVhlbGJBZDM1RGx2UkNJVUY0VV9jR1VBZUtGOEs1OVdOQzVkZU1sYVU4RkpxSkNpdUpyeS10QmZiX0xwSUs2U0FFd0JFckY1SElKZEptMHhwUklKN0YwekFCTkpFLXRuZjBmUFpYc3pGWVQtMG9uajhwOXlUN295QllOaE9tazdSbEc?oc=5</t>
        </is>
      </c>
      <c r="W39" s="173">
        <f>IF($B39="",0,IF(AND(OR(OR(Dashboard!$B$5="All themes",Dashboard!$B$5=""),$C39=Dashboard!$B$5),OR(OR(Dashboard!$G$5="All uses",Dashboard!$G$5=""),$E39=Dashboard!$G$5),N($D39)&gt;=Lists!$H$2,OR(OR(Dashboard!$N$5="All windows",Dashboard!$N$5=""),$S39=Dashboard!$N$5)),1,0))</f>
        <v/>
      </c>
      <c r="X39" s="174">
        <f>IF($W39=1,N($D39)*1E14+MIN(MAX(N($U39),0),9999)*1E10+MIN(N($K39),99999)*1E5+99999-MIN(ROW(),99999),"")</f>
        <v/>
      </c>
    </row>
    <row r="40" ht="53" customHeight="1">
      <c r="A40" s="158" t="n">
        <v>37</v>
      </c>
      <c r="B40" s="159" t="inlineStr">
        <is>
          <t>Presidential delegate on Arauco sinkhole: 'It was built on land that was not optimal'</t>
        </is>
      </c>
      <c r="C40" s="177" t="inlineStr">
        <is>
          <t>Infrastructure &amp; the Underground City</t>
        </is>
      </c>
      <c r="D40" s="161" t="n">
        <v>4</v>
      </c>
      <c r="E40" s="176" t="inlineStr">
        <is>
          <t>Feature lead</t>
        </is>
      </c>
      <c r="F40" s="163" t="inlineStr">
        <is>
          <t>To review</t>
        </is>
      </c>
      <c r="G40" s="164" t="n"/>
      <c r="H40" s="165" t="n"/>
      <c r="I40" s="166" t="inlineStr">
        <is>
          <t>What ground investigation and foundation decisions should be scrutinised when a structure is built on unsuitable terrain, as officials claim in Arauco?</t>
        </is>
      </c>
      <c r="J40" s="166" t="inlineStr">
        <is>
          <t>Cooperativa</t>
        </is>
      </c>
      <c r="K40" s="167" t="n">
        <v>46319</v>
      </c>
      <c r="L40" s="166" t="inlineStr">
        <is>
          <t>Delegado presidencial y el socavón en Arauco: "Aquí se construyó en un terreno que no era óptimo"</t>
        </is>
      </c>
      <c r="M40" s="168" t="n"/>
      <c r="N40" s="169" t="n"/>
      <c r="O40" s="166" t="n"/>
      <c r="P40" s="166" t="n"/>
      <c r="Q40" s="170" t="inlineStr">
        <is>
          <t>Colombia</t>
        </is>
      </c>
      <c r="R40" s="167" t="n">
        <v>46319</v>
      </c>
      <c r="S40" s="169" t="inlineStr">
        <is>
          <t>2026-Q4</t>
        </is>
      </c>
      <c r="T40" s="171" t="inlineStr">
        <is>
          <t>sinkhole</t>
        </is>
      </c>
      <c r="U40" s="158" t="n">
        <v>4</v>
      </c>
      <c r="V40" s="172" t="inlineStr">
        <is>
          <t>https://news.google.com/rss/articles/CBMi5AFBVV95cUxQN2dkNUMtV1kwNUFwMFA0VWRsUmN6Q3RhTDhyTWtHODFmSHhEWWdtT0Jwazg3Nk54S0ZnRF82OHpybVI2OVhIbkp0c1dQX3N1Ny1OTkZhR2hHQUMzYXJfT3BzX3I2Y3d6WndQNno2QTloWDFESzVxUTRMZDZOSDNQUzJYVTBsTks2Mll4SjZRYkZxbWxjOHByeGVkUkg5d1d3UWxmQUtBTG1lWDRTMGNOQWZnRGRtR3c4a2xiRUFHY3laMDJzX0VYUk9GZkR2akQ3bkNKeGU1aVYwb1F0WE14WVVVQ0bSAYwBQVVfeXFMT2I5Zk9zQW9sMnMteVFacFllV19JRWVQT0JfUGNTSTJ0R2FLYmpjTEhkQ3EzWTVmRDRWUWxJcTF3WmxDNnJIaUV2amNuNm5sSTJJV08wb184aWR0czBDRm5qdnN5WEM3ak5zQl9mendjUDhHaU0tbzVjQTNwY1dzNUUxT3pVU3kxeVpXa2k?oc=5</t>
        </is>
      </c>
      <c r="W40" s="173">
        <f>IF($B40="",0,IF(AND(OR(OR(Dashboard!$B$5="All themes",Dashboard!$B$5=""),$C40=Dashboard!$B$5),OR(OR(Dashboard!$G$5="All uses",Dashboard!$G$5=""),$E40=Dashboard!$G$5),N($D40)&gt;=Lists!$H$2,OR(OR(Dashboard!$N$5="All windows",Dashboard!$N$5=""),$S40=Dashboard!$N$5)),1,0))</f>
        <v/>
      </c>
      <c r="X40" s="174">
        <f>IF($W40=1,N($D40)*1E14+MIN(MAX(N($U40),0),9999)*1E10+MIN(N($K40),99999)*1E5+99999-MIN(ROW(),99999),"")</f>
        <v/>
      </c>
    </row>
    <row r="41" ht="40.5" customHeight="1">
      <c r="A41" s="158" t="n">
        <v>38</v>
      </c>
      <c r="B41" s="159" t="inlineStr">
        <is>
          <t>JUMAPAM and Pemex evaluate underground network after sinkhole on Emilio Barragán avenue in Mazatlán</t>
        </is>
      </c>
      <c r="C41" s="177" t="inlineStr">
        <is>
          <t>Infrastructure &amp; the Underground City</t>
        </is>
      </c>
      <c r="D41" s="161" t="n">
        <v>4</v>
      </c>
      <c r="E41" s="176" t="inlineStr">
        <is>
          <t>Feature lead</t>
        </is>
      </c>
      <c r="F41" s="163" t="inlineStr">
        <is>
          <t>To review</t>
        </is>
      </c>
      <c r="G41" s="164" t="n"/>
      <c r="H41" s="165" t="n"/>
      <c r="I41" s="166" t="inlineStr">
        <is>
          <t>How can utilities mapping and leak detection clarify whether pipe defects caused the Emilio Barragán sinkhole in Mazatlán?</t>
        </is>
      </c>
      <c r="J41" s="166" t="inlineStr">
        <is>
          <t>Debate</t>
        </is>
      </c>
      <c r="K41" s="167" t="n">
        <v>46319</v>
      </c>
      <c r="L41" s="166" t="inlineStr">
        <is>
          <t>JUMAPAM y Pemex evalúan red subterránea tras socavón en la avenida Emilio Barragán en Mazatlán</t>
        </is>
      </c>
      <c r="M41" s="168" t="n"/>
      <c r="N41" s="169" t="n"/>
      <c r="O41" s="166" t="n"/>
      <c r="P41" s="166" t="n"/>
      <c r="Q41" s="170" t="inlineStr">
        <is>
          <t>Colombia</t>
        </is>
      </c>
      <c r="R41" s="167" t="n">
        <v>46317</v>
      </c>
      <c r="S41" s="169" t="inlineStr">
        <is>
          <t>2026-Q4</t>
        </is>
      </c>
      <c r="T41" s="171" t="inlineStr">
        <is>
          <t>sinkhole</t>
        </is>
      </c>
      <c r="U41" s="158" t="n">
        <v>4</v>
      </c>
      <c r="V41" s="172" t="inlineStr">
        <is>
          <t>https://news.google.com/rss/articles/CBMi7AFBVV95cUxON0hLN3oxMFdMX0dlRUtVNHhVQ2Y2Nk00NHlEUUVSb1N0bmRXakNHcUNOcFcyVWl1UXp1Wm5ObjE1X0RDdThWSWJZazE2WVA5MTR0ckM0OV9BeHVOUFoySjUyRFdrN1FiVDVzd253R0JKSE9yN3ZzN0NHS1hJSGwxNmVQUzVyZlNsbURWQ3ZBdktrTkdYWElFcVBpVm5FU3pFeGZpNkl4V08zMkpGOTM2R0czXzJVS1NTcXBGcnViOXZmTmJJRFJkNXpSUTNEanFWeWpDdU9xbE9mVXFndU1zNVh2TC0zcHpuWEcwcg?oc=5</t>
        </is>
      </c>
      <c r="W41" s="173">
        <f>IF($B41="",0,IF(AND(OR(OR(Dashboard!$B$5="All themes",Dashboard!$B$5=""),$C41=Dashboard!$B$5),OR(OR(Dashboard!$G$5="All uses",Dashboard!$G$5=""),$E41=Dashboard!$G$5),N($D41)&gt;=Lists!$H$2,OR(OR(Dashboard!$N$5="All windows",Dashboard!$N$5=""),$S41=Dashboard!$N$5)),1,0))</f>
        <v/>
      </c>
      <c r="X41" s="174">
        <f>IF($W41=1,N($D41)*1E14+MIN(MAX(N($U41),0),9999)*1E10+MIN(N($K41),99999)*1E5+99999-MIN(ROW(),99999),"")</f>
        <v/>
      </c>
    </row>
    <row r="42" ht="65.5" customHeight="1">
      <c r="A42" s="158" t="n">
        <v>39</v>
      </c>
      <c r="B42" s="159" t="inlineStr">
        <is>
          <t>What lies inside the hole over two hectares wide in the middle of Phong Nha-Ke Bang forest?</t>
        </is>
      </c>
      <c r="C42" s="182" t="inlineStr">
        <is>
          <t>Characterisation &amp; Modelling</t>
        </is>
      </c>
      <c r="D42" s="161" t="n">
        <v>4</v>
      </c>
      <c r="E42" s="176" t="inlineStr">
        <is>
          <t>Feature lead</t>
        </is>
      </c>
      <c r="F42" s="163" t="inlineStr">
        <is>
          <t>To review</t>
        </is>
      </c>
      <c r="G42" s="164" t="n"/>
      <c r="H42" s="165" t="n"/>
      <c r="I42" s="166" t="inlineStr">
        <is>
          <t>What karst processes, such as collapse or dissolution, could create a large sinkhole of over two hectares in a tropical forest, and how should it be investigated and monitored?</t>
        </is>
      </c>
      <c r="J42" s="166" t="inlineStr">
        <is>
          <t>Vietnam.vn</t>
        </is>
      </c>
      <c r="K42" s="167" t="n">
        <v>46319</v>
      </c>
      <c r="L42" s="166" t="inlineStr">
        <is>
          <t>ما الذي يوجد داخل الحفرة التي تزيد مساحتها عن هكتارين في وسط غابة فونغ نها - كي بانغ؟</t>
        </is>
      </c>
      <c r="M42" s="168" t="n"/>
      <c r="N42" s="169" t="n"/>
      <c r="O42" s="166" t="n"/>
      <c r="P42" s="166" t="n"/>
      <c r="Q42" s="170" t="inlineStr">
        <is>
          <t>Egypt</t>
        </is>
      </c>
      <c r="R42" s="167" t="n">
        <v>46319</v>
      </c>
      <c r="S42" s="169" t="inlineStr">
        <is>
          <t>2026-Q4</t>
        </is>
      </c>
      <c r="T42" s="171" t="n"/>
      <c r="U42" s="158" t="n">
        <v>0</v>
      </c>
      <c r="V42" s="172" t="inlineStr">
        <is>
          <t>https://news.google.com/rss/articles/CBMijAFBVV95cUxOLWcwOXFBTWY2NnVDYW5EVi1yMldxeWpKd3NNTjB6SjMtS2FFRjBYQUd6ek1FYkVnVndOX0J3YXk1a3dVZW9KRWFCaV9KaHc4a25tdDBTWmFXc2hnU09sWEtNb2gxVjFhQ3RJaEJpVWhURWowRjNwVlV6ZG9RWVRlb1lpYXBrUV9YU0dDOQ?oc=5</t>
        </is>
      </c>
      <c r="W42" s="173">
        <f>IF($B42="",0,IF(AND(OR(OR(Dashboard!$B$5="All themes",Dashboard!$B$5=""),$C42=Dashboard!$B$5),OR(OR(Dashboard!$G$5="All uses",Dashboard!$G$5=""),$E42=Dashboard!$G$5),N($D42)&gt;=Lists!$H$2,OR(OR(Dashboard!$N$5="All windows",Dashboard!$N$5=""),$S42=Dashboard!$N$5)),1,0))</f>
        <v/>
      </c>
      <c r="X42" s="174">
        <f>IF($W42=1,N($D42)*1E14+MIN(MAX(N($U42),0),9999)*1E10+MIN(N($K42),99999)*1E5+99999-MIN(ROW(),99999),"")</f>
        <v/>
      </c>
    </row>
    <row r="43" ht="53" customHeight="1">
      <c r="A43" s="158" t="n">
        <v>40</v>
      </c>
      <c r="B43" s="159" t="inlineStr">
        <is>
          <t>Analytical study of 3D transient dynamic response of a cylindrical cavity in an elastic medium under triangular pulse load.</t>
        </is>
      </c>
      <c r="C43" s="182" t="inlineStr">
        <is>
          <t>Characterisation &amp; Modelling</t>
        </is>
      </c>
      <c r="D43" s="161" t="n">
        <v>4</v>
      </c>
      <c r="E43" s="162" t="inlineStr">
        <is>
          <t>Academia-to-Industry topic</t>
        </is>
      </c>
      <c r="F43" s="163" t="inlineStr">
        <is>
          <t>To review</t>
        </is>
      </c>
      <c r="G43" s="164" t="n"/>
      <c r="H43" s="165" t="n"/>
      <c r="I43" s="166" t="inlineStr">
        <is>
          <t>How do analytical solutions for a cylindrical cavity under triangular pulse loads inform the validation of numerical models for underground openings under impact?</t>
        </is>
      </c>
      <c r="J43" s="166" t="inlineStr">
        <is>
          <t>生物通</t>
        </is>
      </c>
      <c r="K43" s="167" t="n">
        <v>46319</v>
      </c>
      <c r="L43" s="166" t="inlineStr">
        <is>
          <t>弹性介质中圆柱形空腔受三角形脉冲冲击载荷的三维瞬态动力响应解析研究</t>
        </is>
      </c>
      <c r="M43" s="168" t="n"/>
      <c r="N43" s="169" t="n"/>
      <c r="O43" s="166" t="n"/>
      <c r="P43" s="166" t="n"/>
      <c r="Q43" s="170" t="inlineStr">
        <is>
          <t>China</t>
        </is>
      </c>
      <c r="R43" s="167" t="n">
        <v>46318</v>
      </c>
      <c r="S43" s="169" t="inlineStr">
        <is>
          <t>2026-Q4</t>
        </is>
      </c>
      <c r="T43" s="171" t="n"/>
      <c r="U43" s="158" t="n">
        <v>0</v>
      </c>
      <c r="V43" s="172" t="inlineStr">
        <is>
          <t>https://news.google.com/rss/articles/CBMibkFVX3lxTE5PclBzMHZTYkNxbkRYVWFacWgzMjRTdE1JdmNYSi1xbTlBaVZLRTVjTHpCTlQ4c2lEQ2xoMk9kcEdROGxBOFI4Zk9YV3JGSXdUZDg1blVlelJzbU54VjkzTkUySEV5Z2x2aHY5R0xB?oc=5</t>
        </is>
      </c>
      <c r="W43" s="173">
        <f>IF($B43="",0,IF(AND(OR(OR(Dashboard!$B$5="All themes",Dashboard!$B$5=""),$C43=Dashboard!$B$5),OR(OR(Dashboard!$G$5="All uses",Dashboard!$G$5=""),$E43=Dashboard!$G$5),N($D43)&gt;=Lists!$H$2,OR(OR(Dashboard!$N$5="All windows",Dashboard!$N$5=""),$S43=Dashboard!$N$5)),1,0))</f>
        <v/>
      </c>
      <c r="X43" s="174">
        <f>IF($W43=1,N($D43)*1E14+MIN(MAX(N($U43),0),9999)*1E10+MIN(N($K43),99999)*1E5+99999-MIN(ROW(),99999),"")</f>
        <v/>
      </c>
    </row>
    <row r="44" ht="53" customHeight="1">
      <c r="A44" s="158" t="n">
        <v>41</v>
      </c>
      <c r="B44" s="159" t="inlineStr">
        <is>
          <t>Concerns over riverbank erosion leading to loss of farmland</t>
        </is>
      </c>
      <c r="C44" s="175" t="inlineStr">
        <is>
          <t>Offshore, Coasts &amp; Water</t>
        </is>
      </c>
      <c r="D44" s="161" t="n">
        <v>4</v>
      </c>
      <c r="E44" s="176" t="inlineStr">
        <is>
          <t>Feature lead</t>
        </is>
      </c>
      <c r="F44" s="163" t="inlineStr">
        <is>
          <t>To review</t>
        </is>
      </c>
      <c r="G44" s="164" t="n"/>
      <c r="H44" s="165" t="n"/>
      <c r="I44" s="166" t="inlineStr">
        <is>
          <t>What bank erosion mechanisms and protection measures are effective for riverbanks threatening farmland, and how can they be monitored over time?</t>
        </is>
      </c>
      <c r="J44" s="166" t="inlineStr">
        <is>
          <t>Vietnam.vn</t>
        </is>
      </c>
      <c r="K44" s="167" t="n">
        <v>46319</v>
      </c>
      <c r="L44" s="166" t="inlineStr">
        <is>
          <t>مخاوف بشأن تآكل ضفاف الأنهار مما يؤدي إلى فقدان الأراضي الزراعية.</t>
        </is>
      </c>
      <c r="M44" s="168" t="n"/>
      <c r="N44" s="169" t="n"/>
      <c r="O44" s="166" t="n"/>
      <c r="P44" s="166" t="n"/>
      <c r="Q44" s="170" t="inlineStr">
        <is>
          <t>Egypt</t>
        </is>
      </c>
      <c r="R44" s="167" t="n">
        <v>46318</v>
      </c>
      <c r="S44" s="169" t="inlineStr">
        <is>
          <t>2026-Q4</t>
        </is>
      </c>
      <c r="T44" s="171" t="n"/>
      <c r="U44" s="158" t="n">
        <v>0</v>
      </c>
      <c r="V44" s="172" t="inlineStr">
        <is>
          <t>https://news.google.com/rss/articles/CBMic0FVX3lxTE85MmNnNDd2QkUzaFV4QTZmTmJXNTAzbUZfMjdpdlNaSjEyODN0eW51ZUp0RzE3SHY2NzRuQlZtOHdtcnFQLWlBOGQ5eVQ3QTU1REJMWTRvZm1qTFZHZWZ0ZU9WTGRiYkhJNGVEaEliZW9GZWc?oc=5</t>
        </is>
      </c>
      <c r="W44" s="173">
        <f>IF($B44="",0,IF(AND(OR(OR(Dashboard!$B$5="All themes",Dashboard!$B$5=""),$C44=Dashboard!$B$5),OR(OR(Dashboard!$G$5="All uses",Dashboard!$G$5=""),$E44=Dashboard!$G$5),N($D44)&gt;=Lists!$H$2,OR(OR(Dashboard!$N$5="All windows",Dashboard!$N$5=""),$S44=Dashboard!$N$5)),1,0))</f>
        <v/>
      </c>
      <c r="X44" s="174">
        <f>IF($W44=1,N($D44)*1E14+MIN(MAX(N($U44),0),9999)*1E10+MIN(N($K44),99999)*1E5+99999-MIN(ROW(),99999),"")</f>
        <v/>
      </c>
    </row>
    <row r="45" ht="53" customHeight="1">
      <c r="A45" s="158" t="n">
        <v>42</v>
      </c>
      <c r="B45" s="159" t="inlineStr">
        <is>
          <t>Quang Tri: Severe sea erosion threatens dykes and residents' livelihoods</t>
        </is>
      </c>
      <c r="C45" s="175" t="inlineStr">
        <is>
          <t>Offshore, Coasts &amp; Water</t>
        </is>
      </c>
      <c r="D45" s="161" t="n">
        <v>4</v>
      </c>
      <c r="E45" s="176" t="inlineStr">
        <is>
          <t>Feature lead</t>
        </is>
      </c>
      <c r="F45" s="163" t="inlineStr">
        <is>
          <t>To review</t>
        </is>
      </c>
      <c r="G45" s="164" t="n"/>
      <c r="H45" s="165" t="n"/>
      <c r="I45" s="166" t="inlineStr">
        <is>
          <t>How do sea-level-driven erosion and scour undermine sea dyke foundations in Quang Tri, and which revetment and foundation designs suit eroding sandy coastal soils?</t>
        </is>
      </c>
      <c r="J45" s="166" t="inlineStr">
        <is>
          <t>Người Đưa Tin</t>
        </is>
      </c>
      <c r="K45" s="167" t="n">
        <v>46319</v>
      </c>
      <c r="L45" s="166" t="inlineStr">
        <is>
          <t>Quảng Trị: Biển xâm thực nghiêm trọng đe dọa đê kè và đời sống người dân</t>
        </is>
      </c>
      <c r="M45" s="168" t="n"/>
      <c r="N45" s="169" t="n"/>
      <c r="O45" s="166" t="n"/>
      <c r="P45" s="166" t="n"/>
      <c r="Q45" s="170" t="inlineStr">
        <is>
          <t>Vietnam</t>
        </is>
      </c>
      <c r="R45" s="167" t="n">
        <v>46318</v>
      </c>
      <c r="S45" s="169" t="inlineStr">
        <is>
          <t>2026-Q4</t>
        </is>
      </c>
      <c r="T45" s="171" t="n"/>
      <c r="U45" s="158" t="n">
        <v>0</v>
      </c>
      <c r="V45" s="172" t="inlineStr">
        <is>
          <t>https://news.google.com/rss/articles/CBMivgFBVV95cUxOeUJHRExHRm0xT2ZMLXFqWWFjaXRUWDFrY2FpaDdYc3dlVy1tYy1GQ1hZSDk1OFZFVElOOU5NMVVia21KM2xPSUhWdnk3ZHRkTWV1emJBZkhQclp3aUtiUzRiX0dVZUZhaGRpUWlJUE8tUmhha1ZLUS1TRGM2dGlxRWJ2UWFkNGNsakZ6S1NTMWw0NGp0V0Zlc0xXTzBTRkJKaGZPT2tNcExKRHBaZXN2U3pIMkVKNTRVdy1mUkxB?oc=5</t>
        </is>
      </c>
      <c r="W45" s="173">
        <f>IF($B45="",0,IF(AND(OR(OR(Dashboard!$B$5="All themes",Dashboard!$B$5=""),$C45=Dashboard!$B$5),OR(OR(Dashboard!$G$5="All uses",Dashboard!$G$5=""),$E45=Dashboard!$G$5),N($D45)&gt;=Lists!$H$2,OR(OR(Dashboard!$N$5="All windows",Dashboard!$N$5=""),$S45=Dashboard!$N$5)),1,0))</f>
        <v/>
      </c>
      <c r="X45" s="174">
        <f>IF($W45=1,N($D45)*1E14+MIN(MAX(N($U45),0),9999)*1E10+MIN(N($K45),99999)*1E5+99999-MIN(ROW(),99999),"")</f>
        <v/>
      </c>
    </row>
    <row r="46" ht="65.5" customHeight="1">
      <c r="A46" s="158" t="n">
        <v>43</v>
      </c>
      <c r="B46" s="159" t="inlineStr">
        <is>
          <t>Ben Thanh - Tham Luong metro to have all 11 stations completed by end of 2026</t>
        </is>
      </c>
      <c r="C46" s="177" t="inlineStr">
        <is>
          <t>Infrastructure &amp; the Underground City</t>
        </is>
      </c>
      <c r="D46" s="161" t="n">
        <v>4</v>
      </c>
      <c r="E46" s="176" t="inlineStr">
        <is>
          <t>Feature lead</t>
        </is>
      </c>
      <c r="F46" s="163" t="inlineStr">
        <is>
          <t>To review</t>
        </is>
      </c>
      <c r="G46" s="164" t="n"/>
      <c r="H46" s="165" t="n"/>
      <c r="I46" s="166" t="inlineStr">
        <is>
          <t>What ground conditions and deep excavation and tunnelling methods are used for metro stations in soft Ho Chi Minh City clays with high groundwater, and what risks follow?</t>
        </is>
      </c>
      <c r="J46" s="166" t="inlineStr">
        <is>
          <t>VOH</t>
        </is>
      </c>
      <c r="K46" s="167" t="n">
        <v>46319</v>
      </c>
      <c r="L46" s="166" t="inlineStr">
        <is>
          <t>Metro Bến Thành - Tham Lương cuối năm 2026 làm cả 11 nhà ga</t>
        </is>
      </c>
      <c r="M46" s="168" t="n"/>
      <c r="N46" s="169" t="n"/>
      <c r="O46" s="166" t="n"/>
      <c r="P46" s="166" t="n"/>
      <c r="Q46" s="170" t="inlineStr">
        <is>
          <t>Vietnam</t>
        </is>
      </c>
      <c r="R46" s="167" t="n">
        <v>46318</v>
      </c>
      <c r="S46" s="169" t="inlineStr">
        <is>
          <t>2026-Q4</t>
        </is>
      </c>
      <c r="T46" s="171" t="n"/>
      <c r="U46" s="158" t="n">
        <v>0</v>
      </c>
      <c r="V46" s="172" t="inlineStr">
        <is>
          <t>https://news.google.com/rss/articles/CBMioAFBVV95cUxQdGo5XzZaLXUtaGVxUE5qb0ltRENoMjhVWlN4b0dqZFpPREJTNGw4Rld2bmtEX2VnSlB4TkJYVkxPUjdzZXYxZ2tWOG5kaWpUSFF1UGRjaUNKY3NOTkpVeFZpOFhMOW1QYkZIQXZ0ZTV4NjBseUVBYzdBdDNPTGNtc0pMRXFSWWM0SmVhS05Ld2hVemp5bHdkX290ZFltU3NC?oc=5</t>
        </is>
      </c>
      <c r="W46" s="173">
        <f>IF($B46="",0,IF(AND(OR(OR(Dashboard!$B$5="All themes",Dashboard!$B$5=""),$C46=Dashboard!$B$5),OR(OR(Dashboard!$G$5="All uses",Dashboard!$G$5=""),$E46=Dashboard!$G$5),N($D46)&gt;=Lists!$H$2,OR(OR(Dashboard!$N$5="All windows",Dashboard!$N$5=""),$S46=Dashboard!$N$5)),1,0))</f>
        <v/>
      </c>
      <c r="X46" s="174">
        <f>IF($W46=1,N($D46)*1E14+MIN(MAX(N($U46),0),9999)*1E10+MIN(N($K46),99999)*1E5+99999-MIN(ROW(),99999),"")</f>
        <v/>
      </c>
    </row>
    <row r="47" ht="65.5" customHeight="1">
      <c r="A47" s="158" t="n">
        <v>44</v>
      </c>
      <c r="B47" s="159" t="inlineStr">
        <is>
          <t>Snowy 2.0 cost and completion date revised</t>
        </is>
      </c>
      <c r="C47" s="184" t="inlineStr">
        <is>
          <t>Sustainability &amp; the Energy Transition</t>
        </is>
      </c>
      <c r="D47" s="161" t="n">
        <v>3</v>
      </c>
      <c r="E47" s="180" t="inlineStr">
        <is>
          <t>News brief</t>
        </is>
      </c>
      <c r="F47" s="163" t="inlineStr">
        <is>
          <t>To review</t>
        </is>
      </c>
      <c r="G47" s="164" t="n"/>
      <c r="H47" s="165" t="n"/>
      <c r="I47" s="166" t="inlineStr">
        <is>
          <t>What ground-related risks drive cost and schedule overruns in large pumped hydro cavern and tunnel excavations?</t>
        </is>
      </c>
      <c r="J47" s="166" t="inlineStr">
        <is>
          <t>Tunnels &amp; Tunnelling</t>
        </is>
      </c>
      <c r="K47" s="167" t="n">
        <v>46319</v>
      </c>
      <c r="L47" s="166" t="n"/>
      <c r="M47" s="168" t="inlineStr">
        <is>
          <t>Snowy 2.0 cost and completion date revised TBM-driven tunnelling is 65% complete and cavern excavation 90% complete. The post Snowy 2.0 cost and completion date revised appeared first on Tunnels and Tunnelling .</t>
        </is>
      </c>
      <c r="N47" s="169" t="n"/>
      <c r="O47" s="166" t="n"/>
      <c r="P47" s="166" t="n"/>
      <c r="Q47" s="170" t="n"/>
      <c r="R47" s="167" t="n">
        <v>46318</v>
      </c>
      <c r="S47" s="169" t="inlineStr">
        <is>
          <t>2026-Q4</t>
        </is>
      </c>
      <c r="T47" s="171" t="inlineStr">
        <is>
          <t>excavation, tbm, tunnelling, tunnel</t>
        </is>
      </c>
      <c r="U47" s="158" t="n">
        <v>10</v>
      </c>
      <c r="V47" s="172" t="inlineStr">
        <is>
          <t>https://www.tunnelsandtunnelling.com/news/snowy-2-0-cost-and-completion-date-revised/</t>
        </is>
      </c>
      <c r="W47" s="173">
        <f>IF($B47="",0,IF(AND(OR(OR(Dashboard!$B$5="All themes",Dashboard!$B$5=""),$C47=Dashboard!$B$5),OR(OR(Dashboard!$G$5="All uses",Dashboard!$G$5=""),$E47=Dashboard!$G$5),N($D47)&gt;=Lists!$H$2,OR(OR(Dashboard!$N$5="All windows",Dashboard!$N$5=""),$S47=Dashboard!$N$5)),1,0))</f>
        <v/>
      </c>
      <c r="X47" s="174">
        <f>IF($W47=1,N($D47)*1E14+MIN(MAX(N($U47),0),9999)*1E10+MIN(N($K47),99999)*1E5+99999-MIN(ROW(),99999),"")</f>
        <v/>
      </c>
    </row>
    <row r="48" ht="65.5" customHeight="1">
      <c r="A48" s="158" t="n">
        <v>45</v>
      </c>
      <c r="B48" s="159" t="inlineStr">
        <is>
          <t>Mobile shield deployed for A14 Vinci Tunnel reconstruction</t>
        </is>
      </c>
      <c r="C48" s="177" t="inlineStr">
        <is>
          <t>Infrastructure &amp; the Underground City</t>
        </is>
      </c>
      <c r="D48" s="161" t="n">
        <v>3</v>
      </c>
      <c r="E48" s="180" t="inlineStr">
        <is>
          <t>News brief</t>
        </is>
      </c>
      <c r="F48" s="163" t="inlineStr">
        <is>
          <t>To review</t>
        </is>
      </c>
      <c r="G48" s="164" t="n"/>
      <c r="H48" s="165" t="n"/>
      <c r="I48" s="166" t="inlineStr">
        <is>
          <t>How does a mobile shield enable tunnel reconstruction within an operating motorway tunnel, and what ground support issues arise?</t>
        </is>
      </c>
      <c r="J48" s="166" t="inlineStr">
        <is>
          <t>Tunnelling Journal</t>
        </is>
      </c>
      <c r="K48" s="167" t="n">
        <v>46319</v>
      </c>
      <c r="L48" s="166" t="n"/>
      <c r="M48" s="168" t="inlineStr">
        <is>
          <t>An 83-tonne mobile shield has entered service inside the Vinci Tunnel on Italy’s A14 motorway, allowing reconstruction of the tunnel... The post Mobile shield deployed for A14 Vinci Tunnel reconstruction appeared first on The Tunnelling Journal .</t>
        </is>
      </c>
      <c r="N48" s="169" t="n"/>
      <c r="O48" s="166" t="n"/>
      <c r="P48" s="166" t="n"/>
      <c r="Q48" s="170" t="n"/>
      <c r="R48" s="167" t="n">
        <v>46317</v>
      </c>
      <c r="S48" s="169" t="inlineStr">
        <is>
          <t>2026-Q4</t>
        </is>
      </c>
      <c r="T48" s="171" t="inlineStr">
        <is>
          <t>tunnelling, tunnel</t>
        </is>
      </c>
      <c r="U48" s="158" t="n">
        <v>7</v>
      </c>
      <c r="V48" s="172" t="inlineStr">
        <is>
          <t>https://tunnellingjournal.com/mobile-shield-deployed-for-a14-vinci-tunnel-reconstruction/</t>
        </is>
      </c>
      <c r="W48" s="173">
        <f>IF($B48="",0,IF(AND(OR(OR(Dashboard!$B$5="All themes",Dashboard!$B$5=""),$C48=Dashboard!$B$5),OR(OR(Dashboard!$G$5="All uses",Dashboard!$G$5=""),$E48=Dashboard!$G$5),N($D48)&gt;=Lists!$H$2,OR(OR(Dashboard!$N$5="All windows",Dashboard!$N$5=""),$S48=Dashboard!$N$5)),1,0))</f>
        <v/>
      </c>
      <c r="X48" s="174">
        <f>IF($W48=1,N($D48)*1E14+MIN(MAX(N($U48),0),9999)*1E10+MIN(N($K48),99999)*1E5+99999-MIN(ROW(),99999),"")</f>
        <v/>
      </c>
    </row>
    <row r="49" ht="53" customHeight="1">
      <c r="A49" s="158" t="n">
        <v>46</v>
      </c>
      <c r="B49" s="159" t="inlineStr">
        <is>
          <t>What options exist for Mot Mountain in Quy Nhon: levelling it or preserving the historic site?</t>
        </is>
      </c>
      <c r="C49" s="177" t="inlineStr">
        <is>
          <t>Infrastructure &amp; the Underground City</t>
        </is>
      </c>
      <c r="D49" s="161" t="n">
        <v>3</v>
      </c>
      <c r="E49" s="176" t="inlineStr">
        <is>
          <t>Feature lead</t>
        </is>
      </c>
      <c r="F49" s="163" t="inlineStr">
        <is>
          <t>To review</t>
        </is>
      </c>
      <c r="G49" s="164" t="n"/>
      <c r="H49" s="165" t="n"/>
      <c r="I49" s="166" t="inlineStr">
        <is>
          <t>What geotechnical and heritage considerations should guide levelling versus preserving a rocky hill site in an urban coastal city?</t>
        </is>
      </c>
      <c r="J49" s="166" t="inlineStr">
        <is>
          <t>Vietnam.vn</t>
        </is>
      </c>
      <c r="K49" s="167" t="n">
        <v>46319</v>
      </c>
      <c r="L49" s="166" t="inlineStr">
        <is>
          <t>Apa saja pilihan yang tersedia untuk Gunung Mot di Quy Nhon: meratakannya atau melestarikan situs bersejarah tersebut?</t>
        </is>
      </c>
      <c r="M49" s="168" t="n"/>
      <c r="N49" s="169" t="n"/>
      <c r="O49" s="166" t="n"/>
      <c r="P49" s="166" t="n"/>
      <c r="Q49" s="170" t="inlineStr">
        <is>
          <t>Indonesia</t>
        </is>
      </c>
      <c r="R49" s="167" t="n">
        <v>46319</v>
      </c>
      <c r="S49" s="169" t="inlineStr">
        <is>
          <t>2026-Q4</t>
        </is>
      </c>
      <c r="T49" s="171" t="n"/>
      <c r="U49" s="158" t="n">
        <v>6</v>
      </c>
      <c r="V49" s="172" t="inlineStr">
        <is>
          <t>https://news.google.com/rss/articles/CBMilgFBVV95cUxPbVV1NmdrOGFidElfXzZzV1ppbDBCOEc5V0luUWxOSTAwMXNGdmhVMkoxMjUwSUpmbU5lQlBuNkFVTXZGMk5IRzd5Y0taREt0ckRUT3VqSjBfbGFPTmRjUTZFS18wLTQ5Wi1ZdnFtYWd1QmN0U0Nsekx4ZzR0YVk0dmhhTXVpTW1rdEpCbGlKLTZNVXVzMEE?oc=5</t>
        </is>
      </c>
      <c r="W49" s="173">
        <f>IF($B49="",0,IF(AND(OR(OR(Dashboard!$B$5="All themes",Dashboard!$B$5=""),$C49=Dashboard!$B$5),OR(OR(Dashboard!$G$5="All uses",Dashboard!$G$5=""),$E49=Dashboard!$G$5),N($D49)&gt;=Lists!$H$2,OR(OR(Dashboard!$N$5="All windows",Dashboard!$N$5=""),$S49=Dashboard!$N$5)),1,0))</f>
        <v/>
      </c>
      <c r="X49" s="174">
        <f>IF($W49=1,N($D49)*1E14+MIN(MAX(N($U49),0),9999)*1E10+MIN(N($K49),99999)*1E5+99999-MIN(ROW(),99999),"")</f>
        <v/>
      </c>
    </row>
    <row r="50" ht="65.5" customHeight="1">
      <c r="A50" s="158" t="n">
        <v>47</v>
      </c>
      <c r="B50" s="159" t="inlineStr">
        <is>
          <t>Abergeldie awarded patent for underground hydrogen storage solution</t>
        </is>
      </c>
      <c r="C50" s="184" t="inlineStr">
        <is>
          <t>Sustainability &amp; the Energy Transition</t>
        </is>
      </c>
      <c r="D50" s="161" t="n">
        <v>3</v>
      </c>
      <c r="E50" s="162" t="inlineStr">
        <is>
          <t>Academia-to-Industry topic</t>
        </is>
      </c>
      <c r="F50" s="163" t="inlineStr">
        <is>
          <t>To review</t>
        </is>
      </c>
      <c r="G50" s="164" t="n"/>
      <c r="H50" s="165" t="n"/>
      <c r="I50" s="166" t="inlineStr">
        <is>
          <t>What ground conditions and geomechanical criteria govern underground hydrogen storage, and how does blind boring apply?</t>
        </is>
      </c>
      <c r="J50" s="166" t="inlineStr">
        <is>
          <t>Tunnels &amp; Tunnelling</t>
        </is>
      </c>
      <c r="K50" s="167" t="n">
        <v>46319</v>
      </c>
      <c r="L50" s="166" t="n"/>
      <c r="M50" s="168" t="inlineStr">
        <is>
          <t>Abergeldie awarded patent for underground hydrogen storage solution The system draws on Abergeldie’s blind boring expertise. The post Abergeldie awarded patent for underground hydrogen storage solution appeared first on Tunnels and Tunnelling .</t>
        </is>
      </c>
      <c r="N50" s="169" t="n"/>
      <c r="O50" s="166" t="n"/>
      <c r="P50" s="166" t="n"/>
      <c r="Q50" s="170" t="n"/>
      <c r="R50" s="167" t="n">
        <v>46318</v>
      </c>
      <c r="S50" s="169" t="inlineStr">
        <is>
          <t>2026-Q4</t>
        </is>
      </c>
      <c r="T50" s="171" t="inlineStr">
        <is>
          <t>tunnelling, tunnel</t>
        </is>
      </c>
      <c r="U50" s="158" t="n">
        <v>5</v>
      </c>
      <c r="V50" s="172" t="inlineStr">
        <is>
          <t>https://www.tunnelsandtunnelling.com/news/abergeldie-awarded-patent-for-underground-hydrogen-storage-solution/</t>
        </is>
      </c>
      <c r="W50" s="173">
        <f>IF($B50="",0,IF(AND(OR(OR(Dashboard!$B$5="All themes",Dashboard!$B$5=""),$C50=Dashboard!$B$5),OR(OR(Dashboard!$G$5="All uses",Dashboard!$G$5=""),$E50=Dashboard!$G$5),N($D50)&gt;=Lists!$H$2,OR(OR(Dashboard!$N$5="All windows",Dashboard!$N$5=""),$S50=Dashboard!$N$5)),1,0))</f>
        <v/>
      </c>
      <c r="X50" s="174">
        <f>IF($W50=1,N($D50)*1E14+MIN(MAX(N($U50),0),9999)*1E10+MIN(N($K50),99999)*1E5+99999-MIN(ROW(),99999),"")</f>
        <v/>
      </c>
    </row>
    <row r="51" ht="65.5" customHeight="1">
      <c r="A51" s="158" t="n">
        <v>48</v>
      </c>
      <c r="B51" s="159" t="inlineStr">
        <is>
          <t>Snowy 2.0 cost rises to A$22.2bn</t>
        </is>
      </c>
      <c r="C51" s="184" t="inlineStr">
        <is>
          <t>Sustainability &amp; the Energy Transition</t>
        </is>
      </c>
      <c r="D51" s="161" t="n">
        <v>3</v>
      </c>
      <c r="E51" s="180" t="inlineStr">
        <is>
          <t>News brief</t>
        </is>
      </c>
      <c r="F51" s="163" t="inlineStr">
        <is>
          <t>To review</t>
        </is>
      </c>
      <c r="G51" s="164" t="n"/>
      <c r="H51" s="165" t="n"/>
      <c r="I51" s="166" t="inlineStr">
        <is>
          <t>What ground-related factors drive repeated cost increases in large underground pumped hydro projects?</t>
        </is>
      </c>
      <c r="J51" s="166" t="inlineStr">
        <is>
          <t>Tunnelling Journal</t>
        </is>
      </c>
      <c r="K51" s="167" t="n">
        <v>46319</v>
      </c>
      <c r="L51" s="166" t="n"/>
      <c r="M51" s="168" t="inlineStr">
        <is>
          <t>Australia’s Snowy 2.0 pumped hydro project has undergone another major cost revision, with its target budget increasing to A$22.2bn (US$15.8bn... The post Snowy 2.0 cost rises to A$22.2bn appeared first on The Tunnelling Journal .</t>
        </is>
      </c>
      <c r="N51" s="169" t="n"/>
      <c r="O51" s="166" t="n"/>
      <c r="P51" s="166" t="n"/>
      <c r="Q51" s="170" t="n"/>
      <c r="R51" s="167" t="n">
        <v>46318</v>
      </c>
      <c r="S51" s="169" t="inlineStr">
        <is>
          <t>2026-Q4</t>
        </is>
      </c>
      <c r="T51" s="171" t="inlineStr">
        <is>
          <t>tunnelling</t>
        </is>
      </c>
      <c r="U51" s="158" t="n">
        <v>5</v>
      </c>
      <c r="V51" s="172" t="inlineStr">
        <is>
          <t>https://tunnellingjournal.com/snowy-2-0-cost-rises-to-a22-2bn-as-tunnelling-reaches-65-completion/</t>
        </is>
      </c>
      <c r="W51" s="173">
        <f>IF($B51="",0,IF(AND(OR(OR(Dashboard!$B$5="All themes",Dashboard!$B$5=""),$C51=Dashboard!$B$5),OR(OR(Dashboard!$G$5="All uses",Dashboard!$G$5=""),$E51=Dashboard!$G$5),N($D51)&gt;=Lists!$H$2,OR(OR(Dashboard!$N$5="All windows",Dashboard!$N$5=""),$S51=Dashboard!$N$5)),1,0))</f>
        <v/>
      </c>
      <c r="X51" s="174">
        <f>IF($W51=1,N($D51)*1E14+MIN(MAX(N($U51),0),9999)*1E10+MIN(N($K51),99999)*1E5+99999-MIN(ROW(),99999),"")</f>
        <v/>
      </c>
    </row>
    <row r="52" ht="53" customHeight="1">
      <c r="A52" s="158" t="n">
        <v>49</v>
      </c>
      <c r="B52" s="159" t="inlineStr">
        <is>
          <t>Minvu advances 121 housing support cases in Villa El Mirador, Arauco, and prepares soil study</t>
        </is>
      </c>
      <c r="C52" s="182" t="inlineStr">
        <is>
          <t>Characterisation &amp; Modelling</t>
        </is>
      </c>
      <c r="D52" s="161" t="n">
        <v>3</v>
      </c>
      <c r="E52" s="180" t="inlineStr">
        <is>
          <t>News brief</t>
        </is>
      </c>
      <c r="F52" s="163" t="inlineStr">
        <is>
          <t>To review</t>
        </is>
      </c>
      <c r="G52" s="164" t="n"/>
      <c r="H52" s="165" t="n"/>
      <c r="I52" s="166" t="inlineStr">
        <is>
          <t>What soil investigation is needed before housing support works on this site, and how should ground conditions shape foundation choice?</t>
        </is>
      </c>
      <c r="J52" s="166" t="inlineStr">
        <is>
          <t>Trade-news.cl</t>
        </is>
      </c>
      <c r="K52" s="167" t="n">
        <v>46319</v>
      </c>
      <c r="L52" s="166" t="inlineStr">
        <is>
          <t>Minvu avanza en 121 casos de apoyo habitacional en la Villa El Mirador de Arauco y prepara estudio de suelos</t>
        </is>
      </c>
      <c r="M52" s="168" t="n"/>
      <c r="N52" s="169" t="n"/>
      <c r="O52" s="166" t="n"/>
      <c r="P52" s="166" t="n"/>
      <c r="Q52" s="170" t="inlineStr">
        <is>
          <t>Peru</t>
        </is>
      </c>
      <c r="R52" s="167" t="n">
        <v>46318</v>
      </c>
      <c r="S52" s="169" t="inlineStr">
        <is>
          <t>2026-Q4</t>
        </is>
      </c>
      <c r="T52" s="171" t="inlineStr">
        <is>
          <t>site investigation, soil</t>
        </is>
      </c>
      <c r="U52" s="158" t="n">
        <v>5</v>
      </c>
      <c r="V52" s="172" t="inlineStr">
        <is>
          <t>https://news.google.com/rss/articles/CBMiygFBVV95cUxNYnltUmU0VEdCNDdXUG4xWjNBYXRMUEdlU2dIanhJeHFBalFBOG9DaWx0Tk5KVnZqeGZSMkxZQTNNSkdzWTJHZl9oSDRRWXZOb2YwNFVLNWw5ZjBUY0ZZdTNpOWg5RlQ3M2xDMkt6bkRvMFhXc1k3bTZmVmpVLU9zdTEtQ1R6U1hvWmlPVHA3WjFwc1IwNldOSHV6UGI5VldtdS01bjQ4ZXl4d0N2bjBtWVFqRktLUkZtMFhtVmhrUUVkSEhBbmtJMjJ3?oc=5</t>
        </is>
      </c>
      <c r="W52" s="173">
        <f>IF($B52="",0,IF(AND(OR(OR(Dashboard!$B$5="All themes",Dashboard!$B$5=""),$C52=Dashboard!$B$5),OR(OR(Dashboard!$G$5="All uses",Dashboard!$G$5=""),$E52=Dashboard!$G$5),N($D52)&gt;=Lists!$H$2,OR(OR(Dashboard!$N$5="All windows",Dashboard!$N$5=""),$S52=Dashboard!$N$5)),1,0))</f>
        <v/>
      </c>
      <c r="X52" s="174">
        <f>IF($W52=1,N($D52)*1E14+MIN(MAX(N($U52),0),9999)*1E10+MIN(N($K52),99999)*1E5+99999-MIN(ROW(),99999),"")</f>
        <v/>
      </c>
    </row>
    <row r="53" ht="53" customHeight="1">
      <c r="A53" s="158" t="n">
        <v>50</v>
      </c>
      <c r="B53" s="159" t="inlineStr">
        <is>
          <t>Body of miner trapped in a tunnel collapse in Gámeza recovered</t>
        </is>
      </c>
      <c r="C53" s="183" t="inlineStr">
        <is>
          <t>Geotechnics &amp; Society</t>
        </is>
      </c>
      <c r="D53" s="161" t="n">
        <v>3</v>
      </c>
      <c r="E53" s="180" t="inlineStr">
        <is>
          <t>News brief</t>
        </is>
      </c>
      <c r="F53" s="163" t="inlineStr">
        <is>
          <t>To review</t>
        </is>
      </c>
      <c r="G53" s="164" t="n"/>
      <c r="H53" s="165" t="n"/>
      <c r="I53" s="166" t="inlineStr">
        <is>
          <t>What ground and support conditions lead to tunnel collapses in small mines, and how can rescue operations account for ground instability?</t>
        </is>
      </c>
      <c r="J53" s="166" t="inlineStr">
        <is>
          <t>Boyacá 7 Días</t>
        </is>
      </c>
      <c r="K53" s="167" t="n">
        <v>46319</v>
      </c>
      <c r="L53" s="166" t="inlineStr">
        <is>
          <t>Rescatan el cuerpo sin vida del minero que había quedado atrapado en un socavón en Gámeza</t>
        </is>
      </c>
      <c r="M53" s="168" t="n"/>
      <c r="N53" s="169" t="n"/>
      <c r="O53" s="166" t="n"/>
      <c r="P53" s="166" t="n"/>
      <c r="Q53" s="170" t="inlineStr">
        <is>
          <t>Colombia</t>
        </is>
      </c>
      <c r="R53" s="167" t="n">
        <v>46317</v>
      </c>
      <c r="S53" s="169" t="inlineStr">
        <is>
          <t>2026-Q4</t>
        </is>
      </c>
      <c r="T53" s="171" t="inlineStr">
        <is>
          <t>sinkhole</t>
        </is>
      </c>
      <c r="U53" s="158" t="n">
        <v>4</v>
      </c>
      <c r="V53" s="172" t="inlineStr">
        <is>
          <t>https://news.google.com/rss/articles/CBMixwFBVV95cUxPZGJXSXRVamN6M3Z6Ymc2NnU0ODdaRThOc2tqRWNRQ0VLeklmMTViYzh1RVZESzNZOUlwVkZBUS0zcDB5UFFXdlB1TUM0N0NSU1BJZFNSRERhdnBSeS1jU1B3aVFUQmh6bkxCbUFROEJ1NS0wUDVuMUhFeGNleWtCVUxBendKR0dFekxHQVFNejlTN0hOcGZadDZmWGRiZHdGZ0xNZVRuc21BYnpUWHg3LWx4UzJPbHNxVUJpWWxLdUtWVEhBcnBr?oc=5</t>
        </is>
      </c>
      <c r="W53" s="173">
        <f>IF($B53="",0,IF(AND(OR(OR(Dashboard!$B$5="All themes",Dashboard!$B$5=""),$C53=Dashboard!$B$5),OR(OR(Dashboard!$G$5="All uses",Dashboard!$G$5=""),$E53=Dashboard!$G$5),N($D53)&gt;=Lists!$H$2,OR(OR(Dashboard!$N$5="All windows",Dashboard!$N$5=""),$S53=Dashboard!$N$5)),1,0))</f>
        <v/>
      </c>
      <c r="X53" s="174">
        <f>IF($W53=1,N($D53)*1E14+MIN(MAX(N($U53),0),9999)*1E10+MIN(N($K53),99999)*1E5+99999-MIN(ROW(),99999),"")</f>
        <v/>
      </c>
    </row>
    <row r="54" ht="40.5" customHeight="1">
      <c r="A54" s="158" t="n">
        <v>51</v>
      </c>
      <c r="B54" s="159" t="inlineStr">
        <is>
          <t>Strong waves on Mazatlán beaches form sinkhole in monument</t>
        </is>
      </c>
      <c r="C54" s="175" t="inlineStr">
        <is>
          <t>Offshore, Coasts &amp; Water</t>
        </is>
      </c>
      <c r="D54" s="161" t="n">
        <v>3</v>
      </c>
      <c r="E54" s="180" t="inlineStr">
        <is>
          <t>News brief</t>
        </is>
      </c>
      <c r="F54" s="163" t="inlineStr">
        <is>
          <t>To review</t>
        </is>
      </c>
      <c r="G54" s="164" t="n"/>
      <c r="H54" s="165" t="n"/>
      <c r="I54" s="166" t="inlineStr">
        <is>
          <t>How do wave action and beach sand erosion undermine coastal monuments and promenade ground in Mazatlán?</t>
        </is>
      </c>
      <c r="J54" s="166" t="inlineStr">
        <is>
          <t>El Universal</t>
        </is>
      </c>
      <c r="K54" s="167" t="n">
        <v>46319</v>
      </c>
      <c r="L54" s="166" t="inlineStr">
        <is>
          <t>Fuerte oleaje en playas de Mazatlán forma socavón en monumento</t>
        </is>
      </c>
      <c r="M54" s="168" t="n"/>
      <c r="N54" s="169" t="n"/>
      <c r="O54" s="166" t="n"/>
      <c r="P54" s="166" t="n"/>
      <c r="Q54" s="170" t="inlineStr">
        <is>
          <t>Colombia</t>
        </is>
      </c>
      <c r="R54" s="167" t="n">
        <v>46319</v>
      </c>
      <c r="S54" s="169" t="inlineStr">
        <is>
          <t>2026-Q4</t>
        </is>
      </c>
      <c r="T54" s="171" t="inlineStr">
        <is>
          <t>sinkhole</t>
        </is>
      </c>
      <c r="U54" s="158" t="n">
        <v>4</v>
      </c>
      <c r="V54" s="172" t="inlineStr">
        <is>
          <t>https://news.google.com/rss/articles/CBMi0gFBVV95cUxNcGZlMTE5MjVLdXpRZjFKNzcxQnZ5YmFUQ0xkeGljcmdESFNjZE1xai1JR196X3BEcTl6eWZmWjlPU3ZpQktHM3hWSmJvVEtUaGlSb2hNUWtmcjNpbV9hZXhRdVR1UEdMeC1fMTducHM4bElIOGFLZFhvZnZIMXM5OHRYdEJ4N2NVNGhGa181Qm8zTTd6d2dTQjVkSUZrRHdwcE5LVUxxY3JhSnN2di15NFVXWXJDU011NW5uejZQVmNtcHpvOU9NOXFzbVJNVU9TdnfSAeYBQVVfeXFMTXdwTjRSMVRXVjFOUGJEU1dkVDB2c1dCc0c0MnZIN1hZVHl4Z24taWFocko0SldESnk3LWltclY2TU94d0liMXM3YkxiVndZQVhCWFc5ZEROYjdCNFRCVmlEaTl0X2ZOXzRJQmtKSTFPWTVsNjZncVBudnBmckRjX1M3OEUwSVNYT2RtUF9SYzgxQlJHMWgxYVRkcUYwck9IOXBzeUE2Yi01QXRVeG1IQTFvOUxsaU9TNlVobzJROUhFVmV3bng5NFZnSlV3SFNiQXFkTGFMVFBwZUp2dUhIV1Z1RU5rNFE?oc=5</t>
        </is>
      </c>
      <c r="W54" s="173">
        <f>IF($B54="",0,IF(AND(OR(OR(Dashboard!$B$5="All themes",Dashboard!$B$5=""),$C54=Dashboard!$B$5),OR(OR(Dashboard!$G$5="All uses",Dashboard!$G$5=""),$E54=Dashboard!$G$5),N($D54)&gt;=Lists!$H$2,OR(OR(Dashboard!$N$5="All windows",Dashboard!$N$5=""),$S54=Dashboard!$N$5)),1,0))</f>
        <v/>
      </c>
      <c r="X54" s="174">
        <f>IF($W54=1,N($D54)*1E14+MIN(MAX(N($U54),0),9999)*1E10+MIN(N($K54),99999)*1E5+99999-MIN(ROW(),99999),"")</f>
        <v/>
      </c>
    </row>
    <row r="55" ht="53" customHeight="1">
      <c r="A55" s="158" t="n">
        <v>52</v>
      </c>
      <c r="B55" s="159" t="inlineStr">
        <is>
          <t>Ivan Noskov announced restoration of a retaining wall on Vladimirskaya Street in Samara</t>
        </is>
      </c>
      <c r="C55" s="177" t="inlineStr">
        <is>
          <t>Infrastructure &amp; the Underground City</t>
        </is>
      </c>
      <c r="D55" s="161" t="n">
        <v>3</v>
      </c>
      <c r="E55" s="180" t="inlineStr">
        <is>
          <t>News brief</t>
        </is>
      </c>
      <c r="F55" s="163" t="inlineStr">
        <is>
          <t>To review</t>
        </is>
      </c>
      <c r="G55" s="164" t="n"/>
      <c r="H55" s="165" t="n"/>
      <c r="I55" s="166" t="inlineStr">
        <is>
          <t>What causes retaining-wall deterioration on urban slopes like Samara's, and how should restoration design address overall slope stability?</t>
        </is>
      </c>
      <c r="J55" s="166" t="inlineStr">
        <is>
          <t>Самарская газета</t>
        </is>
      </c>
      <c r="K55" s="167" t="n">
        <v>46319</v>
      </c>
      <c r="L55" s="166" t="inlineStr">
        <is>
          <t>Иван Носков анонсировал восстановление подпорной стены на Владимирской в Самаре</t>
        </is>
      </c>
      <c r="M55" s="168" t="n"/>
      <c r="N55" s="169" t="n"/>
      <c r="O55" s="166" t="n"/>
      <c r="P55" s="166" t="n"/>
      <c r="Q55" s="170" t="inlineStr">
        <is>
          <t>Russia</t>
        </is>
      </c>
      <c r="R55" s="167" t="n">
        <v>46318</v>
      </c>
      <c r="S55" s="169" t="inlineStr">
        <is>
          <t>2026-Q4</t>
        </is>
      </c>
      <c r="T55" s="171" t="inlineStr">
        <is>
          <t>retaining wall</t>
        </is>
      </c>
      <c r="U55" s="158" t="n">
        <v>4</v>
      </c>
      <c r="V55" s="172" t="inlineStr">
        <is>
          <t>https://news.google.com/rss/articles/CBMiREFVX3lxTE9KcGh5bWlxWEhKT3FXdU5qVjNOd3c3clQ1bGw1YWFmaHljV0U3ckZYcndLVTgtakJFSHZZQ3ViYXg2QnV4?oc=5</t>
        </is>
      </c>
      <c r="W55" s="173">
        <f>IF($B55="",0,IF(AND(OR(OR(Dashboard!$B$5="All themes",Dashboard!$B$5=""),$C55=Dashboard!$B$5),OR(OR(Dashboard!$G$5="All uses",Dashboard!$G$5=""),$E55=Dashboard!$G$5),N($D55)&gt;=Lists!$H$2,OR(OR(Dashboard!$N$5="All windows",Dashboard!$N$5=""),$S55=Dashboard!$N$5)),1,0))</f>
        <v/>
      </c>
      <c r="X55" s="174">
        <f>IF($W55=1,N($D55)*1E14+MIN(MAX(N($U55),0),9999)*1E10+MIN(N($K55),99999)*1E5+99999-MIN(ROW(),99999),"")</f>
        <v/>
      </c>
    </row>
    <row r="56" ht="40.5" customHeight="1">
      <c r="A56" s="158" t="n">
        <v>53</v>
      </c>
      <c r="B56" s="159" t="inlineStr">
        <is>
          <t>Escobedo begins repair of sinkhole</t>
        </is>
      </c>
      <c r="C56" s="177" t="inlineStr">
        <is>
          <t>Infrastructure &amp; the Underground City</t>
        </is>
      </c>
      <c r="D56" s="161" t="n">
        <v>3</v>
      </c>
      <c r="E56" s="180" t="inlineStr">
        <is>
          <t>News brief</t>
        </is>
      </c>
      <c r="F56" s="163" t="inlineStr">
        <is>
          <t>To review</t>
        </is>
      </c>
      <c r="G56" s="164" t="n"/>
      <c r="H56" s="165" t="n"/>
      <c r="I56" s="166" t="inlineStr">
        <is>
          <t>What investigation and grouting methods are used to repair urban sinkholes like the one in Escobedo?</t>
        </is>
      </c>
      <c r="J56" s="166" t="inlineStr">
        <is>
          <t>Detona, Real News</t>
        </is>
      </c>
      <c r="K56" s="167" t="n">
        <v>46319</v>
      </c>
      <c r="L56" s="166" t="inlineStr">
        <is>
          <t>Inicia Escobedo reparación de socavón</t>
        </is>
      </c>
      <c r="M56" s="168" t="n"/>
      <c r="N56" s="169" t="n"/>
      <c r="O56" s="166" t="n"/>
      <c r="P56" s="166" t="n"/>
      <c r="Q56" s="170" t="inlineStr">
        <is>
          <t>Colombia</t>
        </is>
      </c>
      <c r="R56" s="167" t="n">
        <v>46319</v>
      </c>
      <c r="S56" s="169" t="inlineStr">
        <is>
          <t>2026-Q4</t>
        </is>
      </c>
      <c r="T56" s="171" t="inlineStr">
        <is>
          <t>sinkhole</t>
        </is>
      </c>
      <c r="U56" s="158" t="n">
        <v>4</v>
      </c>
      <c r="V56" s="172" t="inlineStr">
        <is>
          <t>https://news.google.com/rss/articles/CBMijAFBVV95cUxQdDFPZ1hLdVRrLUxWRTkyRWtWTjdrMTlTMi1EdW5meVA1dG5ZUWxNZ09MRThFeTk0OThLTDg4QkhBRlQwMzZkTnRBWnh2ZjdTWkhVWTcxX0QxYnNrMW9XOHNyVFZxeHpJMkthZDJRbGtsV0VuTjkwLXFTN0JSS2k2NU85em9uLWgtTjBjUQ?oc=5</t>
        </is>
      </c>
      <c r="W56" s="173">
        <f>IF($B56="",0,IF(AND(OR(OR(Dashboard!$B$5="All themes",Dashboard!$B$5=""),$C56=Dashboard!$B$5),OR(OR(Dashboard!$G$5="All uses",Dashboard!$G$5=""),$E56=Dashboard!$G$5),N($D56)&gt;=Lists!$H$2,OR(OR(Dashboard!$N$5="All windows",Dashboard!$N$5=""),$S56=Dashboard!$N$5)),1,0))</f>
        <v/>
      </c>
      <c r="X56" s="174">
        <f>IF($W56=1,N($D56)*1E14+MIN(MAX(N($U56),0),9999)*1E10+MIN(N($K56),99999)*1E5+99999-MIN(ROW(),99999),"")</f>
        <v/>
      </c>
    </row>
    <row r="57" ht="40.5" customHeight="1">
      <c r="A57" s="158" t="n">
        <v>54</v>
      </c>
      <c r="B57" s="159" t="inlineStr">
        <is>
          <t>Center attends sinkhole in Casa Blanca</t>
        </is>
      </c>
      <c r="C57" s="177" t="inlineStr">
        <is>
          <t>Infrastructure &amp; the Underground City</t>
        </is>
      </c>
      <c r="D57" s="161" t="n">
        <v>3</v>
      </c>
      <c r="E57" s="180" t="inlineStr">
        <is>
          <t>News brief</t>
        </is>
      </c>
      <c r="F57" s="163" t="inlineStr">
        <is>
          <t>To review</t>
        </is>
      </c>
      <c r="G57" s="164" t="n"/>
      <c r="H57" s="165" t="n"/>
      <c r="I57" s="166" t="inlineStr">
        <is>
          <t>What subsurface causes are likely behind the Casa Blanca sinkhole, and how should emergency response proceed?</t>
        </is>
      </c>
      <c r="J57" s="166" t="inlineStr">
        <is>
          <t>Tabasco HOY</t>
        </is>
      </c>
      <c r="K57" s="167" t="n">
        <v>46319</v>
      </c>
      <c r="L57" s="166" t="inlineStr">
        <is>
          <t>Centro atiende socavón en Casa Blanca</t>
        </is>
      </c>
      <c r="M57" s="168" t="n"/>
      <c r="N57" s="169" t="n"/>
      <c r="O57" s="166" t="n"/>
      <c r="P57" s="166" t="n"/>
      <c r="Q57" s="170" t="inlineStr">
        <is>
          <t>Colombia</t>
        </is>
      </c>
      <c r="R57" s="167" t="n">
        <v>46319</v>
      </c>
      <c r="S57" s="169" t="inlineStr">
        <is>
          <t>2026-Q4</t>
        </is>
      </c>
      <c r="T57" s="171" t="inlineStr">
        <is>
          <t>sinkhole</t>
        </is>
      </c>
      <c r="U57" s="158" t="n">
        <v>4</v>
      </c>
      <c r="V57" s="172" t="inlineStr">
        <is>
          <t>https://news.google.com/rss/articles/CBMic0FVX3lxTE56eFFxMjNpU2dPWkppM1RsMEJJbThwdXcyYk1id0t2V1RCYUFMQTJzVGRGMFBxODZlSi1IVERlM29jWGtJRUtkb1M5em1ISlMwd1hBVnkwNEVOb1hiWlkzNU9JZUJJbWZXNUFZWTh5YkE5SE0?oc=5</t>
        </is>
      </c>
      <c r="W57" s="173">
        <f>IF($B57="",0,IF(AND(OR(OR(Dashboard!$B$5="All themes",Dashboard!$B$5=""),$C57=Dashboard!$B$5),OR(OR(Dashboard!$G$5="All uses",Dashboard!$G$5=""),$E57=Dashboard!$G$5),N($D57)&gt;=Lists!$H$2,OR(OR(Dashboard!$N$5="All windows",Dashboard!$N$5=""),$S57=Dashboard!$N$5)),1,0))</f>
        <v/>
      </c>
      <c r="X57" s="174">
        <f>IF($W57=1,N($D57)*1E14+MIN(MAX(N($U57),0),9999)*1E10+MIN(N($K57),99999)*1E5+99999-MIN(ROW(),99999),"")</f>
        <v/>
      </c>
    </row>
    <row r="58" ht="40.5" customHeight="1">
      <c r="A58" s="158" t="n">
        <v>55</v>
      </c>
      <c r="B58" s="159" t="inlineStr">
        <is>
          <t>Sinkhole forms at top of underpass in Francisco I. Madero</t>
        </is>
      </c>
      <c r="C58" s="177" t="inlineStr">
        <is>
          <t>Infrastructure &amp; the Underground City</t>
        </is>
      </c>
      <c r="D58" s="161" t="n">
        <v>3</v>
      </c>
      <c r="E58" s="180" t="inlineStr">
        <is>
          <t>News brief</t>
        </is>
      </c>
      <c r="F58" s="163" t="inlineStr">
        <is>
          <t>To review</t>
        </is>
      </c>
      <c r="G58" s="164" t="n"/>
      <c r="H58" s="165" t="n"/>
      <c r="I58" s="166" t="inlineStr">
        <is>
          <t>What ground movements and drainage failures beneath an underpass cause sinkholes at its top surface?</t>
        </is>
      </c>
      <c r="J58" s="166" t="inlineStr">
        <is>
          <t>El Siglo de Torreón</t>
        </is>
      </c>
      <c r="K58" s="167" t="n">
        <v>46319</v>
      </c>
      <c r="L58" s="166" t="inlineStr">
        <is>
          <t>Se origina socavón en la parte superior del paso a desnivel en Francisco I. Madero</t>
        </is>
      </c>
      <c r="M58" s="168" t="n"/>
      <c r="N58" s="169" t="n"/>
      <c r="O58" s="166" t="n"/>
      <c r="P58" s="166" t="n"/>
      <c r="Q58" s="170" t="inlineStr">
        <is>
          <t>Colombia</t>
        </is>
      </c>
      <c r="R58" s="167" t="n">
        <v>46318</v>
      </c>
      <c r="S58" s="169" t="inlineStr">
        <is>
          <t>2026-Q4</t>
        </is>
      </c>
      <c r="T58" s="171" t="inlineStr">
        <is>
          <t>sinkhole</t>
        </is>
      </c>
      <c r="U58" s="158" t="n">
        <v>4</v>
      </c>
      <c r="V58" s="172" t="inlineStr">
        <is>
          <t>https://news.google.com/rss/articles/CBMi0AFBVV95cUxNZm5rakRuTlVuWjFiMGV5Z2p4SmRJUTlTc3E4S0g0WnVzaEcwRTVTWjdrVVlBRl84ckNvRUpXQjh2bTY2R2RnNFZGOG5uVnpDZnBpSUM1S3JVd05lQUd0cVNNaG4zYUdNSjUyVmZ5TnZfM2RZN0UxUFFMeUJxSEgxSC16bFBlcG52cEN4RVh3dC1EM3g5R1ZTS2tuNVczZEJNRDdfaTZrMXRXb0cwS1NrdS1lb0VITjU5ajZfeXpINS1PVjNNeTNkNkJlX0o3R3NO?oc=5</t>
        </is>
      </c>
      <c r="W58" s="173">
        <f>IF($B58="",0,IF(AND(OR(OR(Dashboard!$B$5="All themes",Dashboard!$B$5=""),$C58=Dashboard!$B$5),OR(OR(Dashboard!$G$5="All uses",Dashboard!$G$5=""),$E58=Dashboard!$G$5),N($D58)&gt;=Lists!$H$2,OR(OR(Dashboard!$N$5="All windows",Dashboard!$N$5=""),$S58=Dashboard!$N$5)),1,0))</f>
        <v/>
      </c>
      <c r="X58" s="174">
        <f>IF($W58=1,N($D58)*1E14+MIN(MAX(N($U58),0),9999)*1E10+MIN(N($K58),99999)*1E5+99999-MIN(ROW(),99999),"")</f>
        <v/>
      </c>
    </row>
    <row r="59" ht="40.5" customHeight="1">
      <c r="A59" s="158" t="n">
        <v>56</v>
      </c>
      <c r="B59" s="159" t="inlineStr">
        <is>
          <t>Ambulance left hanging in a sinkhole in Aucapán rescued</t>
        </is>
      </c>
      <c r="C59" s="177" t="inlineStr">
        <is>
          <t>Infrastructure &amp; the Underground City</t>
        </is>
      </c>
      <c r="D59" s="161" t="n">
        <v>3</v>
      </c>
      <c r="E59" s="180" t="inlineStr">
        <is>
          <t>News brief</t>
        </is>
      </c>
      <c r="F59" s="163" t="inlineStr">
        <is>
          <t>To review</t>
        </is>
      </c>
      <c r="G59" s="164" t="n"/>
      <c r="H59" s="165" t="n"/>
      <c r="I59" s="166" t="inlineStr">
        <is>
          <t>How do soil loss and void formation under a road lead to vehicles hanging over sinkholes, and what rescue precautions apply?</t>
        </is>
      </c>
      <c r="J59" s="166" t="inlineStr">
        <is>
          <t>Realidad Sanmartinense</t>
        </is>
      </c>
      <c r="K59" s="167" t="n">
        <v>46319</v>
      </c>
      <c r="L59" s="166" t="inlineStr">
        <is>
          <t>Rescatan ambulancia que quedó colgada en un socavón en Aucapán</t>
        </is>
      </c>
      <c r="M59" s="168" t="n"/>
      <c r="N59" s="169" t="n"/>
      <c r="O59" s="166" t="n"/>
      <c r="P59" s="166" t="n"/>
      <c r="Q59" s="170" t="inlineStr">
        <is>
          <t>Colombia</t>
        </is>
      </c>
      <c r="R59" s="167" t="n">
        <v>46318</v>
      </c>
      <c r="S59" s="169" t="inlineStr">
        <is>
          <t>2026-Q4</t>
        </is>
      </c>
      <c r="T59" s="171" t="inlineStr">
        <is>
          <t>sinkhole</t>
        </is>
      </c>
      <c r="U59" s="158" t="n">
        <v>4</v>
      </c>
      <c r="V59" s="172" t="inlineStr">
        <is>
          <t>https://news.google.com/rss/articles/CBMieEFVX3lxTE5YeFpJbnV5Wkk5VGczTmxUT3Vod1U2UWltZHhMQmtKclRjcURMSGpiSjRHSWNNMjJUWmM2Z1JlUkNHNlgwU09XZXFaNEpKWEoyRG5pdzVvMFQ0aGc4VjdfZG1uWl9FWlVpNnJPTGZRam11WUtBaHdwVNIBfkFVX3lxTFBVV01qejl4ci1ZT3FCdDUtc1ppR3Y3UDM2Y0FjZFpYUEN4UUltSWgwd0Y4Y0lJY1UwTkI0Tm9YeFN2N19qMmhKaGpyQXNKN2hvOFpkZ2VWdno5NmFyOVY3WE9PdXNfTGJpVm9xUThadkdmV0xLNGZhTjFjdkFEQQ?oc=5</t>
        </is>
      </c>
      <c r="W59" s="173">
        <f>IF($B59="",0,IF(AND(OR(OR(Dashboard!$B$5="All themes",Dashboard!$B$5=""),$C59=Dashboard!$B$5),OR(OR(Dashboard!$G$5="All uses",Dashboard!$G$5=""),$E59=Dashboard!$G$5),N($D59)&gt;=Lists!$H$2,OR(OR(Dashboard!$N$5="All windows",Dashboard!$N$5=""),$S59=Dashboard!$N$5)),1,0))</f>
        <v/>
      </c>
      <c r="X59" s="174">
        <f>IF($W59=1,N($D59)*1E14+MIN(MAX(N($U59),0),9999)*1E10+MIN(N($K59),99999)*1E5+99999-MIN(ROW(),99999),"")</f>
        <v/>
      </c>
    </row>
    <row r="60" ht="53" customHeight="1">
      <c r="A60" s="158" t="n">
        <v>57</v>
      </c>
      <c r="B60" s="159" t="inlineStr">
        <is>
          <t>Gia Lai province People's Committee chairman discusses proposal to level Mot Mountain.</t>
        </is>
      </c>
      <c r="C60" s="183" t="inlineStr">
        <is>
          <t>Geotechnics &amp; Society</t>
        </is>
      </c>
      <c r="D60" s="161" t="n">
        <v>3</v>
      </c>
      <c r="E60" s="181" t="inlineStr">
        <is>
          <t>Regional insight</t>
        </is>
      </c>
      <c r="F60" s="163" t="inlineStr">
        <is>
          <t>To review</t>
        </is>
      </c>
      <c r="G60" s="164" t="n"/>
      <c r="H60" s="165" t="n"/>
      <c r="I60" s="166" t="inlineStr">
        <is>
          <t>What are the geotechnical feasibility issues of levelling a hill, including rock quality, slope excavation and stability, compared with preservation?</t>
        </is>
      </c>
      <c r="J60" s="166" t="inlineStr">
        <is>
          <t>Vietnam.vn</t>
        </is>
      </c>
      <c r="K60" s="167" t="n">
        <v>46319</v>
      </c>
      <c r="L60" s="166" t="inlineStr">
        <is>
          <t>رئيس اللجنة الشعبية لمقاطعة جيا لاي يتحدث عن اقتراح تسوية جبل موت.</t>
        </is>
      </c>
      <c r="M60" s="168" t="n"/>
      <c r="N60" s="169" t="n"/>
      <c r="O60" s="166" t="n"/>
      <c r="P60" s="166" t="n"/>
      <c r="Q60" s="170" t="inlineStr">
        <is>
          <t>Egypt</t>
        </is>
      </c>
      <c r="R60" s="167" t="n">
        <v>46318</v>
      </c>
      <c r="S60" s="169" t="inlineStr">
        <is>
          <t>2026-Q4</t>
        </is>
      </c>
      <c r="T60" s="171" t="n"/>
      <c r="U60" s="158" t="n">
        <v>0</v>
      </c>
      <c r="V60" s="172" t="inlineStr">
        <is>
          <t>https://news.google.com/rss/articles/CBMijgFBVV95cUxNdzRhVnVlVUVUU1k4S3pUQVo2RFJENXlEM1V6Z2FrVzRMQ2cxb0pZNkJpWUY5UWFHd1ZIUEZmU2x4SGtydEtXN3k2bTBIYWQ3VmZNZkNTRkhfRFctd3JZdThkRW1HTWIxYmVXRDZsazFZVTJsUzVjTWk0R2FIUElZRG5lLUpaeXpHRlZSdFBn?oc=5</t>
        </is>
      </c>
      <c r="W60" s="173">
        <f>IF($B60="",0,IF(AND(OR(OR(Dashboard!$B$5="All themes",Dashboard!$B$5=""),$C60=Dashboard!$B$5),OR(OR(Dashboard!$G$5="All uses",Dashboard!$G$5=""),$E60=Dashboard!$G$5),N($D60)&gt;=Lists!$H$2,OR(OR(Dashboard!$N$5="All windows",Dashboard!$N$5=""),$S60=Dashboard!$N$5)),1,0))</f>
        <v/>
      </c>
      <c r="X60" s="174">
        <f>IF($W60=1,N($D60)*1E14+MIN(MAX(N($U60),0),9999)*1E10+MIN(N($K60),99999)*1E5+99999-MIN(ROW(),99999),"")</f>
        <v/>
      </c>
    </row>
    <row r="61" ht="53" customHeight="1">
      <c r="A61" s="158" t="n">
        <v>58</v>
      </c>
      <c r="B61" s="159" t="inlineStr">
        <is>
          <t>What are the options for Mot Mountain in Quy Nhon: level it or preserve the historic site?</t>
        </is>
      </c>
      <c r="C61" s="183" t="inlineStr">
        <is>
          <t>Geotechnics &amp; Society</t>
        </is>
      </c>
      <c r="D61" s="161" t="n">
        <v>3</v>
      </c>
      <c r="E61" s="181" t="inlineStr">
        <is>
          <t>Regional insight</t>
        </is>
      </c>
      <c r="F61" s="163" t="inlineStr">
        <is>
          <t>To review</t>
        </is>
      </c>
      <c r="G61" s="164" t="n"/>
      <c r="H61" s="165" t="n"/>
      <c r="I61" s="166" t="inlineStr">
        <is>
          <t>What geotechnical assessments would be needed to compare levelling Mot Mountain with conserving its historic site, including rock stability and foundation implications?</t>
        </is>
      </c>
      <c r="J61" s="166" t="inlineStr">
        <is>
          <t>Vietnam.vn</t>
        </is>
      </c>
      <c r="K61" s="167" t="n">
        <v>46319</v>
      </c>
      <c r="L61" s="166" t="inlineStr">
        <is>
          <t>Quais são as opções para o Monte Mot em Quy Nhon: nivelá-lo ou preservar o sítio histórico?</t>
        </is>
      </c>
      <c r="M61" s="168" t="n"/>
      <c r="N61" s="169" t="n"/>
      <c r="O61" s="166" t="n"/>
      <c r="P61" s="166" t="n"/>
      <c r="Q61" s="170" t="inlineStr">
        <is>
          <t>Brazil</t>
        </is>
      </c>
      <c r="R61" s="167" t="n">
        <v>46319</v>
      </c>
      <c r="S61" s="169" t="inlineStr">
        <is>
          <t>2026-Q4</t>
        </is>
      </c>
      <c r="T61" s="171" t="n"/>
      <c r="U61" s="158" t="n">
        <v>0</v>
      </c>
      <c r="V61" s="172" t="inlineStr">
        <is>
          <t>https://news.google.com/rss/articles/CBMilgFBVV95cUxNS29sd2RXaDlmWXJYMzNQSnJKZGpCWmJpOE9kVEdWQ2RFcUd0UHBGdHdRczJLbFRwTHFDb0ZPY1lHOHNsRGtTLXhTb081eGdyWF9YcmcxZkFrc2VNNzBJOUxNU1ppYnZtWlZBTTlZcXNfa2xNVUZWRTUyMkRlTHRUMmJ4Nk95a1kybUNTTmVPaklQSHktWUE?oc=5</t>
        </is>
      </c>
      <c r="W61" s="173">
        <f>IF($B61="",0,IF(AND(OR(OR(Dashboard!$B$5="All themes",Dashboard!$B$5=""),$C61=Dashboard!$B$5),OR(OR(Dashboard!$G$5="All uses",Dashboard!$G$5=""),$E61=Dashboard!$G$5),N($D61)&gt;=Lists!$H$2,OR(OR(Dashboard!$N$5="All windows",Dashboard!$N$5=""),$S61=Dashboard!$N$5)),1,0))</f>
        <v/>
      </c>
      <c r="X61" s="174">
        <f>IF($W61=1,N($D61)*1E14+MIN(MAX(N($U61),0),9999)*1E10+MIN(N($K61),99999)*1E5+99999-MIN(ROW(),99999),"")</f>
        <v/>
      </c>
    </row>
    <row r="62" ht="53" customHeight="1">
      <c r="A62" s="158" t="n">
        <v>59</v>
      </c>
      <c r="B62" s="159" t="inlineStr">
        <is>
          <t>Cerraron un sector de la costanera de una ciudad correntina por hundimiento</t>
        </is>
      </c>
      <c r="C62" s="175" t="inlineStr">
        <is>
          <t>Offshore, Coasts &amp; Water</t>
        </is>
      </c>
      <c r="D62" s="161" t="n">
        <v>3</v>
      </c>
      <c r="E62" s="180" t="inlineStr">
        <is>
          <t>News brief</t>
        </is>
      </c>
      <c r="F62" s="163" t="inlineStr">
        <is>
          <t>To review</t>
        </is>
      </c>
      <c r="G62" s="164" t="n"/>
      <c r="H62" s="165" t="n"/>
      <c r="I62" s="166" t="inlineStr">
        <is>
          <t>What causes subsidence along a riverfront promenade in Corrientes, and how should ground investigation guide repair of the costanera?</t>
        </is>
      </c>
      <c r="J62" s="166" t="inlineStr">
        <is>
          <t>El Litoral | Novedades de Corrientes</t>
        </is>
      </c>
      <c r="K62" s="167" t="n">
        <v>46319</v>
      </c>
      <c r="L62" s="166" t="n"/>
      <c r="M62" s="168" t="n"/>
      <c r="N62" s="169" t="n"/>
      <c r="O62" s="166" t="n"/>
      <c r="P62" s="166" t="n"/>
      <c r="Q62" s="170" t="inlineStr">
        <is>
          <t>Argentina</t>
        </is>
      </c>
      <c r="R62" s="167" t="n">
        <v>46317</v>
      </c>
      <c r="S62" s="169" t="inlineStr">
        <is>
          <t>2026-Q4</t>
        </is>
      </c>
      <c r="T62" s="171" t="n"/>
      <c r="U62" s="158" t="n">
        <v>0</v>
      </c>
      <c r="V62" s="172" t="inlineStr">
        <is>
          <t>https://news.google.com/rss/articles/CBMizAFBVV95cUxOX3FrTEZHRzR0dFNpaDRjdm9hSlZqREtnQ0Nhak51bmpSbTdqOWtyeDNxV0RmekhHR1JNRjlOSXNzb295b0ZjdVJRb29aaUJLbE9JbDJlLUFkMHg4MnZpVkVnVE9pMW1pM3U5YlBjVmZGTVBxVlBtTkJOeHNleHBoQldIRGdNQXo5UExaQ2tqYmZ5Rnd1aEtuakUxalItUnk3ak83Nm5YNDFVZXo4bFBETEZ6czd4N2I1aE1jZnB3OE80Ym1EM2prQkZXMTc?oc=5</t>
        </is>
      </c>
      <c r="W62" s="173">
        <f>IF($B62="",0,IF(AND(OR(OR(Dashboard!$B$5="All themes",Dashboard!$B$5=""),$C62=Dashboard!$B$5),OR(OR(Dashboard!$G$5="All uses",Dashboard!$G$5=""),$E62=Dashboard!$G$5),N($D62)&gt;=Lists!$H$2,OR(OR(Dashboard!$N$5="All windows",Dashboard!$N$5=""),$S62=Dashboard!$N$5)),1,0))</f>
        <v/>
      </c>
      <c r="X62" s="174">
        <f>IF($W62=1,N($D62)*1E14+MIN(MAX(N($U62),0),9999)*1E10+MIN(N($K62),99999)*1E5+99999-MIN(ROW(),99999),"")</f>
        <v/>
      </c>
    </row>
    <row r="63" ht="40.5" customHeight="1">
      <c r="A63" s="158" t="n">
        <v>60</v>
      </c>
      <c r="B63" s="159" t="inlineStr">
        <is>
          <t>Inician rehabilitación tras hundimiento de losa en el Malecón Costero de Coatzacoalcos</t>
        </is>
      </c>
      <c r="C63" s="175" t="inlineStr">
        <is>
          <t>Offshore, Coasts &amp; Water</t>
        </is>
      </c>
      <c r="D63" s="161" t="n">
        <v>3</v>
      </c>
      <c r="E63" s="180" t="inlineStr">
        <is>
          <t>News brief</t>
        </is>
      </c>
      <c r="F63" s="163" t="inlineStr">
        <is>
          <t>To review</t>
        </is>
      </c>
      <c r="G63" s="164" t="n"/>
      <c r="H63" s="165" t="n"/>
      <c r="I63" s="166" t="inlineStr">
        <is>
          <t>What causes slab sinking on a coastal promenade exposed to waves, and what foundation and drainage remedies are appropriate?</t>
        </is>
      </c>
      <c r="J63" s="166" t="inlineStr">
        <is>
          <t>:: Foro Coatza ::</t>
        </is>
      </c>
      <c r="K63" s="167" t="n">
        <v>46319</v>
      </c>
      <c r="L63" s="166" t="n"/>
      <c r="M63" s="168" t="n"/>
      <c r="N63" s="169" t="n"/>
      <c r="O63" s="166" t="n"/>
      <c r="P63" s="166" t="n"/>
      <c r="Q63" s="170" t="inlineStr">
        <is>
          <t>Argentina</t>
        </is>
      </c>
      <c r="R63" s="167" t="n">
        <v>46318</v>
      </c>
      <c r="S63" s="169" t="inlineStr">
        <is>
          <t>2026-Q4</t>
        </is>
      </c>
      <c r="T63" s="171" t="n"/>
      <c r="U63" s="158" t="n">
        <v>0</v>
      </c>
      <c r="V63" s="172" t="inlineStr">
        <is>
          <t>https://news.google.com/rss/articles/CBMixgFBVV95cUxOVi1Wa2xtWXg5NW1rUUJDa2xWblVjTVpQY3QwdFdWVzJnQzBFcVJKSUtIdFdlMXZmdVhTX2FETTJOREZwVVJ0Yk5TdHVPdjhfX2tvV08yMVhBYVROS0hlalBzMWtuSHBmTWRNcTJhNTN4a0w3b1BIdnVxajVyOER5OGo4dmthTS1nM2ZqOG5Ja1ZkRTR1MFVvWXNhQ3ctX3FfZF9wdjJ6cEppVmc5OXRlWEp6NmRaWllSdGRDQmF6N2RWR3VVZnc?oc=5</t>
        </is>
      </c>
      <c r="W63" s="173">
        <f>IF($B63="",0,IF(AND(OR(OR(Dashboard!$B$5="All themes",Dashboard!$B$5=""),$C63=Dashboard!$B$5),OR(OR(Dashboard!$G$5="All uses",Dashboard!$G$5=""),$E63=Dashboard!$G$5),N($D63)&gt;=Lists!$H$2,OR(OR(Dashboard!$N$5="All windows",Dashboard!$N$5=""),$S63=Dashboard!$N$5)),1,0))</f>
        <v/>
      </c>
      <c r="X63" s="174">
        <f>IF($W63=1,N($D63)*1E14+MIN(MAX(N($U63),0),9999)*1E10+MIN(N($K63),99999)*1E5+99999-MIN(ROW(),99999),"")</f>
        <v/>
      </c>
    </row>
  </sheetData>
  <conditionalFormatting sqref="F4:F63">
    <cfRule type="cellIs" priority="1" operator="equal" dxfId="16">
      <formula>"To review"</formula>
    </cfRule>
    <cfRule type="cellIs" priority="2" operator="equal" dxfId="17">
      <formula>"Shortlisted"</formula>
    </cfRule>
    <cfRule type="cellIs" priority="3" operator="equal" dxfId="18">
      <formula>"Commissioned"</formula>
    </cfRule>
    <cfRule type="cellIs" priority="4" operator="equal" dxfId="19">
      <formula>"Published"</formula>
    </cfRule>
    <cfRule type="cellIs" priority="5" operator="equal" dxfId="20">
      <formula>"Not used"</formula>
    </cfRule>
  </conditionalFormatting>
  <conditionalFormatting sqref="A4:V63">
    <cfRule type="expression" priority="6" dxfId="15">
      <formula>$F4="Not used"</formula>
    </cfRule>
  </conditionalFormatting>
  <conditionalFormatting sqref="D4:D63">
    <cfRule type="cellIs" priority="7" operator="equal" dxfId="10">
      <formula>5</formula>
    </cfRule>
    <cfRule type="cellIs" priority="8" operator="equal" dxfId="11">
      <formula>4</formula>
    </cfRule>
    <cfRule type="cellIs" priority="9" operator="equal" dxfId="12">
      <formula>3</formula>
    </cfRule>
    <cfRule type="cellIs" priority="10" operator="equal" dxfId="13">
      <formula>2</formula>
    </cfRule>
    <cfRule type="cellIs" priority="11" operator="equal" dxfId="14">
      <formula>1</formula>
    </cfRule>
    <cfRule type="cellIs" priority="12" operator="equal" dxfId="15">
      <formula>0</formula>
    </cfRule>
  </conditionalFormatting>
  <dataValidations count="1">
    <dataValidation sqref="F4:F63" showDropDown="0" showInputMessage="1" showErrorMessage="1" allowBlank="1" errorTitle="Status" error="Choose a status from the list." promptTitle="Status" prompt="Pick: To review, Shortlisted, Commissioned, Published or Not used." type="list">
      <formula1>Lists!$E$2:$E$6</formula1>
    </dataValidation>
  </dataValidations>
  <hyperlinks>
    <hyperlink ref="C1" location="'Dashboard'!A1" display="← Dashboard"/>
    <hyperlink ref="D1" location="'Start here'!A1" display="↑ Start here"/>
    <hyperlink ref="E1" location="'By theme'!A1" display="By theme →"/>
    <hyperlink xmlns:r="http://schemas.openxmlformats.org/officeDocument/2006/relationships" ref="B4" r:id="rId1"/>
    <hyperlink xmlns:r="http://schemas.openxmlformats.org/officeDocument/2006/relationships" ref="B5" r:id="rId2"/>
    <hyperlink xmlns:r="http://schemas.openxmlformats.org/officeDocument/2006/relationships" ref="B6" r:id="rId3"/>
    <hyperlink xmlns:r="http://schemas.openxmlformats.org/officeDocument/2006/relationships" ref="B7" r:id="rId4"/>
    <hyperlink xmlns:r="http://schemas.openxmlformats.org/officeDocument/2006/relationships" ref="B8" r:id="rId5"/>
    <hyperlink xmlns:r="http://schemas.openxmlformats.org/officeDocument/2006/relationships" ref="B9" r:id="rId6"/>
    <hyperlink xmlns:r="http://schemas.openxmlformats.org/officeDocument/2006/relationships" ref="B10" r:id="rId7"/>
    <hyperlink xmlns:r="http://schemas.openxmlformats.org/officeDocument/2006/relationships" ref="B11" r:id="rId8"/>
    <hyperlink xmlns:r="http://schemas.openxmlformats.org/officeDocument/2006/relationships" ref="B12" r:id="rId9"/>
    <hyperlink xmlns:r="http://schemas.openxmlformats.org/officeDocument/2006/relationships" ref="B13" r:id="rId10"/>
    <hyperlink xmlns:r="http://schemas.openxmlformats.org/officeDocument/2006/relationships" ref="B14" r:id="rId11"/>
    <hyperlink xmlns:r="http://schemas.openxmlformats.org/officeDocument/2006/relationships" ref="B15" r:id="rId12"/>
    <hyperlink xmlns:r="http://schemas.openxmlformats.org/officeDocument/2006/relationships" ref="B16" r:id="rId13"/>
    <hyperlink xmlns:r="http://schemas.openxmlformats.org/officeDocument/2006/relationships" ref="B17" r:id="rId14"/>
    <hyperlink xmlns:r="http://schemas.openxmlformats.org/officeDocument/2006/relationships" ref="B18" r:id="rId15"/>
    <hyperlink xmlns:r="http://schemas.openxmlformats.org/officeDocument/2006/relationships" ref="B19" r:id="rId16"/>
    <hyperlink xmlns:r="http://schemas.openxmlformats.org/officeDocument/2006/relationships" ref="B20" r:id="rId17"/>
    <hyperlink xmlns:r="http://schemas.openxmlformats.org/officeDocument/2006/relationships" ref="B21" r:id="rId18"/>
    <hyperlink xmlns:r="http://schemas.openxmlformats.org/officeDocument/2006/relationships" ref="B22" r:id="rId19"/>
    <hyperlink xmlns:r="http://schemas.openxmlformats.org/officeDocument/2006/relationships" ref="B23" r:id="rId20"/>
    <hyperlink xmlns:r="http://schemas.openxmlformats.org/officeDocument/2006/relationships" ref="B24" r:id="rId21"/>
    <hyperlink xmlns:r="http://schemas.openxmlformats.org/officeDocument/2006/relationships" ref="B25" r:id="rId22"/>
    <hyperlink xmlns:r="http://schemas.openxmlformats.org/officeDocument/2006/relationships" ref="B26" r:id="rId23"/>
    <hyperlink xmlns:r="http://schemas.openxmlformats.org/officeDocument/2006/relationships" ref="B27" r:id="rId24"/>
    <hyperlink xmlns:r="http://schemas.openxmlformats.org/officeDocument/2006/relationships" ref="B28" r:id="rId25"/>
    <hyperlink xmlns:r="http://schemas.openxmlformats.org/officeDocument/2006/relationships" ref="B29" r:id="rId26"/>
    <hyperlink xmlns:r="http://schemas.openxmlformats.org/officeDocument/2006/relationships" ref="B30" r:id="rId27"/>
    <hyperlink xmlns:r="http://schemas.openxmlformats.org/officeDocument/2006/relationships" ref="B31" r:id="rId28"/>
    <hyperlink xmlns:r="http://schemas.openxmlformats.org/officeDocument/2006/relationships" ref="B32" r:id="rId29"/>
    <hyperlink xmlns:r="http://schemas.openxmlformats.org/officeDocument/2006/relationships" ref="B33" r:id="rId30"/>
    <hyperlink xmlns:r="http://schemas.openxmlformats.org/officeDocument/2006/relationships" ref="B34" r:id="rId31"/>
    <hyperlink xmlns:r="http://schemas.openxmlformats.org/officeDocument/2006/relationships" ref="B35" r:id="rId32"/>
    <hyperlink xmlns:r="http://schemas.openxmlformats.org/officeDocument/2006/relationships" ref="B36" r:id="rId33"/>
    <hyperlink xmlns:r="http://schemas.openxmlformats.org/officeDocument/2006/relationships" ref="B37" r:id="rId34"/>
    <hyperlink xmlns:r="http://schemas.openxmlformats.org/officeDocument/2006/relationships" ref="B38" r:id="rId35"/>
    <hyperlink xmlns:r="http://schemas.openxmlformats.org/officeDocument/2006/relationships" ref="B39" r:id="rId36"/>
    <hyperlink xmlns:r="http://schemas.openxmlformats.org/officeDocument/2006/relationships" ref="B40" r:id="rId37"/>
    <hyperlink xmlns:r="http://schemas.openxmlformats.org/officeDocument/2006/relationships" ref="B41" r:id="rId38"/>
    <hyperlink xmlns:r="http://schemas.openxmlformats.org/officeDocument/2006/relationships" ref="B42" r:id="rId39"/>
    <hyperlink xmlns:r="http://schemas.openxmlformats.org/officeDocument/2006/relationships" ref="B43" r:id="rId40"/>
    <hyperlink xmlns:r="http://schemas.openxmlformats.org/officeDocument/2006/relationships" ref="B44" r:id="rId41"/>
    <hyperlink xmlns:r="http://schemas.openxmlformats.org/officeDocument/2006/relationships" ref="B45" r:id="rId42"/>
    <hyperlink xmlns:r="http://schemas.openxmlformats.org/officeDocument/2006/relationships" ref="B46" r:id="rId43"/>
    <hyperlink xmlns:r="http://schemas.openxmlformats.org/officeDocument/2006/relationships" ref="B47" r:id="rId44"/>
    <hyperlink xmlns:r="http://schemas.openxmlformats.org/officeDocument/2006/relationships" ref="B48" r:id="rId45"/>
    <hyperlink xmlns:r="http://schemas.openxmlformats.org/officeDocument/2006/relationships" ref="B49" r:id="rId46"/>
    <hyperlink xmlns:r="http://schemas.openxmlformats.org/officeDocument/2006/relationships" ref="B50" r:id="rId47"/>
    <hyperlink xmlns:r="http://schemas.openxmlformats.org/officeDocument/2006/relationships" ref="B51" r:id="rId48"/>
    <hyperlink xmlns:r="http://schemas.openxmlformats.org/officeDocument/2006/relationships" ref="B52" r:id="rId49"/>
    <hyperlink xmlns:r="http://schemas.openxmlformats.org/officeDocument/2006/relationships" ref="B53" r:id="rId50"/>
    <hyperlink xmlns:r="http://schemas.openxmlformats.org/officeDocument/2006/relationships" ref="B54" r:id="rId51"/>
    <hyperlink xmlns:r="http://schemas.openxmlformats.org/officeDocument/2006/relationships" ref="B55" r:id="rId52"/>
    <hyperlink xmlns:r="http://schemas.openxmlformats.org/officeDocument/2006/relationships" ref="B56" r:id="rId53"/>
    <hyperlink xmlns:r="http://schemas.openxmlformats.org/officeDocument/2006/relationships" ref="B57" r:id="rId54"/>
    <hyperlink xmlns:r="http://schemas.openxmlformats.org/officeDocument/2006/relationships" ref="B58" r:id="rId55"/>
    <hyperlink xmlns:r="http://schemas.openxmlformats.org/officeDocument/2006/relationships" ref="B59" r:id="rId56"/>
    <hyperlink xmlns:r="http://schemas.openxmlformats.org/officeDocument/2006/relationships" ref="B60" r:id="rId57"/>
    <hyperlink xmlns:r="http://schemas.openxmlformats.org/officeDocument/2006/relationships" ref="B61" r:id="rId58"/>
    <hyperlink xmlns:r="http://schemas.openxmlformats.org/officeDocument/2006/relationships" ref="B62" r:id="rId59"/>
    <hyperlink xmlns:r="http://schemas.openxmlformats.org/officeDocument/2006/relationships" ref="B63" r:id="rId60"/>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61"/>
  </tableParts>
</worksheet>
</file>

<file path=xl/worksheets/sheet4.xml><?xml version="1.0" encoding="utf-8"?>
<worksheet xmlns="http://schemas.openxmlformats.org/spreadsheetml/2006/main">
  <sheetPr>
    <tabColor rgb="001F9D63"/>
    <outlinePr applyStyles="0" summaryBelow="0" summaryRight="1"/>
    <pageSetUpPr fitToPage="1"/>
  </sheetPr>
  <dimension ref="A1:I86"/>
  <sheetViews>
    <sheetView showGridLines="0" tabSelected="0" workbookViewId="0">
      <pane ySplit="2" topLeftCell="A3" activePane="bottomLeft" state="frozen"/>
      <selection pane="bottomLeft" activeCell="A1" sqref="A1"/>
    </sheetView>
  </sheetViews>
  <sheetFormatPr baseColWidth="8" defaultRowHeight="15" outlineLevelRow="1"/>
  <cols>
    <col width="6" customWidth="1" min="1" max="1"/>
    <col width="10" customWidth="1" min="2" max="2"/>
    <col width="56" customWidth="1" min="3" max="3"/>
    <col width="12" customWidth="1" min="4" max="4"/>
    <col width="17" customWidth="1" min="5" max="5"/>
    <col width="14" customWidth="1" min="6" max="6"/>
    <col width="20" customWidth="1" min="7" max="7"/>
    <col width="12" customWidth="1" min="8" max="8"/>
    <col width="50" customWidth="1" min="9" max="9"/>
  </cols>
  <sheetData>
    <row r="1" ht="26" customHeight="1">
      <c r="A1" s="152" t="inlineStr">
        <is>
          <t>Stories by theme</t>
        </is>
      </c>
      <c r="D1" s="153" t="inlineStr">
        <is>
          <t>← Dashboard</t>
        </is>
      </c>
      <c r="E1" s="153" t="inlineStr">
        <is>
          <t>↑ Start here</t>
        </is>
      </c>
      <c r="F1" s="153" t="inlineStr">
        <is>
          <t>Stories →</t>
        </is>
      </c>
    </row>
    <row r="2" ht="16" customHeight="1">
      <c r="A2" s="154" t="inlineStr">
        <is>
          <t>Read-only view, best stories first. Click − / + in the margin on the left to collapse or expand a theme (or the 1 / 2 buttons for all). Status comes from the Stories sheet.</t>
        </is>
      </c>
    </row>
    <row r="4" ht="26" customHeight="1">
      <c r="A4" s="185" t="inlineStr">
        <is>
          <t>Sustainability &amp; the Energy Transition   ·   3 stories   ·   0 rated 5 / 5   ·   0 feature leads</t>
        </is>
      </c>
      <c r="B4" s="186" t="n"/>
      <c r="C4" s="186" t="n"/>
      <c r="D4" s="186" t="n"/>
      <c r="E4" s="186" t="n"/>
      <c r="F4" s="186" t="n"/>
      <c r="G4" s="186" t="n"/>
      <c r="H4" s="186" t="n"/>
      <c r="I4" s="186" t="n"/>
    </row>
    <row r="5" outlineLevel="1">
      <c r="A5" s="187" t="inlineStr">
        <is>
          <t>No.</t>
        </is>
      </c>
      <c r="B5" s="187" t="inlineStr">
        <is>
          <t>Relevance</t>
        </is>
      </c>
      <c r="C5" s="188" t="inlineStr">
        <is>
          <t>Headline</t>
        </is>
      </c>
      <c r="D5" s="187" t="inlineStr">
        <is>
          <t>Link</t>
        </is>
      </c>
      <c r="E5" s="188" t="inlineStr">
        <is>
          <t>Suggested use</t>
        </is>
      </c>
      <c r="F5" s="187" t="inlineStr">
        <is>
          <t>Status</t>
        </is>
      </c>
      <c r="G5" s="188" t="inlineStr">
        <is>
          <t>Source</t>
        </is>
      </c>
      <c r="H5" s="187" t="inlineStr">
        <is>
          <t>Digest</t>
        </is>
      </c>
      <c r="I5" s="188" t="inlineStr">
        <is>
          <t>Magazine angle / summary</t>
        </is>
      </c>
    </row>
    <row r="6" outlineLevel="1" ht="41.5" customHeight="1">
      <c r="A6" s="189" t="n">
        <v>44</v>
      </c>
      <c r="B6" s="190" t="n">
        <v>3</v>
      </c>
      <c r="C6" s="191" t="inlineStr">
        <is>
          <t>Snowy 2.0 cost and completion date revised</t>
        </is>
      </c>
      <c r="D6" s="192" t="inlineStr">
        <is>
          <t>Open article</t>
        </is>
      </c>
      <c r="E6" s="193" t="inlineStr">
        <is>
          <t>News brief</t>
        </is>
      </c>
      <c r="F6" s="194">
        <f>IFERROR(INDEX(Stories!$F$4:$F$63,MATCH($A6,Stories!$A$4:$A$63,0))&amp;"","")</f>
        <v/>
      </c>
      <c r="G6" s="195" t="inlineStr">
        <is>
          <t>Tunnels &amp; Tunnelling</t>
        </is>
      </c>
      <c r="H6" s="196" t="n">
        <v>46319</v>
      </c>
      <c r="I6" s="195" t="inlineStr">
        <is>
          <t>What ground-related risks drive cost and schedule overruns in large pumped hydro cavern and tunnel excavations?</t>
        </is>
      </c>
    </row>
    <row r="7" outlineLevel="1" ht="41.5" customHeight="1">
      <c r="A7" s="189" t="n">
        <v>47</v>
      </c>
      <c r="B7" s="190" t="n">
        <v>3</v>
      </c>
      <c r="C7" s="191" t="inlineStr">
        <is>
          <t>Abergeldie awarded patent for underground hydrogen storage solution</t>
        </is>
      </c>
      <c r="D7" s="192" t="inlineStr">
        <is>
          <t>Open article</t>
        </is>
      </c>
      <c r="E7" s="197" t="inlineStr">
        <is>
          <t>Academia-to-Industry topic</t>
        </is>
      </c>
      <c r="F7" s="194">
        <f>IFERROR(INDEX(Stories!$F$4:$F$63,MATCH($A7,Stories!$A$4:$A$63,0))&amp;"","")</f>
        <v/>
      </c>
      <c r="G7" s="195" t="inlineStr">
        <is>
          <t>Tunnels &amp; Tunnelling</t>
        </is>
      </c>
      <c r="H7" s="196" t="n">
        <v>46319</v>
      </c>
      <c r="I7" s="195" t="inlineStr">
        <is>
          <t>What ground conditions and geomechanical criteria govern underground hydrogen storage, and how does blind boring apply?</t>
        </is>
      </c>
    </row>
    <row r="8" outlineLevel="1" ht="29" customHeight="1">
      <c r="A8" s="189" t="n">
        <v>48</v>
      </c>
      <c r="B8" s="190" t="n">
        <v>3</v>
      </c>
      <c r="C8" s="191" t="inlineStr">
        <is>
          <t>Snowy 2.0 cost rises to A$22.2bn</t>
        </is>
      </c>
      <c r="D8" s="192" t="inlineStr">
        <is>
          <t>Open article</t>
        </is>
      </c>
      <c r="E8" s="193" t="inlineStr">
        <is>
          <t>News brief</t>
        </is>
      </c>
      <c r="F8" s="194">
        <f>IFERROR(INDEX(Stories!$F$4:$F$63,MATCH($A8,Stories!$A$4:$A$63,0))&amp;"","")</f>
        <v/>
      </c>
      <c r="G8" s="195" t="inlineStr">
        <is>
          <t>Tunnelling Journal</t>
        </is>
      </c>
      <c r="H8" s="196" t="n">
        <v>46319</v>
      </c>
      <c r="I8" s="195" t="inlineStr">
        <is>
          <t>What ground-related factors drive repeated cost increases in large underground pumped hydro projects?</t>
        </is>
      </c>
    </row>
    <row r="9" outlineLevel="1" ht="10" customHeight="1"/>
    <row r="10" ht="26" customHeight="1">
      <c r="A10" s="198" t="inlineStr">
        <is>
          <t>Digital Geotechnics   ·   1 story   ·   1 rated 5 / 5   ·   0 feature leads</t>
        </is>
      </c>
      <c r="B10" s="199" t="n"/>
      <c r="C10" s="199" t="n"/>
      <c r="D10" s="199" t="n"/>
      <c r="E10" s="199" t="n"/>
      <c r="F10" s="199" t="n"/>
      <c r="G10" s="199" t="n"/>
      <c r="H10" s="199" t="n"/>
      <c r="I10" s="199" t="n"/>
    </row>
    <row r="11" outlineLevel="1">
      <c r="A11" s="200" t="inlineStr">
        <is>
          <t>No.</t>
        </is>
      </c>
      <c r="B11" s="200" t="inlineStr">
        <is>
          <t>Relevance</t>
        </is>
      </c>
      <c r="C11" s="201" t="inlineStr">
        <is>
          <t>Headline</t>
        </is>
      </c>
      <c r="D11" s="200" t="inlineStr">
        <is>
          <t>Link</t>
        </is>
      </c>
      <c r="E11" s="201" t="inlineStr">
        <is>
          <t>Suggested use</t>
        </is>
      </c>
      <c r="F11" s="200" t="inlineStr">
        <is>
          <t>Status</t>
        </is>
      </c>
      <c r="G11" s="201" t="inlineStr">
        <is>
          <t>Source</t>
        </is>
      </c>
      <c r="H11" s="200" t="inlineStr">
        <is>
          <t>Digest</t>
        </is>
      </c>
      <c r="I11" s="201" t="inlineStr">
        <is>
          <t>Magazine angle / summary</t>
        </is>
      </c>
    </row>
    <row r="12" outlineLevel="1" ht="54" customHeight="1">
      <c r="A12" s="189" t="n">
        <v>6</v>
      </c>
      <c r="B12" s="190" t="n">
        <v>5</v>
      </c>
      <c r="C12" s="191" t="inlineStr">
        <is>
          <t>Automatic segmentation of rock mass fracture networks from UAV imagery using cross-domain transfer learning under scarce labels.</t>
        </is>
      </c>
      <c r="D12" s="192" t="inlineStr">
        <is>
          <t>Open article</t>
        </is>
      </c>
      <c r="E12" s="197" t="inlineStr">
        <is>
          <t>Academia-to-Industry topic</t>
        </is>
      </c>
      <c r="F12" s="194">
        <f>IFERROR(INDEX(Stories!$F$4:$F$63,MATCH($A12,Stories!$A$4:$A$63,0))&amp;"","")</f>
        <v/>
      </c>
      <c r="G12" s="195" t="inlineStr">
        <is>
          <t>生物通</t>
        </is>
      </c>
      <c r="H12" s="196" t="n">
        <v>46319</v>
      </c>
      <c r="I12" s="195" t="inlineStr">
        <is>
          <t>Can transfer learning from related image domains reliably segment rock fracture networks in UAV imagery when labelled data are scarce, and how accurate are the results?</t>
        </is>
      </c>
    </row>
    <row r="13" outlineLevel="1" ht="10" customHeight="1"/>
    <row r="14" ht="26" customHeight="1">
      <c r="A14" s="202" t="inlineStr">
        <is>
          <t>Hazards &amp; Resilience   ·   17 stories   ·   1 rated 5 / 5   ·   8 feature leads</t>
        </is>
      </c>
      <c r="B14" s="203" t="n"/>
      <c r="C14" s="203" t="n"/>
      <c r="D14" s="203" t="n"/>
      <c r="E14" s="203" t="n"/>
      <c r="F14" s="203" t="n"/>
      <c r="G14" s="203" t="n"/>
      <c r="H14" s="203" t="n"/>
      <c r="I14" s="203" t="n"/>
    </row>
    <row r="15" outlineLevel="1">
      <c r="A15" s="204" t="inlineStr">
        <is>
          <t>No.</t>
        </is>
      </c>
      <c r="B15" s="204" t="inlineStr">
        <is>
          <t>Relevance</t>
        </is>
      </c>
      <c r="C15" s="205" t="inlineStr">
        <is>
          <t>Headline</t>
        </is>
      </c>
      <c r="D15" s="204" t="inlineStr">
        <is>
          <t>Link</t>
        </is>
      </c>
      <c r="E15" s="205" t="inlineStr">
        <is>
          <t>Suggested use</t>
        </is>
      </c>
      <c r="F15" s="204" t="inlineStr">
        <is>
          <t>Status</t>
        </is>
      </c>
      <c r="G15" s="205" t="inlineStr">
        <is>
          <t>Source</t>
        </is>
      </c>
      <c r="H15" s="204" t="inlineStr">
        <is>
          <t>Digest</t>
        </is>
      </c>
      <c r="I15" s="205" t="inlineStr">
        <is>
          <t>Magazine angle / summary</t>
        </is>
      </c>
    </row>
    <row r="16" outlineLevel="1" ht="54" customHeight="1">
      <c r="A16" s="189" t="n">
        <v>5</v>
      </c>
      <c r="B16" s="190" t="n">
        <v>5</v>
      </c>
      <c r="C16" s="191" t="inlineStr">
        <is>
          <t>Serious landslides in South Gia Nghia</t>
        </is>
      </c>
      <c r="D16" s="192" t="inlineStr">
        <is>
          <t>Open article</t>
        </is>
      </c>
      <c r="E16" s="206" t="inlineStr">
        <is>
          <t>Feature lead</t>
        </is>
      </c>
      <c r="F16" s="194">
        <f>IFERROR(INDEX(Stories!$F$4:$F$63,MATCH($A16,Stories!$A$4:$A$63,0))&amp;"","")</f>
        <v/>
      </c>
      <c r="G16" s="195" t="inlineStr">
        <is>
          <t>Vietnam.vn</t>
        </is>
      </c>
      <c r="H16" s="196" t="n">
        <v>46319</v>
      </c>
      <c r="I16" s="195" t="inlineStr">
        <is>
          <t>What rainfall and slope geometry triggered this serious landslide in Nam Gia Nghia, and how should weathered residual soils on such slopes be investigated and stabilised?</t>
        </is>
      </c>
    </row>
    <row r="17" outlineLevel="1" ht="41.5" customHeight="1">
      <c r="A17" s="189" t="n">
        <v>7</v>
      </c>
      <c r="B17" s="190" t="n">
        <v>4</v>
      </c>
      <c r="C17" s="191" t="inlineStr">
        <is>
          <t>M4 landslip work begins as part of wider repair programme</t>
        </is>
      </c>
      <c r="D17" s="192" t="inlineStr">
        <is>
          <t>Open article</t>
        </is>
      </c>
      <c r="E17" s="206" t="inlineStr">
        <is>
          <t>Feature lead</t>
        </is>
      </c>
      <c r="F17" s="194">
        <f>IFERROR(INDEX(Stories!$F$4:$F$63,MATCH($A17,Stories!$A$4:$A$63,0))&amp;"","")</f>
        <v/>
      </c>
      <c r="G17" s="195" t="inlineStr">
        <is>
          <t>Ground Engineering</t>
        </is>
      </c>
      <c r="H17" s="196" t="n">
        <v>46319</v>
      </c>
      <c r="I17" s="195" t="inlineStr">
        <is>
          <t>How should engineers diagnose and stabilise a landslipped motorway embankment, and what drainage and monitoring measures prevent recurrence?</t>
        </is>
      </c>
    </row>
    <row r="18" outlineLevel="1" ht="54" customHeight="1">
      <c r="A18" s="189" t="n">
        <v>8</v>
      </c>
      <c r="B18" s="190" t="n">
        <v>4</v>
      </c>
      <c r="C18" s="191" t="inlineStr">
        <is>
          <t>Landslide-prevention embankment threatens residential area</t>
        </is>
      </c>
      <c r="D18" s="192" t="inlineStr">
        <is>
          <t>Open article</t>
        </is>
      </c>
      <c r="E18" s="206" t="inlineStr">
        <is>
          <t>Feature lead</t>
        </is>
      </c>
      <c r="F18" s="194">
        <f>IFERROR(INDEX(Stories!$F$4:$F$63,MATCH($A18,Stories!$A$4:$A$63,0))&amp;"","")</f>
        <v/>
      </c>
      <c r="G18" s="195" t="inlineStr">
        <is>
          <t>Vietnam.vn</t>
        </is>
      </c>
      <c r="H18" s="196" t="n">
        <v>46319</v>
      </c>
      <c r="I18" s="195" t="inlineStr">
        <is>
          <t>Can retaining and protective embankments be designed to resist landslide loading from upslope slopes beside settlements, and how should such risk be assessed?</t>
        </is>
      </c>
    </row>
    <row r="19" outlineLevel="1" ht="41.5" customHeight="1">
      <c r="A19" s="189" t="n">
        <v>9</v>
      </c>
      <c r="B19" s="190" t="n">
        <v>4</v>
      </c>
      <c r="C19" s="191" t="inlineStr">
        <is>
          <t>Storms in Liguria, major landslide in Savona: the collapse destroyed a city road</t>
        </is>
      </c>
      <c r="D19" s="192" t="inlineStr">
        <is>
          <t>Open article</t>
        </is>
      </c>
      <c r="E19" s="193" t="inlineStr">
        <is>
          <t>News brief</t>
        </is>
      </c>
      <c r="F19" s="194">
        <f>IFERROR(INDEX(Stories!$F$4:$F$63,MATCH($A19,Stories!$A$4:$A$63,0))&amp;"","")</f>
        <v/>
      </c>
      <c r="G19" s="195" t="inlineStr">
        <is>
          <t>agenzia giornalistica opinione</t>
        </is>
      </c>
      <c r="H19" s="196" t="n">
        <v>46319</v>
      </c>
      <c r="I19" s="195" t="inlineStr">
        <is>
          <t>What triggered this large rock or soil slope failure in Savona during heavy rain, and what does the collapse reveal about slope stability in Liguria?</t>
        </is>
      </c>
    </row>
    <row r="20" outlineLevel="1" ht="41.5" customHeight="1">
      <c r="A20" s="189" t="n">
        <v>10</v>
      </c>
      <c r="B20" s="190" t="n">
        <v>4</v>
      </c>
      <c r="C20" s="191" t="inlineStr">
        <is>
          <t>At Khanh Le pass, traffic will be interrupted at 30-minute intervals to deal with landslides; road users should plan accordingly</t>
        </is>
      </c>
      <c r="D20" s="192" t="inlineStr">
        <is>
          <t>Open article</t>
        </is>
      </c>
      <c r="E20" s="206" t="inlineStr">
        <is>
          <t>Feature lead</t>
        </is>
      </c>
      <c r="F20" s="194">
        <f>IFERROR(INDEX(Stories!$F$4:$F$63,MATCH($A20,Stories!$A$4:$A$63,0))&amp;"","")</f>
        <v/>
      </c>
      <c r="G20" s="195" t="inlineStr">
        <is>
          <t>Vietnam.vn</t>
        </is>
      </c>
      <c r="H20" s="196" t="n">
        <v>46319</v>
      </c>
      <c r="I20" s="195" t="inlineStr">
        <is>
          <t>How should traffic management and monitoring be combined with slope stabilisation on mountain passes subject to recurrent landslides?</t>
        </is>
      </c>
    </row>
    <row r="21" outlineLevel="1" ht="41.5" customHeight="1">
      <c r="A21" s="189" t="n">
        <v>11</v>
      </c>
      <c r="B21" s="190" t="n">
        <v>4</v>
      </c>
      <c r="C21" s="191" t="inlineStr">
        <is>
          <t>Valmontone, bad weather: tuff slope collapses onto Prenestina road, road partially closed</t>
        </is>
      </c>
      <c r="D21" s="192" t="inlineStr">
        <is>
          <t>Open article</t>
        </is>
      </c>
      <c r="E21" s="193" t="inlineStr">
        <is>
          <t>News brief</t>
        </is>
      </c>
      <c r="F21" s="194">
        <f>IFERROR(INDEX(Stories!$F$4:$F$63,MATCH($A21,Stories!$A$4:$A$63,0))&amp;"","")</f>
        <v/>
      </c>
      <c r="G21" s="195" t="inlineStr">
        <is>
          <t>Il Giornale dei Castelli Romani</t>
        </is>
      </c>
      <c r="H21" s="196" t="n">
        <v>46319</v>
      </c>
      <c r="I21" s="195" t="inlineStr">
        <is>
          <t>What causes tuff cliff collapse in volcanic deposits under rainfall, and how can such slopes be assessed and stabilised near roads?</t>
        </is>
      </c>
    </row>
    <row r="22" outlineLevel="1" ht="41.5" customHeight="1">
      <c r="A22" s="189" t="n">
        <v>12</v>
      </c>
      <c r="B22" s="190" t="n">
        <v>4</v>
      </c>
      <c r="C22" s="191" t="inlineStr">
        <is>
          <t>Bonea, landslide in Capo locality: mayor closes three roads by urgent order</t>
        </is>
      </c>
      <c r="D22" s="192" t="inlineStr">
        <is>
          <t>Open article</t>
        </is>
      </c>
      <c r="E22" s="193" t="inlineStr">
        <is>
          <t>News brief</t>
        </is>
      </c>
      <c r="F22" s="194">
        <f>IFERROR(INDEX(Stories!$F$4:$F$63,MATCH($A22,Stories!$A$4:$A$63,0))&amp;"","")</f>
        <v/>
      </c>
      <c r="G22" s="195" t="inlineStr">
        <is>
          <t>Tv7 Benevento</t>
        </is>
      </c>
      <c r="H22" s="196" t="n">
        <v>46319</v>
      </c>
      <c r="I22" s="195" t="inlineStr">
        <is>
          <t>What ground investigation would confirm the landslide mechanism at Capo locality and guide safe reopening of the three closed roads?</t>
        </is>
      </c>
    </row>
    <row r="23" outlineLevel="1" ht="41.5" customHeight="1">
      <c r="A23" s="189" t="n">
        <v>13</v>
      </c>
      <c r="B23" s="190" t="n">
        <v>4</v>
      </c>
      <c r="C23" s="191" t="inlineStr">
        <is>
          <t>La frana del Cencione Tra fango e polemiche Le ruspe sono al lavoro</t>
        </is>
      </c>
      <c r="D23" s="192" t="inlineStr">
        <is>
          <t>Open article</t>
        </is>
      </c>
      <c r="E23" s="206" t="inlineStr">
        <is>
          <t>Feature lead</t>
        </is>
      </c>
      <c r="F23" s="194">
        <f>IFERROR(INDEX(Stories!$F$4:$F$63,MATCH($A23,Stories!$A$4:$A$63,0))&amp;"","")</f>
        <v/>
      </c>
      <c r="G23" s="195" t="inlineStr">
        <is>
          <t>Zazoom Social News</t>
        </is>
      </c>
      <c r="H23" s="196" t="n">
        <v>46319</v>
      </c>
      <c r="I23" s="195" t="inlineStr">
        <is>
          <t>How should authorities balance urgent earthworks with geotechnical investigation and accountability when a landslide site becomes politically contested?</t>
        </is>
      </c>
    </row>
    <row r="24" outlineLevel="1" ht="41.5" customHeight="1">
      <c r="A24" s="189" t="n">
        <v>14</v>
      </c>
      <c r="B24" s="190" t="n">
        <v>4</v>
      </c>
      <c r="C24" s="191" t="inlineStr">
        <is>
          <t>TNI helps landslide victims in Lae Ikan, Subulussalam</t>
        </is>
      </c>
      <c r="D24" s="192" t="inlineStr">
        <is>
          <t>Open article</t>
        </is>
      </c>
      <c r="E24" s="193" t="inlineStr">
        <is>
          <t>News brief</t>
        </is>
      </c>
      <c r="F24" s="194">
        <f>IFERROR(INDEX(Stories!$F$4:$F$63,MATCH($A24,Stories!$A$4:$A$63,0))&amp;"","")</f>
        <v/>
      </c>
      <c r="G24" s="195" t="inlineStr">
        <is>
          <t>RRI.co.id</t>
        </is>
      </c>
      <c r="H24" s="196" t="n">
        <v>46319</v>
      </c>
      <c r="I24" s="195" t="inlineStr">
        <is>
          <t>What role can emergency response and rapid geotechnical assessment play after a landslide in a mountainous Indonesian village?</t>
        </is>
      </c>
    </row>
    <row r="25" outlineLevel="1" ht="41.5" customHeight="1">
      <c r="A25" s="189" t="n">
        <v>15</v>
      </c>
      <c r="B25" s="190" t="n">
        <v>4</v>
      </c>
      <c r="C25" s="191" t="inlineStr">
        <is>
          <t>Intense rains cause alluvion in rural sector of Concepción: residents fear new landslides</t>
        </is>
      </c>
      <c r="D25" s="192" t="inlineStr">
        <is>
          <t>Open article</t>
        </is>
      </c>
      <c r="E25" s="206" t="inlineStr">
        <is>
          <t>Feature lead</t>
        </is>
      </c>
      <c r="F25" s="194">
        <f>IFERROR(INDEX(Stories!$F$4:$F$63,MATCH($A25,Stories!$A$4:$A$63,0))&amp;"","")</f>
        <v/>
      </c>
      <c r="G25" s="195" t="inlineStr">
        <is>
          <t>Meganoticias</t>
        </is>
      </c>
      <c r="H25" s="196" t="n">
        <v>46319</v>
      </c>
      <c r="I25" s="195" t="inlineStr">
        <is>
          <t>What triggered the rain-induced debris flow and slope failure in this rural hillside, and how can residents' risk of further slides be assessed?</t>
        </is>
      </c>
    </row>
    <row r="26" outlineLevel="1" ht="41.5" customHeight="1">
      <c r="A26" s="189" t="n">
        <v>16</v>
      </c>
      <c r="B26" s="190" t="n">
        <v>4</v>
      </c>
      <c r="C26" s="191" t="inlineStr">
        <is>
          <t>Rockfall onto houses in Chi Lang commune, Lang Son province</t>
        </is>
      </c>
      <c r="D26" s="192" t="inlineStr">
        <is>
          <t>Open article</t>
        </is>
      </c>
      <c r="E26" s="193" t="inlineStr">
        <is>
          <t>News brief</t>
        </is>
      </c>
      <c r="F26" s="194">
        <f>IFERROR(INDEX(Stories!$F$4:$F$63,MATCH($A26,Stories!$A$4:$A$63,0))&amp;"","")</f>
        <v/>
      </c>
      <c r="G26" s="195" t="inlineStr">
        <is>
          <t>Baolangson.vn</t>
        </is>
      </c>
      <c r="H26" s="196" t="n">
        <v>46319</v>
      </c>
      <c r="I26" s="195" t="inlineStr">
        <is>
          <t>What mechanisms cause rockfall onto houses below steep slopes, and how should hazard mitigation be designed for rural settlements?</t>
        </is>
      </c>
    </row>
    <row r="27" outlineLevel="1" ht="41.5" customHeight="1">
      <c r="A27" s="189" t="n">
        <v>17</v>
      </c>
      <c r="B27" s="190" t="n">
        <v>4</v>
      </c>
      <c r="C27" s="191" t="inlineStr">
        <is>
          <t>Close-up of a 500-metre street section in Lam Dong province severely damaged by subsidence and landslides</t>
        </is>
      </c>
      <c r="D27" s="192" t="inlineStr">
        <is>
          <t>Open article</t>
        </is>
      </c>
      <c r="E27" s="207" t="inlineStr">
        <is>
          <t>Regional insight</t>
        </is>
      </c>
      <c r="F27" s="194">
        <f>IFERROR(INDEX(Stories!$F$4:$F$63,MATCH($A27,Stories!$A$4:$A$63,0))&amp;"","")</f>
        <v/>
      </c>
      <c r="G27" s="195" t="inlineStr">
        <is>
          <t>Vietnam.vn</t>
        </is>
      </c>
      <c r="H27" s="196" t="n">
        <v>46319</v>
      </c>
      <c r="I27" s="195" t="inlineStr">
        <is>
          <t>What combination of subsidence and landslide processes damaged this 500 m road, and how should such ground be investigated and repaired?</t>
        </is>
      </c>
    </row>
    <row r="28" outlineLevel="1" ht="41.5" customHeight="1">
      <c r="A28" s="189" t="n">
        <v>20</v>
      </c>
      <c r="B28" s="190" t="n">
        <v>4</v>
      </c>
      <c r="C28" s="191" t="inlineStr">
        <is>
          <t>57-billion-dong erosion revetment in Thanh Hoa subsides and cracks right after completion</t>
        </is>
      </c>
      <c r="D28" s="192" t="inlineStr">
        <is>
          <t>Open article</t>
        </is>
      </c>
      <c r="E28" s="206" t="inlineStr">
        <is>
          <t>Feature lead</t>
        </is>
      </c>
      <c r="F28" s="194">
        <f>IFERROR(INDEX(Stories!$F$4:$F$63,MATCH($A28,Stories!$A$4:$A$63,0))&amp;"","")</f>
        <v/>
      </c>
      <c r="G28" s="195" t="inlineStr">
        <is>
          <t>Báo Thanh Niên</t>
        </is>
      </c>
      <c r="H28" s="196" t="n">
        <v>46319</v>
      </c>
      <c r="I28" s="195" t="inlineStr">
        <is>
          <t>Why did a newly completed revetment subside and crack so soon, and what foundation or design checks could have prevented it?</t>
        </is>
      </c>
    </row>
    <row r="29" outlineLevel="1" ht="41.5" customHeight="1">
      <c r="A29" s="189" t="n">
        <v>21</v>
      </c>
      <c r="B29" s="190" t="n">
        <v>4</v>
      </c>
      <c r="C29" s="191" t="inlineStr">
        <is>
          <t>Lam Dong warns of serious subsidence and sliding on city streets</t>
        </is>
      </c>
      <c r="D29" s="192" t="inlineStr">
        <is>
          <t>Open article</t>
        </is>
      </c>
      <c r="E29" s="207" t="inlineStr">
        <is>
          <t>Regional insight</t>
        </is>
      </c>
      <c r="F29" s="194">
        <f>IFERROR(INDEX(Stories!$F$4:$F$63,MATCH($A29,Stories!$A$4:$A$63,0))&amp;"","")</f>
        <v/>
      </c>
      <c r="G29" s="195" t="inlineStr">
        <is>
          <t>Báo và phát thanh, truyền hình Đồng Tháp</t>
        </is>
      </c>
      <c r="H29" s="196" t="n">
        <v>46319</v>
      </c>
      <c r="I29" s="195" t="inlineStr">
        <is>
          <t>What causes urban street subsidence and sliding in this highland city, and how should authorities monitor and warn residents?</t>
        </is>
      </c>
    </row>
    <row r="30" outlineLevel="1" ht="41.5" customHeight="1">
      <c r="A30" s="189" t="n">
        <v>22</v>
      </c>
      <c r="B30" s="190" t="n">
        <v>4</v>
      </c>
      <c r="C30" s="191" t="inlineStr">
        <is>
          <t>Identifying a huge sinkhole in Phong Nha-Ke Bang National Park; exploring Thien Ha cave in Ninh Binh</t>
        </is>
      </c>
      <c r="D30" s="192" t="inlineStr">
        <is>
          <t>Open article</t>
        </is>
      </c>
      <c r="E30" s="206" t="inlineStr">
        <is>
          <t>Feature lead</t>
        </is>
      </c>
      <c r="F30" s="194">
        <f>IFERROR(INDEX(Stories!$F$4:$F$63,MATCH($A30,Stories!$A$4:$A$63,0))&amp;"","")</f>
        <v/>
      </c>
      <c r="G30" s="195" t="inlineStr">
        <is>
          <t>Kenh14.vn</t>
        </is>
      </c>
      <c r="H30" s="196" t="n">
        <v>46319</v>
      </c>
      <c r="I30" s="195" t="inlineStr">
        <is>
          <t>What karst processes produce giant sinkholes, and how can they be detected and assessed in limestone terrain?</t>
        </is>
      </c>
    </row>
    <row r="31" outlineLevel="1" ht="41.5" customHeight="1">
      <c r="A31" s="189" t="n">
        <v>23</v>
      </c>
      <c r="B31" s="190" t="n">
        <v>4</v>
      </c>
      <c r="C31" s="191" t="inlineStr">
        <is>
          <t>Close-up of a 500-metre street in Lam Dong province, badly hit by subsidence and landslides</t>
        </is>
      </c>
      <c r="D31" s="192" t="inlineStr">
        <is>
          <t>Open article</t>
        </is>
      </c>
      <c r="E31" s="207" t="inlineStr">
        <is>
          <t>Regional insight</t>
        </is>
      </c>
      <c r="F31" s="194">
        <f>IFERROR(INDEX(Stories!$F$4:$F$63,MATCH($A31,Stories!$A$4:$A$63,0))&amp;"","")</f>
        <v/>
      </c>
      <c r="G31" s="195" t="inlineStr">
        <is>
          <t>Vietnam.vn</t>
        </is>
      </c>
      <c r="H31" s="196" t="n">
        <v>46319</v>
      </c>
      <c r="I31" s="195" t="inlineStr">
        <is>
          <t>What combination of subsidence and landslide processes damaged this 500 m road, and how should such ground be investigated and repaired?</t>
        </is>
      </c>
    </row>
    <row r="32" outlineLevel="1" ht="41.5" customHeight="1">
      <c r="A32" s="189" t="n">
        <v>24</v>
      </c>
      <c r="B32" s="190" t="n">
        <v>4</v>
      </c>
      <c r="C32" s="191" t="inlineStr">
        <is>
          <t>Anti-landslide embankment threatens residential area</t>
        </is>
      </c>
      <c r="D32" s="192" t="inlineStr">
        <is>
          <t>Open article</t>
        </is>
      </c>
      <c r="E32" s="207" t="inlineStr">
        <is>
          <t>Regional insight</t>
        </is>
      </c>
      <c r="F32" s="194">
        <f>IFERROR(INDEX(Stories!$F$4:$F$63,MATCH($A32,Stories!$A$4:$A$63,0))&amp;"","")</f>
        <v/>
      </c>
      <c r="G32" s="195" t="inlineStr">
        <is>
          <t>Vietnam.vn</t>
        </is>
      </c>
      <c r="H32" s="196" t="n">
        <v>46319</v>
      </c>
      <c r="I32" s="195" t="inlineStr">
        <is>
          <t>Why does this anti-landslide embankment threaten housing, and what stability checks should apply to embankments near settlements?</t>
        </is>
      </c>
    </row>
    <row r="33" outlineLevel="1" ht="10" customHeight="1"/>
    <row r="34" ht="26" customHeight="1">
      <c r="A34" s="208" t="inlineStr">
        <is>
          <t>Ground Improvement &amp; Innovation   ·   2 stories   ·   2 rated 5 / 5   ·   1 feature lead</t>
        </is>
      </c>
      <c r="B34" s="209" t="n"/>
      <c r="C34" s="209" t="n"/>
      <c r="D34" s="209" t="n"/>
      <c r="E34" s="209" t="n"/>
      <c r="F34" s="209" t="n"/>
      <c r="G34" s="209" t="n"/>
      <c r="H34" s="209" t="n"/>
      <c r="I34" s="209" t="n"/>
    </row>
    <row r="35" outlineLevel="1">
      <c r="A35" s="210" t="inlineStr">
        <is>
          <t>No.</t>
        </is>
      </c>
      <c r="B35" s="210" t="inlineStr">
        <is>
          <t>Relevance</t>
        </is>
      </c>
      <c r="C35" s="211" t="inlineStr">
        <is>
          <t>Headline</t>
        </is>
      </c>
      <c r="D35" s="210" t="inlineStr">
        <is>
          <t>Link</t>
        </is>
      </c>
      <c r="E35" s="211" t="inlineStr">
        <is>
          <t>Suggested use</t>
        </is>
      </c>
      <c r="F35" s="210" t="inlineStr">
        <is>
          <t>Status</t>
        </is>
      </c>
      <c r="G35" s="211" t="inlineStr">
        <is>
          <t>Source</t>
        </is>
      </c>
      <c r="H35" s="210" t="inlineStr">
        <is>
          <t>Digest</t>
        </is>
      </c>
      <c r="I35" s="211" t="inlineStr">
        <is>
          <t>Magazine angle / summary</t>
        </is>
      </c>
    </row>
    <row r="36" outlineLevel="1" ht="41.5" customHeight="1">
      <c r="A36" s="189" t="n">
        <v>1</v>
      </c>
      <c r="B36" s="190" t="n">
        <v>5</v>
      </c>
      <c r="C36" s="191" t="inlineStr">
        <is>
          <t>Behavior of Square-Round Shaft Combination Helical Piles and Anchors</t>
        </is>
      </c>
      <c r="D36" s="192" t="inlineStr">
        <is>
          <t>Open article</t>
        </is>
      </c>
      <c r="E36" s="197" t="inlineStr">
        <is>
          <t>Academia-to-Industry topic</t>
        </is>
      </c>
      <c r="F36" s="194">
        <f>IFERROR(INDEX(Stories!$F$4:$F$63,MATCH($A36,Stories!$A$4:$A$63,0))&amp;"","")</f>
        <v/>
      </c>
      <c r="G36" s="195" t="inlineStr">
        <is>
          <t>Geoengineer.org</t>
        </is>
      </c>
      <c r="H36" s="196" t="n">
        <v>46319</v>
      </c>
      <c r="I36" s="195" t="inlineStr">
        <is>
          <t>How do square-round shaft combination helical piles and anchors behave under load, and how can their capacity be predicted reliably?</t>
        </is>
      </c>
    </row>
    <row r="37" outlineLevel="1" ht="54" customHeight="1">
      <c r="A37" s="189" t="n">
        <v>4</v>
      </c>
      <c r="B37" s="190" t="n">
        <v>5</v>
      </c>
      <c r="C37" s="191" t="inlineStr">
        <is>
          <t>Mussolini's engineers drilled 361 holes under Pisa's foundations in 1934 to straighten it, making it lean more.</t>
        </is>
      </c>
      <c r="D37" s="192" t="inlineStr">
        <is>
          <t>Open article</t>
        </is>
      </c>
      <c r="E37" s="206" t="inlineStr">
        <is>
          <t>Feature lead</t>
        </is>
      </c>
      <c r="F37" s="194">
        <f>IFERROR(INDEX(Stories!$F$4:$F$63,MATCH($A37,Stories!$A$4:$A$63,0))&amp;"","")</f>
        <v/>
      </c>
      <c r="G37" s="195" t="inlineStr">
        <is>
          <t>Sciencepost</t>
        </is>
      </c>
      <c r="H37" s="196" t="n">
        <v>46319</v>
      </c>
      <c r="I37" s="195" t="inlineStr">
        <is>
          <t>Why did drilling holes beneath Pisa's foundations to correct its tilt backfire, and what does this teach about controlled soil removal and differential settlement in stabilisation works?</t>
        </is>
      </c>
    </row>
    <row r="38" outlineLevel="1" ht="10" customHeight="1"/>
    <row r="39" ht="26" customHeight="1">
      <c r="A39" s="212" t="inlineStr">
        <is>
          <t>Infrastructure &amp; the Underground City   ·   17 stories   ·   1 rated 5 / 5   ·   7 feature leads</t>
        </is>
      </c>
      <c r="B39" s="213" t="n"/>
      <c r="C39" s="213" t="n"/>
      <c r="D39" s="213" t="n"/>
      <c r="E39" s="213" t="n"/>
      <c r="F39" s="213" t="n"/>
      <c r="G39" s="213" t="n"/>
      <c r="H39" s="213" t="n"/>
      <c r="I39" s="213" t="n"/>
    </row>
    <row r="40" outlineLevel="1">
      <c r="A40" s="214" t="inlineStr">
        <is>
          <t>No.</t>
        </is>
      </c>
      <c r="B40" s="214" t="inlineStr">
        <is>
          <t>Relevance</t>
        </is>
      </c>
      <c r="C40" s="215" t="inlineStr">
        <is>
          <t>Headline</t>
        </is>
      </c>
      <c r="D40" s="214" t="inlineStr">
        <is>
          <t>Link</t>
        </is>
      </c>
      <c r="E40" s="215" t="inlineStr">
        <is>
          <t>Suggested use</t>
        </is>
      </c>
      <c r="F40" s="214" t="inlineStr">
        <is>
          <t>Status</t>
        </is>
      </c>
      <c r="G40" s="215" t="inlineStr">
        <is>
          <t>Source</t>
        </is>
      </c>
      <c r="H40" s="214" t="inlineStr">
        <is>
          <t>Digest</t>
        </is>
      </c>
      <c r="I40" s="215" t="inlineStr">
        <is>
          <t>Magazine angle / summary</t>
        </is>
      </c>
    </row>
    <row r="41" outlineLevel="1" ht="41.5" customHeight="1">
      <c r="A41" s="189" t="n">
        <v>3</v>
      </c>
      <c r="B41" s="190" t="n">
        <v>5</v>
      </c>
      <c r="C41" s="191" t="inlineStr">
        <is>
          <t>Sinkhole at excavation site: ground sank even after underground safety assessment</t>
        </is>
      </c>
      <c r="D41" s="192" t="inlineStr">
        <is>
          <t>Open article</t>
        </is>
      </c>
      <c r="E41" s="206" t="inlineStr">
        <is>
          <t>Feature lead</t>
        </is>
      </c>
      <c r="F41" s="194">
        <f>IFERROR(INDEX(Stories!$F$4:$F$63,MATCH($A41,Stories!$A$4:$A$63,0))&amp;"","")</f>
        <v/>
      </c>
      <c r="G41" s="195" t="inlineStr">
        <is>
          <t>충청신문</t>
        </is>
      </c>
      <c r="H41" s="196" t="n">
        <v>46319</v>
      </c>
      <c r="I41" s="195" t="inlineStr">
        <is>
          <t>Why did ground sink at an excavation despite a completed underground safety assessment, and what gaps exist in such assessments?</t>
        </is>
      </c>
    </row>
    <row r="42" outlineLevel="1" ht="41.5" customHeight="1">
      <c r="A42" s="189" t="n">
        <v>26</v>
      </c>
      <c r="B42" s="190" t="n">
        <v>4</v>
      </c>
      <c r="C42" s="191" t="inlineStr">
        <is>
          <t>Osan: Jo Yong-ho's restoration of Seobu-ro retaining wall after road collapse, aiming to restore public trust</t>
        </is>
      </c>
      <c r="D42" s="192" t="inlineStr">
        <is>
          <t>Open article</t>
        </is>
      </c>
      <c r="E42" s="206" t="inlineStr">
        <is>
          <t>Feature lead</t>
        </is>
      </c>
      <c r="F42" s="194">
        <f>IFERROR(INDEX(Stories!$F$4:$F$63,MATCH($A42,Stories!$A$4:$A$63,0))&amp;"","")</f>
        <v/>
      </c>
      <c r="G42" s="195" t="inlineStr">
        <is>
          <t>아주경제</t>
        </is>
      </c>
      <c r="H42" s="196" t="n">
        <v>46319</v>
      </c>
      <c r="I42" s="195" t="inlineStr">
        <is>
          <t>What caused the road collapse behind this retaining wall, and how should wall reconstruction address backfill and drainage?</t>
        </is>
      </c>
    </row>
    <row r="43" outlineLevel="1" ht="41.5" customHeight="1">
      <c r="A43" s="189" t="n">
        <v>27</v>
      </c>
      <c r="B43" s="190" t="n">
        <v>4</v>
      </c>
      <c r="C43" s="191" t="inlineStr">
        <is>
          <t>Lawmakers warn of major accidents as retaining wall near apartments repeatedly collapses; drainage and private land issues</t>
        </is>
      </c>
      <c r="D43" s="192" t="inlineStr">
        <is>
          <t>Open article</t>
        </is>
      </c>
      <c r="E43" s="207" t="inlineStr">
        <is>
          <t>Regional insight</t>
        </is>
      </c>
      <c r="F43" s="194">
        <f>IFERROR(INDEX(Stories!$F$4:$F$63,MATCH($A43,Stories!$A$4:$A$63,0))&amp;"","")</f>
        <v/>
      </c>
      <c r="G43" s="195" t="inlineStr">
        <is>
          <t>Naver Blog</t>
        </is>
      </c>
      <c r="H43" s="196" t="n">
        <v>46319</v>
      </c>
      <c r="I43" s="195" t="inlineStr">
        <is>
          <t>Why do retaining walls beside apartments collapse repeatedly, and how do drainage and private land ownership complicate remediation?</t>
        </is>
      </c>
    </row>
    <row r="44" outlineLevel="1" ht="41.5" customHeight="1">
      <c r="A44" s="189" t="n">
        <v>28</v>
      </c>
      <c r="B44" s="190" t="n">
        <v>4</v>
      </c>
      <c r="C44" s="191" t="inlineStr">
        <is>
          <t>Part of a retaining wall collapsed near Pioneer Park in Yalta after rains</t>
        </is>
      </c>
      <c r="D44" s="192" t="inlineStr">
        <is>
          <t>Open article</t>
        </is>
      </c>
      <c r="E44" s="207" t="inlineStr">
        <is>
          <t>Regional insight</t>
        </is>
      </c>
      <c r="F44" s="194">
        <f>IFERROR(INDEX(Stories!$F$4:$F$63,MATCH($A44,Stories!$A$4:$A$63,0))&amp;"","")</f>
        <v/>
      </c>
      <c r="G44" s="195" t="inlineStr">
        <is>
          <t>Крыминформ</t>
        </is>
      </c>
      <c r="H44" s="196" t="n">
        <v>46319</v>
      </c>
      <c r="I44" s="195" t="inlineStr">
        <is>
          <t>Why did this retaining wall fail after heavy rain, and what drainage and wall design checks should coastal slopes receive?</t>
        </is>
      </c>
    </row>
    <row r="45" outlineLevel="1" ht="54" customHeight="1">
      <c r="A45" s="189" t="n">
        <v>30</v>
      </c>
      <c r="B45" s="190" t="n">
        <v>4</v>
      </c>
      <c r="C45" s="191" t="inlineStr">
        <is>
          <t>Gochang-Buan Noeuldaegyo Enters Geotechnical Survey Phase; Construction Targeted for January 2028</t>
        </is>
      </c>
      <c r="D45" s="192" t="inlineStr">
        <is>
          <t>Open article</t>
        </is>
      </c>
      <c r="E45" s="193" t="inlineStr">
        <is>
          <t>News brief</t>
        </is>
      </c>
      <c r="F45" s="194">
        <f>IFERROR(INDEX(Stories!$F$4:$F$63,MATCH($A45,Stories!$A$4:$A$63,0))&amp;"","")</f>
        <v/>
      </c>
      <c r="G45" s="195" t="inlineStr">
        <is>
          <t>아시아경제</t>
        </is>
      </c>
      <c r="H45" s="196" t="n">
        <v>46319</v>
      </c>
      <c r="I45" s="195" t="inlineStr">
        <is>
          <t>What ground conditions will the geotechnical survey reveal for this Korean nuclear-related or major construction project, and how will they shape the 2028 schedule?</t>
        </is>
      </c>
    </row>
    <row r="46" outlineLevel="1" ht="41.5" customHeight="1">
      <c r="A46" s="189" t="n">
        <v>35</v>
      </c>
      <c r="B46" s="190" t="n">
        <v>4</v>
      </c>
      <c r="C46" s="191" t="inlineStr">
        <is>
          <t>Mystery in El Bosque: sinkhole appears amid rain and swallows a car</t>
        </is>
      </c>
      <c r="D46" s="192" t="inlineStr">
        <is>
          <t>Open article</t>
        </is>
      </c>
      <c r="E46" s="193" t="inlineStr">
        <is>
          <t>News brief</t>
        </is>
      </c>
      <c r="F46" s="194">
        <f>IFERROR(INDEX(Stories!$F$4:$F$63,MATCH($A46,Stories!$A$4:$A$63,0))&amp;"","")</f>
        <v/>
      </c>
      <c r="G46" s="195" t="inlineStr">
        <is>
          <t>BioBioChile</t>
        </is>
      </c>
      <c r="H46" s="196" t="n">
        <v>46319</v>
      </c>
      <c r="I46" s="195" t="inlineStr">
        <is>
          <t>How do rainfall, leaking pipes and soil erosion combine to create sudden road sinkholes that swallow vehicles, as in El Bosque?</t>
        </is>
      </c>
    </row>
    <row r="47" outlineLevel="1" ht="41.5" customHeight="1">
      <c r="A47" s="189" t="n">
        <v>36</v>
      </c>
      <c r="B47" s="190" t="n">
        <v>4</v>
      </c>
      <c r="C47" s="191" t="inlineStr">
        <is>
          <t>More than 300 neighbourhoods at risk from rain; Eloy Alfaro sinkhole casts doubt on Quito's underground infrastructure</t>
        </is>
      </c>
      <c r="D47" s="192" t="inlineStr">
        <is>
          <t>Open article</t>
        </is>
      </c>
      <c r="E47" s="206" t="inlineStr">
        <is>
          <t>Feature lead</t>
        </is>
      </c>
      <c r="F47" s="194">
        <f>IFERROR(INDEX(Stories!$F$4:$F$63,MATCH($A47,Stories!$A$4:$A$63,0))&amp;"","")</f>
        <v/>
      </c>
      <c r="G47" s="195" t="inlineStr">
        <is>
          <t>El Universo</t>
        </is>
      </c>
      <c r="H47" s="196" t="n">
        <v>46319</v>
      </c>
      <c r="I47" s="195" t="inlineStr">
        <is>
          <t>What does the Eloy Alfaro sinkhole reveal about the condition of Quito's buried infrastructure and the ground beneath rain-affected neighbourhoods?</t>
        </is>
      </c>
    </row>
    <row r="48" outlineLevel="1" ht="41.5" customHeight="1">
      <c r="A48" s="189" t="n">
        <v>37</v>
      </c>
      <c r="B48" s="190" t="n">
        <v>4</v>
      </c>
      <c r="C48" s="191" t="inlineStr">
        <is>
          <t>Presidential delegate on Arauco sinkhole: 'It was built on land that was not optimal'</t>
        </is>
      </c>
      <c r="D48" s="192" t="inlineStr">
        <is>
          <t>Open article</t>
        </is>
      </c>
      <c r="E48" s="206" t="inlineStr">
        <is>
          <t>Feature lead</t>
        </is>
      </c>
      <c r="F48" s="194">
        <f>IFERROR(INDEX(Stories!$F$4:$F$63,MATCH($A48,Stories!$A$4:$A$63,0))&amp;"","")</f>
        <v/>
      </c>
      <c r="G48" s="195" t="inlineStr">
        <is>
          <t>Cooperativa</t>
        </is>
      </c>
      <c r="H48" s="196" t="n">
        <v>46319</v>
      </c>
      <c r="I48" s="195" t="inlineStr">
        <is>
          <t>What ground investigation and foundation decisions should be scrutinised when a structure is built on unsuitable terrain, as officials claim in Arauco?</t>
        </is>
      </c>
    </row>
    <row r="49" outlineLevel="1" ht="41.5" customHeight="1">
      <c r="A49" s="189" t="n">
        <v>38</v>
      </c>
      <c r="B49" s="190" t="n">
        <v>4</v>
      </c>
      <c r="C49" s="191" t="inlineStr">
        <is>
          <t>JUMAPAM and Pemex evaluate underground network after sinkhole on Emilio Barragán avenue in Mazatlán</t>
        </is>
      </c>
      <c r="D49" s="192" t="inlineStr">
        <is>
          <t>Open article</t>
        </is>
      </c>
      <c r="E49" s="206" t="inlineStr">
        <is>
          <t>Feature lead</t>
        </is>
      </c>
      <c r="F49" s="194">
        <f>IFERROR(INDEX(Stories!$F$4:$F$63,MATCH($A49,Stories!$A$4:$A$63,0))&amp;"","")</f>
        <v/>
      </c>
      <c r="G49" s="195" t="inlineStr">
        <is>
          <t>Debate</t>
        </is>
      </c>
      <c r="H49" s="196" t="n">
        <v>46319</v>
      </c>
      <c r="I49" s="195" t="inlineStr">
        <is>
          <t>How can utilities mapping and leak detection clarify whether pipe defects caused the Emilio Barragán sinkhole in Mazatlán?</t>
        </is>
      </c>
    </row>
    <row r="50" outlineLevel="1" ht="54" customHeight="1">
      <c r="A50" s="189" t="n">
        <v>43</v>
      </c>
      <c r="B50" s="190" t="n">
        <v>4</v>
      </c>
      <c r="C50" s="191" t="inlineStr">
        <is>
          <t>Ben Thanh - Tham Luong metro to have all 11 stations completed by end of 2026</t>
        </is>
      </c>
      <c r="D50" s="192" t="inlineStr">
        <is>
          <t>Open article</t>
        </is>
      </c>
      <c r="E50" s="206" t="inlineStr">
        <is>
          <t>Feature lead</t>
        </is>
      </c>
      <c r="F50" s="194">
        <f>IFERROR(INDEX(Stories!$F$4:$F$63,MATCH($A50,Stories!$A$4:$A$63,0))&amp;"","")</f>
        <v/>
      </c>
      <c r="G50" s="195" t="inlineStr">
        <is>
          <t>VOH</t>
        </is>
      </c>
      <c r="H50" s="196" t="n">
        <v>46319</v>
      </c>
      <c r="I50" s="195" t="inlineStr">
        <is>
          <t>What ground conditions and deep excavation and tunnelling methods are used for metro stations in soft Ho Chi Minh City clays with high groundwater, and what risks follow?</t>
        </is>
      </c>
    </row>
    <row r="51" outlineLevel="1" ht="41.5" customHeight="1">
      <c r="A51" s="189" t="n">
        <v>45</v>
      </c>
      <c r="B51" s="190" t="n">
        <v>3</v>
      </c>
      <c r="C51" s="191" t="inlineStr">
        <is>
          <t>Mobile shield deployed for A14 Vinci Tunnel reconstruction</t>
        </is>
      </c>
      <c r="D51" s="192" t="inlineStr">
        <is>
          <t>Open article</t>
        </is>
      </c>
      <c r="E51" s="193" t="inlineStr">
        <is>
          <t>News brief</t>
        </is>
      </c>
      <c r="F51" s="194">
        <f>IFERROR(INDEX(Stories!$F$4:$F$63,MATCH($A51,Stories!$A$4:$A$63,0))&amp;"","")</f>
        <v/>
      </c>
      <c r="G51" s="195" t="inlineStr">
        <is>
          <t>Tunnelling Journal</t>
        </is>
      </c>
      <c r="H51" s="196" t="n">
        <v>46319</v>
      </c>
      <c r="I51" s="195" t="inlineStr">
        <is>
          <t>How does a mobile shield enable tunnel reconstruction within an operating motorway tunnel, and what ground support issues arise?</t>
        </is>
      </c>
    </row>
    <row r="52" outlineLevel="1" ht="41.5" customHeight="1">
      <c r="A52" s="189" t="n">
        <v>46</v>
      </c>
      <c r="B52" s="190" t="n">
        <v>3</v>
      </c>
      <c r="C52" s="191" t="inlineStr">
        <is>
          <t>What options exist for Mot Mountain in Quy Nhon: levelling it or preserving the historic site?</t>
        </is>
      </c>
      <c r="D52" s="192" t="inlineStr">
        <is>
          <t>Open article</t>
        </is>
      </c>
      <c r="E52" s="206" t="inlineStr">
        <is>
          <t>Feature lead</t>
        </is>
      </c>
      <c r="F52" s="194">
        <f>IFERROR(INDEX(Stories!$F$4:$F$63,MATCH($A52,Stories!$A$4:$A$63,0))&amp;"","")</f>
        <v/>
      </c>
      <c r="G52" s="195" t="inlineStr">
        <is>
          <t>Vietnam.vn</t>
        </is>
      </c>
      <c r="H52" s="196" t="n">
        <v>46319</v>
      </c>
      <c r="I52" s="195" t="inlineStr">
        <is>
          <t>What geotechnical and heritage considerations should guide levelling versus preserving a rocky hill site in an urban coastal city?</t>
        </is>
      </c>
    </row>
    <row r="53" outlineLevel="1" ht="41.5" customHeight="1">
      <c r="A53" s="189" t="n">
        <v>52</v>
      </c>
      <c r="B53" s="190" t="n">
        <v>3</v>
      </c>
      <c r="C53" s="191" t="inlineStr">
        <is>
          <t>Ivan Noskov announced restoration of a retaining wall on Vladimirskaya Street in Samara</t>
        </is>
      </c>
      <c r="D53" s="192" t="inlineStr">
        <is>
          <t>Open article</t>
        </is>
      </c>
      <c r="E53" s="193" t="inlineStr">
        <is>
          <t>News brief</t>
        </is>
      </c>
      <c r="F53" s="194">
        <f>IFERROR(INDEX(Stories!$F$4:$F$63,MATCH($A53,Stories!$A$4:$A$63,0))&amp;"","")</f>
        <v/>
      </c>
      <c r="G53" s="195" t="inlineStr">
        <is>
          <t>Самарская газета</t>
        </is>
      </c>
      <c r="H53" s="196" t="n">
        <v>46319</v>
      </c>
      <c r="I53" s="195" t="inlineStr">
        <is>
          <t>What causes retaining-wall deterioration on urban slopes like Samara's, and how should restoration design address overall slope stability?</t>
        </is>
      </c>
    </row>
    <row r="54" outlineLevel="1" ht="29" customHeight="1">
      <c r="A54" s="189" t="n">
        <v>53</v>
      </c>
      <c r="B54" s="190" t="n">
        <v>3</v>
      </c>
      <c r="C54" s="191" t="inlineStr">
        <is>
          <t>Escobedo begins repair of sinkhole</t>
        </is>
      </c>
      <c r="D54" s="192" t="inlineStr">
        <is>
          <t>Open article</t>
        </is>
      </c>
      <c r="E54" s="193" t="inlineStr">
        <is>
          <t>News brief</t>
        </is>
      </c>
      <c r="F54" s="194">
        <f>IFERROR(INDEX(Stories!$F$4:$F$63,MATCH($A54,Stories!$A$4:$A$63,0))&amp;"","")</f>
        <v/>
      </c>
      <c r="G54" s="195" t="inlineStr">
        <is>
          <t>Detona, Real News</t>
        </is>
      </c>
      <c r="H54" s="196" t="n">
        <v>46319</v>
      </c>
      <c r="I54" s="195" t="inlineStr">
        <is>
          <t>What investigation and grouting methods are used to repair urban sinkholes like the one in Escobedo?</t>
        </is>
      </c>
    </row>
    <row r="55" outlineLevel="1" ht="41.5" customHeight="1">
      <c r="A55" s="189" t="n">
        <v>54</v>
      </c>
      <c r="B55" s="190" t="n">
        <v>3</v>
      </c>
      <c r="C55" s="191" t="inlineStr">
        <is>
          <t>Center attends sinkhole in Casa Blanca</t>
        </is>
      </c>
      <c r="D55" s="192" t="inlineStr">
        <is>
          <t>Open article</t>
        </is>
      </c>
      <c r="E55" s="193" t="inlineStr">
        <is>
          <t>News brief</t>
        </is>
      </c>
      <c r="F55" s="194">
        <f>IFERROR(INDEX(Stories!$F$4:$F$63,MATCH($A55,Stories!$A$4:$A$63,0))&amp;"","")</f>
        <v/>
      </c>
      <c r="G55" s="195" t="inlineStr">
        <is>
          <t>Tabasco HOY</t>
        </is>
      </c>
      <c r="H55" s="196" t="n">
        <v>46319</v>
      </c>
      <c r="I55" s="195" t="inlineStr">
        <is>
          <t>What subsurface causes are likely behind the Casa Blanca sinkhole, and how should emergency response proceed?</t>
        </is>
      </c>
    </row>
    <row r="56" outlineLevel="1" ht="29" customHeight="1">
      <c r="A56" s="189" t="n">
        <v>55</v>
      </c>
      <c r="B56" s="190" t="n">
        <v>3</v>
      </c>
      <c r="C56" s="191" t="inlineStr">
        <is>
          <t>Sinkhole forms at top of underpass in Francisco I. Madero</t>
        </is>
      </c>
      <c r="D56" s="192" t="inlineStr">
        <is>
          <t>Open article</t>
        </is>
      </c>
      <c r="E56" s="193" t="inlineStr">
        <is>
          <t>News brief</t>
        </is>
      </c>
      <c r="F56" s="194">
        <f>IFERROR(INDEX(Stories!$F$4:$F$63,MATCH($A56,Stories!$A$4:$A$63,0))&amp;"","")</f>
        <v/>
      </c>
      <c r="G56" s="195" t="inlineStr">
        <is>
          <t>El Siglo de Torreón</t>
        </is>
      </c>
      <c r="H56" s="196" t="n">
        <v>46319</v>
      </c>
      <c r="I56" s="195" t="inlineStr">
        <is>
          <t>What ground movements and drainage failures beneath an underpass cause sinkholes at its top surface?</t>
        </is>
      </c>
    </row>
    <row r="57" outlineLevel="1" ht="41.5" customHeight="1">
      <c r="A57" s="189" t="n">
        <v>56</v>
      </c>
      <c r="B57" s="190" t="n">
        <v>3</v>
      </c>
      <c r="C57" s="191" t="inlineStr">
        <is>
          <t>Ambulance left hanging in a sinkhole in Aucapán rescued</t>
        </is>
      </c>
      <c r="D57" s="192" t="inlineStr">
        <is>
          <t>Open article</t>
        </is>
      </c>
      <c r="E57" s="193" t="inlineStr">
        <is>
          <t>News brief</t>
        </is>
      </c>
      <c r="F57" s="194">
        <f>IFERROR(INDEX(Stories!$F$4:$F$63,MATCH($A57,Stories!$A$4:$A$63,0))&amp;"","")</f>
        <v/>
      </c>
      <c r="G57" s="195" t="inlineStr">
        <is>
          <t>Realidad Sanmartinense</t>
        </is>
      </c>
      <c r="H57" s="196" t="n">
        <v>46319</v>
      </c>
      <c r="I57" s="195" t="inlineStr">
        <is>
          <t>How do soil loss and void formation under a road lead to vehicles hanging over sinkholes, and what rescue precautions apply?</t>
        </is>
      </c>
    </row>
    <row r="58" outlineLevel="1" ht="10" customHeight="1"/>
    <row r="59" ht="26" customHeight="1">
      <c r="A59" s="216" t="inlineStr">
        <is>
          <t>Offshore, Coasts &amp; Water   ·   10 stories   ·   1 rated 5 / 5   ·   3 feature leads</t>
        </is>
      </c>
      <c r="B59" s="217" t="n"/>
      <c r="C59" s="217" t="n"/>
      <c r="D59" s="217" t="n"/>
      <c r="E59" s="217" t="n"/>
      <c r="F59" s="217" t="n"/>
      <c r="G59" s="217" t="n"/>
      <c r="H59" s="217" t="n"/>
      <c r="I59" s="217" t="n"/>
    </row>
    <row r="60" outlineLevel="1">
      <c r="A60" s="218" t="inlineStr">
        <is>
          <t>No.</t>
        </is>
      </c>
      <c r="B60" s="218" t="inlineStr">
        <is>
          <t>Relevance</t>
        </is>
      </c>
      <c r="C60" s="219" t="inlineStr">
        <is>
          <t>Headline</t>
        </is>
      </c>
      <c r="D60" s="218" t="inlineStr">
        <is>
          <t>Link</t>
        </is>
      </c>
      <c r="E60" s="219" t="inlineStr">
        <is>
          <t>Suggested use</t>
        </is>
      </c>
      <c r="F60" s="218" t="inlineStr">
        <is>
          <t>Status</t>
        </is>
      </c>
      <c r="G60" s="219" t="inlineStr">
        <is>
          <t>Source</t>
        </is>
      </c>
      <c r="H60" s="218" t="inlineStr">
        <is>
          <t>Digest</t>
        </is>
      </c>
      <c r="I60" s="219" t="inlineStr">
        <is>
          <t>Magazine angle / summary</t>
        </is>
      </c>
    </row>
    <row r="61" outlineLevel="1" ht="41.5" customHeight="1">
      <c r="A61" s="189" t="n">
        <v>2</v>
      </c>
      <c r="B61" s="190" t="n">
        <v>5</v>
      </c>
      <c r="C61" s="191" t="inlineStr">
        <is>
          <t>Floating wind needs grounded solutions</t>
        </is>
      </c>
      <c r="D61" s="192" t="inlineStr">
        <is>
          <t>Open article</t>
        </is>
      </c>
      <c r="E61" s="206" t="inlineStr">
        <is>
          <t>Feature lead</t>
        </is>
      </c>
      <c r="F61" s="194">
        <f>IFERROR(INDEX(Stories!$F$4:$F$63,MATCH($A61,Stories!$A$4:$A$63,0))&amp;"","")</f>
        <v/>
      </c>
      <c r="G61" s="195" t="inlineStr">
        <is>
          <t>Ground Engineering</t>
        </is>
      </c>
      <c r="H61" s="196" t="n">
        <v>46319</v>
      </c>
      <c r="I61" s="195" t="inlineStr">
        <is>
          <t>What geotechnical challenges arise in anchoring floating offshore wind foundations in variable seabed soils under extreme loading?</t>
        </is>
      </c>
    </row>
    <row r="62" outlineLevel="1" ht="41.5" customHeight="1">
      <c r="A62" s="189" t="n">
        <v>18</v>
      </c>
      <c r="B62" s="190" t="n">
        <v>4</v>
      </c>
      <c r="C62" s="191" t="inlineStr">
        <is>
          <t>Quang Tri: Severe coastal erosion threatens dikes, embankments, and people's lives.</t>
        </is>
      </c>
      <c r="D62" s="192" t="inlineStr">
        <is>
          <t>Open article</t>
        </is>
      </c>
      <c r="E62" s="207" t="inlineStr">
        <is>
          <t>Regional insight</t>
        </is>
      </c>
      <c r="F62" s="194">
        <f>IFERROR(INDEX(Stories!$F$4:$F$63,MATCH($A62,Stories!$A$4:$A$63,0))&amp;"","")</f>
        <v/>
      </c>
      <c r="G62" s="195" t="inlineStr">
        <is>
          <t>Vietnam.vn</t>
        </is>
      </c>
      <c r="H62" s="196" t="n">
        <v>46319</v>
      </c>
      <c r="I62" s="195" t="inlineStr">
        <is>
          <t>What processes drive severe coastal erosion undermining dikes, and what protection measures suit such shorelines?</t>
        </is>
      </c>
    </row>
    <row r="63" outlineLevel="1" ht="41.5" customHeight="1">
      <c r="A63" s="189" t="n">
        <v>19</v>
      </c>
      <c r="B63" s="190" t="n">
        <v>4</v>
      </c>
      <c r="C63" s="191" t="inlineStr">
        <is>
          <t>Nghe An: urgent measures needed to prevent landslide on embankment along coastal road</t>
        </is>
      </c>
      <c r="D63" s="192" t="inlineStr">
        <is>
          <t>Open article</t>
        </is>
      </c>
      <c r="E63" s="207" t="inlineStr">
        <is>
          <t>Regional insight</t>
        </is>
      </c>
      <c r="F63" s="194">
        <f>IFERROR(INDEX(Stories!$F$4:$F$63,MATCH($A63,Stories!$A$4:$A$63,0))&amp;"","")</f>
        <v/>
      </c>
      <c r="G63" s="195" t="inlineStr">
        <is>
          <t>Vietnam.vn</t>
        </is>
      </c>
      <c r="H63" s="196" t="n">
        <v>46319</v>
      </c>
      <c r="I63" s="195" t="inlineStr">
        <is>
          <t>What urgent stabilisation options suit a failing embankment on a coastal road, and how should slope failure risk be assessed?</t>
        </is>
      </c>
    </row>
    <row r="64" outlineLevel="1" ht="41.5" customHeight="1">
      <c r="A64" s="189" t="n">
        <v>25</v>
      </c>
      <c r="B64" s="190" t="n">
        <v>4</v>
      </c>
      <c r="C64" s="191" t="inlineStr">
        <is>
          <t>Nghe An: early treatment needed for slope failure on coastal road cut</t>
        </is>
      </c>
      <c r="D64" s="192" t="inlineStr">
        <is>
          <t>Open article</t>
        </is>
      </c>
      <c r="E64" s="207" t="inlineStr">
        <is>
          <t>Regional insight</t>
        </is>
      </c>
      <c r="F64" s="194">
        <f>IFERROR(INDEX(Stories!$F$4:$F$63,MATCH($A64,Stories!$A$4:$A$63,0))&amp;"","")</f>
        <v/>
      </c>
      <c r="G64" s="195" t="inlineStr">
        <is>
          <t>Vietnam.vn</t>
        </is>
      </c>
      <c r="H64" s="196" t="n">
        <v>46319</v>
      </c>
      <c r="I64" s="195" t="inlineStr">
        <is>
          <t>What causes slope failure in coastal road cuts, and which stabilisation methods are most suitable for weathered coastal soils?</t>
        </is>
      </c>
    </row>
    <row r="65" outlineLevel="1" ht="41.5" customHeight="1">
      <c r="A65" s="189" t="n">
        <v>29</v>
      </c>
      <c r="B65" s="190" t="n">
        <v>4</v>
      </c>
      <c r="C65" s="191" t="inlineStr">
        <is>
          <t>Two houses collapse due to Tien River bank erosion</t>
        </is>
      </c>
      <c r="D65" s="192" t="inlineStr">
        <is>
          <t>Open article</t>
        </is>
      </c>
      <c r="E65" s="193" t="inlineStr">
        <is>
          <t>News brief</t>
        </is>
      </c>
      <c r="F65" s="194">
        <f>IFERROR(INDEX(Stories!$F$4:$F$63,MATCH($A65,Stories!$A$4:$A$63,0))&amp;"","")</f>
        <v/>
      </c>
      <c r="G65" s="195" t="inlineStr">
        <is>
          <t>VTV.vn</t>
        </is>
      </c>
      <c r="H65" s="196" t="n">
        <v>46319</v>
      </c>
      <c r="I65" s="195" t="inlineStr">
        <is>
          <t>What riverbank erosion processes undermined these houses, and how can bank stability be assessed near settlements?</t>
        </is>
      </c>
    </row>
    <row r="66" outlineLevel="1" ht="41.5" customHeight="1">
      <c r="A66" s="189" t="n">
        <v>41</v>
      </c>
      <c r="B66" s="190" t="n">
        <v>4</v>
      </c>
      <c r="C66" s="191" t="inlineStr">
        <is>
          <t>Concerns over riverbank erosion leading to loss of farmland</t>
        </is>
      </c>
      <c r="D66" s="192" t="inlineStr">
        <is>
          <t>Open article</t>
        </is>
      </c>
      <c r="E66" s="206" t="inlineStr">
        <is>
          <t>Feature lead</t>
        </is>
      </c>
      <c r="F66" s="194">
        <f>IFERROR(INDEX(Stories!$F$4:$F$63,MATCH($A66,Stories!$A$4:$A$63,0))&amp;"","")</f>
        <v/>
      </c>
      <c r="G66" s="195" t="inlineStr">
        <is>
          <t>Vietnam.vn</t>
        </is>
      </c>
      <c r="H66" s="196" t="n">
        <v>46319</v>
      </c>
      <c r="I66" s="195" t="inlineStr">
        <is>
          <t>What bank erosion mechanisms and protection measures are effective for riverbanks threatening farmland, and how can they be monitored over time?</t>
        </is>
      </c>
    </row>
    <row r="67" outlineLevel="1" ht="54" customHeight="1">
      <c r="A67" s="189" t="n">
        <v>42</v>
      </c>
      <c r="B67" s="190" t="n">
        <v>4</v>
      </c>
      <c r="C67" s="191" t="inlineStr">
        <is>
          <t>Quang Tri: Severe sea erosion threatens dykes and residents' livelihoods</t>
        </is>
      </c>
      <c r="D67" s="192" t="inlineStr">
        <is>
          <t>Open article</t>
        </is>
      </c>
      <c r="E67" s="206" t="inlineStr">
        <is>
          <t>Feature lead</t>
        </is>
      </c>
      <c r="F67" s="194">
        <f>IFERROR(INDEX(Stories!$F$4:$F$63,MATCH($A67,Stories!$A$4:$A$63,0))&amp;"","")</f>
        <v/>
      </c>
      <c r="G67" s="195" t="inlineStr">
        <is>
          <t>Người Đưa Tin</t>
        </is>
      </c>
      <c r="H67" s="196" t="n">
        <v>46319</v>
      </c>
      <c r="I67" s="195" t="inlineStr">
        <is>
          <t>How do sea-level-driven erosion and scour undermine sea dyke foundations in Quang Tri, and which revetment and foundation designs suit eroding sandy coastal soils?</t>
        </is>
      </c>
    </row>
    <row r="68" outlineLevel="1" ht="29" customHeight="1">
      <c r="A68" s="189" t="n">
        <v>51</v>
      </c>
      <c r="B68" s="190" t="n">
        <v>3</v>
      </c>
      <c r="C68" s="191" t="inlineStr">
        <is>
          <t>Strong waves on Mazatlán beaches form sinkhole in monument</t>
        </is>
      </c>
      <c r="D68" s="192" t="inlineStr">
        <is>
          <t>Open article</t>
        </is>
      </c>
      <c r="E68" s="193" t="inlineStr">
        <is>
          <t>News brief</t>
        </is>
      </c>
      <c r="F68" s="194">
        <f>IFERROR(INDEX(Stories!$F$4:$F$63,MATCH($A68,Stories!$A$4:$A$63,0))&amp;"","")</f>
        <v/>
      </c>
      <c r="G68" s="195" t="inlineStr">
        <is>
          <t>El Universal</t>
        </is>
      </c>
      <c r="H68" s="196" t="n">
        <v>46319</v>
      </c>
      <c r="I68" s="195" t="inlineStr">
        <is>
          <t>How do wave action and beach sand erosion undermine coastal monuments and promenade ground in Mazatlán?</t>
        </is>
      </c>
    </row>
    <row r="69" outlineLevel="1" ht="41.5" customHeight="1">
      <c r="A69" s="189" t="n">
        <v>59</v>
      </c>
      <c r="B69" s="190" t="n">
        <v>3</v>
      </c>
      <c r="C69" s="191" t="inlineStr">
        <is>
          <t>Cerraron un sector de la costanera de una ciudad correntina por hundimiento</t>
        </is>
      </c>
      <c r="D69" s="192" t="inlineStr">
        <is>
          <t>Open article</t>
        </is>
      </c>
      <c r="E69" s="193" t="inlineStr">
        <is>
          <t>News brief</t>
        </is>
      </c>
      <c r="F69" s="194">
        <f>IFERROR(INDEX(Stories!$F$4:$F$63,MATCH($A69,Stories!$A$4:$A$63,0))&amp;"","")</f>
        <v/>
      </c>
      <c r="G69" s="195" t="inlineStr">
        <is>
          <t>El Litoral | Novedades de Corrientes</t>
        </is>
      </c>
      <c r="H69" s="196" t="n">
        <v>46319</v>
      </c>
      <c r="I69" s="195" t="inlineStr">
        <is>
          <t>What causes subsidence along a riverfront promenade in Corrientes, and how should ground investigation guide repair of the costanera?</t>
        </is>
      </c>
    </row>
    <row r="70" outlineLevel="1" ht="41.5" customHeight="1">
      <c r="A70" s="189" t="n">
        <v>60</v>
      </c>
      <c r="B70" s="190" t="n">
        <v>3</v>
      </c>
      <c r="C70" s="191" t="inlineStr">
        <is>
          <t>Inician rehabilitación tras hundimiento de losa en el Malecón Costero de Coatzacoalcos</t>
        </is>
      </c>
      <c r="D70" s="192" t="inlineStr">
        <is>
          <t>Open article</t>
        </is>
      </c>
      <c r="E70" s="193" t="inlineStr">
        <is>
          <t>News brief</t>
        </is>
      </c>
      <c r="F70" s="194">
        <f>IFERROR(INDEX(Stories!$F$4:$F$63,MATCH($A70,Stories!$A$4:$A$63,0))&amp;"","")</f>
        <v/>
      </c>
      <c r="G70" s="195" t="inlineStr">
        <is>
          <t>:: Foro Coatza ::</t>
        </is>
      </c>
      <c r="H70" s="196" t="n">
        <v>46319</v>
      </c>
      <c r="I70" s="195" t="inlineStr">
        <is>
          <t>What causes slab sinking on a coastal promenade exposed to waves, and what foundation and drainage remedies are appropriate?</t>
        </is>
      </c>
    </row>
    <row r="71" outlineLevel="1" ht="10" customHeight="1"/>
    <row r="72" ht="26" customHeight="1">
      <c r="A72" s="220" t="inlineStr">
        <is>
          <t>Characterisation &amp; Modelling   ·   6 stories   ·   0 rated 5 / 5   ·   4 feature leads</t>
        </is>
      </c>
      <c r="B72" s="221" t="n"/>
      <c r="C72" s="221" t="n"/>
      <c r="D72" s="221" t="n"/>
      <c r="E72" s="221" t="n"/>
      <c r="F72" s="221" t="n"/>
      <c r="G72" s="221" t="n"/>
      <c r="H72" s="221" t="n"/>
      <c r="I72" s="221" t="n"/>
    </row>
    <row r="73" outlineLevel="1">
      <c r="A73" s="222" t="inlineStr">
        <is>
          <t>No.</t>
        </is>
      </c>
      <c r="B73" s="222" t="inlineStr">
        <is>
          <t>Relevance</t>
        </is>
      </c>
      <c r="C73" s="223" t="inlineStr">
        <is>
          <t>Headline</t>
        </is>
      </c>
      <c r="D73" s="222" t="inlineStr">
        <is>
          <t>Link</t>
        </is>
      </c>
      <c r="E73" s="223" t="inlineStr">
        <is>
          <t>Suggested use</t>
        </is>
      </c>
      <c r="F73" s="222" t="inlineStr">
        <is>
          <t>Status</t>
        </is>
      </c>
      <c r="G73" s="223" t="inlineStr">
        <is>
          <t>Source</t>
        </is>
      </c>
      <c r="H73" s="222" t="inlineStr">
        <is>
          <t>Digest</t>
        </is>
      </c>
      <c r="I73" s="223" t="inlineStr">
        <is>
          <t>Magazine angle / summary</t>
        </is>
      </c>
    </row>
    <row r="74" outlineLevel="1" ht="41.5" customHeight="1">
      <c r="A74" s="189" t="n">
        <v>31</v>
      </c>
      <c r="B74" s="190" t="n">
        <v>4</v>
      </c>
      <c r="C74" s="191" t="inlineStr">
        <is>
          <t>Se ha descubierto un socavón del tamaño de casi tres campos de fútbol en Phong Nha Ke Bang.</t>
        </is>
      </c>
      <c r="D74" s="192" t="inlineStr">
        <is>
          <t>Open article</t>
        </is>
      </c>
      <c r="E74" s="206" t="inlineStr">
        <is>
          <t>Feature lead</t>
        </is>
      </c>
      <c r="F74" s="194">
        <f>IFERROR(INDEX(Stories!$F$4:$F$63,MATCH($A74,Stories!$A$4:$A$63,0))&amp;"","")</f>
        <v/>
      </c>
      <c r="G74" s="195" t="inlineStr">
        <is>
          <t>Vietnam.vn</t>
        </is>
      </c>
      <c r="H74" s="196" t="n">
        <v>46319</v>
      </c>
      <c r="I74" s="195" t="inlineStr">
        <is>
          <t>How do karst dissolution and roof collapse produce giant dolines like the one in Phong Nha Ke Bang, and how can such cavities be characterised?</t>
        </is>
      </c>
    </row>
    <row r="75" outlineLevel="1" ht="41.5" customHeight="1">
      <c r="A75" s="189" t="n">
        <v>33</v>
      </c>
      <c r="B75" s="190" t="n">
        <v>4</v>
      </c>
      <c r="C75" s="191" t="inlineStr">
        <is>
          <t>Vista de cerca del gigantesco socavón de 120 metros de profundidad descubierto recientemente en Vietnam.</t>
        </is>
      </c>
      <c r="D75" s="192" t="inlineStr">
        <is>
          <t>Open article</t>
        </is>
      </c>
      <c r="E75" s="206" t="inlineStr">
        <is>
          <t>Feature lead</t>
        </is>
      </c>
      <c r="F75" s="194">
        <f>IFERROR(INDEX(Stories!$F$4:$F$63,MATCH($A75,Stories!$A$4:$A$63,0))&amp;"","")</f>
        <v/>
      </c>
      <c r="G75" s="195" t="inlineStr">
        <is>
          <t>Vietnam.vn</t>
        </is>
      </c>
      <c r="H75" s="196" t="n">
        <v>46319</v>
      </c>
      <c r="I75" s="195" t="inlineStr">
        <is>
          <t>Which geomorphological and hydrogeological processes produced a 120 m deep collapse, and how can the stability of its steep walls be assessed?</t>
        </is>
      </c>
    </row>
    <row r="76" outlineLevel="1" ht="41.5" customHeight="1">
      <c r="A76" s="189" t="n">
        <v>34</v>
      </c>
      <c r="B76" s="190" t="n">
        <v>4</v>
      </c>
      <c r="C76" s="191" t="inlineStr">
        <is>
          <t>Primeval forest grows at bottom of 120-meter-deep sinkhole in central Vietnam</t>
        </is>
      </c>
      <c r="D76" s="192" t="inlineStr">
        <is>
          <t>Open article</t>
        </is>
      </c>
      <c r="E76" s="206" t="inlineStr">
        <is>
          <t>Feature lead</t>
        </is>
      </c>
      <c r="F76" s="194">
        <f>IFERROR(INDEX(Stories!$F$4:$F$63,MATCH($A76,Stories!$A$4:$A$63,0))&amp;"","")</f>
        <v/>
      </c>
      <c r="G76" s="195" t="inlineStr">
        <is>
          <t>VnExpress International</t>
        </is>
      </c>
      <c r="H76" s="196" t="n">
        <v>46319</v>
      </c>
      <c r="I76" s="195" t="inlineStr">
        <is>
          <t>How do karst collapse sinkholes form in limestone terrain, and what do such deep features reveal about cave ground stability and hazard mapping?</t>
        </is>
      </c>
    </row>
    <row r="77" outlineLevel="1" ht="54" customHeight="1">
      <c r="A77" s="189" t="n">
        <v>39</v>
      </c>
      <c r="B77" s="190" t="n">
        <v>4</v>
      </c>
      <c r="C77" s="191" t="inlineStr">
        <is>
          <t>What lies inside the hole over two hectares wide in the middle of Phong Nha-Ke Bang forest?</t>
        </is>
      </c>
      <c r="D77" s="192" t="inlineStr">
        <is>
          <t>Open article</t>
        </is>
      </c>
      <c r="E77" s="206" t="inlineStr">
        <is>
          <t>Feature lead</t>
        </is>
      </c>
      <c r="F77" s="194">
        <f>IFERROR(INDEX(Stories!$F$4:$F$63,MATCH($A77,Stories!$A$4:$A$63,0))&amp;"","")</f>
        <v/>
      </c>
      <c r="G77" s="195" t="inlineStr">
        <is>
          <t>Vietnam.vn</t>
        </is>
      </c>
      <c r="H77" s="196" t="n">
        <v>46319</v>
      </c>
      <c r="I77" s="195" t="inlineStr">
        <is>
          <t>What karst processes, such as collapse or dissolution, could create a large sinkhole of over two hectares in a tropical forest, and how should it be investigated and monitored?</t>
        </is>
      </c>
    </row>
    <row r="78" outlineLevel="1" ht="54" customHeight="1">
      <c r="A78" s="189" t="n">
        <v>40</v>
      </c>
      <c r="B78" s="190" t="n">
        <v>4</v>
      </c>
      <c r="C78" s="191" t="inlineStr">
        <is>
          <t>Analytical study of 3D transient dynamic response of a cylindrical cavity in an elastic medium under triangular pulse load.</t>
        </is>
      </c>
      <c r="D78" s="192" t="inlineStr">
        <is>
          <t>Open article</t>
        </is>
      </c>
      <c r="E78" s="197" t="inlineStr">
        <is>
          <t>Academia-to-Industry topic</t>
        </is>
      </c>
      <c r="F78" s="194">
        <f>IFERROR(INDEX(Stories!$F$4:$F$63,MATCH($A78,Stories!$A$4:$A$63,0))&amp;"","")</f>
        <v/>
      </c>
      <c r="G78" s="195" t="inlineStr">
        <is>
          <t>生物通</t>
        </is>
      </c>
      <c r="H78" s="196" t="n">
        <v>46319</v>
      </c>
      <c r="I78" s="195" t="inlineStr">
        <is>
          <t>How do analytical solutions for a cylindrical cavity under triangular pulse loads inform the validation of numerical models for underground openings under impact?</t>
        </is>
      </c>
    </row>
    <row r="79" outlineLevel="1" ht="41.5" customHeight="1">
      <c r="A79" s="189" t="n">
        <v>49</v>
      </c>
      <c r="B79" s="190" t="n">
        <v>3</v>
      </c>
      <c r="C79" s="191" t="inlineStr">
        <is>
          <t>Minvu advances 121 housing support cases in Villa El Mirador, Arauco, and prepares soil study</t>
        </is>
      </c>
      <c r="D79" s="192" t="inlineStr">
        <is>
          <t>Open article</t>
        </is>
      </c>
      <c r="E79" s="193" t="inlineStr">
        <is>
          <t>News brief</t>
        </is>
      </c>
      <c r="F79" s="194">
        <f>IFERROR(INDEX(Stories!$F$4:$F$63,MATCH($A79,Stories!$A$4:$A$63,0))&amp;"","")</f>
        <v/>
      </c>
      <c r="G79" s="195" t="inlineStr">
        <is>
          <t>Trade-news.cl</t>
        </is>
      </c>
      <c r="H79" s="196" t="n">
        <v>46319</v>
      </c>
      <c r="I79" s="195" t="inlineStr">
        <is>
          <t>What soil investigation is needed before housing support works on this site, and how should ground conditions shape foundation choice?</t>
        </is>
      </c>
    </row>
    <row r="80" outlineLevel="1" ht="10" customHeight="1"/>
    <row r="81" ht="26" customHeight="1">
      <c r="A81" s="224" t="inlineStr">
        <is>
          <t>Geotechnics &amp; Society   ·   4 stories   ·   0 rated 5 / 5   ·   1 feature lead</t>
        </is>
      </c>
      <c r="B81" s="225" t="n"/>
      <c r="C81" s="225" t="n"/>
      <c r="D81" s="225" t="n"/>
      <c r="E81" s="225" t="n"/>
      <c r="F81" s="225" t="n"/>
      <c r="G81" s="225" t="n"/>
      <c r="H81" s="225" t="n"/>
      <c r="I81" s="225" t="n"/>
    </row>
    <row r="82" outlineLevel="1">
      <c r="A82" s="226" t="inlineStr">
        <is>
          <t>No.</t>
        </is>
      </c>
      <c r="B82" s="226" t="inlineStr">
        <is>
          <t>Relevance</t>
        </is>
      </c>
      <c r="C82" s="227" t="inlineStr">
        <is>
          <t>Headline</t>
        </is>
      </c>
      <c r="D82" s="226" t="inlineStr">
        <is>
          <t>Link</t>
        </is>
      </c>
      <c r="E82" s="227" t="inlineStr">
        <is>
          <t>Suggested use</t>
        </is>
      </c>
      <c r="F82" s="226" t="inlineStr">
        <is>
          <t>Status</t>
        </is>
      </c>
      <c r="G82" s="227" t="inlineStr">
        <is>
          <t>Source</t>
        </is>
      </c>
      <c r="H82" s="226" t="inlineStr">
        <is>
          <t>Digest</t>
        </is>
      </c>
      <c r="I82" s="227" t="inlineStr">
        <is>
          <t>Magazine angle / summary</t>
        </is>
      </c>
    </row>
    <row r="83" outlineLevel="1" ht="41.5" customHeight="1">
      <c r="A83" s="189" t="n">
        <v>32</v>
      </c>
      <c r="B83" s="190" t="n">
        <v>4</v>
      </c>
      <c r="C83" s="191" t="inlineStr">
        <is>
          <t>CEDH finds negligence by Guasave municipality in death of teacher who fell into sinkhole</t>
        </is>
      </c>
      <c r="D83" s="192" t="inlineStr">
        <is>
          <t>Open article</t>
        </is>
      </c>
      <c r="E83" s="206" t="inlineStr">
        <is>
          <t>Feature lead</t>
        </is>
      </c>
      <c r="F83" s="194">
        <f>IFERROR(INDEX(Stories!$F$4:$F$63,MATCH($A83,Stories!$A$4:$A$63,0))&amp;"","")</f>
        <v/>
      </c>
      <c r="G83" s="195" t="inlineStr">
        <is>
          <t>www.noroeste.com.mx</t>
        </is>
      </c>
      <c r="H83" s="196" t="n">
        <v>46319</v>
      </c>
      <c r="I83" s="195" t="inlineStr">
        <is>
          <t>What duty of care should municipalities meet in managing known ground-collapse hazards in urban areas, as the Guasave case suggests?</t>
        </is>
      </c>
    </row>
    <row r="84" outlineLevel="1" ht="41.5" customHeight="1">
      <c r="A84" s="189" t="n">
        <v>50</v>
      </c>
      <c r="B84" s="190" t="n">
        <v>3</v>
      </c>
      <c r="C84" s="191" t="inlineStr">
        <is>
          <t>Body of miner trapped in a tunnel collapse in Gámeza recovered</t>
        </is>
      </c>
      <c r="D84" s="192" t="inlineStr">
        <is>
          <t>Open article</t>
        </is>
      </c>
      <c r="E84" s="193" t="inlineStr">
        <is>
          <t>News brief</t>
        </is>
      </c>
      <c r="F84" s="194">
        <f>IFERROR(INDEX(Stories!$F$4:$F$63,MATCH($A84,Stories!$A$4:$A$63,0))&amp;"","")</f>
        <v/>
      </c>
      <c r="G84" s="195" t="inlineStr">
        <is>
          <t>Boyacá 7 Días</t>
        </is>
      </c>
      <c r="H84" s="196" t="n">
        <v>46319</v>
      </c>
      <c r="I84" s="195" t="inlineStr">
        <is>
          <t>What ground and support conditions lead to tunnel collapses in small mines, and how can rescue operations account for ground instability?</t>
        </is>
      </c>
    </row>
    <row r="85" outlineLevel="1" ht="41.5" customHeight="1">
      <c r="A85" s="189" t="n">
        <v>57</v>
      </c>
      <c r="B85" s="190" t="n">
        <v>3</v>
      </c>
      <c r="C85" s="191" t="inlineStr">
        <is>
          <t>Gia Lai province People's Committee chairman discusses proposal to level Mot Mountain.</t>
        </is>
      </c>
      <c r="D85" s="192" t="inlineStr">
        <is>
          <t>Open article</t>
        </is>
      </c>
      <c r="E85" s="207" t="inlineStr">
        <is>
          <t>Regional insight</t>
        </is>
      </c>
      <c r="F85" s="194">
        <f>IFERROR(INDEX(Stories!$F$4:$F$63,MATCH($A85,Stories!$A$4:$A$63,0))&amp;"","")</f>
        <v/>
      </c>
      <c r="G85" s="195" t="inlineStr">
        <is>
          <t>Vietnam.vn</t>
        </is>
      </c>
      <c r="H85" s="196" t="n">
        <v>46319</v>
      </c>
      <c r="I85" s="195" t="inlineStr">
        <is>
          <t>What are the geotechnical feasibility issues of levelling a hill, including rock quality, slope excavation and stability, compared with preservation?</t>
        </is>
      </c>
    </row>
    <row r="86" outlineLevel="1" ht="54" customHeight="1">
      <c r="A86" s="189" t="n">
        <v>58</v>
      </c>
      <c r="B86" s="190" t="n">
        <v>3</v>
      </c>
      <c r="C86" s="191" t="inlineStr">
        <is>
          <t>What are the options for Mot Mountain in Quy Nhon: level it or preserve the historic site?</t>
        </is>
      </c>
      <c r="D86" s="192" t="inlineStr">
        <is>
          <t>Open article</t>
        </is>
      </c>
      <c r="E86" s="207" t="inlineStr">
        <is>
          <t>Regional insight</t>
        </is>
      </c>
      <c r="F86" s="194">
        <f>IFERROR(INDEX(Stories!$F$4:$F$63,MATCH($A86,Stories!$A$4:$A$63,0))&amp;"","")</f>
        <v/>
      </c>
      <c r="G86" s="195" t="inlineStr">
        <is>
          <t>Vietnam.vn</t>
        </is>
      </c>
      <c r="H86" s="196" t="n">
        <v>46319</v>
      </c>
      <c r="I86" s="195" t="inlineStr">
        <is>
          <t>What geotechnical assessments would be needed to compare levelling Mot Mountain with conserving its historic site, including rock stability and foundation implications?</t>
        </is>
      </c>
    </row>
    <row r="87" outlineLevel="1" ht="10" customHeight="1"/>
  </sheetData>
  <mergeCells count="8">
    <mergeCell ref="A59:I59"/>
    <mergeCell ref="A81:I81"/>
    <mergeCell ref="A10:I10"/>
    <mergeCell ref="A14:I14"/>
    <mergeCell ref="A39:I39"/>
    <mergeCell ref="A34:I34"/>
    <mergeCell ref="A4:I4"/>
    <mergeCell ref="A72:I72"/>
  </mergeCells>
  <conditionalFormatting sqref="B6:B8">
    <cfRule type="cellIs" priority="1" operator="equal" dxfId="10">
      <formula>5</formula>
    </cfRule>
    <cfRule type="cellIs" priority="2" operator="equal" dxfId="11">
      <formula>4</formula>
    </cfRule>
    <cfRule type="cellIs" priority="3" operator="equal" dxfId="12">
      <formula>3</formula>
    </cfRule>
    <cfRule type="cellIs" priority="4" operator="equal" dxfId="13">
      <formula>2</formula>
    </cfRule>
    <cfRule type="cellIs" priority="5" operator="equal" dxfId="14">
      <formula>1</formula>
    </cfRule>
    <cfRule type="cellIs" priority="6" operator="equal" dxfId="15">
      <formula>0</formula>
    </cfRule>
  </conditionalFormatting>
  <conditionalFormatting sqref="F6:F8">
    <cfRule type="cellIs" priority="7" operator="equal" dxfId="16">
      <formula>"To review"</formula>
    </cfRule>
    <cfRule type="cellIs" priority="8" operator="equal" dxfId="17">
      <formula>"Shortlisted"</formula>
    </cfRule>
    <cfRule type="cellIs" priority="9" operator="equal" dxfId="18">
      <formula>"Commissioned"</formula>
    </cfRule>
    <cfRule type="cellIs" priority="10" operator="equal" dxfId="19">
      <formula>"Published"</formula>
    </cfRule>
    <cfRule type="cellIs" priority="11" operator="equal" dxfId="20">
      <formula>"Not used"</formula>
    </cfRule>
  </conditionalFormatting>
  <conditionalFormatting sqref="B12">
    <cfRule type="cellIs" priority="12" operator="equal" dxfId="10">
      <formula>5</formula>
    </cfRule>
    <cfRule type="cellIs" priority="13" operator="equal" dxfId="11">
      <formula>4</formula>
    </cfRule>
    <cfRule type="cellIs" priority="14" operator="equal" dxfId="12">
      <formula>3</formula>
    </cfRule>
    <cfRule type="cellIs" priority="15" operator="equal" dxfId="13">
      <formula>2</formula>
    </cfRule>
    <cfRule type="cellIs" priority="16" operator="equal" dxfId="14">
      <formula>1</formula>
    </cfRule>
    <cfRule type="cellIs" priority="17" operator="equal" dxfId="15">
      <formula>0</formula>
    </cfRule>
  </conditionalFormatting>
  <conditionalFormatting sqref="F12">
    <cfRule type="cellIs" priority="18" operator="equal" dxfId="16">
      <formula>"To review"</formula>
    </cfRule>
    <cfRule type="cellIs" priority="19" operator="equal" dxfId="17">
      <formula>"Shortlisted"</formula>
    </cfRule>
    <cfRule type="cellIs" priority="20" operator="equal" dxfId="18">
      <formula>"Commissioned"</formula>
    </cfRule>
    <cfRule type="cellIs" priority="21" operator="equal" dxfId="19">
      <formula>"Published"</formula>
    </cfRule>
    <cfRule type="cellIs" priority="22" operator="equal" dxfId="20">
      <formula>"Not used"</formula>
    </cfRule>
  </conditionalFormatting>
  <conditionalFormatting sqref="B16:B32">
    <cfRule type="cellIs" priority="23" operator="equal" dxfId="10">
      <formula>5</formula>
    </cfRule>
    <cfRule type="cellIs" priority="24" operator="equal" dxfId="11">
      <formula>4</formula>
    </cfRule>
    <cfRule type="cellIs" priority="25" operator="equal" dxfId="12">
      <formula>3</formula>
    </cfRule>
    <cfRule type="cellIs" priority="26" operator="equal" dxfId="13">
      <formula>2</formula>
    </cfRule>
    <cfRule type="cellIs" priority="27" operator="equal" dxfId="14">
      <formula>1</formula>
    </cfRule>
    <cfRule type="cellIs" priority="28" operator="equal" dxfId="15">
      <formula>0</formula>
    </cfRule>
  </conditionalFormatting>
  <conditionalFormatting sqref="F16:F32">
    <cfRule type="cellIs" priority="29" operator="equal" dxfId="16">
      <formula>"To review"</formula>
    </cfRule>
    <cfRule type="cellIs" priority="30" operator="equal" dxfId="17">
      <formula>"Shortlisted"</formula>
    </cfRule>
    <cfRule type="cellIs" priority="31" operator="equal" dxfId="18">
      <formula>"Commissioned"</formula>
    </cfRule>
    <cfRule type="cellIs" priority="32" operator="equal" dxfId="19">
      <formula>"Published"</formula>
    </cfRule>
    <cfRule type="cellIs" priority="33" operator="equal" dxfId="20">
      <formula>"Not used"</formula>
    </cfRule>
  </conditionalFormatting>
  <conditionalFormatting sqref="B36:B37">
    <cfRule type="cellIs" priority="34" operator="equal" dxfId="10">
      <formula>5</formula>
    </cfRule>
    <cfRule type="cellIs" priority="35" operator="equal" dxfId="11">
      <formula>4</formula>
    </cfRule>
    <cfRule type="cellIs" priority="36" operator="equal" dxfId="12">
      <formula>3</formula>
    </cfRule>
    <cfRule type="cellIs" priority="37" operator="equal" dxfId="13">
      <formula>2</formula>
    </cfRule>
    <cfRule type="cellIs" priority="38" operator="equal" dxfId="14">
      <formula>1</formula>
    </cfRule>
    <cfRule type="cellIs" priority="39" operator="equal" dxfId="15">
      <formula>0</formula>
    </cfRule>
  </conditionalFormatting>
  <conditionalFormatting sqref="F36:F37">
    <cfRule type="cellIs" priority="40" operator="equal" dxfId="16">
      <formula>"To review"</formula>
    </cfRule>
    <cfRule type="cellIs" priority="41" operator="equal" dxfId="17">
      <formula>"Shortlisted"</formula>
    </cfRule>
    <cfRule type="cellIs" priority="42" operator="equal" dxfId="18">
      <formula>"Commissioned"</formula>
    </cfRule>
    <cfRule type="cellIs" priority="43" operator="equal" dxfId="19">
      <formula>"Published"</formula>
    </cfRule>
    <cfRule type="cellIs" priority="44" operator="equal" dxfId="20">
      <formula>"Not used"</formula>
    </cfRule>
  </conditionalFormatting>
  <conditionalFormatting sqref="B41:B57">
    <cfRule type="cellIs" priority="45" operator="equal" dxfId="10">
      <formula>5</formula>
    </cfRule>
    <cfRule type="cellIs" priority="46" operator="equal" dxfId="11">
      <formula>4</formula>
    </cfRule>
    <cfRule type="cellIs" priority="47" operator="equal" dxfId="12">
      <formula>3</formula>
    </cfRule>
    <cfRule type="cellIs" priority="48" operator="equal" dxfId="13">
      <formula>2</formula>
    </cfRule>
    <cfRule type="cellIs" priority="49" operator="equal" dxfId="14">
      <formula>1</formula>
    </cfRule>
    <cfRule type="cellIs" priority="50" operator="equal" dxfId="15">
      <formula>0</formula>
    </cfRule>
  </conditionalFormatting>
  <conditionalFormatting sqref="F41:F57">
    <cfRule type="cellIs" priority="51" operator="equal" dxfId="16">
      <formula>"To review"</formula>
    </cfRule>
    <cfRule type="cellIs" priority="52" operator="equal" dxfId="17">
      <formula>"Shortlisted"</formula>
    </cfRule>
    <cfRule type="cellIs" priority="53" operator="equal" dxfId="18">
      <formula>"Commissioned"</formula>
    </cfRule>
    <cfRule type="cellIs" priority="54" operator="equal" dxfId="19">
      <formula>"Published"</formula>
    </cfRule>
    <cfRule type="cellIs" priority="55" operator="equal" dxfId="20">
      <formula>"Not used"</formula>
    </cfRule>
  </conditionalFormatting>
  <conditionalFormatting sqref="B61:B70">
    <cfRule type="cellIs" priority="56" operator="equal" dxfId="10">
      <formula>5</formula>
    </cfRule>
    <cfRule type="cellIs" priority="57" operator="equal" dxfId="11">
      <formula>4</formula>
    </cfRule>
    <cfRule type="cellIs" priority="58" operator="equal" dxfId="12">
      <formula>3</formula>
    </cfRule>
    <cfRule type="cellIs" priority="59" operator="equal" dxfId="13">
      <formula>2</formula>
    </cfRule>
    <cfRule type="cellIs" priority="60" operator="equal" dxfId="14">
      <formula>1</formula>
    </cfRule>
    <cfRule type="cellIs" priority="61" operator="equal" dxfId="15">
      <formula>0</formula>
    </cfRule>
  </conditionalFormatting>
  <conditionalFormatting sqref="F61:F70">
    <cfRule type="cellIs" priority="62" operator="equal" dxfId="16">
      <formula>"To review"</formula>
    </cfRule>
    <cfRule type="cellIs" priority="63" operator="equal" dxfId="17">
      <formula>"Shortlisted"</formula>
    </cfRule>
    <cfRule type="cellIs" priority="64" operator="equal" dxfId="18">
      <formula>"Commissioned"</formula>
    </cfRule>
    <cfRule type="cellIs" priority="65" operator="equal" dxfId="19">
      <formula>"Published"</formula>
    </cfRule>
    <cfRule type="cellIs" priority="66" operator="equal" dxfId="20">
      <formula>"Not used"</formula>
    </cfRule>
  </conditionalFormatting>
  <conditionalFormatting sqref="B74:B79">
    <cfRule type="cellIs" priority="67" operator="equal" dxfId="10">
      <formula>5</formula>
    </cfRule>
    <cfRule type="cellIs" priority="68" operator="equal" dxfId="11">
      <formula>4</formula>
    </cfRule>
    <cfRule type="cellIs" priority="69" operator="equal" dxfId="12">
      <formula>3</formula>
    </cfRule>
    <cfRule type="cellIs" priority="70" operator="equal" dxfId="13">
      <formula>2</formula>
    </cfRule>
    <cfRule type="cellIs" priority="71" operator="equal" dxfId="14">
      <formula>1</formula>
    </cfRule>
    <cfRule type="cellIs" priority="72" operator="equal" dxfId="15">
      <formula>0</formula>
    </cfRule>
  </conditionalFormatting>
  <conditionalFormatting sqref="F74:F79">
    <cfRule type="cellIs" priority="73" operator="equal" dxfId="16">
      <formula>"To review"</formula>
    </cfRule>
    <cfRule type="cellIs" priority="74" operator="equal" dxfId="17">
      <formula>"Shortlisted"</formula>
    </cfRule>
    <cfRule type="cellIs" priority="75" operator="equal" dxfId="18">
      <formula>"Commissioned"</formula>
    </cfRule>
    <cfRule type="cellIs" priority="76" operator="equal" dxfId="19">
      <formula>"Published"</formula>
    </cfRule>
    <cfRule type="cellIs" priority="77" operator="equal" dxfId="20">
      <formula>"Not used"</formula>
    </cfRule>
  </conditionalFormatting>
  <conditionalFormatting sqref="B83:B86">
    <cfRule type="cellIs" priority="78" operator="equal" dxfId="10">
      <formula>5</formula>
    </cfRule>
    <cfRule type="cellIs" priority="79" operator="equal" dxfId="11">
      <formula>4</formula>
    </cfRule>
    <cfRule type="cellIs" priority="80" operator="equal" dxfId="12">
      <formula>3</formula>
    </cfRule>
    <cfRule type="cellIs" priority="81" operator="equal" dxfId="13">
      <formula>2</formula>
    </cfRule>
    <cfRule type="cellIs" priority="82" operator="equal" dxfId="14">
      <formula>1</formula>
    </cfRule>
    <cfRule type="cellIs" priority="83" operator="equal" dxfId="15">
      <formula>0</formula>
    </cfRule>
  </conditionalFormatting>
  <conditionalFormatting sqref="F83:F86">
    <cfRule type="cellIs" priority="84" operator="equal" dxfId="16">
      <formula>"To review"</formula>
    </cfRule>
    <cfRule type="cellIs" priority="85" operator="equal" dxfId="17">
      <formula>"Shortlisted"</formula>
    </cfRule>
    <cfRule type="cellIs" priority="86" operator="equal" dxfId="18">
      <formula>"Commissioned"</formula>
    </cfRule>
    <cfRule type="cellIs" priority="87" operator="equal" dxfId="19">
      <formula>"Published"</formula>
    </cfRule>
    <cfRule type="cellIs" priority="88" operator="equal" dxfId="20">
      <formula>"Not used"</formula>
    </cfRule>
  </conditionalFormatting>
  <hyperlinks>
    <hyperlink ref="D1" location="'Dashboard'!A1" display="← Dashboard"/>
    <hyperlink ref="E1" location="'Start here'!A1" display="↑ Start here"/>
    <hyperlink ref="F1" location="'Stories'!A1" display="Stories →"/>
    <hyperlink xmlns:r="http://schemas.openxmlformats.org/officeDocument/2006/relationships" ref="D6" r:id="rId1"/>
    <hyperlink xmlns:r="http://schemas.openxmlformats.org/officeDocument/2006/relationships" ref="D7" r:id="rId2"/>
    <hyperlink xmlns:r="http://schemas.openxmlformats.org/officeDocument/2006/relationships" ref="D8" r:id="rId3"/>
    <hyperlink xmlns:r="http://schemas.openxmlformats.org/officeDocument/2006/relationships" ref="D12" r:id="rId4"/>
    <hyperlink xmlns:r="http://schemas.openxmlformats.org/officeDocument/2006/relationships" ref="D16" r:id="rId5"/>
    <hyperlink xmlns:r="http://schemas.openxmlformats.org/officeDocument/2006/relationships" ref="D17" r:id="rId6"/>
    <hyperlink xmlns:r="http://schemas.openxmlformats.org/officeDocument/2006/relationships" ref="D18" r:id="rId7"/>
    <hyperlink xmlns:r="http://schemas.openxmlformats.org/officeDocument/2006/relationships" ref="D19" r:id="rId8"/>
    <hyperlink xmlns:r="http://schemas.openxmlformats.org/officeDocument/2006/relationships" ref="D20" r:id="rId9"/>
    <hyperlink xmlns:r="http://schemas.openxmlformats.org/officeDocument/2006/relationships" ref="D21" r:id="rId10"/>
    <hyperlink xmlns:r="http://schemas.openxmlformats.org/officeDocument/2006/relationships" ref="D22" r:id="rId11"/>
    <hyperlink xmlns:r="http://schemas.openxmlformats.org/officeDocument/2006/relationships" ref="D23" r:id="rId12"/>
    <hyperlink xmlns:r="http://schemas.openxmlformats.org/officeDocument/2006/relationships" ref="D24" r:id="rId13"/>
    <hyperlink xmlns:r="http://schemas.openxmlformats.org/officeDocument/2006/relationships" ref="D25" r:id="rId14"/>
    <hyperlink xmlns:r="http://schemas.openxmlformats.org/officeDocument/2006/relationships" ref="D26" r:id="rId15"/>
    <hyperlink xmlns:r="http://schemas.openxmlformats.org/officeDocument/2006/relationships" ref="D27" r:id="rId16"/>
    <hyperlink xmlns:r="http://schemas.openxmlformats.org/officeDocument/2006/relationships" ref="D28" r:id="rId17"/>
    <hyperlink xmlns:r="http://schemas.openxmlformats.org/officeDocument/2006/relationships" ref="D29" r:id="rId18"/>
    <hyperlink xmlns:r="http://schemas.openxmlformats.org/officeDocument/2006/relationships" ref="D30" r:id="rId19"/>
    <hyperlink xmlns:r="http://schemas.openxmlformats.org/officeDocument/2006/relationships" ref="D31" r:id="rId20"/>
    <hyperlink xmlns:r="http://schemas.openxmlformats.org/officeDocument/2006/relationships" ref="D32" r:id="rId21"/>
    <hyperlink xmlns:r="http://schemas.openxmlformats.org/officeDocument/2006/relationships" ref="D36" r:id="rId22"/>
    <hyperlink xmlns:r="http://schemas.openxmlformats.org/officeDocument/2006/relationships" ref="D37" r:id="rId23"/>
    <hyperlink xmlns:r="http://schemas.openxmlformats.org/officeDocument/2006/relationships" ref="D41" r:id="rId24"/>
    <hyperlink xmlns:r="http://schemas.openxmlformats.org/officeDocument/2006/relationships" ref="D42" r:id="rId25"/>
    <hyperlink xmlns:r="http://schemas.openxmlformats.org/officeDocument/2006/relationships" ref="D43" r:id="rId26"/>
    <hyperlink xmlns:r="http://schemas.openxmlformats.org/officeDocument/2006/relationships" ref="D44" r:id="rId27"/>
    <hyperlink xmlns:r="http://schemas.openxmlformats.org/officeDocument/2006/relationships" ref="D45" r:id="rId28"/>
    <hyperlink xmlns:r="http://schemas.openxmlformats.org/officeDocument/2006/relationships" ref="D46" r:id="rId29"/>
    <hyperlink xmlns:r="http://schemas.openxmlformats.org/officeDocument/2006/relationships" ref="D47" r:id="rId30"/>
    <hyperlink xmlns:r="http://schemas.openxmlformats.org/officeDocument/2006/relationships" ref="D48" r:id="rId31"/>
    <hyperlink xmlns:r="http://schemas.openxmlformats.org/officeDocument/2006/relationships" ref="D49" r:id="rId32"/>
    <hyperlink xmlns:r="http://schemas.openxmlformats.org/officeDocument/2006/relationships" ref="D50" r:id="rId33"/>
    <hyperlink xmlns:r="http://schemas.openxmlformats.org/officeDocument/2006/relationships" ref="D51" r:id="rId34"/>
    <hyperlink xmlns:r="http://schemas.openxmlformats.org/officeDocument/2006/relationships" ref="D52" r:id="rId35"/>
    <hyperlink xmlns:r="http://schemas.openxmlformats.org/officeDocument/2006/relationships" ref="D53" r:id="rId36"/>
    <hyperlink xmlns:r="http://schemas.openxmlformats.org/officeDocument/2006/relationships" ref="D54" r:id="rId37"/>
    <hyperlink xmlns:r="http://schemas.openxmlformats.org/officeDocument/2006/relationships" ref="D55" r:id="rId38"/>
    <hyperlink xmlns:r="http://schemas.openxmlformats.org/officeDocument/2006/relationships" ref="D56" r:id="rId39"/>
    <hyperlink xmlns:r="http://schemas.openxmlformats.org/officeDocument/2006/relationships" ref="D57" r:id="rId40"/>
    <hyperlink xmlns:r="http://schemas.openxmlformats.org/officeDocument/2006/relationships" ref="D61" r:id="rId41"/>
    <hyperlink xmlns:r="http://schemas.openxmlformats.org/officeDocument/2006/relationships" ref="D62" r:id="rId42"/>
    <hyperlink xmlns:r="http://schemas.openxmlformats.org/officeDocument/2006/relationships" ref="D63" r:id="rId43"/>
    <hyperlink xmlns:r="http://schemas.openxmlformats.org/officeDocument/2006/relationships" ref="D64" r:id="rId44"/>
    <hyperlink xmlns:r="http://schemas.openxmlformats.org/officeDocument/2006/relationships" ref="D65" r:id="rId45"/>
    <hyperlink xmlns:r="http://schemas.openxmlformats.org/officeDocument/2006/relationships" ref="D66" r:id="rId46"/>
    <hyperlink xmlns:r="http://schemas.openxmlformats.org/officeDocument/2006/relationships" ref="D67" r:id="rId47"/>
    <hyperlink xmlns:r="http://schemas.openxmlformats.org/officeDocument/2006/relationships" ref="D68" r:id="rId48"/>
    <hyperlink xmlns:r="http://schemas.openxmlformats.org/officeDocument/2006/relationships" ref="D69" r:id="rId49"/>
    <hyperlink xmlns:r="http://schemas.openxmlformats.org/officeDocument/2006/relationships" ref="D70" r:id="rId50"/>
    <hyperlink xmlns:r="http://schemas.openxmlformats.org/officeDocument/2006/relationships" ref="D74" r:id="rId51"/>
    <hyperlink xmlns:r="http://schemas.openxmlformats.org/officeDocument/2006/relationships" ref="D75" r:id="rId52"/>
    <hyperlink xmlns:r="http://schemas.openxmlformats.org/officeDocument/2006/relationships" ref="D76" r:id="rId53"/>
    <hyperlink xmlns:r="http://schemas.openxmlformats.org/officeDocument/2006/relationships" ref="D77" r:id="rId54"/>
    <hyperlink xmlns:r="http://schemas.openxmlformats.org/officeDocument/2006/relationships" ref="D78" r:id="rId55"/>
    <hyperlink xmlns:r="http://schemas.openxmlformats.org/officeDocument/2006/relationships" ref="D79" r:id="rId56"/>
    <hyperlink xmlns:r="http://schemas.openxmlformats.org/officeDocument/2006/relationships" ref="D83" r:id="rId57"/>
    <hyperlink xmlns:r="http://schemas.openxmlformats.org/officeDocument/2006/relationships" ref="D84" r:id="rId58"/>
    <hyperlink xmlns:r="http://schemas.openxmlformats.org/officeDocument/2006/relationships" ref="D85" r:id="rId59"/>
    <hyperlink xmlns:r="http://schemas.openxmlformats.org/officeDocument/2006/relationships" ref="D86" r:id="rId60"/>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5.xml><?xml version="1.0" encoding="utf-8"?>
<worksheet xmlns="http://schemas.openxmlformats.org/spreadsheetml/2006/main">
  <sheetPr>
    <tabColor rgb="006B4FD6"/>
    <outlinePr summaryBelow="1" summaryRight="1"/>
    <pageSetUpPr fitToPage="1"/>
  </sheetPr>
  <dimension ref="A1:N23"/>
  <sheetViews>
    <sheetView showGridLines="0" tabSelected="0" workbookViewId="0">
      <pane xSplit="2" ySplit="3" topLeftCell="C4" activePane="bottomRight" state="frozen"/>
      <selection pane="topRight"/>
      <selection pane="bottomLeft"/>
      <selection pane="bottomRight" activeCell="A1" sqref="A1"/>
    </sheetView>
  </sheetViews>
  <sheetFormatPr baseColWidth="8" defaultRowHeight="15"/>
  <cols>
    <col width="6" customWidth="1" min="1" max="1"/>
    <col width="50" customWidth="1" min="2" max="2"/>
    <col width="21" customWidth="1" min="3" max="3"/>
    <col width="10" customWidth="1" min="4" max="4"/>
    <col width="14" customWidth="1" min="5" max="5"/>
    <col width="28" customWidth="1" min="6" max="6"/>
    <col width="44" customWidth="1" min="7" max="7"/>
    <col width="26" customWidth="1" min="8" max="8"/>
    <col width="22" customWidth="1" min="9" max="9"/>
    <col width="12" customWidth="1" min="10" max="10"/>
    <col width="12" customWidth="1" min="11" max="11"/>
    <col width="60" customWidth="1" min="12" max="12"/>
    <col width="26" customWidth="1" min="13" max="13"/>
    <col width="30" customWidth="1" min="14" max="14"/>
  </cols>
  <sheetData>
    <row r="1" ht="26" customHeight="1">
      <c r="A1" s="152" t="inlineStr">
        <is>
          <t>Research · 20 new papers</t>
        </is>
      </c>
      <c r="C1" s="153" t="inlineStr">
        <is>
          <t>← Dashboard</t>
        </is>
      </c>
      <c r="D1" s="153" t="inlineStr">
        <is>
          <t>↑ Start here</t>
        </is>
      </c>
    </row>
    <row r="2" ht="16" customHeight="1">
      <c r="C2" s="154" t="inlineStr">
        <is>
          <t>Papers from geotechnical journals (via Crossref), best rated for use in practice first. Click a title to open the paper. Status and Editor notes are yours, as in Stories.</t>
        </is>
      </c>
    </row>
    <row r="3" ht="32" customHeight="1">
      <c r="A3" s="155" t="inlineStr">
        <is>
          <t>No.</t>
        </is>
      </c>
      <c r="B3" s="156" t="inlineStr">
        <is>
          <t>Paper</t>
        </is>
      </c>
      <c r="C3" s="156" t="inlineStr">
        <is>
          <t>Theme</t>
        </is>
      </c>
      <c r="D3" s="155" t="inlineStr">
        <is>
          <t>Use in practice</t>
        </is>
      </c>
      <c r="E3" s="157" t="inlineStr">
        <is>
          <t>Status</t>
        </is>
      </c>
      <c r="F3" s="157" t="inlineStr">
        <is>
          <t>Editor notes</t>
        </is>
      </c>
      <c r="G3" s="156" t="inlineStr">
        <is>
          <t>Why it matters in practice</t>
        </is>
      </c>
      <c r="H3" s="156" t="inlineStr">
        <is>
          <t>Journal</t>
        </is>
      </c>
      <c r="I3" s="156" t="inlineStr">
        <is>
          <t>Authors</t>
        </is>
      </c>
      <c r="J3" s="155" t="inlineStr">
        <is>
          <t>Published</t>
        </is>
      </c>
      <c r="K3" s="155" t="inlineStr">
        <is>
          <t>Digest date</t>
        </is>
      </c>
      <c r="L3" s="156" t="inlineStr">
        <is>
          <t>Abstract</t>
        </is>
      </c>
      <c r="M3" s="156" t="inlineStr">
        <is>
          <t>Keywords</t>
        </is>
      </c>
      <c r="N3" s="156" t="inlineStr">
        <is>
          <t>DOI link</t>
        </is>
      </c>
    </row>
    <row r="4" ht="65.5" customHeight="1">
      <c r="A4" s="158" t="n">
        <v>1</v>
      </c>
      <c r="B4" s="159" t="inlineStr">
        <is>
          <t>Secondary Compression of Deep Foundations in Carbonate Soils: An InSAR Study of Sunny Isles, Florida</t>
        </is>
      </c>
      <c r="C4" s="177" t="inlineStr">
        <is>
          <t>Infrastructure &amp; the Underground City</t>
        </is>
      </c>
      <c r="D4" s="161" t="n">
        <v>4</v>
      </c>
      <c r="E4" s="228" t="inlineStr">
        <is>
          <t>To review</t>
        </is>
      </c>
      <c r="F4" s="165" t="n"/>
      <c r="G4" s="166" t="inlineStr">
        <is>
          <t>Six years of InSAR data show building-specific settlements in carbonate soils that continue after construction, so engineers should plan for long-term deformation and monitoring of deep foundations.</t>
        </is>
      </c>
      <c r="H4" s="229" t="inlineStr">
        <is>
          <t>Journal of Geotechnical and Geoenvironmental Engineering</t>
        </is>
      </c>
      <c r="I4" s="230" t="inlineStr">
        <is>
          <t>Bardet JP</t>
        </is>
      </c>
      <c r="J4" s="231" t="n">
        <v>46319</v>
      </c>
      <c r="K4" s="231" t="n">
        <v>46319</v>
      </c>
      <c r="L4" s="232" t="inlineStr">
        <is>
          <t>Six-year interferometric synthetic aperture radar (InSAR) measurements of over 20 high-rise buildings in Sunny Isles, Florida, reveal persistent postconstruction settlements up to 5 cm. Supported by auger cast-in-place (ACIP) piles in a heterogeneous carbonate profile, these building-specific deformations cannot be attributed to regional subsidence or primary consolidation of the predominantly free-draining granular strata. Log-time and power-law models both reproduce the 6-year observations well and produce comparable 100-year extrapolations, with the power-law model yielding slightly more conservative estimates at long time horizons. Because both models fit the observational data equally well, the 100-year estimates are interpreted as scenario-based serviceability extrapolations rather…</t>
        </is>
      </c>
      <c r="M4" s="171" t="inlineStr">
        <is>
          <t>subsidence, settlement, deep foundation, foundation, pile, soil</t>
        </is>
      </c>
      <c r="N4" s="233" t="inlineStr">
        <is>
          <t>https://doi.org/10.1061/jggefk.gteng-15394</t>
        </is>
      </c>
    </row>
    <row r="5" ht="53" customHeight="1">
      <c r="A5" s="158" t="n">
        <v>2</v>
      </c>
      <c r="B5" s="159" t="inlineStr">
        <is>
          <t>Experimental investigation on deformation behavior of pile-supported embankments with geogrid-tire cells reinforcement</t>
        </is>
      </c>
      <c r="C5" s="160" t="inlineStr">
        <is>
          <t>Ground Improvement &amp; Innovation</t>
        </is>
      </c>
      <c r="D5" s="161" t="n">
        <v>4</v>
      </c>
      <c r="E5" s="228" t="inlineStr">
        <is>
          <t>To review</t>
        </is>
      </c>
      <c r="F5" s="165" t="n"/>
      <c r="G5" s="166" t="inlineStr">
        <is>
          <t>Experimental results on pile-supported embankments with geogrid-tire cells give practical guidance on deformation behaviour and load transfer for low-cost reinforced embankment design.</t>
        </is>
      </c>
      <c r="H5" s="229" t="inlineStr">
        <is>
          <t>Transportation Geotechnics</t>
        </is>
      </c>
      <c r="I5" s="230" t="inlineStr">
        <is>
          <t>Zhang H, Jia Y et al.</t>
        </is>
      </c>
      <c r="J5" s="231" t="n">
        <v>46318</v>
      </c>
      <c r="K5" s="231" t="n">
        <v>46319</v>
      </c>
      <c r="L5" s="232" t="n"/>
      <c r="M5" s="171" t="inlineStr">
        <is>
          <t>pile, embankment, geogrid</t>
        </is>
      </c>
      <c r="N5" s="233" t="inlineStr">
        <is>
          <t>https://doi.org/10.1016/j.trgeo.2026.102499</t>
        </is>
      </c>
    </row>
    <row r="6" ht="65.5" customHeight="1">
      <c r="A6" s="158" t="n">
        <v>3</v>
      </c>
      <c r="B6" s="159" t="inlineStr">
        <is>
          <t>Stiffness compatibility in geosynthetic-reinforced column-supported embankment widening over soft ground: numerical insights and a design framework</t>
        </is>
      </c>
      <c r="C6" s="160" t="inlineStr">
        <is>
          <t>Ground Improvement &amp; Innovation</t>
        </is>
      </c>
      <c r="D6" s="161" t="n">
        <v>4</v>
      </c>
      <c r="E6" s="228" t="inlineStr">
        <is>
          <t>To review</t>
        </is>
      </c>
      <c r="F6" s="165" t="n"/>
      <c r="G6" s="166" t="inlineStr">
        <is>
          <t>A stiffness-compatibility design framework for geosynthetic-reinforced column-supported embankment widening addresses differential settlement issues that practitioners face when widening existing embankments.</t>
        </is>
      </c>
      <c r="H6" s="229" t="inlineStr">
        <is>
          <t>Soils and Foundations</t>
        </is>
      </c>
      <c r="I6" s="230" t="inlineStr">
        <is>
          <t>Pham TA</t>
        </is>
      </c>
      <c r="J6" s="231" t="n">
        <v>46317</v>
      </c>
      <c r="K6" s="231" t="n">
        <v>46319</v>
      </c>
      <c r="L6" s="232" t="n"/>
      <c r="M6" s="171" t="inlineStr">
        <is>
          <t>embankment, geosynthetic</t>
        </is>
      </c>
      <c r="N6" s="233" t="inlineStr">
        <is>
          <t>https://doi.org/10.1016/j.sandf.2026.101892</t>
        </is>
      </c>
    </row>
    <row r="7" ht="65.5" customHeight="1">
      <c r="A7" s="158" t="n">
        <v>4</v>
      </c>
      <c r="B7" s="159" t="inlineStr">
        <is>
          <t>Extended soil-arching analysis for piled embankments with rectangular pile layouts</t>
        </is>
      </c>
      <c r="C7" s="160" t="inlineStr">
        <is>
          <t>Ground Improvement &amp; Innovation</t>
        </is>
      </c>
      <c r="D7" s="161" t="n">
        <v>4</v>
      </c>
      <c r="E7" s="228" t="inlineStr">
        <is>
          <t>To review</t>
        </is>
      </c>
      <c r="F7" s="165" t="n"/>
      <c r="G7" s="166" t="inlineStr">
        <is>
          <t>Extended soil-arching solutions for rectangular pile layouts, with error quantified against the equivalent-square simplification, give designers a more accurate load-transfer method for piled embankments.</t>
        </is>
      </c>
      <c r="H7" s="229" t="inlineStr">
        <is>
          <t>Proceedings of the Institution of Civil Engineers - Geotechnical Engineering</t>
        </is>
      </c>
      <c r="I7" s="230" t="inlineStr">
        <is>
          <t>He X, Li G et al.</t>
        </is>
      </c>
      <c r="J7" s="231" t="n">
        <v>46316</v>
      </c>
      <c r="K7" s="231" t="n">
        <v>46319</v>
      </c>
      <c r="L7" s="232" t="inlineStr">
        <is>
          <t>Soil arching governs the performance of unreinforced piled embankments, yet studies largely focus on square grids, leaving rectangular layouts underexplored. This study derives analytical soil-arching solutions for rectangular pile arrangements by extending the Hewlett and Randolph soil-arching model and quantifies the error introduced by the common equivalent-square simplification. Centrifuge tests provide validation of the proposed model’s underlying load-transfer mechanisms under simplified conditions; subsequently, finite-element simulations extend the validation to broader parametric ranges and real fill properties, confirming the model’s applicability across various configurations. Parametric analyses show that the pile load-sharing ratio is governed primarily by the internal…</t>
        </is>
      </c>
      <c r="M7" s="171" t="inlineStr">
        <is>
          <t>pile, embankment, soil</t>
        </is>
      </c>
      <c r="N7" s="233" t="inlineStr">
        <is>
          <t>https://doi.org/10.1680/jgeen.26.00025</t>
        </is>
      </c>
    </row>
    <row r="8" ht="65.5" customHeight="1">
      <c r="A8" s="158" t="n">
        <v>5</v>
      </c>
      <c r="B8" s="159" t="inlineStr">
        <is>
          <t>Development and properties of thixotropic cementitious slurry for ultra-long horizontal directional pre-grouting</t>
        </is>
      </c>
      <c r="C8" s="177" t="inlineStr">
        <is>
          <t>Infrastructure &amp; the Underground City</t>
        </is>
      </c>
      <c r="D8" s="161" t="n">
        <v>4</v>
      </c>
      <c r="E8" s="228" t="inlineStr">
        <is>
          <t>To review</t>
        </is>
      </c>
      <c r="F8" s="165" t="n"/>
      <c r="G8" s="166" t="inlineStr">
        <is>
          <t>A thixotropic cementitious slurry for ultra-long horizontal directional pre-grouting offers a practical grout formulation with properties engineers can specify for long drilled crossings.</t>
        </is>
      </c>
      <c r="H8" s="229" t="inlineStr">
        <is>
          <t>Tunnelling and Underground Space Technology</t>
        </is>
      </c>
      <c r="I8" s="230" t="inlineStr">
        <is>
          <t>Gong J, Xi F et al.</t>
        </is>
      </c>
      <c r="J8" s="231" t="n">
        <v>46316</v>
      </c>
      <c r="K8" s="231" t="n">
        <v>46319</v>
      </c>
      <c r="L8" s="232" t="n"/>
      <c r="M8" s="171" t="inlineStr">
        <is>
          <t>grouting</t>
        </is>
      </c>
      <c r="N8" s="233" t="inlineStr">
        <is>
          <t>https://doi.org/10.1016/j.tust.2026.108244</t>
        </is>
      </c>
    </row>
    <row r="9" ht="65.5" customHeight="1">
      <c r="A9" s="158" t="n">
        <v>6</v>
      </c>
      <c r="B9" s="159" t="inlineStr">
        <is>
          <t>Probabilistic State Parameter–Based Liquefaction Triggering Model</t>
        </is>
      </c>
      <c r="C9" s="178" t="inlineStr">
        <is>
          <t>Hazards &amp; Resilience</t>
        </is>
      </c>
      <c r="D9" s="161" t="n">
        <v>4</v>
      </c>
      <c r="E9" s="228" t="inlineStr">
        <is>
          <t>To review</t>
        </is>
      </c>
      <c r="F9" s="165" t="n"/>
      <c r="G9" s="166" t="inlineStr">
        <is>
          <t>A lab-anchored, state-parameter liquefaction triggering model offers an alternative to case-history procedures that can be biased, and it is validated against CPTu data practitioners already use.</t>
        </is>
      </c>
      <c r="H9" s="229" t="inlineStr">
        <is>
          <t>Journal of Geotechnical and Geoenvironmental Engineering</t>
        </is>
      </c>
      <c r="I9" s="230" t="inlineStr">
        <is>
          <t>Reyes P, Montalva G et al.</t>
        </is>
      </c>
      <c r="J9" s="231" t="n">
        <v>46315</v>
      </c>
      <c r="K9" s="231" t="n">
        <v>46319</v>
      </c>
      <c r="L9" s="232" t="inlineStr">
        <is>
          <t>Soil liquefaction is a central concern in geotechnical engineering because of its potential to damage infrastructure. Current liquefaction triggering practice relies on semiempirical procedures calibrated from earthquake case histories and surface manifestation labels, which can be biased and unevenly distributed across seismologic, geologic, and geomorphic settings. This paper develops an alternative probabilistic triggering framework anchored in laboratory testing, formulated in the state parameter space, and evaluated using independent piezocone penetration test (CPTu) case-history databases. Cyclic resistance is calibrated across 20 sands using cyclic and monotonic triaxial test data through a hierarchical Bayesian regression that separates within-material dispersion from…</t>
        </is>
      </c>
      <c r="M9" s="171" t="inlineStr">
        <is>
          <t>geotechnical, liquefaction, earthquake, soil</t>
        </is>
      </c>
      <c r="N9" s="233" t="inlineStr">
        <is>
          <t>https://doi.org/10.1061/jggefk.gteng-15418</t>
        </is>
      </c>
    </row>
    <row r="10" ht="53" customHeight="1">
      <c r="A10" s="158" t="n">
        <v>7</v>
      </c>
      <c r="B10" s="159" t="inlineStr">
        <is>
          <t>From rockfall to landslide: early warning based on video monitoring in open-pit mines</t>
        </is>
      </c>
      <c r="C10" s="178" t="inlineStr">
        <is>
          <t>Hazards &amp; Resilience</t>
        </is>
      </c>
      <c r="D10" s="161" t="n">
        <v>4</v>
      </c>
      <c r="E10" s="228" t="inlineStr">
        <is>
          <t>To review</t>
        </is>
      </c>
      <c r="F10" s="165" t="n"/>
      <c r="G10" s="166" t="inlineStr">
        <is>
          <t>Video monitoring workflows that link rockfall events to developing landslides give open-pit mine operators a practical early-warning approach they could deploy now.</t>
        </is>
      </c>
      <c r="H10" s="229" t="inlineStr">
        <is>
          <t>Landslides</t>
        </is>
      </c>
      <c r="I10" s="230" t="inlineStr">
        <is>
          <t>Liu F, Deng W et al.</t>
        </is>
      </c>
      <c r="J10" s="231" t="n">
        <v>46315</v>
      </c>
      <c r="K10" s="231" t="n">
        <v>46319</v>
      </c>
      <c r="L10" s="232" t="n"/>
      <c r="M10" s="171" t="inlineStr">
        <is>
          <t>landslide, rockfall</t>
        </is>
      </c>
      <c r="N10" s="233" t="inlineStr">
        <is>
          <t>https://doi.org/10.1007/s10346-026-02861-3</t>
        </is>
      </c>
    </row>
    <row r="11" ht="53" customHeight="1">
      <c r="A11" s="158" t="n">
        <v>8</v>
      </c>
      <c r="B11" s="159" t="inlineStr">
        <is>
          <t>Stability analysis of geotextile tube tailings dams under inclined stacking: composite failure mechanism and oblique horizontal slice method</t>
        </is>
      </c>
      <c r="C11" s="184" t="inlineStr">
        <is>
          <t>Sustainability &amp; the Energy Transition</t>
        </is>
      </c>
      <c r="D11" s="161" t="n">
        <v>4</v>
      </c>
      <c r="E11" s="228" t="inlineStr">
        <is>
          <t>To review</t>
        </is>
      </c>
      <c r="F11" s="165" t="n"/>
      <c r="G11" s="166" t="inlineStr">
        <is>
          <t>A composite failure mechanism and slice method for geotextile tube tailings dams under inclined stacking provide a stability check that practitioners can use for tailings management.</t>
        </is>
      </c>
      <c r="H11" s="229" t="inlineStr">
        <is>
          <t>Acta Geotechnica</t>
        </is>
      </c>
      <c r="I11" s="230" t="inlineStr">
        <is>
          <t>Wu Z, Liu X et al.</t>
        </is>
      </c>
      <c r="J11" s="231" t="n">
        <v>46315</v>
      </c>
      <c r="K11" s="231" t="n">
        <v>46319</v>
      </c>
      <c r="L11" s="232" t="n"/>
      <c r="M11" s="171" t="inlineStr">
        <is>
          <t>tailings, dam</t>
        </is>
      </c>
      <c r="N11" s="233" t="inlineStr">
        <is>
          <t>https://doi.org/10.1007/s11440-026-03261-6</t>
        </is>
      </c>
    </row>
    <row r="12" ht="53" customHeight="1">
      <c r="A12" s="158" t="n">
        <v>9</v>
      </c>
      <c r="B12" s="159" t="inlineStr">
        <is>
          <t>A unified experimental-numerical assessment of Cable, Pile, and Zone solid rockbolt models in FLAC3D: bond-slip, load transfer, and model selection</t>
        </is>
      </c>
      <c r="C12" s="179" t="inlineStr">
        <is>
          <t>Digital Geotechnics</t>
        </is>
      </c>
      <c r="D12" s="161" t="n">
        <v>4</v>
      </c>
      <c r="E12" s="228" t="inlineStr">
        <is>
          <t>To review</t>
        </is>
      </c>
      <c r="F12" s="165" t="n"/>
      <c r="G12" s="166" t="inlineStr">
        <is>
          <t>A combined experimental and numerical comparison of FLAC3D rockbolt models helps engineers select the appropriate bolt model and calibrate bond-slip parameters for support design.</t>
        </is>
      </c>
      <c r="H12" s="229" t="inlineStr">
        <is>
          <t>Computers and Geotechnics</t>
        </is>
      </c>
      <c r="I12" s="230" t="inlineStr">
        <is>
          <t>Chen J, Ma S, Yuan L</t>
        </is>
      </c>
      <c r="J12" s="231" t="n">
        <v>46315</v>
      </c>
      <c r="K12" s="231" t="n">
        <v>46319</v>
      </c>
      <c r="L12" s="232" t="n"/>
      <c r="M12" s="171" t="inlineStr">
        <is>
          <t>pile</t>
        </is>
      </c>
      <c r="N12" s="233" t="inlineStr">
        <is>
          <t>https://doi.org/10.1016/j.compgeo.2026.108759</t>
        </is>
      </c>
    </row>
    <row r="13" ht="53" customHeight="1">
      <c r="A13" s="158" t="n">
        <v>10</v>
      </c>
      <c r="B13" s="159" t="inlineStr">
        <is>
          <t>Integrated seismic and electrical imaging with clustering for the hydro-mechanical screening of a high-altitude earthfill dam</t>
        </is>
      </c>
      <c r="C13" s="182" t="inlineStr">
        <is>
          <t>Characterisation &amp; Modelling</t>
        </is>
      </c>
      <c r="D13" s="161" t="n">
        <v>4</v>
      </c>
      <c r="E13" s="228" t="inlineStr">
        <is>
          <t>To review</t>
        </is>
      </c>
      <c r="F13" s="165" t="n"/>
      <c r="G13" s="166" t="inlineStr">
        <is>
          <t>Integrated seismic and electrical imaging with clustering offers a practical screening approach for assessing hydro-mechanical condition in earthfill dams.</t>
        </is>
      </c>
      <c r="H13" s="229" t="inlineStr">
        <is>
          <t>Engineering Geology</t>
        </is>
      </c>
      <c r="I13" s="230" t="inlineStr">
        <is>
          <t>Strallo V, Colombero C, Godio A</t>
        </is>
      </c>
      <c r="J13" s="231" t="n">
        <v>46315</v>
      </c>
      <c r="K13" s="231" t="n">
        <v>46319</v>
      </c>
      <c r="L13" s="232" t="n"/>
      <c r="M13" s="171" t="inlineStr">
        <is>
          <t>dam</t>
        </is>
      </c>
      <c r="N13" s="233" t="inlineStr">
        <is>
          <t>https://doi.org/10.1016/j.enggeo.2026.109161</t>
        </is>
      </c>
    </row>
    <row r="14" ht="53" customHeight="1">
      <c r="A14" s="158" t="n">
        <v>11</v>
      </c>
      <c r="B14" s="159" t="inlineStr">
        <is>
          <t>Geophysical site characterization and scenario-based seismic hazard mapping with slope-based topographic amplification factors: case study of the hilltop Trakošćan castle, Croatia</t>
        </is>
      </c>
      <c r="C14" s="178" t="inlineStr">
        <is>
          <t>Hazards &amp; Resilience</t>
        </is>
      </c>
      <c r="D14" s="161" t="n">
        <v>4</v>
      </c>
      <c r="E14" s="228" t="inlineStr">
        <is>
          <t>To review</t>
        </is>
      </c>
      <c r="F14" s="165" t="n"/>
      <c r="G14" s="166" t="inlineStr">
        <is>
          <t>A case study combining geophysical characterisation with slope-based topographic amplification factors shows a practical workflow for seismic hazard mapping at hilltop sites.</t>
        </is>
      </c>
      <c r="H14" s="229" t="inlineStr">
        <is>
          <t>Engineering Geology</t>
        </is>
      </c>
      <c r="I14" s="230" t="inlineStr">
        <is>
          <t>Stanko D, Korbar T, Markušić S</t>
        </is>
      </c>
      <c r="J14" s="231" t="n">
        <v>46315</v>
      </c>
      <c r="K14" s="231" t="n">
        <v>46319</v>
      </c>
      <c r="L14" s="232" t="n"/>
      <c r="M14" s="171" t="inlineStr">
        <is>
          <t>slope</t>
        </is>
      </c>
      <c r="N14" s="233" t="inlineStr">
        <is>
          <t>https://doi.org/10.1016/j.enggeo.2026.109162</t>
        </is>
      </c>
    </row>
    <row r="15" ht="53" customHeight="1">
      <c r="A15" s="158" t="n">
        <v>12</v>
      </c>
      <c r="B15" s="159" t="inlineStr">
        <is>
          <t>Evaluation of cyclic response of local subgrade materials in Thailand conforming to Chinese high-speed rail standard</t>
        </is>
      </c>
      <c r="C15" s="177" t="inlineStr">
        <is>
          <t>Infrastructure &amp; the Underground City</t>
        </is>
      </c>
      <c r="D15" s="161" t="n">
        <v>4</v>
      </c>
      <c r="E15" s="228" t="inlineStr">
        <is>
          <t>To review</t>
        </is>
      </c>
      <c r="F15" s="165" t="n"/>
      <c r="G15" s="166" t="inlineStr">
        <is>
          <t>Cyclic testing of Thai subgrade materials against Chinese high-speed rail standards gives engineers local performance data for railway subgrade design.</t>
        </is>
      </c>
      <c r="H15" s="229" t="inlineStr">
        <is>
          <t>Soil Dynamics and Earthquake Engineering</t>
        </is>
      </c>
      <c r="I15" s="230" t="inlineStr">
        <is>
          <t>Kaewdee N, Suddeepong A et al.</t>
        </is>
      </c>
      <c r="J15" s="231" t="n">
        <v>46315</v>
      </c>
      <c r="K15" s="231" t="n">
        <v>46319</v>
      </c>
      <c r="L15" s="232" t="n"/>
      <c r="M15" s="171" t="n"/>
      <c r="N15" s="233" t="inlineStr">
        <is>
          <t>https://doi.org/10.1016/j.soildyn.2026.110756</t>
        </is>
      </c>
    </row>
    <row r="16" ht="53" customHeight="1">
      <c r="A16" s="158" t="n">
        <v>13</v>
      </c>
      <c r="B16" s="159" t="inlineStr">
        <is>
          <t>Influence of Fabric and Drying Shrinkage on Heat Transfer in Unsaturated Soils: Experimental and Microscale Numerical Study</t>
        </is>
      </c>
      <c r="C16" s="184" t="inlineStr">
        <is>
          <t>Sustainability &amp; the Energy Transition</t>
        </is>
      </c>
      <c r="D16" s="161" t="n">
        <v>3</v>
      </c>
      <c r="E16" s="228" t="inlineStr">
        <is>
          <t>To review</t>
        </is>
      </c>
      <c r="F16" s="165" t="n"/>
      <c r="G16" s="166" t="inlineStr">
        <is>
          <t>Findings on how fabric and drying shrinkage alter thermal conductivity help engineers of energy geostructures better estimate heat transfer in unsaturated soils.</t>
        </is>
      </c>
      <c r="H16" s="229" t="inlineStr">
        <is>
          <t>Journal of Geotechnical and Geoenvironmental Engineering</t>
        </is>
      </c>
      <c r="I16" s="230" t="inlineStr">
        <is>
          <t>Chen K, Liu K et al.</t>
        </is>
      </c>
      <c r="J16" s="231" t="n">
        <v>46318</v>
      </c>
      <c r="K16" s="231" t="n">
        <v>46319</v>
      </c>
      <c r="L16" s="232" t="inlineStr">
        <is>
          <t>The thermal conductivity of unsaturated soils is critical for thermal management in shallow energy infrastructures. Despite growing recognition that soil fabric and drying shrinkage can substantially affect thermal behavior, the underlying physical mechanisms remain poorly understood. This study combines laboratory experiments and numerical simulations to investigate these effects. Experiments were conducted on completely decomposed granite (CDG) and Nanyang clay (NYC), using reconstituted specimens (RS) and compacted specimens (CS) to represent different initial fabric conditions. Results show that RS consistently exhibits higher thermal conductivity than CS at the same saturation and void ratio. Along the drying path, CDG displays a monotonic decrease in thermal conductivity with…</t>
        </is>
      </c>
      <c r="M16" s="171" t="inlineStr">
        <is>
          <t>clay, soil</t>
        </is>
      </c>
      <c r="N16" s="233" t="inlineStr">
        <is>
          <t>https://doi.org/10.1061/jggefk.gteng-15142</t>
        </is>
      </c>
    </row>
    <row r="17" ht="53" customHeight="1">
      <c r="A17" s="158" t="n">
        <v>14</v>
      </c>
      <c r="B17" s="159" t="inlineStr">
        <is>
          <t>Impact of spatial soil variability on landslide susceptibility using 3D probabilistic slope stability analysis</t>
        </is>
      </c>
      <c r="C17" s="178" t="inlineStr">
        <is>
          <t>Hazards &amp; Resilience</t>
        </is>
      </c>
      <c r="D17" s="161" t="n">
        <v>3</v>
      </c>
      <c r="E17" s="228" t="inlineStr">
        <is>
          <t>To review</t>
        </is>
      </c>
      <c r="F17" s="165" t="n"/>
      <c r="G17" s="166" t="inlineStr">
        <is>
          <t>3D probabilistic slope analysis shows how spatial soil variability changes landslide susceptibility, helping engineers judge when simple deterministic factors of safety are misleading.</t>
        </is>
      </c>
      <c r="H17" s="229" t="inlineStr">
        <is>
          <t>Georisk: Assessment and Management of Risk for Engineered Systems and Geohazards</t>
        </is>
      </c>
      <c r="I17" s="230" t="inlineStr">
        <is>
          <t>Oguz EA, Lacasse S</t>
        </is>
      </c>
      <c r="J17" s="231" t="n">
        <v>46317</v>
      </c>
      <c r="K17" s="231" t="n">
        <v>46319</v>
      </c>
      <c r="L17" s="232" t="n"/>
      <c r="M17" s="171" t="inlineStr">
        <is>
          <t>landslide, slope stability, slope, soil</t>
        </is>
      </c>
      <c r="N17" s="233" t="inlineStr">
        <is>
          <t>https://doi.org/10.1080/17499518.2026.2750358</t>
        </is>
      </c>
    </row>
    <row r="18" ht="53" customHeight="1">
      <c r="A18" s="158" t="n">
        <v>15</v>
      </c>
      <c r="B18" s="159" t="inlineStr">
        <is>
          <t>Progressive soil collapse and tunnel-system response in an underground complex under varying excavation configurations</t>
        </is>
      </c>
      <c r="C18" s="177" t="inlineStr">
        <is>
          <t>Infrastructure &amp; the Underground City</t>
        </is>
      </c>
      <c r="D18" s="161" t="n">
        <v>3</v>
      </c>
      <c r="E18" s="228" t="inlineStr">
        <is>
          <t>To review</t>
        </is>
      </c>
      <c r="F18" s="165" t="n"/>
      <c r="G18" s="166" t="inlineStr">
        <is>
          <t>Numerical results on progressive soil collapse and tunnel-system response under different excavation sequences help designers of underground complexes assess staging risks.</t>
        </is>
      </c>
      <c r="H18" s="229" t="inlineStr">
        <is>
          <t>Tunnelling and Underground Space Technology</t>
        </is>
      </c>
      <c r="I18" s="230" t="inlineStr">
        <is>
          <t>Xiong H, Huang J et al.</t>
        </is>
      </c>
      <c r="J18" s="231" t="n">
        <v>46317</v>
      </c>
      <c r="K18" s="231" t="n">
        <v>46319</v>
      </c>
      <c r="L18" s="232" t="n"/>
      <c r="M18" s="171" t="inlineStr">
        <is>
          <t>excavation, tunnel, collapse, soil</t>
        </is>
      </c>
      <c r="N18" s="233" t="inlineStr">
        <is>
          <t>https://doi.org/10.1016/j.tust.2026.108241</t>
        </is>
      </c>
    </row>
    <row r="19" ht="53" customHeight="1">
      <c r="A19" s="158" t="n">
        <v>16</v>
      </c>
      <c r="B19" s="159" t="inlineStr">
        <is>
          <t>Defining the chalk–shale boundary in intact rock samples for engineering geology practice</t>
        </is>
      </c>
      <c r="C19" s="182" t="inlineStr">
        <is>
          <t>Characterisation &amp; Modelling</t>
        </is>
      </c>
      <c r="D19" s="161" t="n">
        <v>3</v>
      </c>
      <c r="E19" s="228" t="inlineStr">
        <is>
          <t>To review</t>
        </is>
      </c>
      <c r="F19" s="165" t="n"/>
      <c r="G19" s="166" t="inlineStr">
        <is>
          <t>A method for defining the chalk–shale boundary in intact samples gives engineering geologists a clearer classification basis for site characterisation.</t>
        </is>
      </c>
      <c r="H19" s="229" t="inlineStr">
        <is>
          <t>Engineering Geology</t>
        </is>
      </c>
      <c r="I19" s="230" t="inlineStr">
        <is>
          <t>Gilad R, Hatzor YH</t>
        </is>
      </c>
      <c r="J19" s="231" t="n">
        <v>46317</v>
      </c>
      <c r="K19" s="231" t="n">
        <v>46319</v>
      </c>
      <c r="L19" s="232" t="n"/>
      <c r="M19" s="171" t="inlineStr">
        <is>
          <t>engineering geology</t>
        </is>
      </c>
      <c r="N19" s="233" t="inlineStr">
        <is>
          <t>https://doi.org/10.1016/j.enggeo.2026.109168</t>
        </is>
      </c>
    </row>
    <row r="20" ht="53" customHeight="1">
      <c r="A20" s="158" t="n">
        <v>17</v>
      </c>
      <c r="B20" s="159" t="inlineStr">
        <is>
          <t>A nonlinear elastoplastic subloading surface model for rock under cyclic loading-unloading with application to compressed air energy storage cavern operation</t>
        </is>
      </c>
      <c r="C20" s="184" t="inlineStr">
        <is>
          <t>Sustainability &amp; the Energy Transition</t>
        </is>
      </c>
      <c r="D20" s="161" t="n">
        <v>3</v>
      </c>
      <c r="E20" s="228" t="inlineStr">
        <is>
          <t>To review</t>
        </is>
      </c>
      <c r="F20" s="165" t="n"/>
      <c r="G20" s="166" t="inlineStr">
        <is>
          <t>A subloading surface model for rock under cyclic loading supports compressed air energy storage cavern design by capturing the behaviour under repeated pressure cycles.</t>
        </is>
      </c>
      <c r="H20" s="229" t="inlineStr">
        <is>
          <t>Computers and Geotechnics</t>
        </is>
      </c>
      <c r="I20" s="230" t="inlineStr">
        <is>
          <t>Zhang H, Li G et al.</t>
        </is>
      </c>
      <c r="J20" s="231" t="n">
        <v>46316</v>
      </c>
      <c r="K20" s="231" t="n">
        <v>46319</v>
      </c>
      <c r="L20" s="232" t="n"/>
      <c r="M20" s="171" t="n"/>
      <c r="N20" s="233" t="inlineStr">
        <is>
          <t>https://doi.org/10.1016/j.compgeo.2026.108765</t>
        </is>
      </c>
    </row>
    <row r="21" ht="65.5" customHeight="1">
      <c r="A21" s="158" t="n">
        <v>18</v>
      </c>
      <c r="B21" s="159" t="inlineStr">
        <is>
          <t>Probabilistic stability and progressive failure of pile-supported embankments under borehole-constrained stratigraphic uncertainty</t>
        </is>
      </c>
      <c r="C21" s="182" t="inlineStr">
        <is>
          <t>Characterisation &amp; Modelling</t>
        </is>
      </c>
      <c r="D21" s="161" t="n">
        <v>3</v>
      </c>
      <c r="E21" s="228" t="inlineStr">
        <is>
          <t>To review</t>
        </is>
      </c>
      <c r="F21" s="165" t="n"/>
      <c r="G21" s="166" t="inlineStr">
        <is>
          <t>Probabilistic progressive-failure analysis shows how borehole-limited stratigraphic uncertainty affects pile-supported embankment stability, supporting reliability-based site investigation decisions.</t>
        </is>
      </c>
      <c r="H21" s="229" t="inlineStr">
        <is>
          <t>Transportation Geotechnics</t>
        </is>
      </c>
      <c r="I21" s="230" t="inlineStr">
        <is>
          <t>Lv L, Zheng G et al.</t>
        </is>
      </c>
      <c r="J21" s="231" t="n">
        <v>46315</v>
      </c>
      <c r="K21" s="231" t="n">
        <v>46319</v>
      </c>
      <c r="L21" s="232" t="n"/>
      <c r="M21" s="171" t="inlineStr">
        <is>
          <t>pile, embankment, borehole</t>
        </is>
      </c>
      <c r="N21" s="233" t="inlineStr">
        <is>
          <t>https://doi.org/10.1016/j.trgeo.2026.102482</t>
        </is>
      </c>
    </row>
    <row r="22" ht="53" customHeight="1">
      <c r="A22" s="158" t="n">
        <v>19</v>
      </c>
      <c r="B22" s="159" t="inlineStr">
        <is>
          <t>Large-Scale Flume Investigation of Pore Water Pressure Evolution under Wave–Soil–Structure Interaction</t>
        </is>
      </c>
      <c r="C22" s="175" t="inlineStr">
        <is>
          <t>Offshore, Coasts &amp; Water</t>
        </is>
      </c>
      <c r="D22" s="161" t="n">
        <v>3</v>
      </c>
      <c r="E22" s="228" t="inlineStr">
        <is>
          <t>To review</t>
        </is>
      </c>
      <c r="F22" s="165" t="n"/>
      <c r="G22" s="166" t="inlineStr">
        <is>
          <t>Flume tests show how solitary wave impact generates excess pore pressure and seepage gradients around foundations, informing scour and liquefaction checks for coastal structures.</t>
        </is>
      </c>
      <c r="H22" s="229" t="inlineStr">
        <is>
          <t>Journal of Geotechnical and Geoenvironmental Engineering</t>
        </is>
      </c>
      <c r="I22" s="230" t="inlineStr">
        <is>
          <t>Klait A, Mirghafouri S et al.</t>
        </is>
      </c>
      <c r="J22" s="231" t="n">
        <v>46315</v>
      </c>
      <c r="K22" s="231" t="n">
        <v>46319</v>
      </c>
      <c r="L22" s="232" t="inlineStr">
        <is>
          <t>This study presents results from large-scale wave flume experiments investigating pore water pressure response under solitary wave impact for both free-field (without structure) and soil–foundation (with structure) conditions. Tests were conducted under varying wave heights and foundation embedment depths. Pore pressure sensors were embedded in sandy soil at varying depths and lateral locations. The study evaluates the evolution of excess pore pressure and seepage gradients relative to established seepage and liquefaction criteria. Under both testing conditions, neither excess pore pressure nor vertical seepage pressures exceeded the critical threshold. When testing the soil–foundation case, increasing wave height at constant embedment depth caused downward seepage at shallower depths…</t>
        </is>
      </c>
      <c r="M22" s="171" t="inlineStr">
        <is>
          <t>liquefaction, foundation, soil</t>
        </is>
      </c>
      <c r="N22" s="233" t="inlineStr">
        <is>
          <t>https://doi.org/10.1061/jggefk.gteng-15428</t>
        </is>
      </c>
    </row>
    <row r="23" ht="53" customHeight="1">
      <c r="A23" s="158" t="n">
        <v>20</v>
      </c>
      <c r="B23" s="159" t="inlineStr">
        <is>
          <t>Digital technology and AI for climate-resilient underground infrastructure: Current advances and future directions</t>
        </is>
      </c>
      <c r="C23" s="179" t="inlineStr">
        <is>
          <t>Digital Geotechnics</t>
        </is>
      </c>
      <c r="D23" s="161" t="n">
        <v>3</v>
      </c>
      <c r="E23" s="228" t="inlineStr">
        <is>
          <t>To review</t>
        </is>
      </c>
      <c r="F23" s="165" t="n"/>
      <c r="G23" s="166" t="inlineStr">
        <is>
          <t>This review of digital and AI tools for climate-resilient underground infrastructure highlights practical technologies and gaps that owners and designers should track.</t>
        </is>
      </c>
      <c r="H23" s="229" t="inlineStr">
        <is>
          <t>Underground Space</t>
        </is>
      </c>
      <c r="I23" s="230" t="inlineStr">
        <is>
          <t>Heo S, Loy-Benitez J et al.</t>
        </is>
      </c>
      <c r="J23" s="231" t="n">
        <v>46315</v>
      </c>
      <c r="K23" s="231" t="n">
        <v>46319</v>
      </c>
      <c r="L23" s="232" t="n"/>
      <c r="M23" s="171" t="n"/>
      <c r="N23" s="233" t="inlineStr">
        <is>
          <t>https://doi.org/10.1016/j.undsp.2026.09.005</t>
        </is>
      </c>
    </row>
  </sheetData>
  <conditionalFormatting sqref="E4:E23">
    <cfRule type="cellIs" priority="1" operator="equal" dxfId="16">
      <formula>"To review"</formula>
    </cfRule>
    <cfRule type="cellIs" priority="2" operator="equal" dxfId="17">
      <formula>"Shortlisted"</formula>
    </cfRule>
    <cfRule type="cellIs" priority="3" operator="equal" dxfId="18">
      <formula>"Commissioned"</formula>
    </cfRule>
    <cfRule type="cellIs" priority="4" operator="equal" dxfId="19">
      <formula>"Published"</formula>
    </cfRule>
    <cfRule type="cellIs" priority="5" operator="equal" dxfId="20">
      <formula>"Not used"</formula>
    </cfRule>
  </conditionalFormatting>
  <conditionalFormatting sqref="D4:D23">
    <cfRule type="cellIs" priority="6" operator="equal" dxfId="10">
      <formula>5</formula>
    </cfRule>
    <cfRule type="cellIs" priority="7" operator="equal" dxfId="11">
      <formula>4</formula>
    </cfRule>
    <cfRule type="cellIs" priority="8" operator="equal" dxfId="12">
      <formula>3</formula>
    </cfRule>
    <cfRule type="cellIs" priority="9" operator="equal" dxfId="13">
      <formula>2</formula>
    </cfRule>
    <cfRule type="cellIs" priority="10" operator="equal" dxfId="14">
      <formula>1</formula>
    </cfRule>
    <cfRule type="cellIs" priority="11" operator="equal" dxfId="15">
      <formula>0</formula>
    </cfRule>
  </conditionalFormatting>
  <dataValidations count="1">
    <dataValidation sqref="E4:E23" showDropDown="0" showInputMessage="0" showErrorMessage="1" allowBlank="1" errorTitle="Status" error="Choose a status from the list." type="list">
      <formula1>Lists!$E$2:$E$6</formula1>
    </dataValidation>
  </dataValidations>
  <hyperlinks>
    <hyperlink ref="C1" location="'Dashboard'!A1" display="← Dashboard"/>
    <hyperlink ref="D1" location="'Start here'!A1" display="↑ Start here"/>
    <hyperlink xmlns:r="http://schemas.openxmlformats.org/officeDocument/2006/relationships" ref="B4" r:id="rId1"/>
    <hyperlink xmlns:r="http://schemas.openxmlformats.org/officeDocument/2006/relationships" ref="B5" r:id="rId2"/>
    <hyperlink xmlns:r="http://schemas.openxmlformats.org/officeDocument/2006/relationships" ref="B6" r:id="rId3"/>
    <hyperlink xmlns:r="http://schemas.openxmlformats.org/officeDocument/2006/relationships" ref="B7" r:id="rId4"/>
    <hyperlink xmlns:r="http://schemas.openxmlformats.org/officeDocument/2006/relationships" ref="B8" r:id="rId5"/>
    <hyperlink xmlns:r="http://schemas.openxmlformats.org/officeDocument/2006/relationships" ref="B9" r:id="rId6"/>
    <hyperlink xmlns:r="http://schemas.openxmlformats.org/officeDocument/2006/relationships" ref="B10" r:id="rId7"/>
    <hyperlink xmlns:r="http://schemas.openxmlformats.org/officeDocument/2006/relationships" ref="B11" r:id="rId8"/>
    <hyperlink xmlns:r="http://schemas.openxmlformats.org/officeDocument/2006/relationships" ref="B12" r:id="rId9"/>
    <hyperlink xmlns:r="http://schemas.openxmlformats.org/officeDocument/2006/relationships" ref="B13" r:id="rId10"/>
    <hyperlink xmlns:r="http://schemas.openxmlformats.org/officeDocument/2006/relationships" ref="B14" r:id="rId11"/>
    <hyperlink xmlns:r="http://schemas.openxmlformats.org/officeDocument/2006/relationships" ref="B15" r:id="rId12"/>
    <hyperlink xmlns:r="http://schemas.openxmlformats.org/officeDocument/2006/relationships" ref="B16" r:id="rId13"/>
    <hyperlink xmlns:r="http://schemas.openxmlformats.org/officeDocument/2006/relationships" ref="B17" r:id="rId14"/>
    <hyperlink xmlns:r="http://schemas.openxmlformats.org/officeDocument/2006/relationships" ref="B18" r:id="rId15"/>
    <hyperlink xmlns:r="http://schemas.openxmlformats.org/officeDocument/2006/relationships" ref="B19" r:id="rId16"/>
    <hyperlink xmlns:r="http://schemas.openxmlformats.org/officeDocument/2006/relationships" ref="B20" r:id="rId17"/>
    <hyperlink xmlns:r="http://schemas.openxmlformats.org/officeDocument/2006/relationships" ref="B21" r:id="rId18"/>
    <hyperlink xmlns:r="http://schemas.openxmlformats.org/officeDocument/2006/relationships" ref="B22" r:id="rId19"/>
    <hyperlink xmlns:r="http://schemas.openxmlformats.org/officeDocument/2006/relationships" ref="B23" r:id="rId20"/>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21"/>
  </tableParts>
</worksheet>
</file>

<file path=xl/worksheets/sheet6.xml><?xml version="1.0" encoding="utf-8"?>
<worksheet xmlns="http://schemas.openxmlformats.org/spreadsheetml/2006/main">
  <sheetPr>
    <tabColor rgb="00D38B00"/>
    <outlinePr summaryBelow="1" summaryRight="1"/>
    <pageSetUpPr fitToPage="1"/>
  </sheetPr>
  <dimension ref="A1:I15"/>
  <sheetViews>
    <sheetView showGridLines="0" tabSelected="0" workbookViewId="0">
      <pane ySplit="3" topLeftCell="A4" activePane="bottomLeft" state="frozen"/>
      <selection pane="bottomLeft" activeCell="A1" sqref="A1"/>
    </sheetView>
  </sheetViews>
  <sheetFormatPr baseColWidth="8" defaultRowHeight="15"/>
  <cols>
    <col width="13" customWidth="1" min="1" max="1"/>
    <col width="10" customWidth="1" min="2" max="2"/>
    <col width="52" customWidth="1" min="3" max="3"/>
    <col width="19" customWidth="1" min="4" max="4"/>
    <col width="26" customWidth="1" min="5" max="5"/>
    <col width="22" customWidth="1" min="6" max="6"/>
    <col width="28" customWidth="1" min="7" max="7"/>
    <col width="34" customWidth="1" min="8" max="8"/>
    <col width="34" customWidth="1" min="9" max="9"/>
  </cols>
  <sheetData>
    <row r="1" ht="26" customHeight="1">
      <c r="A1" s="152" t="inlineStr">
        <is>
          <t>Events · 6 upcoming, 0 open deadlines</t>
        </is>
      </c>
      <c r="D1" s="153" t="inlineStr">
        <is>
          <t>← Dashboard</t>
        </is>
      </c>
      <c r="E1" s="153" t="inlineStr">
        <is>
          <t>↑ Start here</t>
        </is>
      </c>
    </row>
    <row r="2" ht="16" customHeight="1">
      <c r="A2" s="154" t="inlineStr">
        <is>
          <t>From the website's events calendar on 24 Oct 2026: ISSMGE conferences, other conferences, courses and webinars, kept by the editors (data/events.yaml) and found by the weekly refresh. Check the dates on each event's website before you publish them.</t>
        </is>
      </c>
    </row>
    <row r="4" ht="22" customHeight="1">
      <c r="A4" s="7" t="inlineStr">
        <is>
          <t>Call-for-papers deadlines (0)</t>
        </is>
      </c>
      <c r="B4" s="8" t="n"/>
      <c r="C4" s="8" t="n"/>
      <c r="D4" s="8" t="n"/>
      <c r="E4" s="8" t="n"/>
      <c r="F4" s="8" t="n"/>
      <c r="G4" s="8" t="n"/>
      <c r="H4" s="8" t="n"/>
      <c r="I4" s="8" t="n"/>
    </row>
    <row r="5" ht="20" customHeight="1">
      <c r="A5" s="71" t="inlineStr">
        <is>
          <t>Deadline</t>
        </is>
      </c>
      <c r="B5" s="71" t="inlineStr">
        <is>
          <t>Days left</t>
        </is>
      </c>
      <c r="C5" s="71" t="inlineStr">
        <is>
          <t>Event</t>
        </is>
      </c>
      <c r="D5" s="71" t="inlineStr">
        <is>
          <t>Kind</t>
        </is>
      </c>
      <c r="E5" s="71" t="inlineStr">
        <is>
          <t>Place</t>
        </is>
      </c>
      <c r="F5" s="71" t="inlineStr">
        <is>
          <t>Event dates</t>
        </is>
      </c>
      <c r="G5" s="71" t="inlineStr">
        <is>
          <t>Organiser</t>
        </is>
      </c>
      <c r="H5" s="71" t="inlineStr">
        <is>
          <t>What is due</t>
        </is>
      </c>
      <c r="I5" s="71" t="inlineStr">
        <is>
          <t>Website</t>
        </is>
      </c>
    </row>
    <row r="6">
      <c r="C6" s="234" t="inlineStr">
        <is>
          <t>No call-for-papers deadline is open at the moment.</t>
        </is>
      </c>
    </row>
    <row r="8" ht="22" customHeight="1">
      <c r="A8" s="7" t="inlineStr">
        <is>
          <t>Upcoming events (6)</t>
        </is>
      </c>
      <c r="B8" s="8" t="n"/>
      <c r="C8" s="8" t="n"/>
      <c r="D8" s="8" t="n"/>
      <c r="E8" s="8" t="n"/>
      <c r="F8" s="8" t="n"/>
      <c r="G8" s="8" t="n"/>
      <c r="H8" s="8" t="n"/>
      <c r="I8" s="8" t="n"/>
    </row>
    <row r="9" ht="20" customHeight="1">
      <c r="A9" s="71" t="inlineStr">
        <is>
          <t>Starts</t>
        </is>
      </c>
      <c r="B9" s="71" t="inlineStr">
        <is>
          <t>ISSMGE</t>
        </is>
      </c>
      <c r="C9" s="71" t="inlineStr">
        <is>
          <t>Event</t>
        </is>
      </c>
      <c r="D9" s="71" t="inlineStr">
        <is>
          <t>Kind</t>
        </is>
      </c>
      <c r="E9" s="71" t="inlineStr">
        <is>
          <t>Place</t>
        </is>
      </c>
      <c r="F9" s="71" t="inlineStr">
        <is>
          <t>Dates</t>
        </is>
      </c>
      <c r="G9" s="71" t="inlineStr">
        <is>
          <t>Organiser</t>
        </is>
      </c>
      <c r="H9" s="71" t="inlineStr">
        <is>
          <t>Deadlines</t>
        </is>
      </c>
      <c r="I9" s="71" t="inlineStr">
        <is>
          <t>Website</t>
        </is>
      </c>
    </row>
    <row r="10" ht="17.5" customHeight="1">
      <c r="A10" s="235" t="n">
        <v>46447</v>
      </c>
      <c r="B10" s="236" t="n"/>
      <c r="C10" s="229" t="inlineStr">
        <is>
          <t>Geo-Congress 2027, part of ASCE2027</t>
        </is>
      </c>
      <c r="D10" s="237" t="inlineStr">
        <is>
          <t>Other conference</t>
        </is>
      </c>
      <c r="E10" s="166" t="inlineStr">
        <is>
          <t>Philadelphia, United States</t>
        </is>
      </c>
      <c r="F10" s="166" t="inlineStr">
        <is>
          <t>1–5 Mar 2027</t>
        </is>
      </c>
      <c r="G10" s="230" t="inlineStr">
        <is>
          <t>ASCE Geo-Institute</t>
        </is>
      </c>
      <c r="H10" s="230" t="inlineStr">
        <is>
          <t>Abstracts: 4 Mar 2026</t>
        </is>
      </c>
      <c r="I10" s="238" t="inlineStr">
        <is>
          <t>https://geoinstitute.org/news/call-abstract-geo-congress-2027-part-asce2027</t>
        </is>
      </c>
    </row>
    <row r="11" ht="30" customHeight="1">
      <c r="A11" s="235" t="n">
        <v>46489</v>
      </c>
      <c r="B11" s="236" t="inlineStr">
        <is>
          <t>ISSMGE</t>
        </is>
      </c>
      <c r="C11" s="229" t="inlineStr">
        <is>
          <t>2nd International Symposium on Ground Improvement (IS-GI 2027)</t>
        </is>
      </c>
      <c r="D11" s="239" t="inlineStr">
        <is>
          <t>ISSMGE-supported</t>
        </is>
      </c>
      <c r="E11" s="166" t="inlineStr">
        <is>
          <t>Lyon, France</t>
        </is>
      </c>
      <c r="F11" s="166" t="inlineStr">
        <is>
          <t>12–14 Apr 2027</t>
        </is>
      </c>
      <c r="G11" s="230" t="inlineStr">
        <is>
          <t>ISSMGE TC211</t>
        </is>
      </c>
      <c r="H11" s="230" t="inlineStr">
        <is>
          <t>Abstracts: 15 May 2026</t>
        </is>
      </c>
      <c r="I11" s="238" t="inlineStr">
        <is>
          <t>https://www.issmge.org/news/2nd-is-gi-2027-lyon-call-for-abstracts</t>
        </is>
      </c>
    </row>
    <row r="12" ht="30" customHeight="1">
      <c r="A12" s="235" t="n">
        <v>46500</v>
      </c>
      <c r="B12" s="236" t="n"/>
      <c r="C12" s="229" t="inlineStr">
        <is>
          <t>ITA-AITES World Tunnel Congress 2027 (WTC 2027)</t>
        </is>
      </c>
      <c r="D12" s="237" t="inlineStr">
        <is>
          <t>Other conference</t>
        </is>
      </c>
      <c r="E12" s="166" t="inlineStr">
        <is>
          <t>Antwerp, Belgium</t>
        </is>
      </c>
      <c r="F12" s="166" t="inlineStr">
        <is>
          <t>23–29 Apr 2027</t>
        </is>
      </c>
      <c r="G12" s="230" t="inlineStr">
        <is>
          <t>ITA-AITES with the Belgian Tunnel Association</t>
        </is>
      </c>
      <c r="H12" s="230" t="inlineStr">
        <is>
          <t>Abstracts: 10 Jun 2026</t>
        </is>
      </c>
      <c r="I12" s="238" t="inlineStr">
        <is>
          <t>https://about.ita-aites.org/future-events/2350/world-tunnel-congress-wtc-2027</t>
        </is>
      </c>
    </row>
    <row r="13" ht="30" customHeight="1">
      <c r="A13" s="235" t="n">
        <v>46566</v>
      </c>
      <c r="B13" s="236" t="inlineStr">
        <is>
          <t>ISSMGE</t>
        </is>
      </c>
      <c r="C13" s="229" t="inlineStr">
        <is>
          <t>International Conference on Sustainability in Geotechnical Engineering (ICSGE 2027)</t>
        </is>
      </c>
      <c r="D13" s="239" t="inlineStr">
        <is>
          <t>ISSMGE-supported</t>
        </is>
      </c>
      <c r="E13" s="166" t="inlineStr">
        <is>
          <t>Lisbon, Portugal</t>
        </is>
      </c>
      <c r="F13" s="166" t="inlineStr">
        <is>
          <t>28 Jun – 1 Jul 2027</t>
        </is>
      </c>
      <c r="G13" s="230" t="inlineStr">
        <is>
          <t>ISSMGE TC307 and LNEC</t>
        </is>
      </c>
      <c r="H13" s="230" t="inlineStr">
        <is>
          <t>Abstracts: 15 Jul 2026</t>
        </is>
      </c>
      <c r="I13" s="238" t="inlineStr">
        <is>
          <t>https://www.issmge.org/news/tc223-june-news-update</t>
        </is>
      </c>
    </row>
    <row r="14" ht="30" customHeight="1">
      <c r="A14" s="235" t="n">
        <v>46644</v>
      </c>
      <c r="B14" s="236" t="inlineStr">
        <is>
          <t>ISSMGE</t>
        </is>
      </c>
      <c r="C14" s="229" t="inlineStr">
        <is>
          <t>9th International Symposium on Deformation Characteristics of Geomaterials (IS-Ankara 2027)</t>
        </is>
      </c>
      <c r="D14" s="239" t="inlineStr">
        <is>
          <t>ISSMGE-supported</t>
        </is>
      </c>
      <c r="E14" s="166" t="inlineStr">
        <is>
          <t>Ankara, Türkiye</t>
        </is>
      </c>
      <c r="F14" s="166" t="inlineStr">
        <is>
          <t>14–17 Sep 2027</t>
        </is>
      </c>
      <c r="G14" s="230" t="inlineStr">
        <is>
          <t>ISSMGE TC101, Middle East Technical University (METU)</t>
        </is>
      </c>
      <c r="H14" s="230" t="inlineStr">
        <is>
          <t>Abstracts: 21 Sep 2026</t>
        </is>
      </c>
      <c r="I14" s="238" t="inlineStr">
        <is>
          <t>https://www.issmge.org/news/tc223-june-news-update</t>
        </is>
      </c>
    </row>
    <row r="15" ht="30" customHeight="1">
      <c r="A15" s="235" t="n">
        <v>46700</v>
      </c>
      <c r="B15" s="236" t="inlineStr">
        <is>
          <t>ISSMGE</t>
        </is>
      </c>
      <c r="C15" s="229" t="inlineStr">
        <is>
          <t>18th Asian Regional Conference on Soil Mechanics and Geotechnical Engineering (18ARC)</t>
        </is>
      </c>
      <c r="D15" s="240" t="inlineStr">
        <is>
          <t>ISSMGE conference</t>
        </is>
      </c>
      <c r="E15" s="166" t="inlineStr">
        <is>
          <t>Bangkok, Thailand</t>
        </is>
      </c>
      <c r="F15" s="166" t="inlineStr">
        <is>
          <t>9–13 Nov 2027</t>
        </is>
      </c>
      <c r="G15" s="230" t="inlineStr">
        <is>
          <t>Thai Geotechnical Society, under the auspices of ISSMGE</t>
        </is>
      </c>
      <c r="H15" s="230" t="n"/>
      <c r="I15" s="238" t="inlineStr">
        <is>
          <t>https://www.issmge.org/events/18arc</t>
        </is>
      </c>
    </row>
  </sheetData>
  <hyperlinks>
    <hyperlink ref="D1" location="'Dashboard'!A1" display="← Dashboard"/>
    <hyperlink ref="E1" location="'Start here'!A1" display="↑ Start here"/>
    <hyperlink xmlns:r="http://schemas.openxmlformats.org/officeDocument/2006/relationships" ref="I10" r:id="rId1"/>
    <hyperlink xmlns:r="http://schemas.openxmlformats.org/officeDocument/2006/relationships" ref="I11" r:id="rId2"/>
    <hyperlink xmlns:r="http://schemas.openxmlformats.org/officeDocument/2006/relationships" ref="I12" r:id="rId3"/>
    <hyperlink xmlns:r="http://schemas.openxmlformats.org/officeDocument/2006/relationships" ref="I13" r:id="rId4"/>
    <hyperlink xmlns:r="http://schemas.openxmlformats.org/officeDocument/2006/relationships" ref="I14" r:id="rId5"/>
    <hyperlink xmlns:r="http://schemas.openxmlformats.org/officeDocument/2006/relationships" ref="I15" r:id="rId6"/>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7.xml><?xml version="1.0" encoding="utf-8"?>
<worksheet xmlns="http://schemas.openxmlformats.org/spreadsheetml/2006/main">
  <sheetPr>
    <tabColor rgb="000B97A5"/>
    <outlinePr summaryBelow="1" summaryRight="1"/>
    <pageSetUpPr fitToPage="1"/>
  </sheetPr>
  <dimension ref="A1:I44"/>
  <sheetViews>
    <sheetView showGridLines="0" tabSelected="0" workbookViewId="0">
      <pane xSplit="1" ySplit="3" topLeftCell="B4" activePane="bottomRight" state="frozen"/>
      <selection pane="topRight"/>
      <selection pane="bottomLeft"/>
      <selection pane="bottomRight" activeCell="A1" sqref="A1"/>
    </sheetView>
  </sheetViews>
  <sheetFormatPr baseColWidth="8" defaultRowHeight="15"/>
  <cols>
    <col width="34" customWidth="1" min="1" max="1"/>
    <col width="10" customWidth="1" min="2" max="2"/>
    <col width="13" customWidth="1" min="3" max="3"/>
    <col width="12" customWidth="1" min="4" max="4"/>
    <col width="10" customWidth="1" min="5" max="5"/>
    <col width="34" customWidth="1" min="6" max="6"/>
    <col width="10" customWidth="1" min="7" max="7"/>
    <col width="28" customWidth="1" min="8" max="8"/>
    <col width="13" customWidth="1" min="9" max="9"/>
  </cols>
  <sheetData>
    <row r="1" ht="26" customHeight="1">
      <c r="A1" s="152" t="inlineStr">
        <is>
          <t>Sources · 41 outlets</t>
        </is>
      </c>
      <c r="C1" s="153" t="inlineStr">
        <is>
          <t>← Dashboard</t>
        </is>
      </c>
      <c r="D1" s="153" t="inlineStr">
        <is>
          <t>↑ Start here</t>
        </is>
      </c>
    </row>
    <row r="2" ht="16" customHeight="1">
      <c r="A2" s="154" t="inlineStr">
        <is>
          <t>One row per outlet, most stories first. ‘In current selection’ follows the Dashboard selectors; average relevance counts AI-rated stories only.</t>
        </is>
      </c>
    </row>
    <row r="3" ht="30" customHeight="1">
      <c r="A3" s="156" t="inlineStr">
        <is>
          <t>Source</t>
        </is>
      </c>
      <c r="B3" s="155" t="inlineStr">
        <is>
          <t>Stories</t>
        </is>
      </c>
      <c r="C3" s="155" t="inlineStr">
        <is>
          <t>In current selection</t>
        </is>
      </c>
      <c r="D3" s="155" t="inlineStr">
        <is>
          <t>Average relevance</t>
        </is>
      </c>
      <c r="E3" s="155" t="inlineStr">
        <is>
          <t>Rated 4 or 5</t>
        </is>
      </c>
      <c r="F3" s="156" t="inlineStr">
        <is>
          <t>Most frequent theme</t>
        </is>
      </c>
      <c r="G3" s="155" t="inlineStr">
        <is>
          <t>Themes covered</t>
        </is>
      </c>
      <c r="H3" s="156" t="inlineStr">
        <is>
          <t>Google News editions</t>
        </is>
      </c>
      <c r="I3" s="155" t="inlineStr">
        <is>
          <t>Latest digest</t>
        </is>
      </c>
    </row>
    <row r="4" ht="40.5" customHeight="1">
      <c r="A4" s="229" t="inlineStr">
        <is>
          <t>Vietnam.vn</t>
        </is>
      </c>
      <c r="B4" s="241" t="n">
        <v>16</v>
      </c>
      <c r="C4" s="242">
        <f>SUMPRODUCT(Stories!$W$4:$W$63,--(Stories!$J$4:$J$63=$A4))</f>
        <v/>
      </c>
      <c r="D4" s="243" t="n">
        <v>3.9</v>
      </c>
      <c r="E4" s="241" t="n">
        <v>13</v>
      </c>
      <c r="F4" s="244" t="inlineStr">
        <is>
          <t>Hazards &amp; Resilience</t>
        </is>
      </c>
      <c r="G4" s="241" t="n">
        <v>5</v>
      </c>
      <c r="H4" s="171" t="inlineStr">
        <is>
          <t>Vietnam, Egypt, Indonesia, Russia, Colombia, Spain, South Korea, Brazil</t>
        </is>
      </c>
      <c r="I4" s="245" t="n">
        <v>46319</v>
      </c>
    </row>
    <row r="5" ht="15.5" customHeight="1">
      <c r="A5" s="229" t="inlineStr">
        <is>
          <t>Ground Engineering</t>
        </is>
      </c>
      <c r="B5" s="241" t="n">
        <v>2</v>
      </c>
      <c r="C5" s="242">
        <f>SUMPRODUCT(Stories!$W$4:$W$63,--(Stories!$J$4:$J$63=$A5))</f>
        <v/>
      </c>
      <c r="D5" s="243" t="n">
        <v>4.5</v>
      </c>
      <c r="E5" s="241" t="n">
        <v>2</v>
      </c>
      <c r="F5" s="246" t="inlineStr">
        <is>
          <t>Offshore, Coasts &amp; Water</t>
        </is>
      </c>
      <c r="G5" s="241" t="n">
        <v>2</v>
      </c>
      <c r="H5" s="171" t="inlineStr"/>
      <c r="I5" s="245" t="n">
        <v>46319</v>
      </c>
    </row>
    <row r="6" ht="28" customHeight="1">
      <c r="A6" s="229" t="inlineStr">
        <is>
          <t>Tunnelling Journal</t>
        </is>
      </c>
      <c r="B6" s="241" t="n">
        <v>2</v>
      </c>
      <c r="C6" s="242">
        <f>SUMPRODUCT(Stories!$W$4:$W$63,--(Stories!$J$4:$J$63=$A6))</f>
        <v/>
      </c>
      <c r="D6" s="243" t="n">
        <v>3</v>
      </c>
      <c r="E6" s="241" t="n">
        <v>0</v>
      </c>
      <c r="F6" s="247" t="inlineStr">
        <is>
          <t>Infrastructure &amp; the Underground City</t>
        </is>
      </c>
      <c r="G6" s="241" t="n">
        <v>2</v>
      </c>
      <c r="H6" s="171" t="inlineStr"/>
      <c r="I6" s="245" t="n">
        <v>46319</v>
      </c>
    </row>
    <row r="7" ht="28" customHeight="1">
      <c r="A7" s="229" t="inlineStr">
        <is>
          <t>Tunnels &amp; Tunnelling</t>
        </is>
      </c>
      <c r="B7" s="241" t="n">
        <v>2</v>
      </c>
      <c r="C7" s="242">
        <f>SUMPRODUCT(Stories!$W$4:$W$63,--(Stories!$J$4:$J$63=$A7))</f>
        <v/>
      </c>
      <c r="D7" s="243" t="n">
        <v>3</v>
      </c>
      <c r="E7" s="241" t="n">
        <v>0</v>
      </c>
      <c r="F7" s="248" t="inlineStr">
        <is>
          <t>Sustainability &amp; the Energy Transition</t>
        </is>
      </c>
      <c r="G7" s="241" t="n">
        <v>1</v>
      </c>
      <c r="H7" s="171" t="inlineStr"/>
      <c r="I7" s="245" t="n">
        <v>46319</v>
      </c>
    </row>
    <row r="8" ht="15.5" customHeight="1">
      <c r="A8" s="229" t="inlineStr">
        <is>
          <t>生物通</t>
        </is>
      </c>
      <c r="B8" s="241" t="n">
        <v>2</v>
      </c>
      <c r="C8" s="242">
        <f>SUMPRODUCT(Stories!$W$4:$W$63,--(Stories!$J$4:$J$63=$A8))</f>
        <v/>
      </c>
      <c r="D8" s="243" t="n">
        <v>4.5</v>
      </c>
      <c r="E8" s="241" t="n">
        <v>2</v>
      </c>
      <c r="F8" s="249" t="inlineStr">
        <is>
          <t>Digital Geotechnics</t>
        </is>
      </c>
      <c r="G8" s="241" t="n">
        <v>2</v>
      </c>
      <c r="H8" s="171" t="inlineStr">
        <is>
          <t>China</t>
        </is>
      </c>
      <c r="I8" s="245" t="n">
        <v>46319</v>
      </c>
    </row>
    <row r="9" ht="15.5" customHeight="1">
      <c r="A9" s="229" t="inlineStr">
        <is>
          <t>:: Foro Coatza ::</t>
        </is>
      </c>
      <c r="B9" s="241" t="n">
        <v>1</v>
      </c>
      <c r="C9" s="242">
        <f>SUMPRODUCT(Stories!$W$4:$W$63,--(Stories!$J$4:$J$63=$A9))</f>
        <v/>
      </c>
      <c r="D9" s="243" t="n">
        <v>3</v>
      </c>
      <c r="E9" s="241" t="n">
        <v>0</v>
      </c>
      <c r="F9" s="246" t="inlineStr">
        <is>
          <t>Offshore, Coasts &amp; Water</t>
        </is>
      </c>
      <c r="G9" s="241" t="n">
        <v>1</v>
      </c>
      <c r="H9" s="171" t="inlineStr">
        <is>
          <t>Argentina</t>
        </is>
      </c>
      <c r="I9" s="245" t="n">
        <v>46319</v>
      </c>
    </row>
    <row r="10" ht="15.5" customHeight="1">
      <c r="A10" s="229" t="inlineStr">
        <is>
          <t>agenzia giornalistica opinione</t>
        </is>
      </c>
      <c r="B10" s="241" t="n">
        <v>1</v>
      </c>
      <c r="C10" s="242">
        <f>SUMPRODUCT(Stories!$W$4:$W$63,--(Stories!$J$4:$J$63=$A10))</f>
        <v/>
      </c>
      <c r="D10" s="243" t="n">
        <v>4</v>
      </c>
      <c r="E10" s="241" t="n">
        <v>1</v>
      </c>
      <c r="F10" s="244" t="inlineStr">
        <is>
          <t>Hazards &amp; Resilience</t>
        </is>
      </c>
      <c r="G10" s="241" t="n">
        <v>1</v>
      </c>
      <c r="H10" s="171" t="inlineStr">
        <is>
          <t>Italy</t>
        </is>
      </c>
      <c r="I10" s="245" t="n">
        <v>46319</v>
      </c>
    </row>
    <row r="11" ht="15.5" customHeight="1">
      <c r="A11" s="229" t="inlineStr">
        <is>
          <t>Baolangson.vn</t>
        </is>
      </c>
      <c r="B11" s="241" t="n">
        <v>1</v>
      </c>
      <c r="C11" s="242">
        <f>SUMPRODUCT(Stories!$W$4:$W$63,--(Stories!$J$4:$J$63=$A11))</f>
        <v/>
      </c>
      <c r="D11" s="243" t="n">
        <v>4</v>
      </c>
      <c r="E11" s="241" t="n">
        <v>1</v>
      </c>
      <c r="F11" s="244" t="inlineStr">
        <is>
          <t>Hazards &amp; Resilience</t>
        </is>
      </c>
      <c r="G11" s="241" t="n">
        <v>1</v>
      </c>
      <c r="H11" s="171" t="inlineStr">
        <is>
          <t>Vietnam</t>
        </is>
      </c>
      <c r="I11" s="245" t="n">
        <v>46319</v>
      </c>
    </row>
    <row r="12" ht="28" customHeight="1">
      <c r="A12" s="229" t="inlineStr">
        <is>
          <t>BioBioChile</t>
        </is>
      </c>
      <c r="B12" s="241" t="n">
        <v>1</v>
      </c>
      <c r="C12" s="242">
        <f>SUMPRODUCT(Stories!$W$4:$W$63,--(Stories!$J$4:$J$63=$A12))</f>
        <v/>
      </c>
      <c r="D12" s="243" t="n">
        <v>4</v>
      </c>
      <c r="E12" s="241" t="n">
        <v>1</v>
      </c>
      <c r="F12" s="247" t="inlineStr">
        <is>
          <t>Infrastructure &amp; the Underground City</t>
        </is>
      </c>
      <c r="G12" s="241" t="n">
        <v>1</v>
      </c>
      <c r="H12" s="171" t="inlineStr">
        <is>
          <t>Colombia</t>
        </is>
      </c>
      <c r="I12" s="245" t="n">
        <v>46319</v>
      </c>
    </row>
    <row r="13" ht="15.5" customHeight="1">
      <c r="A13" s="229" t="inlineStr">
        <is>
          <t>Boyacá 7 Días</t>
        </is>
      </c>
      <c r="B13" s="241" t="n">
        <v>1</v>
      </c>
      <c r="C13" s="242">
        <f>SUMPRODUCT(Stories!$W$4:$W$63,--(Stories!$J$4:$J$63=$A13))</f>
        <v/>
      </c>
      <c r="D13" s="243" t="n">
        <v>3</v>
      </c>
      <c r="E13" s="241" t="n">
        <v>0</v>
      </c>
      <c r="F13" s="250" t="inlineStr">
        <is>
          <t>Geotechnics &amp; Society</t>
        </is>
      </c>
      <c r="G13" s="241" t="n">
        <v>1</v>
      </c>
      <c r="H13" s="171" t="inlineStr">
        <is>
          <t>Colombia</t>
        </is>
      </c>
      <c r="I13" s="245" t="n">
        <v>46319</v>
      </c>
    </row>
    <row r="14" ht="15.5" customHeight="1">
      <c r="A14" s="229" t="inlineStr">
        <is>
          <t>Báo Thanh Niên</t>
        </is>
      </c>
      <c r="B14" s="241" t="n">
        <v>1</v>
      </c>
      <c r="C14" s="242">
        <f>SUMPRODUCT(Stories!$W$4:$W$63,--(Stories!$J$4:$J$63=$A14))</f>
        <v/>
      </c>
      <c r="D14" s="243" t="n">
        <v>4</v>
      </c>
      <c r="E14" s="241" t="n">
        <v>1</v>
      </c>
      <c r="F14" s="244" t="inlineStr">
        <is>
          <t>Hazards &amp; Resilience</t>
        </is>
      </c>
      <c r="G14" s="241" t="n">
        <v>1</v>
      </c>
      <c r="H14" s="171" t="inlineStr">
        <is>
          <t>Vietnam</t>
        </is>
      </c>
      <c r="I14" s="245" t="n">
        <v>46319</v>
      </c>
    </row>
    <row r="15" ht="28" customHeight="1">
      <c r="A15" s="229" t="inlineStr">
        <is>
          <t>Báo và phát thanh, truyền hình Đồng Tháp</t>
        </is>
      </c>
      <c r="B15" s="241" t="n">
        <v>1</v>
      </c>
      <c r="C15" s="242">
        <f>SUMPRODUCT(Stories!$W$4:$W$63,--(Stories!$J$4:$J$63=$A15))</f>
        <v/>
      </c>
      <c r="D15" s="243" t="n">
        <v>4</v>
      </c>
      <c r="E15" s="241" t="n">
        <v>1</v>
      </c>
      <c r="F15" s="244" t="inlineStr">
        <is>
          <t>Hazards &amp; Resilience</t>
        </is>
      </c>
      <c r="G15" s="241" t="n">
        <v>1</v>
      </c>
      <c r="H15" s="171" t="inlineStr">
        <is>
          <t>Vietnam</t>
        </is>
      </c>
      <c r="I15" s="245" t="n">
        <v>46319</v>
      </c>
    </row>
    <row r="16" ht="28" customHeight="1">
      <c r="A16" s="229" t="inlineStr">
        <is>
          <t>Cooperativa</t>
        </is>
      </c>
      <c r="B16" s="241" t="n">
        <v>1</v>
      </c>
      <c r="C16" s="242">
        <f>SUMPRODUCT(Stories!$W$4:$W$63,--(Stories!$J$4:$J$63=$A16))</f>
        <v/>
      </c>
      <c r="D16" s="243" t="n">
        <v>4</v>
      </c>
      <c r="E16" s="241" t="n">
        <v>1</v>
      </c>
      <c r="F16" s="247" t="inlineStr">
        <is>
          <t>Infrastructure &amp; the Underground City</t>
        </is>
      </c>
      <c r="G16" s="241" t="n">
        <v>1</v>
      </c>
      <c r="H16" s="171" t="inlineStr">
        <is>
          <t>Colombia</t>
        </is>
      </c>
      <c r="I16" s="245" t="n">
        <v>46319</v>
      </c>
    </row>
    <row r="17" ht="28" customHeight="1">
      <c r="A17" s="229" t="inlineStr">
        <is>
          <t>Debate</t>
        </is>
      </c>
      <c r="B17" s="241" t="n">
        <v>1</v>
      </c>
      <c r="C17" s="242">
        <f>SUMPRODUCT(Stories!$W$4:$W$63,--(Stories!$J$4:$J$63=$A17))</f>
        <v/>
      </c>
      <c r="D17" s="243" t="n">
        <v>4</v>
      </c>
      <c r="E17" s="241" t="n">
        <v>1</v>
      </c>
      <c r="F17" s="247" t="inlineStr">
        <is>
          <t>Infrastructure &amp; the Underground City</t>
        </is>
      </c>
      <c r="G17" s="241" t="n">
        <v>1</v>
      </c>
      <c r="H17" s="171" t="inlineStr">
        <is>
          <t>Colombia</t>
        </is>
      </c>
      <c r="I17" s="245" t="n">
        <v>46319</v>
      </c>
    </row>
    <row r="18" ht="28" customHeight="1">
      <c r="A18" s="229" t="inlineStr">
        <is>
          <t>Detona, Real News</t>
        </is>
      </c>
      <c r="B18" s="241" t="n">
        <v>1</v>
      </c>
      <c r="C18" s="242">
        <f>SUMPRODUCT(Stories!$W$4:$W$63,--(Stories!$J$4:$J$63=$A18))</f>
        <v/>
      </c>
      <c r="D18" s="243" t="n">
        <v>3</v>
      </c>
      <c r="E18" s="241" t="n">
        <v>0</v>
      </c>
      <c r="F18" s="247" t="inlineStr">
        <is>
          <t>Infrastructure &amp; the Underground City</t>
        </is>
      </c>
      <c r="G18" s="241" t="n">
        <v>1</v>
      </c>
      <c r="H18" s="171" t="inlineStr">
        <is>
          <t>Colombia</t>
        </is>
      </c>
      <c r="I18" s="245" t="n">
        <v>46319</v>
      </c>
    </row>
    <row r="19" ht="28" customHeight="1">
      <c r="A19" s="229" t="inlineStr">
        <is>
          <t>El Litoral | Novedades de Corrientes</t>
        </is>
      </c>
      <c r="B19" s="241" t="n">
        <v>1</v>
      </c>
      <c r="C19" s="242">
        <f>SUMPRODUCT(Stories!$W$4:$W$63,--(Stories!$J$4:$J$63=$A19))</f>
        <v/>
      </c>
      <c r="D19" s="243" t="n">
        <v>3</v>
      </c>
      <c r="E19" s="241" t="n">
        <v>0</v>
      </c>
      <c r="F19" s="246" t="inlineStr">
        <is>
          <t>Offshore, Coasts &amp; Water</t>
        </is>
      </c>
      <c r="G19" s="241" t="n">
        <v>1</v>
      </c>
      <c r="H19" s="171" t="inlineStr">
        <is>
          <t>Argentina</t>
        </is>
      </c>
      <c r="I19" s="245" t="n">
        <v>46319</v>
      </c>
    </row>
    <row r="20" ht="28" customHeight="1">
      <c r="A20" s="229" t="inlineStr">
        <is>
          <t>El Siglo de Torreón</t>
        </is>
      </c>
      <c r="B20" s="241" t="n">
        <v>1</v>
      </c>
      <c r="C20" s="242">
        <f>SUMPRODUCT(Stories!$W$4:$W$63,--(Stories!$J$4:$J$63=$A20))</f>
        <v/>
      </c>
      <c r="D20" s="243" t="n">
        <v>3</v>
      </c>
      <c r="E20" s="241" t="n">
        <v>0</v>
      </c>
      <c r="F20" s="247" t="inlineStr">
        <is>
          <t>Infrastructure &amp; the Underground City</t>
        </is>
      </c>
      <c r="G20" s="241" t="n">
        <v>1</v>
      </c>
      <c r="H20" s="171" t="inlineStr">
        <is>
          <t>Colombia</t>
        </is>
      </c>
      <c r="I20" s="245" t="n">
        <v>46319</v>
      </c>
    </row>
    <row r="21" ht="15.5" customHeight="1">
      <c r="A21" s="229" t="inlineStr">
        <is>
          <t>El Universal</t>
        </is>
      </c>
      <c r="B21" s="241" t="n">
        <v>1</v>
      </c>
      <c r="C21" s="242">
        <f>SUMPRODUCT(Stories!$W$4:$W$63,--(Stories!$J$4:$J$63=$A21))</f>
        <v/>
      </c>
      <c r="D21" s="243" t="n">
        <v>3</v>
      </c>
      <c r="E21" s="241" t="n">
        <v>0</v>
      </c>
      <c r="F21" s="246" t="inlineStr">
        <is>
          <t>Offshore, Coasts &amp; Water</t>
        </is>
      </c>
      <c r="G21" s="241" t="n">
        <v>1</v>
      </c>
      <c r="H21" s="171" t="inlineStr">
        <is>
          <t>Colombia</t>
        </is>
      </c>
      <c r="I21" s="245" t="n">
        <v>46319</v>
      </c>
    </row>
    <row r="22" ht="28" customHeight="1">
      <c r="A22" s="229" t="inlineStr">
        <is>
          <t>El Universo</t>
        </is>
      </c>
      <c r="B22" s="241" t="n">
        <v>1</v>
      </c>
      <c r="C22" s="242">
        <f>SUMPRODUCT(Stories!$W$4:$W$63,--(Stories!$J$4:$J$63=$A22))</f>
        <v/>
      </c>
      <c r="D22" s="243" t="n">
        <v>4</v>
      </c>
      <c r="E22" s="241" t="n">
        <v>1</v>
      </c>
      <c r="F22" s="247" t="inlineStr">
        <is>
          <t>Infrastructure &amp; the Underground City</t>
        </is>
      </c>
      <c r="G22" s="241" t="n">
        <v>1</v>
      </c>
      <c r="H22" s="171" t="inlineStr">
        <is>
          <t>Colombia</t>
        </is>
      </c>
      <c r="I22" s="245" t="n">
        <v>46319</v>
      </c>
    </row>
    <row r="23" ht="15.5" customHeight="1">
      <c r="A23" s="229" t="inlineStr">
        <is>
          <t>Geoengineer.org</t>
        </is>
      </c>
      <c r="B23" s="241" t="n">
        <v>1</v>
      </c>
      <c r="C23" s="242">
        <f>SUMPRODUCT(Stories!$W$4:$W$63,--(Stories!$J$4:$J$63=$A23))</f>
        <v/>
      </c>
      <c r="D23" s="243" t="n">
        <v>5</v>
      </c>
      <c r="E23" s="241" t="n">
        <v>1</v>
      </c>
      <c r="F23" s="251" t="inlineStr">
        <is>
          <t>Ground Improvement &amp; Innovation</t>
        </is>
      </c>
      <c r="G23" s="241" t="n">
        <v>1</v>
      </c>
      <c r="H23" s="171" t="inlineStr">
        <is>
          <t>United States</t>
        </is>
      </c>
      <c r="I23" s="245" t="n">
        <v>46319</v>
      </c>
    </row>
    <row r="24" ht="15.5" customHeight="1">
      <c r="A24" s="229" t="inlineStr">
        <is>
          <t>Il Giornale dei Castelli Romani</t>
        </is>
      </c>
      <c r="B24" s="241" t="n">
        <v>1</v>
      </c>
      <c r="C24" s="242">
        <f>SUMPRODUCT(Stories!$W$4:$W$63,--(Stories!$J$4:$J$63=$A24))</f>
        <v/>
      </c>
      <c r="D24" s="243" t="n">
        <v>4</v>
      </c>
      <c r="E24" s="241" t="n">
        <v>1</v>
      </c>
      <c r="F24" s="244" t="inlineStr">
        <is>
          <t>Hazards &amp; Resilience</t>
        </is>
      </c>
      <c r="G24" s="241" t="n">
        <v>1</v>
      </c>
      <c r="H24" s="171" t="inlineStr">
        <is>
          <t>Italy</t>
        </is>
      </c>
      <c r="I24" s="245" t="n">
        <v>46319</v>
      </c>
    </row>
    <row r="25" ht="15.5" customHeight="1">
      <c r="A25" s="229" t="inlineStr">
        <is>
          <t>Kenh14.vn</t>
        </is>
      </c>
      <c r="B25" s="241" t="n">
        <v>1</v>
      </c>
      <c r="C25" s="242">
        <f>SUMPRODUCT(Stories!$W$4:$W$63,--(Stories!$J$4:$J$63=$A25))</f>
        <v/>
      </c>
      <c r="D25" s="243" t="n">
        <v>4</v>
      </c>
      <c r="E25" s="241" t="n">
        <v>1</v>
      </c>
      <c r="F25" s="244" t="inlineStr">
        <is>
          <t>Hazards &amp; Resilience</t>
        </is>
      </c>
      <c r="G25" s="241" t="n">
        <v>1</v>
      </c>
      <c r="H25" s="171" t="inlineStr">
        <is>
          <t>Vietnam</t>
        </is>
      </c>
      <c r="I25" s="245" t="n">
        <v>46319</v>
      </c>
    </row>
    <row r="26" ht="15.5" customHeight="1">
      <c r="A26" s="229" t="inlineStr">
        <is>
          <t>Meganoticias</t>
        </is>
      </c>
      <c r="B26" s="241" t="n">
        <v>1</v>
      </c>
      <c r="C26" s="242">
        <f>SUMPRODUCT(Stories!$W$4:$W$63,--(Stories!$J$4:$J$63=$A26))</f>
        <v/>
      </c>
      <c r="D26" s="243" t="n">
        <v>4</v>
      </c>
      <c r="E26" s="241" t="n">
        <v>1</v>
      </c>
      <c r="F26" s="244" t="inlineStr">
        <is>
          <t>Hazards &amp; Resilience</t>
        </is>
      </c>
      <c r="G26" s="241" t="n">
        <v>1</v>
      </c>
      <c r="H26" s="171" t="inlineStr">
        <is>
          <t>Chile</t>
        </is>
      </c>
      <c r="I26" s="245" t="n">
        <v>46319</v>
      </c>
    </row>
    <row r="27" ht="28" customHeight="1">
      <c r="A27" s="229" t="inlineStr">
        <is>
          <t>Naver Blog</t>
        </is>
      </c>
      <c r="B27" s="241" t="n">
        <v>1</v>
      </c>
      <c r="C27" s="242">
        <f>SUMPRODUCT(Stories!$W$4:$W$63,--(Stories!$J$4:$J$63=$A27))</f>
        <v/>
      </c>
      <c r="D27" s="243" t="n">
        <v>4</v>
      </c>
      <c r="E27" s="241" t="n">
        <v>1</v>
      </c>
      <c r="F27" s="247" t="inlineStr">
        <is>
          <t>Infrastructure &amp; the Underground City</t>
        </is>
      </c>
      <c r="G27" s="241" t="n">
        <v>1</v>
      </c>
      <c r="H27" s="171" t="inlineStr">
        <is>
          <t>South Korea</t>
        </is>
      </c>
      <c r="I27" s="245" t="n">
        <v>46319</v>
      </c>
    </row>
    <row r="28" ht="15.5" customHeight="1">
      <c r="A28" s="229" t="inlineStr">
        <is>
          <t>Người Đưa Tin</t>
        </is>
      </c>
      <c r="B28" s="241" t="n">
        <v>1</v>
      </c>
      <c r="C28" s="242">
        <f>SUMPRODUCT(Stories!$W$4:$W$63,--(Stories!$J$4:$J$63=$A28))</f>
        <v/>
      </c>
      <c r="D28" s="243" t="n">
        <v>4</v>
      </c>
      <c r="E28" s="241" t="n">
        <v>1</v>
      </c>
      <c r="F28" s="246" t="inlineStr">
        <is>
          <t>Offshore, Coasts &amp; Water</t>
        </is>
      </c>
      <c r="G28" s="241" t="n">
        <v>1</v>
      </c>
      <c r="H28" s="171" t="inlineStr">
        <is>
          <t>Vietnam</t>
        </is>
      </c>
      <c r="I28" s="245" t="n">
        <v>46319</v>
      </c>
    </row>
    <row r="29" ht="28" customHeight="1">
      <c r="A29" s="229" t="inlineStr">
        <is>
          <t>Realidad Sanmartinense</t>
        </is>
      </c>
      <c r="B29" s="241" t="n">
        <v>1</v>
      </c>
      <c r="C29" s="242">
        <f>SUMPRODUCT(Stories!$W$4:$W$63,--(Stories!$J$4:$J$63=$A29))</f>
        <v/>
      </c>
      <c r="D29" s="243" t="n">
        <v>3</v>
      </c>
      <c r="E29" s="241" t="n">
        <v>0</v>
      </c>
      <c r="F29" s="247" t="inlineStr">
        <is>
          <t>Infrastructure &amp; the Underground City</t>
        </is>
      </c>
      <c r="G29" s="241" t="n">
        <v>1</v>
      </c>
      <c r="H29" s="171" t="inlineStr">
        <is>
          <t>Colombia</t>
        </is>
      </c>
      <c r="I29" s="245" t="n">
        <v>46319</v>
      </c>
    </row>
    <row r="30" ht="15.5" customHeight="1">
      <c r="A30" s="229" t="inlineStr">
        <is>
          <t>RRI.co.id</t>
        </is>
      </c>
      <c r="B30" s="241" t="n">
        <v>1</v>
      </c>
      <c r="C30" s="242">
        <f>SUMPRODUCT(Stories!$W$4:$W$63,--(Stories!$J$4:$J$63=$A30))</f>
        <v/>
      </c>
      <c r="D30" s="243" t="n">
        <v>4</v>
      </c>
      <c r="E30" s="241" t="n">
        <v>1</v>
      </c>
      <c r="F30" s="244" t="inlineStr">
        <is>
          <t>Hazards &amp; Resilience</t>
        </is>
      </c>
      <c r="G30" s="241" t="n">
        <v>1</v>
      </c>
      <c r="H30" s="171" t="inlineStr">
        <is>
          <t>Indonesia</t>
        </is>
      </c>
      <c r="I30" s="245" t="n">
        <v>46319</v>
      </c>
    </row>
    <row r="31" ht="15.5" customHeight="1">
      <c r="A31" s="229" t="inlineStr">
        <is>
          <t>Sciencepost</t>
        </is>
      </c>
      <c r="B31" s="241" t="n">
        <v>1</v>
      </c>
      <c r="C31" s="242">
        <f>SUMPRODUCT(Stories!$W$4:$W$63,--(Stories!$J$4:$J$63=$A31))</f>
        <v/>
      </c>
      <c r="D31" s="243" t="n">
        <v>5</v>
      </c>
      <c r="E31" s="241" t="n">
        <v>1</v>
      </c>
      <c r="F31" s="251" t="inlineStr">
        <is>
          <t>Ground Improvement &amp; Innovation</t>
        </is>
      </c>
      <c r="G31" s="241" t="n">
        <v>1</v>
      </c>
      <c r="H31" s="171" t="inlineStr">
        <is>
          <t>Senegal</t>
        </is>
      </c>
      <c r="I31" s="245" t="n">
        <v>46319</v>
      </c>
    </row>
    <row r="32" ht="28" customHeight="1">
      <c r="A32" s="229" t="inlineStr">
        <is>
          <t>Tabasco HOY</t>
        </is>
      </c>
      <c r="B32" s="241" t="n">
        <v>1</v>
      </c>
      <c r="C32" s="242">
        <f>SUMPRODUCT(Stories!$W$4:$W$63,--(Stories!$J$4:$J$63=$A32))</f>
        <v/>
      </c>
      <c r="D32" s="243" t="n">
        <v>3</v>
      </c>
      <c r="E32" s="241" t="n">
        <v>0</v>
      </c>
      <c r="F32" s="247" t="inlineStr">
        <is>
          <t>Infrastructure &amp; the Underground City</t>
        </is>
      </c>
      <c r="G32" s="241" t="n">
        <v>1</v>
      </c>
      <c r="H32" s="171" t="inlineStr">
        <is>
          <t>Colombia</t>
        </is>
      </c>
      <c r="I32" s="245" t="n">
        <v>46319</v>
      </c>
    </row>
    <row r="33" ht="15.5" customHeight="1">
      <c r="A33" s="229" t="inlineStr">
        <is>
          <t>Trade-news.cl</t>
        </is>
      </c>
      <c r="B33" s="241" t="n">
        <v>1</v>
      </c>
      <c r="C33" s="242">
        <f>SUMPRODUCT(Stories!$W$4:$W$63,--(Stories!$J$4:$J$63=$A33))</f>
        <v/>
      </c>
      <c r="D33" s="243" t="n">
        <v>3</v>
      </c>
      <c r="E33" s="241" t="n">
        <v>0</v>
      </c>
      <c r="F33" s="252" t="inlineStr">
        <is>
          <t>Characterisation &amp; Modelling</t>
        </is>
      </c>
      <c r="G33" s="241" t="n">
        <v>1</v>
      </c>
      <c r="H33" s="171" t="inlineStr">
        <is>
          <t>Peru</t>
        </is>
      </c>
      <c r="I33" s="245" t="n">
        <v>46319</v>
      </c>
    </row>
    <row r="34" ht="15.5" customHeight="1">
      <c r="A34" s="229" t="inlineStr">
        <is>
          <t>Tv7 Benevento</t>
        </is>
      </c>
      <c r="B34" s="241" t="n">
        <v>1</v>
      </c>
      <c r="C34" s="242">
        <f>SUMPRODUCT(Stories!$W$4:$W$63,--(Stories!$J$4:$J$63=$A34))</f>
        <v/>
      </c>
      <c r="D34" s="243" t="n">
        <v>4</v>
      </c>
      <c r="E34" s="241" t="n">
        <v>1</v>
      </c>
      <c r="F34" s="244" t="inlineStr">
        <is>
          <t>Hazards &amp; Resilience</t>
        </is>
      </c>
      <c r="G34" s="241" t="n">
        <v>1</v>
      </c>
      <c r="H34" s="171" t="inlineStr">
        <is>
          <t>Italy</t>
        </is>
      </c>
      <c r="I34" s="245" t="n">
        <v>46319</v>
      </c>
    </row>
    <row r="35" ht="15.5" customHeight="1">
      <c r="A35" s="229" t="inlineStr">
        <is>
          <t>VnExpress International</t>
        </is>
      </c>
      <c r="B35" s="241" t="n">
        <v>1</v>
      </c>
      <c r="C35" s="242">
        <f>SUMPRODUCT(Stories!$W$4:$W$63,--(Stories!$J$4:$J$63=$A35))</f>
        <v/>
      </c>
      <c r="D35" s="243" t="n">
        <v>4</v>
      </c>
      <c r="E35" s="241" t="n">
        <v>1</v>
      </c>
      <c r="F35" s="252" t="inlineStr">
        <is>
          <t>Characterisation &amp; Modelling</t>
        </is>
      </c>
      <c r="G35" s="241" t="n">
        <v>1</v>
      </c>
      <c r="H35" s="171" t="inlineStr">
        <is>
          <t>United Kingdom</t>
        </is>
      </c>
      <c r="I35" s="245" t="n">
        <v>46319</v>
      </c>
    </row>
    <row r="36" ht="28" customHeight="1">
      <c r="A36" s="229" t="inlineStr">
        <is>
          <t>VOH</t>
        </is>
      </c>
      <c r="B36" s="241" t="n">
        <v>1</v>
      </c>
      <c r="C36" s="242">
        <f>SUMPRODUCT(Stories!$W$4:$W$63,--(Stories!$J$4:$J$63=$A36))</f>
        <v/>
      </c>
      <c r="D36" s="243" t="n">
        <v>4</v>
      </c>
      <c r="E36" s="241" t="n">
        <v>1</v>
      </c>
      <c r="F36" s="247" t="inlineStr">
        <is>
          <t>Infrastructure &amp; the Underground City</t>
        </is>
      </c>
      <c r="G36" s="241" t="n">
        <v>1</v>
      </c>
      <c r="H36" s="171" t="inlineStr">
        <is>
          <t>Vietnam</t>
        </is>
      </c>
      <c r="I36" s="245" t="n">
        <v>46319</v>
      </c>
    </row>
    <row r="37" ht="15.5" customHeight="1">
      <c r="A37" s="229" t="inlineStr">
        <is>
          <t>VTV.vn</t>
        </is>
      </c>
      <c r="B37" s="241" t="n">
        <v>1</v>
      </c>
      <c r="C37" s="242">
        <f>SUMPRODUCT(Stories!$W$4:$W$63,--(Stories!$J$4:$J$63=$A37))</f>
        <v/>
      </c>
      <c r="D37" s="243" t="n">
        <v>4</v>
      </c>
      <c r="E37" s="241" t="n">
        <v>1</v>
      </c>
      <c r="F37" s="246" t="inlineStr">
        <is>
          <t>Offshore, Coasts &amp; Water</t>
        </is>
      </c>
      <c r="G37" s="241" t="n">
        <v>1</v>
      </c>
      <c r="H37" s="171" t="inlineStr">
        <is>
          <t>Vietnam</t>
        </is>
      </c>
      <c r="I37" s="245" t="n">
        <v>46319</v>
      </c>
    </row>
    <row r="38" ht="15.5" customHeight="1">
      <c r="A38" s="229" t="inlineStr">
        <is>
          <t>www.noroeste.com.mx</t>
        </is>
      </c>
      <c r="B38" s="241" t="n">
        <v>1</v>
      </c>
      <c r="C38" s="242">
        <f>SUMPRODUCT(Stories!$W$4:$W$63,--(Stories!$J$4:$J$63=$A38))</f>
        <v/>
      </c>
      <c r="D38" s="243" t="n">
        <v>4</v>
      </c>
      <c r="E38" s="241" t="n">
        <v>1</v>
      </c>
      <c r="F38" s="250" t="inlineStr">
        <is>
          <t>Geotechnics &amp; Society</t>
        </is>
      </c>
      <c r="G38" s="241" t="n">
        <v>1</v>
      </c>
      <c r="H38" s="171" t="inlineStr">
        <is>
          <t>Colombia</t>
        </is>
      </c>
      <c r="I38" s="245" t="n">
        <v>46319</v>
      </c>
    </row>
    <row r="39" ht="15.5" customHeight="1">
      <c r="A39" s="229" t="inlineStr">
        <is>
          <t>Zazoom Social News</t>
        </is>
      </c>
      <c r="B39" s="241" t="n">
        <v>1</v>
      </c>
      <c r="C39" s="242">
        <f>SUMPRODUCT(Stories!$W$4:$W$63,--(Stories!$J$4:$J$63=$A39))</f>
        <v/>
      </c>
      <c r="D39" s="243" t="n">
        <v>4</v>
      </c>
      <c r="E39" s="241" t="n">
        <v>1</v>
      </c>
      <c r="F39" s="244" t="inlineStr">
        <is>
          <t>Hazards &amp; Resilience</t>
        </is>
      </c>
      <c r="G39" s="241" t="n">
        <v>1</v>
      </c>
      <c r="H39" s="171" t="inlineStr">
        <is>
          <t>Italy</t>
        </is>
      </c>
      <c r="I39" s="245" t="n">
        <v>46319</v>
      </c>
    </row>
    <row r="40" ht="28" customHeight="1">
      <c r="A40" s="229" t="inlineStr">
        <is>
          <t>Крыминформ</t>
        </is>
      </c>
      <c r="B40" s="241" t="n">
        <v>1</v>
      </c>
      <c r="C40" s="242">
        <f>SUMPRODUCT(Stories!$W$4:$W$63,--(Stories!$J$4:$J$63=$A40))</f>
        <v/>
      </c>
      <c r="D40" s="243" t="n">
        <v>4</v>
      </c>
      <c r="E40" s="241" t="n">
        <v>1</v>
      </c>
      <c r="F40" s="247" t="inlineStr">
        <is>
          <t>Infrastructure &amp; the Underground City</t>
        </is>
      </c>
      <c r="G40" s="241" t="n">
        <v>1</v>
      </c>
      <c r="H40" s="171" t="inlineStr">
        <is>
          <t>Russia</t>
        </is>
      </c>
      <c r="I40" s="245" t="n">
        <v>46319</v>
      </c>
    </row>
    <row r="41" ht="28" customHeight="1">
      <c r="A41" s="229" t="inlineStr">
        <is>
          <t>Самарская газета</t>
        </is>
      </c>
      <c r="B41" s="241" t="n">
        <v>1</v>
      </c>
      <c r="C41" s="242">
        <f>SUMPRODUCT(Stories!$W$4:$W$63,--(Stories!$J$4:$J$63=$A41))</f>
        <v/>
      </c>
      <c r="D41" s="243" t="n">
        <v>3</v>
      </c>
      <c r="E41" s="241" t="n">
        <v>0</v>
      </c>
      <c r="F41" s="247" t="inlineStr">
        <is>
          <t>Infrastructure &amp; the Underground City</t>
        </is>
      </c>
      <c r="G41" s="241" t="n">
        <v>1</v>
      </c>
      <c r="H41" s="171" t="inlineStr">
        <is>
          <t>Russia</t>
        </is>
      </c>
      <c r="I41" s="245" t="n">
        <v>46319</v>
      </c>
    </row>
    <row r="42" ht="28" customHeight="1">
      <c r="A42" s="229" t="inlineStr">
        <is>
          <t>아시아경제</t>
        </is>
      </c>
      <c r="B42" s="241" t="n">
        <v>1</v>
      </c>
      <c r="C42" s="242">
        <f>SUMPRODUCT(Stories!$W$4:$W$63,--(Stories!$J$4:$J$63=$A42))</f>
        <v/>
      </c>
      <c r="D42" s="243" t="n">
        <v>4</v>
      </c>
      <c r="E42" s="241" t="n">
        <v>1</v>
      </c>
      <c r="F42" s="247" t="inlineStr">
        <is>
          <t>Infrastructure &amp; the Underground City</t>
        </is>
      </c>
      <c r="G42" s="241" t="n">
        <v>1</v>
      </c>
      <c r="H42" s="171" t="inlineStr">
        <is>
          <t>United Kingdom</t>
        </is>
      </c>
      <c r="I42" s="245" t="n">
        <v>46319</v>
      </c>
    </row>
    <row r="43" ht="28" customHeight="1">
      <c r="A43" s="229" t="inlineStr">
        <is>
          <t>아주경제</t>
        </is>
      </c>
      <c r="B43" s="241" t="n">
        <v>1</v>
      </c>
      <c r="C43" s="242">
        <f>SUMPRODUCT(Stories!$W$4:$W$63,--(Stories!$J$4:$J$63=$A43))</f>
        <v/>
      </c>
      <c r="D43" s="243" t="n">
        <v>4</v>
      </c>
      <c r="E43" s="241" t="n">
        <v>1</v>
      </c>
      <c r="F43" s="247" t="inlineStr">
        <is>
          <t>Infrastructure &amp; the Underground City</t>
        </is>
      </c>
      <c r="G43" s="241" t="n">
        <v>1</v>
      </c>
      <c r="H43" s="171" t="inlineStr">
        <is>
          <t>South Korea</t>
        </is>
      </c>
      <c r="I43" s="245" t="n">
        <v>46319</v>
      </c>
    </row>
    <row r="44" ht="28" customHeight="1">
      <c r="A44" s="229" t="inlineStr">
        <is>
          <t>충청신문</t>
        </is>
      </c>
      <c r="B44" s="241" t="n">
        <v>1</v>
      </c>
      <c r="C44" s="242">
        <f>SUMPRODUCT(Stories!$W$4:$W$63,--(Stories!$J$4:$J$63=$A44))</f>
        <v/>
      </c>
      <c r="D44" s="243" t="n">
        <v>5</v>
      </c>
      <c r="E44" s="241" t="n">
        <v>1</v>
      </c>
      <c r="F44" s="247" t="inlineStr">
        <is>
          <t>Infrastructure &amp; the Underground City</t>
        </is>
      </c>
      <c r="G44" s="241" t="n">
        <v>1</v>
      </c>
      <c r="H44" s="171" t="inlineStr">
        <is>
          <t>South Korea</t>
        </is>
      </c>
      <c r="I44" s="245" t="n">
        <v>46319</v>
      </c>
    </row>
  </sheetData>
  <conditionalFormatting sqref="B4:B44">
    <cfRule type="dataBar" priority="1">
      <dataBar showValue="1">
        <cfvo type="num" val="0"/>
        <cfvo type="max"/>
        <color rgb="007FB3E6"/>
      </dataBar>
    </cfRule>
  </conditionalFormatting>
  <hyperlinks>
    <hyperlink ref="C1" location="'Dashboard'!A1" display="← Dashboard"/>
    <hyperlink ref="D1" location="'Start here'!A1" display="↑ Start here"/>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1"/>
  </tableParts>
</worksheet>
</file>

<file path=xl/worksheets/sheet8.xml><?xml version="1.0" encoding="utf-8"?>
<worksheet xmlns="http://schemas.openxmlformats.org/spreadsheetml/2006/main">
  <sheetPr>
    <tabColor rgb="00B8C0CA"/>
    <outlinePr summaryBelow="1" summaryRight="1"/>
    <pageSetUpPr fitToPage="1"/>
  </sheetPr>
  <dimension ref="A1:Q11"/>
  <sheetViews>
    <sheetView tabSelected="0" workbookViewId="0">
      <selection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7" max="7"/>
    <col width="14" customWidth="1" min="10" max="10"/>
    <col width="40" customWidth="1" min="16" max="16"/>
    <col width="40" customWidth="1" min="17" max="17"/>
  </cols>
  <sheetData>
    <row r="1">
      <c r="A1" s="253" t="inlineStr">
        <is>
          <t>Theme selector</t>
        </is>
      </c>
      <c r="B1" s="253" t="inlineStr">
        <is>
          <t>Use selector</t>
        </is>
      </c>
      <c r="C1" s="253" t="inlineStr">
        <is>
          <t>Relevance selector</t>
        </is>
      </c>
      <c r="D1" s="253" t="inlineStr">
        <is>
          <t>Window selector</t>
        </is>
      </c>
      <c r="E1" s="253" t="inlineStr">
        <is>
          <t>Status</t>
        </is>
      </c>
      <c r="G1" s="253" t="inlineStr">
        <is>
          <t>Setting</t>
        </is>
      </c>
      <c r="H1" s="253" t="inlineStr">
        <is>
          <t>Value</t>
        </is>
      </c>
      <c r="J1" s="253" t="inlineStr">
        <is>
          <t>Digest date</t>
        </is>
      </c>
      <c r="K1" s="253" t="inlineStr">
        <is>
          <t>Stories in the selection</t>
        </is>
      </c>
      <c r="M1" s="253" t="inlineStr">
        <is>
          <t>Rank</t>
        </is>
      </c>
      <c r="N1" s="253" t="inlineStr">
        <is>
          <t>Key</t>
        </is>
      </c>
      <c r="O1" s="253" t="inlineStr">
        <is>
          <t>Row in Stories</t>
        </is>
      </c>
      <c r="P1" s="253" t="inlineStr">
        <is>
          <t>Article URL</t>
        </is>
      </c>
      <c r="Q1" s="253" t="inlineStr">
        <is>
          <t>Headline shown</t>
        </is>
      </c>
    </row>
    <row r="2">
      <c r="A2" s="254" t="inlineStr">
        <is>
          <t>All themes</t>
        </is>
      </c>
      <c r="B2" s="254" t="inlineStr">
        <is>
          <t>All uses</t>
        </is>
      </c>
      <c r="C2" s="254" t="inlineStr">
        <is>
          <t>Any</t>
        </is>
      </c>
      <c r="D2" s="254" t="inlineStr">
        <is>
          <t>All windows</t>
        </is>
      </c>
      <c r="E2" s="254" t="inlineStr">
        <is>
          <t>To review</t>
        </is>
      </c>
      <c r="G2" s="254" t="inlineStr">
        <is>
          <t>Minimum relevance (number)</t>
        </is>
      </c>
      <c r="H2" s="254">
        <f>IF(ISNUMBER(Dashboard!$K$5),Dashboard!$K$5,IFERROR(VALUE(Dashboard!$K$5),0))</f>
        <v/>
      </c>
      <c r="J2" s="255" t="n">
        <v>46319</v>
      </c>
      <c r="K2" s="254">
        <f>COUNTIFS(Stories!$W$4:$W$63,1,Stories!$K$4:$K$63,J2)</f>
        <v/>
      </c>
      <c r="M2" s="254" t="n">
        <v>1</v>
      </c>
      <c r="N2" s="256">
        <f>IFERROR(LARGE(Stories!$X$4:$X$63,M2),"")</f>
        <v/>
      </c>
      <c r="O2" s="254">
        <f>IF(N2="","",MATCH(N2,Stories!$X$4:$X$63,0))</f>
        <v/>
      </c>
      <c r="P2" s="254">
        <f>IF(O2="","",INDEX(Stories!$V$4:$V$63,O2)&amp;"")</f>
        <v/>
      </c>
      <c r="Q2" s="254">
        <f>IF(O2="","",IF(LEN(INDEX(Stories!$B$4:$B$63,O2))&gt;120,LEFT(INDEX(Stories!$B$4:$B$63,O2),118)&amp;"…",INDEX(Stories!$B$4:$B$63,O2)&amp;""))</f>
        <v/>
      </c>
    </row>
    <row r="3">
      <c r="A3" s="254" t="inlineStr">
        <is>
          <t>Sustainability &amp; the Energy Transition</t>
        </is>
      </c>
      <c r="B3" s="254" t="inlineStr">
        <is>
          <t>Feature lead</t>
        </is>
      </c>
      <c r="C3" s="254" t="n">
        <v>3</v>
      </c>
      <c r="D3" s="254" t="inlineStr">
        <is>
          <t>2026-Q4</t>
        </is>
      </c>
      <c r="E3" s="254" t="inlineStr">
        <is>
          <t>Shortlisted</t>
        </is>
      </c>
      <c r="G3" s="254" t="inlineStr">
        <is>
          <t>Daily digests in this workbook</t>
        </is>
      </c>
      <c r="H3" s="254" t="n">
        <v>1</v>
      </c>
      <c r="M3" s="254" t="n">
        <v>2</v>
      </c>
      <c r="N3" s="256">
        <f>IFERROR(LARGE(Stories!$X$4:$X$63,M3),"")</f>
        <v/>
      </c>
      <c r="O3" s="254">
        <f>IF(N3="","",MATCH(N3,Stories!$X$4:$X$63,0))</f>
        <v/>
      </c>
      <c r="P3" s="254">
        <f>IF(O3="","",INDEX(Stories!$V$4:$V$63,O3)&amp;"")</f>
        <v/>
      </c>
      <c r="Q3" s="254">
        <f>IF(O3="","",IF(LEN(INDEX(Stories!$B$4:$B$63,O3))&gt;120,LEFT(INDEX(Stories!$B$4:$B$63,O3),118)&amp;"…",INDEX(Stories!$B$4:$B$63,O3)&amp;""))</f>
        <v/>
      </c>
    </row>
    <row r="4">
      <c r="A4" s="254" t="inlineStr">
        <is>
          <t>Digital Geotechnics</t>
        </is>
      </c>
      <c r="B4" s="254" t="inlineStr">
        <is>
          <t>News brief</t>
        </is>
      </c>
      <c r="C4" s="254" t="n">
        <v>4</v>
      </c>
      <c r="E4" s="254" t="inlineStr">
        <is>
          <t>Commissioned</t>
        </is>
      </c>
      <c r="G4" s="254" t="inlineStr">
        <is>
          <t>Stories in this workbook</t>
        </is>
      </c>
      <c r="H4" s="254" t="n">
        <v>60</v>
      </c>
      <c r="M4" s="254" t="n">
        <v>3</v>
      </c>
      <c r="N4" s="256">
        <f>IFERROR(LARGE(Stories!$X$4:$X$63,M4),"")</f>
        <v/>
      </c>
      <c r="O4" s="254">
        <f>IF(N4="","",MATCH(N4,Stories!$X$4:$X$63,0))</f>
        <v/>
      </c>
      <c r="P4" s="254">
        <f>IF(O4="","",INDEX(Stories!$V$4:$V$63,O4)&amp;"")</f>
        <v/>
      </c>
      <c r="Q4" s="254">
        <f>IF(O4="","",IF(LEN(INDEX(Stories!$B$4:$B$63,O4))&gt;120,LEFT(INDEX(Stories!$B$4:$B$63,O4),118)&amp;"…",INDEX(Stories!$B$4:$B$63,O4)&amp;""))</f>
        <v/>
      </c>
    </row>
    <row r="5">
      <c r="A5" s="254" t="inlineStr">
        <is>
          <t>Hazards &amp; Resilience</t>
        </is>
      </c>
      <c r="B5" s="254" t="inlineStr">
        <is>
          <t>Academia-to-Industry topic</t>
        </is>
      </c>
      <c r="C5" s="254" t="n">
        <v>5</v>
      </c>
      <c r="E5" s="254" t="inlineStr">
        <is>
          <t>Published</t>
        </is>
      </c>
      <c r="G5" s="254" t="inlineStr">
        <is>
          <t>No selector set</t>
        </is>
      </c>
      <c r="H5" s="254">
        <f>AND(OR(Dashboard!$B$5="All themes",Dashboard!$B$5=""),OR(Dashboard!$G$5="All uses",Dashboard!$G$5=""),$H$2=0,OR(Dashboard!$N$5="All windows",Dashboard!$N$5=""))</f>
        <v/>
      </c>
      <c r="M5" s="254" t="n">
        <v>4</v>
      </c>
      <c r="N5" s="256">
        <f>IFERROR(LARGE(Stories!$X$4:$X$63,M5),"")</f>
        <v/>
      </c>
      <c r="O5" s="254">
        <f>IF(N5="","",MATCH(N5,Stories!$X$4:$X$63,0))</f>
        <v/>
      </c>
      <c r="P5" s="254">
        <f>IF(O5="","",INDEX(Stories!$V$4:$V$63,O5)&amp;"")</f>
        <v/>
      </c>
      <c r="Q5" s="254">
        <f>IF(O5="","",IF(LEN(INDEX(Stories!$B$4:$B$63,O5))&gt;120,LEFT(INDEX(Stories!$B$4:$B$63,O5),118)&amp;"…",INDEX(Stories!$B$4:$B$63,O5)&amp;""))</f>
        <v/>
      </c>
    </row>
    <row r="6">
      <c r="A6" s="254" t="inlineStr">
        <is>
          <t>Ground Improvement &amp; Innovation</t>
        </is>
      </c>
      <c r="B6" s="254" t="inlineStr">
        <is>
          <t>Regional insight</t>
        </is>
      </c>
      <c r="E6" s="254" t="inlineStr">
        <is>
          <t>Not used</t>
        </is>
      </c>
      <c r="G6" s="254" t="inlineStr">
        <is>
          <t>Stories in the selection</t>
        </is>
      </c>
      <c r="H6" s="254">
        <f>COUNTIF(Stories!$W$4:$W$63,1)</f>
        <v/>
      </c>
      <c r="M6" s="254" t="n">
        <v>5</v>
      </c>
      <c r="N6" s="256">
        <f>IFERROR(LARGE(Stories!$X$4:$X$63,M6),"")</f>
        <v/>
      </c>
      <c r="O6" s="254">
        <f>IF(N6="","",MATCH(N6,Stories!$X$4:$X$63,0))</f>
        <v/>
      </c>
      <c r="P6" s="254">
        <f>IF(O6="","",INDEX(Stories!$V$4:$V$63,O6)&amp;"")</f>
        <v/>
      </c>
      <c r="Q6" s="254">
        <f>IF(O6="","",IF(LEN(INDEX(Stories!$B$4:$B$63,O6))&gt;120,LEFT(INDEX(Stories!$B$4:$B$63,O6),118)&amp;"…",INDEX(Stories!$B$4:$B$63,O6)&amp;""))</f>
        <v/>
      </c>
    </row>
    <row r="7">
      <c r="A7" s="254" t="inlineStr">
        <is>
          <t>Infrastructure &amp; the Underground City</t>
        </is>
      </c>
      <c r="B7" s="254" t="inlineStr">
        <is>
          <t>Watch only</t>
        </is>
      </c>
      <c r="M7" s="254" t="n">
        <v>6</v>
      </c>
      <c r="N7" s="256">
        <f>IFERROR(LARGE(Stories!$X$4:$X$63,M7),"")</f>
        <v/>
      </c>
      <c r="O7" s="254">
        <f>IF(N7="","",MATCH(N7,Stories!$X$4:$X$63,0))</f>
        <v/>
      </c>
      <c r="P7" s="254">
        <f>IF(O7="","",INDEX(Stories!$V$4:$V$63,O7)&amp;"")</f>
        <v/>
      </c>
      <c r="Q7" s="254">
        <f>IF(O7="","",IF(LEN(INDEX(Stories!$B$4:$B$63,O7))&gt;120,LEFT(INDEX(Stories!$B$4:$B$63,O7),118)&amp;"…",INDEX(Stories!$B$4:$B$63,O7)&amp;""))</f>
        <v/>
      </c>
    </row>
    <row r="8">
      <c r="A8" s="254" t="inlineStr">
        <is>
          <t>Offshore, Coasts &amp; Water</t>
        </is>
      </c>
      <c r="M8" s="254" t="n">
        <v>7</v>
      </c>
      <c r="N8" s="256">
        <f>IFERROR(LARGE(Stories!$X$4:$X$63,M8),"")</f>
        <v/>
      </c>
      <c r="O8" s="254">
        <f>IF(N8="","",MATCH(N8,Stories!$X$4:$X$63,0))</f>
        <v/>
      </c>
      <c r="P8" s="254">
        <f>IF(O8="","",INDEX(Stories!$V$4:$V$63,O8)&amp;"")</f>
        <v/>
      </c>
      <c r="Q8" s="254">
        <f>IF(O8="","",IF(LEN(INDEX(Stories!$B$4:$B$63,O8))&gt;120,LEFT(INDEX(Stories!$B$4:$B$63,O8),118)&amp;"…",INDEX(Stories!$B$4:$B$63,O8)&amp;""))</f>
        <v/>
      </c>
    </row>
    <row r="9">
      <c r="A9" s="254" t="inlineStr">
        <is>
          <t>Characterisation &amp; Modelling</t>
        </is>
      </c>
      <c r="M9" s="254" t="n">
        <v>8</v>
      </c>
      <c r="N9" s="256">
        <f>IFERROR(LARGE(Stories!$X$4:$X$63,M9),"")</f>
        <v/>
      </c>
      <c r="O9" s="254">
        <f>IF(N9="","",MATCH(N9,Stories!$X$4:$X$63,0))</f>
        <v/>
      </c>
      <c r="P9" s="254">
        <f>IF(O9="","",INDEX(Stories!$V$4:$V$63,O9)&amp;"")</f>
        <v/>
      </c>
      <c r="Q9" s="254">
        <f>IF(O9="","",IF(LEN(INDEX(Stories!$B$4:$B$63,O9))&gt;120,LEFT(INDEX(Stories!$B$4:$B$63,O9),118)&amp;"…",INDEX(Stories!$B$4:$B$63,O9)&amp;""))</f>
        <v/>
      </c>
    </row>
    <row r="10">
      <c r="A10" s="254" t="inlineStr">
        <is>
          <t>Geotechnics &amp; Society</t>
        </is>
      </c>
      <c r="M10" s="254" t="n">
        <v>9</v>
      </c>
      <c r="N10" s="256">
        <f>IFERROR(LARGE(Stories!$X$4:$X$63,M10),"")</f>
        <v/>
      </c>
      <c r="O10" s="254">
        <f>IF(N10="","",MATCH(N10,Stories!$X$4:$X$63,0))</f>
        <v/>
      </c>
      <c r="P10" s="254">
        <f>IF(O10="","",INDEX(Stories!$V$4:$V$63,O10)&amp;"")</f>
        <v/>
      </c>
      <c r="Q10" s="254">
        <f>IF(O10="","",IF(LEN(INDEX(Stories!$B$4:$B$63,O10))&gt;120,LEFT(INDEX(Stories!$B$4:$B$63,O10),118)&amp;"…",INDEX(Stories!$B$4:$B$63,O10)&amp;""))</f>
        <v/>
      </c>
    </row>
    <row r="11">
      <c r="A11" s="254" t="inlineStr">
        <is>
          <t>General</t>
        </is>
      </c>
      <c r="M11" s="254" t="n">
        <v>10</v>
      </c>
      <c r="N11" s="256">
        <f>IFERROR(LARGE(Stories!$X$4:$X$63,M11),"")</f>
        <v/>
      </c>
      <c r="O11" s="254">
        <f>IF(N11="","",MATCH(N11,Stories!$X$4:$X$63,0))</f>
        <v/>
      </c>
      <c r="P11" s="254">
        <f>IF(O11="","",INDEX(Stories!$V$4:$V$63,O11)&amp;"")</f>
        <v/>
      </c>
      <c r="Q11" s="254">
        <f>IF(O11="","",IF(LEN(INDEX(Stories!$B$4:$B$63,O11))&gt;120,LEFT(INDEX(Stories!$B$4:$B$63,O11),118)&amp;"…",INDEX(Stories!$B$4:$B$63,O11)&amp;""))</f>
        <v/>
      </c>
    </row>
  </sheetData>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2026-10-24T23:27:28Z</dcterms:created>
  <dcterms:modified xmlns:dcterms="http://purl.org/dc/terms/" xmlns:xsi="http://www.w3.org/2001/XMLSchema-instance" xsi:type="dcterms:W3CDTF">2026-10-24T23:27:29Z</dcterms:modified>
</cp:coreProperties>
</file>