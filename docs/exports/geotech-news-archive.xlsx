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5" fillId="7" borderId="0" applyAlignment="1" pivotButton="0" quotePrefix="0" xfId="0">
      <alignment vertical="top" wrapText="1"/>
    </xf>
    <xf numFmtId="0" fontId="17" fillId="8"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1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1" fillId="14" borderId="2" applyAlignment="1" pivotButton="0" quotePrefix="0" xfId="0">
      <alignment horizontal="center" vertical="center"/>
    </xf>
    <xf numFmtId="0" fontId="21"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8"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8" fillId="16" borderId="4" applyAlignment="1" pivotButton="0" quotePrefix="0" xfId="0">
      <alignment horizontal="center" vertical="center"/>
    </xf>
    <xf numFmtId="0" fontId="18" fillId="16" borderId="4" applyAlignment="1" pivotButton="0" quotePrefix="0" xfId="0">
      <alignment horizontal="left" vertical="center"/>
    </xf>
    <xf numFmtId="0" fontId="10"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1" fillId="0" borderId="3" applyAlignment="1" pivotButton="0" quotePrefix="0" xfId="0">
      <alignment vertical="top" wrapText="1"/>
    </xf>
    <xf numFmtId="0" fontId="19"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7" fillId="26" borderId="9" applyAlignment="1" pivotButton="0" quotePrefix="0" xfId="0">
      <alignment horizontal="center" vertical="center"/>
    </xf>
    <xf numFmtId="0" fontId="17"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26" headerRowCount="1">
  <autoFilter ref="A3:M26"/>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3 stories · 0 rated 5 / 5 · 0 feature leads</t>
        </is>
      </c>
      <c r="D45" s="11" t="n"/>
    </row>
    <row r="46" ht="18" customHeight="1">
      <c r="B46" s="26" t="inlineStr">
        <is>
          <t>Digital Geotechnics</t>
        </is>
      </c>
      <c r="C46" s="10" t="inlineStr">
        <is>
          <t>2 stories · 1 rated 5 / 5 · 1 feature lead</t>
        </is>
      </c>
      <c r="D46" s="11" t="n"/>
    </row>
    <row r="47" ht="18" customHeight="1">
      <c r="B47" s="27" t="inlineStr">
        <is>
          <t>Hazards &amp; Resilience</t>
        </is>
      </c>
      <c r="C47" s="10" t="inlineStr">
        <is>
          <t>35 stories · 6 rated 5 / 5 · 20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32 stories · 1 rated 5 / 5 · 9 feature leads</t>
        </is>
      </c>
      <c r="D49" s="11" t="n"/>
    </row>
    <row r="50" ht="18" customHeight="1">
      <c r="B50" s="30" t="inlineStr">
        <is>
          <t>Offshore, Coasts &amp; Water</t>
        </is>
      </c>
      <c r="C50" s="10" t="inlineStr">
        <is>
          <t>18 stories · 1 rated 5 / 5 · 7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6 stories · 0 rated 5 / 5 · 1 feature lead</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0" display="Digital Geotechnics"/>
    <hyperlink ref="B47" location="'By theme'!A15" display="Hazards &amp; Resilience"/>
    <hyperlink ref="B48" location="'By theme'!A53" display="Ground Improvement &amp; Innovation"/>
    <hyperlink ref="B49" location="'By theme'!A58" display="Infrastructure &amp; the Underground City"/>
    <hyperlink ref="B50" location="'By theme'!A93" display="Offshore, Coasts &amp; Water"/>
    <hyperlink ref="B51" location="'By theme'!A114" display="Characterisation &amp; Modelling"/>
    <hyperlink ref="B52"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IF(Lists!$H$5,Lists!$H$3,COUNTIF(Lists!$K$2:$K$3,"&gt;0"))</f>
        <v/>
      </c>
      <c r="F8" s="45" t="n"/>
      <c r="G8" s="45" t="n"/>
      <c r="H8" s="46">
        <f>COUNTIFS(Stories!$W$4:$W$110,1,Stories!$D$4:$D$110,5)</f>
        <v/>
      </c>
      <c r="I8" s="47" t="n"/>
      <c r="J8" s="47" t="n"/>
      <c r="K8" s="48">
        <f>COUNTIFS(Stories!$W$4:$W$110,1,Stories!$E$4:$E$110,"Feature lead")</f>
        <v/>
      </c>
      <c r="L8" s="49" t="n"/>
      <c r="M8" s="49" t="n"/>
      <c r="N8" s="50">
        <f>COUNTIFS(Stories!$W$4:$W$110,1,Stories!$F$4:$F$110,"Shortlisted")+COUNTIFS(Stories!$W$4:$W$110,1,Stories!$F$4:$F$110,"Commissioned")+COUNTIFS(Stories!$W$4:$W$110,1,Stories!$F$4:$F$110,"Published")</f>
        <v/>
      </c>
      <c r="O8" s="51" t="n"/>
      <c r="P8" s="51" t="n"/>
      <c r="Q8" s="52">
        <f>COUNTIF(Sources!$C$4:$C$78,"&gt;0")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"&amp;COUNTIFS(Stories!$W$4:$W$110,1,Stories!$D$4:$D$110,4)</f>
        <v/>
      </c>
      <c r="I10" s="59" t="n"/>
      <c r="J10" s="59" t="n"/>
      <c r="K10" s="69">
        <f>"news briefs: "&amp;COUNTIFS(Stories!$W$4:$W$110,1,Stories!$E$4:$E$110,"News brief")</f>
        <v/>
      </c>
      <c r="L10" s="61" t="n"/>
      <c r="M10" s="61" t="n"/>
      <c r="N10" s="70">
        <f>"shortlisted or later · to review: "&amp;COUNTIFS(Stories!$W$4:$W$110,1,Stories!$F$4:$F$110,"To review")</f>
        <v/>
      </c>
      <c r="O10" s="63" t="n"/>
      <c r="P10" s="63" t="n"/>
      <c r="Q10" s="71">
        <f>"of 75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IF(Lists!$O$2="","",INDEX(Stories!$K$4:$K$110,Lists!$O$2))</f>
        <v/>
      </c>
      <c r="J14" s="78">
        <f>IF(Lists!$O$2="","",INDEX(Stories!$C$4:$C$110,Lists!$O$2)&amp;"")</f>
        <v/>
      </c>
      <c r="K14" s="76" t="n"/>
      <c r="L14" s="76" t="n"/>
      <c r="M14" s="79">
        <f>IF(Lists!$O$2="","",INDEX(Stories!$D$4:$D$110,Lists!$O$2))</f>
        <v/>
      </c>
      <c r="N14" s="80">
        <f>IF(Lists!$O$2="","",INDEX(Stories!$E$4:$E$110,Lists!$O$2)&amp;"")</f>
        <v/>
      </c>
      <c r="O14" s="76" t="n"/>
      <c r="P14" s="80">
        <f>IF(Lists!$O$2="","",INDEX(Stories!$J$4:$J$110,Lists!$O$2)&amp;"")</f>
        <v/>
      </c>
      <c r="Q14" s="76" t="n"/>
      <c r="R14" s="81">
        <f>IF(Lists!$O$2="","",INDEX(Stories!$A$4:$A$110,Lists!$O$2))</f>
        <v/>
      </c>
      <c r="S14" s="82">
        <f>IF(Lists!$O$2="","",INDEX(Stories!$F$4:$F$110,Lists!$O$2)&amp;"")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IF(Lists!$O$3="","",INDEX(Stories!$K$4:$K$110,Lists!$O$3))</f>
        <v/>
      </c>
      <c r="J15" s="87">
        <f>IF(Lists!$O$3="","",INDEX(Stories!$C$4:$C$110,Lists!$O$3)&amp;"")</f>
        <v/>
      </c>
      <c r="K15" s="85" t="n"/>
      <c r="L15" s="85" t="n"/>
      <c r="M15" s="88">
        <f>IF(Lists!$O$3="","",INDEX(Stories!$D$4:$D$110,Lists!$O$3))</f>
        <v/>
      </c>
      <c r="N15" s="89">
        <f>IF(Lists!$O$3="","",INDEX(Stories!$E$4:$E$110,Lists!$O$3)&amp;"")</f>
        <v/>
      </c>
      <c r="O15" s="85" t="n"/>
      <c r="P15" s="89">
        <f>IF(Lists!$O$3="","",INDEX(Stories!$J$4:$J$110,Lists!$O$3)&amp;"")</f>
        <v/>
      </c>
      <c r="Q15" s="85" t="n"/>
      <c r="R15" s="90">
        <f>IF(Lists!$O$3="","",INDEX(Stories!$A$4:$A$110,Lists!$O$3))</f>
        <v/>
      </c>
      <c r="S15" s="91">
        <f>IF(Lists!$O$3="","",INDEX(Stories!$F$4:$F$110,Lists!$O$3)&amp;"")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IF(Lists!$O$4="","",INDEX(Stories!$K$4:$K$110,Lists!$O$4))</f>
        <v/>
      </c>
      <c r="J16" s="78">
        <f>IF(Lists!$O$4="","",INDEX(Stories!$C$4:$C$110,Lists!$O$4)&amp;"")</f>
        <v/>
      </c>
      <c r="K16" s="76" t="n"/>
      <c r="L16" s="76" t="n"/>
      <c r="M16" s="79">
        <f>IF(Lists!$O$4="","",INDEX(Stories!$D$4:$D$110,Lists!$O$4))</f>
        <v/>
      </c>
      <c r="N16" s="80">
        <f>IF(Lists!$O$4="","",INDEX(Stories!$E$4:$E$110,Lists!$O$4)&amp;"")</f>
        <v/>
      </c>
      <c r="O16" s="76" t="n"/>
      <c r="P16" s="80">
        <f>IF(Lists!$O$4="","",INDEX(Stories!$J$4:$J$110,Lists!$O$4)&amp;"")</f>
        <v/>
      </c>
      <c r="Q16" s="76" t="n"/>
      <c r="R16" s="81">
        <f>IF(Lists!$O$4="","",INDEX(Stories!$A$4:$A$110,Lists!$O$4))</f>
        <v/>
      </c>
      <c r="S16" s="82">
        <f>IF(Lists!$O$4="","",INDEX(Stories!$F$4:$F$110,Lists!$O$4)&amp;"")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IF(Lists!$O$5="","",INDEX(Stories!$K$4:$K$110,Lists!$O$5))</f>
        <v/>
      </c>
      <c r="J17" s="87">
        <f>IF(Lists!$O$5="","",INDEX(Stories!$C$4:$C$110,Lists!$O$5)&amp;"")</f>
        <v/>
      </c>
      <c r="K17" s="85" t="n"/>
      <c r="L17" s="85" t="n"/>
      <c r="M17" s="88">
        <f>IF(Lists!$O$5="","",INDEX(Stories!$D$4:$D$110,Lists!$O$5))</f>
        <v/>
      </c>
      <c r="N17" s="89">
        <f>IF(Lists!$O$5="","",INDEX(Stories!$E$4:$E$110,Lists!$O$5)&amp;"")</f>
        <v/>
      </c>
      <c r="O17" s="85" t="n"/>
      <c r="P17" s="89">
        <f>IF(Lists!$O$5="","",INDEX(Stories!$J$4:$J$110,Lists!$O$5)&amp;"")</f>
        <v/>
      </c>
      <c r="Q17" s="85" t="n"/>
      <c r="R17" s="90">
        <f>IF(Lists!$O$5="","",INDEX(Stories!$A$4:$A$110,Lists!$O$5))</f>
        <v/>
      </c>
      <c r="S17" s="91">
        <f>IF(Lists!$O$5="","",INDEX(Stories!$F$4:$F$110,Lists!$O$5)&amp;"")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IF(Lists!$O$6="","",INDEX(Stories!$K$4:$K$110,Lists!$O$6))</f>
        <v/>
      </c>
      <c r="J18" s="78">
        <f>IF(Lists!$O$6="","",INDEX(Stories!$C$4:$C$110,Lists!$O$6)&amp;"")</f>
        <v/>
      </c>
      <c r="K18" s="76" t="n"/>
      <c r="L18" s="76" t="n"/>
      <c r="M18" s="79">
        <f>IF(Lists!$O$6="","",INDEX(Stories!$D$4:$D$110,Lists!$O$6))</f>
        <v/>
      </c>
      <c r="N18" s="80">
        <f>IF(Lists!$O$6="","",INDEX(Stories!$E$4:$E$110,Lists!$O$6)&amp;"")</f>
        <v/>
      </c>
      <c r="O18" s="76" t="n"/>
      <c r="P18" s="80">
        <f>IF(Lists!$O$6="","",INDEX(Stories!$J$4:$J$110,Lists!$O$6)&amp;"")</f>
        <v/>
      </c>
      <c r="Q18" s="76" t="n"/>
      <c r="R18" s="81">
        <f>IF(Lists!$O$6="","",INDEX(Stories!$A$4:$A$110,Lists!$O$6))</f>
        <v/>
      </c>
      <c r="S18" s="82">
        <f>IF(Lists!$O$6="","",INDEX(Stories!$F$4:$F$110,Lists!$O$6)&amp;"")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IF(Lists!$O$7="","",INDEX(Stories!$K$4:$K$110,Lists!$O$7))</f>
        <v/>
      </c>
      <c r="J19" s="87">
        <f>IF(Lists!$O$7="","",INDEX(Stories!$C$4:$C$110,Lists!$O$7)&amp;"")</f>
        <v/>
      </c>
      <c r="K19" s="85" t="n"/>
      <c r="L19" s="85" t="n"/>
      <c r="M19" s="88">
        <f>IF(Lists!$O$7="","",INDEX(Stories!$D$4:$D$110,Lists!$O$7))</f>
        <v/>
      </c>
      <c r="N19" s="89">
        <f>IF(Lists!$O$7="","",INDEX(Stories!$E$4:$E$110,Lists!$O$7)&amp;"")</f>
        <v/>
      </c>
      <c r="O19" s="85" t="n"/>
      <c r="P19" s="89">
        <f>IF(Lists!$O$7="","",INDEX(Stories!$J$4:$J$110,Lists!$O$7)&amp;"")</f>
        <v/>
      </c>
      <c r="Q19" s="85" t="n"/>
      <c r="R19" s="90">
        <f>IF(Lists!$O$7="","",INDEX(Stories!$A$4:$A$110,Lists!$O$7))</f>
        <v/>
      </c>
      <c r="S19" s="91">
        <f>IF(Lists!$O$7="","",INDEX(Stories!$F$4:$F$110,Lists!$O$7)&amp;"")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IF(Lists!$O$8="","",INDEX(Stories!$K$4:$K$110,Lists!$O$8))</f>
        <v/>
      </c>
      <c r="J20" s="78">
        <f>IF(Lists!$O$8="","",INDEX(Stories!$C$4:$C$110,Lists!$O$8)&amp;"")</f>
        <v/>
      </c>
      <c r="K20" s="76" t="n"/>
      <c r="L20" s="76" t="n"/>
      <c r="M20" s="79">
        <f>IF(Lists!$O$8="","",INDEX(Stories!$D$4:$D$110,Lists!$O$8))</f>
        <v/>
      </c>
      <c r="N20" s="80">
        <f>IF(Lists!$O$8="","",INDEX(Stories!$E$4:$E$110,Lists!$O$8)&amp;"")</f>
        <v/>
      </c>
      <c r="O20" s="76" t="n"/>
      <c r="P20" s="80">
        <f>IF(Lists!$O$8="","",INDEX(Stories!$J$4:$J$110,Lists!$O$8)&amp;"")</f>
        <v/>
      </c>
      <c r="Q20" s="76" t="n"/>
      <c r="R20" s="81">
        <f>IF(Lists!$O$8="","",INDEX(Stories!$A$4:$A$110,Lists!$O$8))</f>
        <v/>
      </c>
      <c r="S20" s="82">
        <f>IF(Lists!$O$8="","",INDEX(Stories!$F$4:$F$110,Lists!$O$8)&amp;"")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IF(Lists!$O$9="","",INDEX(Stories!$K$4:$K$110,Lists!$O$9))</f>
        <v/>
      </c>
      <c r="J21" s="87">
        <f>IF(Lists!$O$9="","",INDEX(Stories!$C$4:$C$110,Lists!$O$9)&amp;"")</f>
        <v/>
      </c>
      <c r="K21" s="85" t="n"/>
      <c r="L21" s="85" t="n"/>
      <c r="M21" s="88">
        <f>IF(Lists!$O$9="","",INDEX(Stories!$D$4:$D$110,Lists!$O$9))</f>
        <v/>
      </c>
      <c r="N21" s="89">
        <f>IF(Lists!$O$9="","",INDEX(Stories!$E$4:$E$110,Lists!$O$9)&amp;"")</f>
        <v/>
      </c>
      <c r="O21" s="85" t="n"/>
      <c r="P21" s="89">
        <f>IF(Lists!$O$9="","",INDEX(Stories!$J$4:$J$110,Lists!$O$9)&amp;"")</f>
        <v/>
      </c>
      <c r="Q21" s="85" t="n"/>
      <c r="R21" s="90">
        <f>IF(Lists!$O$9="","",INDEX(Stories!$A$4:$A$110,Lists!$O$9))</f>
        <v/>
      </c>
      <c r="S21" s="91">
        <f>IF(Lists!$O$9="","",INDEX(Stories!$F$4:$F$110,Lists!$O$9)&amp;"")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IF(Lists!$O$10="","",INDEX(Stories!$K$4:$K$110,Lists!$O$10))</f>
        <v/>
      </c>
      <c r="J22" s="78">
        <f>IF(Lists!$O$10="","",INDEX(Stories!$C$4:$C$110,Lists!$O$10)&amp;"")</f>
        <v/>
      </c>
      <c r="K22" s="76" t="n"/>
      <c r="L22" s="76" t="n"/>
      <c r="M22" s="79">
        <f>IF(Lists!$O$10="","",INDEX(Stories!$D$4:$D$110,Lists!$O$10))</f>
        <v/>
      </c>
      <c r="N22" s="80">
        <f>IF(Lists!$O$10="","",INDEX(Stories!$E$4:$E$110,Lists!$O$10)&amp;"")</f>
        <v/>
      </c>
      <c r="O22" s="76" t="n"/>
      <c r="P22" s="80">
        <f>IF(Lists!$O$10="","",INDEX(Stories!$J$4:$J$110,Lists!$O$10)&amp;"")</f>
        <v/>
      </c>
      <c r="Q22" s="76" t="n"/>
      <c r="R22" s="81">
        <f>IF(Lists!$O$10="","",INDEX(Stories!$A$4:$A$110,Lists!$O$10))</f>
        <v/>
      </c>
      <c r="S22" s="82">
        <f>IF(Lists!$O$10="","",INDEX(Stories!$F$4:$F$110,Lists!$O$10)&amp;"")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IF(Lists!$O$11="","",INDEX(Stories!$K$4:$K$110,Lists!$O$11))</f>
        <v/>
      </c>
      <c r="J23" s="87">
        <f>IF(Lists!$O$11="","",INDEX(Stories!$C$4:$C$110,Lists!$O$11)&amp;"")</f>
        <v/>
      </c>
      <c r="K23" s="85" t="n"/>
      <c r="L23" s="85" t="n"/>
      <c r="M23" s="88">
        <f>IF(Lists!$O$11="","",INDEX(Stories!$D$4:$D$110,Lists!$O$11))</f>
        <v/>
      </c>
      <c r="N23" s="89">
        <f>IF(Lists!$O$11="","",INDEX(Stories!$E$4:$E$110,Lists!$O$11)&amp;"")</f>
        <v/>
      </c>
      <c r="O23" s="85" t="n"/>
      <c r="P23" s="89">
        <f>IF(Lists!$O$11="","",INDEX(Stories!$J$4:$J$110,Lists!$O$11)&amp;"")</f>
        <v/>
      </c>
      <c r="Q23" s="85" t="n"/>
      <c r="R23" s="90">
        <f>IF(Lists!$O$11="","",INDEX(Stories!$A$4:$A$110,Lists!$O$11))</f>
        <v/>
      </c>
      <c r="S23" s="91">
        <f>IF(Lists!$O$11="","",INDEX(Stories!$F$4:$F$110,Lists!$O$11)&amp;"")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SUMPRODUCT(Stories!$W$4:$W$110,--(Stories!$C$4:$C$110=$B28))</f>
        <v/>
      </c>
      <c r="G28" s="96">
        <f>SUMPRODUCT(Stories!$W$4:$W$110,--(Stories!$C$4:$C$110=$B28),--(Stories!$D$4:$D$110=5))</f>
        <v/>
      </c>
      <c r="H28" s="96">
        <f>SUMPRODUCT(Stories!$W$4:$W$110,--(Stories!$C$4:$C$110=$B28),--(Stories!$D$4:$D$110=4))</f>
        <v/>
      </c>
      <c r="I28" s="96">
        <f>SUMPRODUCT(Stories!$W$4:$W$110,--(Stories!$C$4:$C$110=$B28),--(Stories!$E$4:$E$110="Feature lead"))</f>
        <v/>
      </c>
      <c r="J28" s="97">
        <f>IF(Lists!$H$6=0,0,F28/Lists!$H$6)</f>
        <v/>
      </c>
    </row>
    <row r="29" ht="18" customHeight="1">
      <c r="B29" s="98" t="inlineStr">
        <is>
          <t>Digital Geotechnics</t>
        </is>
      </c>
      <c r="C29" s="99" t="n"/>
      <c r="D29" s="99" t="n"/>
      <c r="E29" s="99" t="n"/>
      <c r="F29" s="95">
        <f>SUMPRODUCT(Stories!$W$4:$W$110,--(Stories!$C$4:$C$110=$B29))</f>
        <v/>
      </c>
      <c r="G29" s="96">
        <f>SUMPRODUCT(Stories!$W$4:$W$110,--(Stories!$C$4:$C$110=$B29),--(Stories!$D$4:$D$110=5))</f>
        <v/>
      </c>
      <c r="H29" s="96">
        <f>SUMPRODUCT(Stories!$W$4:$W$110,--(Stories!$C$4:$C$110=$B29),--(Stories!$D$4:$D$110=4))</f>
        <v/>
      </c>
      <c r="I29" s="96">
        <f>SUMPRODUCT(Stories!$W$4:$W$110,--(Stories!$C$4:$C$110=$B29),--(Stories!$E$4:$E$110="Feature lead"))</f>
        <v/>
      </c>
      <c r="J29" s="97">
        <f>IF(Lists!$H$6=0,0,F29/Lists!$H$6)</f>
        <v/>
      </c>
    </row>
    <row r="30" ht="18" customHeight="1">
      <c r="B30" s="100" t="inlineStr">
        <is>
          <t>Hazards &amp; Resilience</t>
        </is>
      </c>
      <c r="C30" s="101" t="n"/>
      <c r="D30" s="101" t="n"/>
      <c r="E30" s="101" t="n"/>
      <c r="F30" s="95">
        <f>SUMPRODUCT(Stories!$W$4:$W$110,--(Stories!$C$4:$C$110=$B30))</f>
        <v/>
      </c>
      <c r="G30" s="96">
        <f>SUMPRODUCT(Stories!$W$4:$W$110,--(Stories!$C$4:$C$110=$B30),--(Stories!$D$4:$D$110=5))</f>
        <v/>
      </c>
      <c r="H30" s="96">
        <f>SUMPRODUCT(Stories!$W$4:$W$110,--(Stories!$C$4:$C$110=$B30),--(Stories!$D$4:$D$110=4))</f>
        <v/>
      </c>
      <c r="I30" s="96">
        <f>SUMPRODUCT(Stories!$W$4:$W$110,--(Stories!$C$4:$C$110=$B30),--(Stories!$E$4:$E$110="Feature lead"))</f>
        <v/>
      </c>
      <c r="J30" s="97">
        <f>IF(Lists!$H$6=0,0,F30/Lists!$H$6)</f>
        <v/>
      </c>
    </row>
    <row r="31" ht="18" customHeight="1">
      <c r="B31" s="102" t="inlineStr">
        <is>
          <t>Ground Improvement &amp; Innovation</t>
        </is>
      </c>
      <c r="C31" s="103" t="n"/>
      <c r="D31" s="103" t="n"/>
      <c r="E31" s="103" t="n"/>
      <c r="F31" s="95">
        <f>SUMPRODUCT(Stories!$W$4:$W$110,--(Stories!$C$4:$C$110=$B31))</f>
        <v/>
      </c>
      <c r="G31" s="96">
        <f>SUMPRODUCT(Stories!$W$4:$W$110,--(Stories!$C$4:$C$110=$B31),--(Stories!$D$4:$D$110=5))</f>
        <v/>
      </c>
      <c r="H31" s="96">
        <f>SUMPRODUCT(Stories!$W$4:$W$110,--(Stories!$C$4:$C$110=$B31),--(Stories!$D$4:$D$110=4))</f>
        <v/>
      </c>
      <c r="I31" s="96">
        <f>SUMPRODUCT(Stories!$W$4:$W$110,--(Stories!$C$4:$C$110=$B31),--(Stories!$E$4:$E$110="Feature lead"))</f>
        <v/>
      </c>
      <c r="J31" s="97">
        <f>IF(Lists!$H$6=0,0,F31/Lists!$H$6)</f>
        <v/>
      </c>
    </row>
    <row r="32" ht="18" customHeight="1">
      <c r="B32" s="104" t="inlineStr">
        <is>
          <t>Infrastructure &amp; the Underground City</t>
        </is>
      </c>
      <c r="C32" s="105" t="n"/>
      <c r="D32" s="105" t="n"/>
      <c r="E32" s="105" t="n"/>
      <c r="F32" s="95">
        <f>SUMPRODUCT(Stories!$W$4:$W$110,--(Stories!$C$4:$C$110=$B32))</f>
        <v/>
      </c>
      <c r="G32" s="96">
        <f>SUMPRODUCT(Stories!$W$4:$W$110,--(Stories!$C$4:$C$110=$B32),--(Stories!$D$4:$D$110=5))</f>
        <v/>
      </c>
      <c r="H32" s="96">
        <f>SUMPRODUCT(Stories!$W$4:$W$110,--(Stories!$C$4:$C$110=$B32),--(Stories!$D$4:$D$110=4))</f>
        <v/>
      </c>
      <c r="I32" s="96">
        <f>SUMPRODUCT(Stories!$W$4:$W$110,--(Stories!$C$4:$C$110=$B32),--(Stories!$E$4:$E$110="Feature lead"))</f>
        <v/>
      </c>
      <c r="J32" s="97">
        <f>IF(Lists!$H$6=0,0,F32/Lists!$H$6)</f>
        <v/>
      </c>
    </row>
    <row r="33" ht="18" customHeight="1">
      <c r="B33" s="106" t="inlineStr">
        <is>
          <t>Offshore, Coasts &amp; Water</t>
        </is>
      </c>
      <c r="C33" s="107" t="n"/>
      <c r="D33" s="107" t="n"/>
      <c r="E33" s="107" t="n"/>
      <c r="F33" s="95">
        <f>SUMPRODUCT(Stories!$W$4:$W$110,--(Stories!$C$4:$C$110=$B33))</f>
        <v/>
      </c>
      <c r="G33" s="96">
        <f>SUMPRODUCT(Stories!$W$4:$W$110,--(Stories!$C$4:$C$110=$B33),--(Stories!$D$4:$D$110=5))</f>
        <v/>
      </c>
      <c r="H33" s="96">
        <f>SUMPRODUCT(Stories!$W$4:$W$110,--(Stories!$C$4:$C$110=$B33),--(Stories!$D$4:$D$110=4))</f>
        <v/>
      </c>
      <c r="I33" s="96">
        <f>SUMPRODUCT(Stories!$W$4:$W$110,--(Stories!$C$4:$C$110=$B33),--(Stories!$E$4:$E$110="Feature lead"))</f>
        <v/>
      </c>
      <c r="J33" s="97">
        <f>IF(Lists!$H$6=0,0,F33/Lists!$H$6)</f>
        <v/>
      </c>
    </row>
    <row r="34" ht="18" customHeight="1">
      <c r="B34" s="108" t="inlineStr">
        <is>
          <t>Characterisation &amp; Modelling</t>
        </is>
      </c>
      <c r="C34" s="109" t="n"/>
      <c r="D34" s="109" t="n"/>
      <c r="E34" s="109" t="n"/>
      <c r="F34" s="95">
        <f>SUMPRODUCT(Stories!$W$4:$W$110,--(Stories!$C$4:$C$110=$B34))</f>
        <v/>
      </c>
      <c r="G34" s="96">
        <f>SUMPRODUCT(Stories!$W$4:$W$110,--(Stories!$C$4:$C$110=$B34),--(Stories!$D$4:$D$110=5))</f>
        <v/>
      </c>
      <c r="H34" s="96">
        <f>SUMPRODUCT(Stories!$W$4:$W$110,--(Stories!$C$4:$C$110=$B34),--(Stories!$D$4:$D$110=4))</f>
        <v/>
      </c>
      <c r="I34" s="96">
        <f>SUMPRODUCT(Stories!$W$4:$W$110,--(Stories!$C$4:$C$110=$B34),--(Stories!$E$4:$E$110="Feature lead"))</f>
        <v/>
      </c>
      <c r="J34" s="97">
        <f>IF(Lists!$H$6=0,0,F34/Lists!$H$6)</f>
        <v/>
      </c>
    </row>
    <row r="35" ht="18" customHeight="1">
      <c r="B35" s="110" t="inlineStr">
        <is>
          <t>Geotechnics &amp; Society</t>
        </is>
      </c>
      <c r="C35" s="111" t="n"/>
      <c r="D35" s="111" t="n"/>
      <c r="E35" s="111" t="n"/>
      <c r="F35" s="95">
        <f>SUMPRODUCT(Stories!$W$4:$W$110,--(Stories!$C$4:$C$110=$B35))</f>
        <v/>
      </c>
      <c r="G35" s="96">
        <f>SUMPRODUCT(Stories!$W$4:$W$110,--(Stories!$C$4:$C$110=$B35),--(Stories!$D$4:$D$110=5))</f>
        <v/>
      </c>
      <c r="H35" s="96">
        <f>SUMPRODUCT(Stories!$W$4:$W$110,--(Stories!$C$4:$C$110=$B35),--(Stories!$D$4:$D$110=4))</f>
        <v/>
      </c>
      <c r="I35" s="96">
        <f>SUMPRODUCT(Stories!$W$4:$W$110,--(Stories!$C$4:$C$110=$B35),--(Stories!$E$4:$E$110="Feature lead"))</f>
        <v/>
      </c>
      <c r="J35" s="97">
        <f>IF(Lists!$H$6=0,0,F35/Lists!$H$6)</f>
        <v/>
      </c>
    </row>
    <row r="36" ht="18" customHeight="1">
      <c r="B36" s="112" t="inlineStr">
        <is>
          <t>General</t>
        </is>
      </c>
      <c r="C36" s="113" t="n"/>
      <c r="D36" s="113" t="n"/>
      <c r="E36" s="113" t="n"/>
      <c r="F36" s="95">
        <f>SUMPRODUCT(Stories!$W$4:$W$110,--(Stories!$C$4:$C$110=$B36))</f>
        <v/>
      </c>
      <c r="G36" s="96">
        <f>SUMPRODUCT(Stories!$W$4:$W$110,--(Stories!$C$4:$C$110=$B36),--(Stories!$D$4:$D$110=5))</f>
        <v/>
      </c>
      <c r="H36" s="96">
        <f>SUMPRODUCT(Stories!$W$4:$W$110,--(Stories!$C$4:$C$110=$B36),--(Stories!$D$4:$D$110=4))</f>
        <v/>
      </c>
      <c r="I36" s="96">
        <f>SUMPRODUCT(Stories!$W$4:$W$110,--(Stories!$C$4:$C$110=$B36),--(Stories!$E$4:$E$110="Feature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SUMPRODUCT(Stories!$W$4:$W$110,--(Stories!$E$4:$E$110=$B40))</f>
        <v/>
      </c>
      <c r="F40" s="97">
        <f>IF(Lists!$H$6=0,0,E40/Lists!$H$6)</f>
        <v/>
      </c>
      <c r="H40" s="115" t="inlineStr">
        <is>
          <t>5 / 5</t>
        </is>
      </c>
      <c r="I40" s="11" t="n"/>
      <c r="J40" s="11" t="n"/>
      <c r="K40" s="95">
        <f>COUNTIFS(Stories!$W$4:$W$110,1,Stories!$D$4:$D$110,5)</f>
        <v/>
      </c>
      <c r="L40" s="97">
        <f>IF(Lists!$H$6=0,0,K40/Lists!$H$6)</f>
        <v/>
      </c>
      <c r="N40" s="116" t="inlineStr">
        <is>
          <t>To review</t>
        </is>
      </c>
      <c r="O40" s="117" t="n"/>
      <c r="P40" s="117" t="n"/>
      <c r="Q40" s="95">
        <f>COUNTIFS(Stories!$W$4:$W$110,1,Stories!$F$4:$F$110,"To review")</f>
        <v/>
      </c>
      <c r="R40" s="97">
        <f>IF(Lists!$H$6=0,0,Q40/Lists!$H$6)</f>
        <v/>
      </c>
    </row>
    <row r="41" ht="18" customHeight="1">
      <c r="B41" s="118" t="inlineStr">
        <is>
          <t>News brief</t>
        </is>
      </c>
      <c r="C41" s="11" t="n"/>
      <c r="D41" s="11" t="n"/>
      <c r="E41" s="95">
        <f>SUMPRODUCT(Stories!$W$4:$W$110,--(Stories!$E$4:$E$110=$B41))</f>
        <v/>
      </c>
      <c r="F41" s="97">
        <f>IF(Lists!$H$6=0,0,E41/Lists!$H$6)</f>
        <v/>
      </c>
      <c r="H41" s="119" t="inlineStr">
        <is>
          <t>4 / 5</t>
        </is>
      </c>
      <c r="I41" s="11" t="n"/>
      <c r="J41" s="11" t="n"/>
      <c r="K41" s="95">
        <f>COUNTIFS(Stories!$W$4:$W$110,1,Stories!$D$4:$D$110,4)</f>
        <v/>
      </c>
      <c r="L41" s="97">
        <f>IF(Lists!$H$6=0,0,K41/Lists!$H$6)</f>
        <v/>
      </c>
      <c r="N41" s="120" t="inlineStr">
        <is>
          <t>Shortlisted</t>
        </is>
      </c>
      <c r="O41" s="121" t="n"/>
      <c r="P41" s="121" t="n"/>
      <c r="Q41" s="95">
        <f>COUNTIFS(Stories!$W$4:$W$110,1,Stories!$F$4:$F$110,"Shortlisted")</f>
        <v/>
      </c>
      <c r="R41" s="97">
        <f>IF(Lists!$H$6=0,0,Q41/Lists!$H$6)</f>
        <v/>
      </c>
    </row>
    <row r="42" ht="18" customHeight="1">
      <c r="B42" s="122" t="inlineStr">
        <is>
          <t>Academia-to-Industry topic</t>
        </is>
      </c>
      <c r="C42" s="11" t="n"/>
      <c r="D42" s="11" t="n"/>
      <c r="E42" s="95">
        <f>SUMPRODUCT(Stories!$W$4:$W$110,--(Stories!$E$4:$E$110=$B42))</f>
        <v/>
      </c>
      <c r="F42" s="97">
        <f>IF(Lists!$H$6=0,0,E42/Lists!$H$6)</f>
        <v/>
      </c>
      <c r="H42" s="123" t="inlineStr">
        <is>
          <t>3 / 5</t>
        </is>
      </c>
      <c r="I42" s="11" t="n"/>
      <c r="J42" s="11" t="n"/>
      <c r="K42" s="95">
        <f>COUNTIFS(Stories!$W$4:$W$110,1,Stories!$D$4:$D$110,3)</f>
        <v/>
      </c>
      <c r="L42" s="97">
        <f>IF(Lists!$H$6=0,0,K42/Lists!$H$6)</f>
        <v/>
      </c>
      <c r="N42" s="124" t="inlineStr">
        <is>
          <t>Commissioned</t>
        </is>
      </c>
      <c r="O42" s="125" t="n"/>
      <c r="P42" s="125" t="n"/>
      <c r="Q42" s="95">
        <f>COUNTIFS(Stories!$W$4:$W$110,1,Stories!$F$4:$F$110,"Commissioned")</f>
        <v/>
      </c>
      <c r="R42" s="97">
        <f>IF(Lists!$H$6=0,0,Q42/Lists!$H$6)</f>
        <v/>
      </c>
    </row>
    <row r="43" ht="18" customHeight="1">
      <c r="B43" s="126" t="inlineStr">
        <is>
          <t>Regional insight</t>
        </is>
      </c>
      <c r="C43" s="11" t="n"/>
      <c r="D43" s="11" t="n"/>
      <c r="E43" s="95">
        <f>SUMPRODUCT(Stories!$W$4:$W$110,--(Stories!$E$4:$E$110=$B43))</f>
        <v/>
      </c>
      <c r="F43" s="97">
        <f>IF(Lists!$H$6=0,0,E43/Lists!$H$6)</f>
        <v/>
      </c>
      <c r="N43" s="127" t="inlineStr">
        <is>
          <t>Published</t>
        </is>
      </c>
      <c r="O43" s="128" t="n"/>
      <c r="P43" s="128" t="n"/>
      <c r="Q43" s="95">
        <f>COUNTIFS(Stories!$W$4:$W$110,1,Stories!$F$4:$F$110,"Published")</f>
        <v/>
      </c>
      <c r="R43" s="97">
        <f>IF(Lists!$H$6=0,0,Q43/Lists!$H$6)</f>
        <v/>
      </c>
    </row>
    <row r="44" ht="18" customHeight="1">
      <c r="B44" s="129" t="inlineStr">
        <is>
          <t>Watch only</t>
        </is>
      </c>
      <c r="C44" s="11" t="n"/>
      <c r="D44" s="11" t="n"/>
      <c r="E44" s="95">
        <f>SUMPRODUCT(Stories!$W$4:$W$110,--(Stories!$E$4:$E$110=$B44))</f>
        <v/>
      </c>
      <c r="F44" s="97">
        <f>IF(Lists!$H$6=0,0,E44/Lists!$H$6)</f>
        <v/>
      </c>
      <c r="N44" s="130" t="inlineStr">
        <is>
          <t>Not used</t>
        </is>
      </c>
      <c r="O44" s="131" t="n"/>
      <c r="P44" s="131" t="n"/>
      <c r="Q44" s="95">
        <f>COUNTIFS(Stories!$W$4:$W$110,1,Stories!$F$4:$F$110,"Not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SUMPRODUCT(Stories!$W$4:$W$110,--(Stories!$C$4:$C$110=$B61),--(Stories!$E$4:$E$110=F$60))</f>
        <v/>
      </c>
      <c r="G61" s="134">
        <f>SUMPRODUCT(Stories!$W$4:$W$110,--(Stories!$C$4:$C$110=$B61),--(Stories!$E$4:$E$110=G$60))</f>
        <v/>
      </c>
      <c r="H61" s="134">
        <f>SUMPRODUCT(Stories!$W$4:$W$110,--(Stories!$C$4:$C$110=$B61),--(Stories!$E$4:$E$110=H$60))</f>
        <v/>
      </c>
      <c r="I61" s="134">
        <f>SUMPRODUCT(Stories!$W$4:$W$110,--(Stories!$C$4:$C$110=$B61),--(Stories!$E$4:$E$110=I$60))</f>
        <v/>
      </c>
      <c r="J61" s="134">
        <f>SUMPRODUCT(Stories!$W$4:$W$110,--(Stories!$C$4:$C$110=$B61),--(Stories!$E$4:$E$110=J$60))</f>
        <v/>
      </c>
      <c r="K61" s="95">
        <f>SUM(F61:J61)</f>
        <v/>
      </c>
    </row>
    <row r="62" ht="18" customHeight="1">
      <c r="B62" s="135" t="inlineStr">
        <is>
          <t>Digital Geotechnics</t>
        </is>
      </c>
      <c r="C62" s="136" t="n"/>
      <c r="D62" s="136" t="n"/>
      <c r="E62" s="136" t="n"/>
      <c r="F62" s="134">
        <f>SUMPRODUCT(Stories!$W$4:$W$110,--(Stories!$C$4:$C$110=$B62),--(Stories!$E$4:$E$110=F$60))</f>
        <v/>
      </c>
      <c r="G62" s="134">
        <f>SUMPRODUCT(Stories!$W$4:$W$110,--(Stories!$C$4:$C$110=$B62),--(Stories!$E$4:$E$110=G$60))</f>
        <v/>
      </c>
      <c r="H62" s="134">
        <f>SUMPRODUCT(Stories!$W$4:$W$110,--(Stories!$C$4:$C$110=$B62),--(Stories!$E$4:$E$110=H$60))</f>
        <v/>
      </c>
      <c r="I62" s="134">
        <f>SUMPRODUCT(Stories!$W$4:$W$110,--(Stories!$C$4:$C$110=$B62),--(Stories!$E$4:$E$110=I$60))</f>
        <v/>
      </c>
      <c r="J62" s="134">
        <f>SUMPRODUCT(Stories!$W$4:$W$110,--(Stories!$C$4:$C$110=$B62),--(Stories!$E$4:$E$110=J$60))</f>
        <v/>
      </c>
      <c r="K62" s="95">
        <f>SUM(F62:J62)</f>
        <v/>
      </c>
    </row>
    <row r="63" ht="18" customHeight="1">
      <c r="B63" s="137" t="inlineStr">
        <is>
          <t>Hazards &amp; Resilience</t>
        </is>
      </c>
      <c r="C63" s="138" t="n"/>
      <c r="D63" s="138" t="n"/>
      <c r="E63" s="138" t="n"/>
      <c r="F63" s="134">
        <f>SUMPRODUCT(Stories!$W$4:$W$110,--(Stories!$C$4:$C$110=$B63),--(Stories!$E$4:$E$110=F$60))</f>
        <v/>
      </c>
      <c r="G63" s="134">
        <f>SUMPRODUCT(Stories!$W$4:$W$110,--(Stories!$C$4:$C$110=$B63),--(Stories!$E$4:$E$110=G$60))</f>
        <v/>
      </c>
      <c r="H63" s="134">
        <f>SUMPRODUCT(Stories!$W$4:$W$110,--(Stories!$C$4:$C$110=$B63),--(Stories!$E$4:$E$110=H$60))</f>
        <v/>
      </c>
      <c r="I63" s="134">
        <f>SUMPRODUCT(Stories!$W$4:$W$110,--(Stories!$C$4:$C$110=$B63),--(Stories!$E$4:$E$110=I$60))</f>
        <v/>
      </c>
      <c r="J63" s="134">
        <f>SUMPRODUCT(Stories!$W$4:$W$110,--(Stories!$C$4:$C$110=$B63),--(Stories!$E$4:$E$110=J$60))</f>
        <v/>
      </c>
      <c r="K63" s="95">
        <f>SUM(F63:J63)</f>
        <v/>
      </c>
    </row>
    <row r="64" ht="18" customHeight="1">
      <c r="B64" s="139" t="inlineStr">
        <is>
          <t>Ground Improvement &amp; Innovation</t>
        </is>
      </c>
      <c r="C64" s="140" t="n"/>
      <c r="D64" s="140" t="n"/>
      <c r="E64" s="140" t="n"/>
      <c r="F64" s="134">
        <f>SUMPRODUCT(Stories!$W$4:$W$110,--(Stories!$C$4:$C$110=$B64),--(Stories!$E$4:$E$110=F$60))</f>
        <v/>
      </c>
      <c r="G64" s="134">
        <f>SUMPRODUCT(Stories!$W$4:$W$110,--(Stories!$C$4:$C$110=$B64),--(Stories!$E$4:$E$110=G$60))</f>
        <v/>
      </c>
      <c r="H64" s="134">
        <f>SUMPRODUCT(Stories!$W$4:$W$110,--(Stories!$C$4:$C$110=$B64),--(Stories!$E$4:$E$110=H$60))</f>
        <v/>
      </c>
      <c r="I64" s="134">
        <f>SUMPRODUCT(Stories!$W$4:$W$110,--(Stories!$C$4:$C$110=$B64),--(Stories!$E$4:$E$110=I$60))</f>
        <v/>
      </c>
      <c r="J64" s="134">
        <f>SUMPRODUCT(Stories!$W$4:$W$110,--(Stories!$C$4:$C$110=$B64),--(Stories!$E$4:$E$110=J$60))</f>
        <v/>
      </c>
      <c r="K64" s="95">
        <f>SUM(F64:J64)</f>
        <v/>
      </c>
    </row>
    <row r="65" ht="18" customHeight="1">
      <c r="B65" s="141" t="inlineStr">
        <is>
          <t>Infrastructure &amp; the Underground City</t>
        </is>
      </c>
      <c r="C65" s="142" t="n"/>
      <c r="D65" s="142" t="n"/>
      <c r="E65" s="142" t="n"/>
      <c r="F65" s="134">
        <f>SUMPRODUCT(Stories!$W$4:$W$110,--(Stories!$C$4:$C$110=$B65),--(Stories!$E$4:$E$110=F$60))</f>
        <v/>
      </c>
      <c r="G65" s="134">
        <f>SUMPRODUCT(Stories!$W$4:$W$110,--(Stories!$C$4:$C$110=$B65),--(Stories!$E$4:$E$110=G$60))</f>
        <v/>
      </c>
      <c r="H65" s="134">
        <f>SUMPRODUCT(Stories!$W$4:$W$110,--(Stories!$C$4:$C$110=$B65),--(Stories!$E$4:$E$110=H$60))</f>
        <v/>
      </c>
      <c r="I65" s="134">
        <f>SUMPRODUCT(Stories!$W$4:$W$110,--(Stories!$C$4:$C$110=$B65),--(Stories!$E$4:$E$110=I$60))</f>
        <v/>
      </c>
      <c r="J65" s="134">
        <f>SUMPRODUCT(Stories!$W$4:$W$110,--(Stories!$C$4:$C$110=$B65),--(Stories!$E$4:$E$110=J$60))</f>
        <v/>
      </c>
      <c r="K65" s="95">
        <f>SUM(F65:J65)</f>
        <v/>
      </c>
    </row>
    <row r="66" ht="18" customHeight="1">
      <c r="B66" s="143" t="inlineStr">
        <is>
          <t>Offshore, Coasts &amp; Water</t>
        </is>
      </c>
      <c r="C66" s="144" t="n"/>
      <c r="D66" s="144" t="n"/>
      <c r="E66" s="144" t="n"/>
      <c r="F66" s="134">
        <f>SUMPRODUCT(Stories!$W$4:$W$110,--(Stories!$C$4:$C$110=$B66),--(Stories!$E$4:$E$110=F$60))</f>
        <v/>
      </c>
      <c r="G66" s="134">
        <f>SUMPRODUCT(Stories!$W$4:$W$110,--(Stories!$C$4:$C$110=$B66),--(Stories!$E$4:$E$110=G$60))</f>
        <v/>
      </c>
      <c r="H66" s="134">
        <f>SUMPRODUCT(Stories!$W$4:$W$110,--(Stories!$C$4:$C$110=$B66),--(Stories!$E$4:$E$110=H$60))</f>
        <v/>
      </c>
      <c r="I66" s="134">
        <f>SUMPRODUCT(Stories!$W$4:$W$110,--(Stories!$C$4:$C$110=$B66),--(Stories!$E$4:$E$110=I$60))</f>
        <v/>
      </c>
      <c r="J66" s="134">
        <f>SUMPRODUCT(Stories!$W$4:$W$110,--(Stories!$C$4:$C$110=$B66),--(Stories!$E$4:$E$110=J$60))</f>
        <v/>
      </c>
      <c r="K66" s="95">
        <f>SUM(F66:J66)</f>
        <v/>
      </c>
    </row>
    <row r="67" ht="18" customHeight="1">
      <c r="B67" s="145" t="inlineStr">
        <is>
          <t>Characterisation &amp; Modelling</t>
        </is>
      </c>
      <c r="C67" s="146" t="n"/>
      <c r="D67" s="146" t="n"/>
      <c r="E67" s="146" t="n"/>
      <c r="F67" s="134">
        <f>SUMPRODUCT(Stories!$W$4:$W$110,--(Stories!$C$4:$C$110=$B67),--(Stories!$E$4:$E$110=F$60))</f>
        <v/>
      </c>
      <c r="G67" s="134">
        <f>SUMPRODUCT(Stories!$W$4:$W$110,--(Stories!$C$4:$C$110=$B67),--(Stories!$E$4:$E$110=G$60))</f>
        <v/>
      </c>
      <c r="H67" s="134">
        <f>SUMPRODUCT(Stories!$W$4:$W$110,--(Stories!$C$4:$C$110=$B67),--(Stories!$E$4:$E$110=H$60))</f>
        <v/>
      </c>
      <c r="I67" s="134">
        <f>SUMPRODUCT(Stories!$W$4:$W$110,--(Stories!$C$4:$C$110=$B67),--(Stories!$E$4:$E$110=I$60))</f>
        <v/>
      </c>
      <c r="J67" s="134">
        <f>SUMPRODUCT(Stories!$W$4:$W$110,--(Stories!$C$4:$C$110=$B67),--(Stories!$E$4:$E$110=J$60))</f>
        <v/>
      </c>
      <c r="K67" s="95">
        <f>SUM(F67:J67)</f>
        <v/>
      </c>
    </row>
    <row r="68" ht="18" customHeight="1">
      <c r="B68" s="147" t="inlineStr">
        <is>
          <t>Geotechnics &amp; Society</t>
        </is>
      </c>
      <c r="C68" s="148" t="n"/>
      <c r="D68" s="148" t="n"/>
      <c r="E68" s="148" t="n"/>
      <c r="F68" s="134">
        <f>SUMPRODUCT(Stories!$W$4:$W$110,--(Stories!$C$4:$C$110=$B68),--(Stories!$E$4:$E$110=F$60))</f>
        <v/>
      </c>
      <c r="G68" s="134">
        <f>SUMPRODUCT(Stories!$W$4:$W$110,--(Stories!$C$4:$C$110=$B68),--(Stories!$E$4:$E$110=G$60))</f>
        <v/>
      </c>
      <c r="H68" s="134">
        <f>SUMPRODUCT(Stories!$W$4:$W$110,--(Stories!$C$4:$C$110=$B68),--(Stories!$E$4:$E$110=H$60))</f>
        <v/>
      </c>
      <c r="I68" s="134">
        <f>SUMPRODUCT(Stories!$W$4:$W$110,--(Stories!$C$4:$C$110=$B68),--(Stories!$E$4:$E$110=I$60))</f>
        <v/>
      </c>
      <c r="J68" s="134">
        <f>SUMPRODUCT(Stories!$W$4:$W$110,--(Stories!$C$4:$C$110=$B68),--(Stories!$E$4:$E$110=J$60))</f>
        <v/>
      </c>
      <c r="K68" s="95">
        <f>SUM(F68:J68)</f>
        <v/>
      </c>
    </row>
    <row r="69" ht="18" customHeight="1">
      <c r="B69" s="149" t="inlineStr">
        <is>
          <t>General</t>
        </is>
      </c>
      <c r="C69" s="150" t="n"/>
      <c r="D69" s="150" t="n"/>
      <c r="E69" s="150" t="n"/>
      <c r="F69" s="134">
        <f>SUMPRODUCT(Stories!$W$4:$W$110,--(Stories!$C$4:$C$110=$B69),--(Stories!$E$4:$E$110=F$60))</f>
        <v/>
      </c>
      <c r="G69" s="134">
        <f>SUMPRODUCT(Stories!$W$4:$W$110,--(Stories!$C$4:$C$110=$B69),--(Stories!$E$4:$E$110=G$60))</f>
        <v/>
      </c>
      <c r="H69" s="134">
        <f>SUMPRODUCT(Stories!$W$4:$W$110,--(Stories!$C$4:$C$110=$B69),--(Stories!$E$4:$E$110=H$60))</f>
        <v/>
      </c>
      <c r="I69" s="134">
        <f>SUMPRODUCT(Stories!$W$4:$W$110,--(Stories!$C$4:$C$110=$B69),--(Stories!$E$4:$E$110=I$60))</f>
        <v/>
      </c>
      <c r="J69" s="134">
        <f>SUMPRODUCT(Stories!$W$4:$W$110,--(Stories!$C$4:$C$110=$B69),--(Stories!$E$4:$E$110=J$60))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107</v>
      </c>
      <c r="G74" s="95">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107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More than 100 days after Kalladi landslip, twin-tunnel road project awaits safety reports</t>
        </is>
      </c>
      <c r="C4" s="161" t="inlineStr">
        <is>
          <t>Hazards &amp; Resilience</t>
        </is>
      </c>
      <c r="D4" s="162" t="n">
        <v>5</v>
      </c>
      <c r="E4" s="163" t="inlineStr">
        <is>
          <t>Feature lead</t>
        </is>
      </c>
      <c r="F4" s="164" t="inlineStr">
        <is>
          <t>To review</t>
        </is>
      </c>
      <c r="G4" s="165" t="n"/>
      <c r="H4" s="166" t="n"/>
      <c r="I4" s="167" t="inlineStr">
        <is>
          <t>How should twin-tunnel road projects be geotechnically assessed and safety-verified in landslide-prone hill terrain after a major slope failure?</t>
        </is>
      </c>
      <c r="J4" s="167" t="inlineStr">
        <is>
          <t>Onmanorama</t>
        </is>
      </c>
      <c r="K4" s="168" t="n">
        <v>46320</v>
      </c>
      <c r="L4" s="167" t="n"/>
      <c r="M4" s="167" t="n"/>
      <c r="N4" s="169" t="inlineStr">
        <is>
          <t>India</t>
        </is>
      </c>
      <c r="O4" s="167" t="inlineStr">
        <is>
          <t>Kalladi, Kerala</t>
        </is>
      </c>
      <c r="P4" s="167" t="n"/>
      <c r="Q4" s="170" t="inlineStr">
        <is>
          <t>South Africa</t>
        </is>
      </c>
      <c r="R4" s="168" t="n">
        <v>46319</v>
      </c>
      <c r="S4" s="169" t="inlineStr">
        <is>
          <t>2026-Q4</t>
        </is>
      </c>
      <c r="T4" s="171" t="inlineStr">
        <is>
          <t>landslip, tunnel</t>
        </is>
      </c>
      <c r="U4" s="159"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Fragility of port disaster prevention exposed: liquefaction halts logistics at Yatsushiro</t>
        </is>
      </c>
      <c r="C5" s="161" t="inlineStr">
        <is>
          <t>Hazards &amp; Resilience</t>
        </is>
      </c>
      <c r="D5" s="162" t="n">
        <v>5</v>
      </c>
      <c r="E5" s="163" t="inlineStr">
        <is>
          <t>Feature lead</t>
        </is>
      </c>
      <c r="F5" s="164" t="inlineStr">
        <is>
          <t>To review</t>
        </is>
      </c>
      <c r="G5" s="165" t="n"/>
      <c r="H5" s="166" t="n"/>
      <c r="I5" s="167" t="inlineStr">
        <is>
          <t>Why do reclaimed port areas liquefy during earthquakes, and how can quay and yard design reduce the risk of losing logistics function after shaking?</t>
        </is>
      </c>
      <c r="J5" s="167" t="inlineStr">
        <is>
          <t>山陽新聞</t>
        </is>
      </c>
      <c r="K5" s="168" t="n">
        <v>46320</v>
      </c>
      <c r="L5" s="167" t="inlineStr">
        <is>
          <t>港湾防災のもろさ露呈 八代、液状化で物流停止</t>
        </is>
      </c>
      <c r="M5" s="167" t="n"/>
      <c r="N5" s="169" t="inlineStr">
        <is>
          <t>Japan</t>
        </is>
      </c>
      <c r="O5" s="167" t="inlineStr">
        <is>
          <t>Yatsushiro port, Kumamoto</t>
        </is>
      </c>
      <c r="P5" s="167" t="n"/>
      <c r="Q5" s="170" t="inlineStr">
        <is>
          <t>Japan</t>
        </is>
      </c>
      <c r="R5" s="168" t="n">
        <v>46318</v>
      </c>
      <c r="S5" s="169" t="inlineStr">
        <is>
          <t>2026-Q4</t>
        </is>
      </c>
      <c r="T5" s="171" t="inlineStr">
        <is>
          <t>liquefaction</t>
        </is>
      </c>
      <c r="U5" s="159"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Arauco sinkhole: government acknowledges earlier warnings about unstable land and keeps 152 families evacuated</t>
        </is>
      </c>
      <c r="C6" s="161" t="inlineStr">
        <is>
          <t>Hazards &amp; Resilience</t>
        </is>
      </c>
      <c r="D6" s="162" t="n">
        <v>5</v>
      </c>
      <c r="E6" s="163" t="inlineStr">
        <is>
          <t>Feature lead</t>
        </is>
      </c>
      <c r="F6" s="164" t="inlineStr">
        <is>
          <t>To review</t>
        </is>
      </c>
      <c r="G6" s="165" t="n"/>
      <c r="H6" s="166" t="n"/>
      <c r="I6" s="167" t="inlineStr">
        <is>
          <t>How should authorities act on prior geotechnical warnings about unstable ground, and what criteria should govern long-term evacuation and land reuse?</t>
        </is>
      </c>
      <c r="J6" s="167" t="inlineStr">
        <is>
          <t>Publimicro</t>
        </is>
      </c>
      <c r="K6" s="168" t="n">
        <v>46320</v>
      </c>
      <c r="L6" s="167" t="inlineStr">
        <is>
          <t>Socavón de Arauco: Gobierno reconoce advertencias previas sobre terrenos inestables y mantiene evacuación de 152 familias</t>
        </is>
      </c>
      <c r="M6" s="167" t="n"/>
      <c r="N6" s="169" t="inlineStr">
        <is>
          <t>Chile</t>
        </is>
      </c>
      <c r="O6" s="167" t="inlineStr">
        <is>
          <t>Arauco</t>
        </is>
      </c>
      <c r="P6" s="167" t="inlineStr">
        <is>
          <t>Arauco sinkhole, Chile (Oct 2026) · Response &amp; recovery · 2 reports</t>
        </is>
      </c>
      <c r="Q6" s="170" t="inlineStr">
        <is>
          <t>Colombia</t>
        </is>
      </c>
      <c r="R6" s="168" t="n">
        <v>46320</v>
      </c>
      <c r="S6" s="169" t="inlineStr">
        <is>
          <t>2026-Q4</t>
        </is>
      </c>
      <c r="T6" s="171" t="inlineStr">
        <is>
          <t>sinkhole</t>
        </is>
      </c>
      <c r="U6" s="159"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9" t="n">
        <v>4</v>
      </c>
      <c r="B7" s="160" t="inlineStr">
        <is>
          <t>Up to 1.20 metres of ground moved during the 7.5 earthquake that shook Panama</t>
        </is>
      </c>
      <c r="C7" s="161" t="inlineStr">
        <is>
          <t>Hazards &amp; Resilience</t>
        </is>
      </c>
      <c r="D7" s="162" t="n">
        <v>5</v>
      </c>
      <c r="E7" s="163" t="inlineStr">
        <is>
          <t>Feature lead</t>
        </is>
      </c>
      <c r="F7" s="164" t="inlineStr">
        <is>
          <t>To review</t>
        </is>
      </c>
      <c r="G7" s="165" t="n"/>
      <c r="H7" s="166" t="n"/>
      <c r="I7" s="167" t="inlineStr">
        <is>
          <t>What mechanisms produced metre-scale ground displacement during this magnitude 7.5 earthquake, and what do they imply for fault-zone hazard assessment in Panama?</t>
        </is>
      </c>
      <c r="J7" s="167" t="inlineStr">
        <is>
          <t>Infobae</t>
        </is>
      </c>
      <c r="K7" s="168" t="n">
        <v>46320</v>
      </c>
      <c r="L7" s="167" t="inlineStr">
        <is>
          <t>Hasta 1.20 metros se desplazó el suelo durante el terremoto de 7.5 que sacudió Panamá</t>
        </is>
      </c>
      <c r="M7" s="167" t="n"/>
      <c r="N7" s="169" t="inlineStr">
        <is>
          <t>Panama</t>
        </is>
      </c>
      <c r="O7" s="167" t="inlineStr">
        <is>
          <t>Panama</t>
        </is>
      </c>
      <c r="P7" s="167" t="n"/>
      <c r="Q7" s="170" t="inlineStr">
        <is>
          <t>Argentina</t>
        </is>
      </c>
      <c r="R7" s="168" t="n">
        <v>46317</v>
      </c>
      <c r="S7" s="169" t="inlineStr">
        <is>
          <t>2026-Q4</t>
        </is>
      </c>
      <c r="T7" s="171" t="inlineStr">
        <is>
          <t>earthquake, soil</t>
        </is>
      </c>
      <c r="U7" s="159"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9" t="n">
        <v>5</v>
      </c>
      <c r="B8" s="160" t="inlineStr">
        <is>
          <t>Zaruma sits on old gold galleries: where is the sinkhole risk concentrated?</t>
        </is>
      </c>
      <c r="C8" s="161" t="inlineStr">
        <is>
          <t>Hazards &amp; Resilience</t>
        </is>
      </c>
      <c r="D8" s="162" t="n">
        <v>5</v>
      </c>
      <c r="E8" s="163" t="inlineStr">
        <is>
          <t>Feature lead</t>
        </is>
      </c>
      <c r="F8" s="164" t="inlineStr">
        <is>
          <t>To review</t>
        </is>
      </c>
      <c r="G8" s="165" t="n"/>
      <c r="H8" s="166" t="n"/>
      <c r="I8" s="167" t="inlineStr">
        <is>
          <t>How do abandoned shallow gold mine galleries affect ground stability beneath an urban area, and how can the sinkhole risk be mapped and managed?</t>
        </is>
      </c>
      <c r="J8" s="167" t="inlineStr">
        <is>
          <t>Revista Digital Minera REDIMIN</t>
        </is>
      </c>
      <c r="K8" s="168" t="n">
        <v>46320</v>
      </c>
      <c r="L8" s="167" t="inlineStr">
        <is>
          <t>Zaruma está sobre antiguas galerías de oro: ¿Dónde se concentra el riesgo de hundimiento?</t>
        </is>
      </c>
      <c r="M8" s="167" t="n"/>
      <c r="N8" s="169" t="inlineStr">
        <is>
          <t>Ecuador</t>
        </is>
      </c>
      <c r="O8" s="167" t="inlineStr">
        <is>
          <t>Zaruma</t>
        </is>
      </c>
      <c r="P8" s="167" t="n"/>
      <c r="Q8" s="170" t="inlineStr">
        <is>
          <t>Argentina</t>
        </is>
      </c>
      <c r="R8" s="168" t="n">
        <v>46319</v>
      </c>
      <c r="S8" s="169" t="inlineStr">
        <is>
          <t>2026-Q4</t>
        </is>
      </c>
      <c r="T8" s="171" t="n"/>
      <c r="U8" s="159"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9" t="n">
        <v>6</v>
      </c>
      <c r="B9" s="160" t="inlineStr">
        <is>
          <t>Rockfall and landslide on the mountain of the Noah's Ark legend captured on camera; climbers escape unhurt</t>
        </is>
      </c>
      <c r="C9" s="161" t="inlineStr">
        <is>
          <t>Hazards &amp; Resilience</t>
        </is>
      </c>
      <c r="D9" s="162" t="n">
        <v>4</v>
      </c>
      <c r="E9" s="175" t="inlineStr">
        <is>
          <t>News brief</t>
        </is>
      </c>
      <c r="F9" s="164" t="inlineStr">
        <is>
          <t>To review</t>
        </is>
      </c>
      <c r="G9" s="165" t="n"/>
      <c r="H9" s="166" t="n"/>
      <c r="I9" s="167" t="inlineStr">
        <is>
          <t>What triggers rockfall and debris slides on steep volcanic-sedimentary mountain slopes, and how should hazard zoning account for such events near visitor routes?</t>
        </is>
      </c>
      <c r="J9" s="167" t="inlineStr">
        <is>
          <t>FNNプライムオンライン</t>
        </is>
      </c>
      <c r="K9" s="168" t="n">
        <v>46320</v>
      </c>
      <c r="L9" s="167" t="inlineStr">
        <is>
          <t>「ノアの箱舟」伝説の山で落石・土砂崩れ 「来るぞ！走れ！逃げろ！」カメラが捉えた発生の瞬間 “間一髪”の登山者らけがなし トルコ</t>
        </is>
      </c>
      <c r="M9" s="167" t="n"/>
      <c r="N9" s="169" t="inlineStr">
        <is>
          <t>Türkiye</t>
        </is>
      </c>
      <c r="O9" s="167" t="inlineStr">
        <is>
          <t>Mount Ararat, Ağrı</t>
        </is>
      </c>
      <c r="P9" s="167" t="n"/>
      <c r="Q9" s="170" t="inlineStr">
        <is>
          <t>Japan</t>
        </is>
      </c>
      <c r="R9" s="168" t="n">
        <v>46318</v>
      </c>
      <c r="S9" s="169" t="inlineStr">
        <is>
          <t>2026-Q4</t>
        </is>
      </c>
      <c r="T9" s="171" t="inlineStr">
        <is>
          <t>landslide, rockfall</t>
        </is>
      </c>
      <c r="U9" s="159"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Nghe An: urgent measures needed for landslide on the seaside road embankment</t>
        </is>
      </c>
      <c r="C10" s="176" t="inlineStr">
        <is>
          <t>Offshore, Coasts &amp; Water</t>
        </is>
      </c>
      <c r="D10" s="162" t="n">
        <v>4</v>
      </c>
      <c r="E10" s="175" t="inlineStr">
        <is>
          <t>News brief</t>
        </is>
      </c>
      <c r="F10" s="164" t="inlineStr">
        <is>
          <t>To review</t>
        </is>
      </c>
      <c r="G10" s="165" t="n"/>
      <c r="H10" s="166" t="n"/>
      <c r="I10" s="167" t="inlineStr">
        <is>
          <t>Why do coastal road embankments fail by landslide, and what emergency stabilisation and monitoring are appropriate for dyke slopes exposed to waves and rainfall?</t>
        </is>
      </c>
      <c r="J10" s="167" t="inlineStr">
        <is>
          <t>Vietnam.vn</t>
        </is>
      </c>
      <c r="K10" s="168" t="n">
        <v>46320</v>
      </c>
      <c r="L10" s="167" t="inlineStr">
        <is>
          <t>응에안성: 해안 도로 제방의 산사태 발생에 대한 긴급 조치가 필요합니다.</t>
        </is>
      </c>
      <c r="M10" s="167" t="n"/>
      <c r="N10" s="169" t="inlineStr">
        <is>
          <t>Vietnam</t>
        </is>
      </c>
      <c r="O10" s="167" t="inlineStr">
        <is>
          <t>Nghe An coastal road</t>
        </is>
      </c>
      <c r="P10" s="167" t="inlineStr">
        <is>
          <t>Nghe An coastal road embankment landslide, Vietnam (Oct 2026) · Response &amp; recovery · 2 reports</t>
        </is>
      </c>
      <c r="Q10" s="170" t="inlineStr">
        <is>
          <t>South Korea</t>
        </is>
      </c>
      <c r="R10" s="168" t="n">
        <v>46318</v>
      </c>
      <c r="S10" s="169" t="inlineStr">
        <is>
          <t>2026-Q4</t>
        </is>
      </c>
      <c r="T10" s="171" t="inlineStr">
        <is>
          <t>landslide, embankment</t>
        </is>
      </c>
      <c r="U10" s="159"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Quang Tri: severe coastal erosion threatens dykes, embankments and residents' lives.</t>
        </is>
      </c>
      <c r="C11" s="176" t="inlineStr">
        <is>
          <t>Offshore, Coasts &amp; Water</t>
        </is>
      </c>
      <c r="D11" s="162" t="n">
        <v>4</v>
      </c>
      <c r="E11" s="163" t="inlineStr">
        <is>
          <t>Feature lead</t>
        </is>
      </c>
      <c r="F11" s="164" t="inlineStr">
        <is>
          <t>To review</t>
        </is>
      </c>
      <c r="G11" s="165" t="n"/>
      <c r="H11" s="166" t="n"/>
      <c r="I11" s="167" t="inlineStr">
        <is>
          <t>How can coastal erosion monitoring and erosion-resistant embankment design protect dykes and communities when shoreline retreat accelerates?</t>
        </is>
      </c>
      <c r="J11" s="167" t="inlineStr">
        <is>
          <t>Vietnam.vn</t>
        </is>
      </c>
      <c r="K11" s="168" t="n">
        <v>46320</v>
      </c>
      <c r="L11" s="167" t="inlineStr">
        <is>
          <t>꽝찌: 심각한 해안 침식으로 인해 제방과 둑, 그리고 주민들의 생명이 위협받고 있습니다.</t>
        </is>
      </c>
      <c r="M11" s="167" t="n"/>
      <c r="N11" s="169" t="inlineStr">
        <is>
          <t>Vietnam</t>
        </is>
      </c>
      <c r="O11" s="167" t="inlineStr">
        <is>
          <t>Quang Tri province</t>
        </is>
      </c>
      <c r="P11" s="167" t="inlineStr">
        <is>
          <t>Quang Tri coastal erosion threatening dykes, Vietnam (Oct 2026) · Event · 2 reports</t>
        </is>
      </c>
      <c r="Q11" s="170" t="inlineStr">
        <is>
          <t>South Korea</t>
        </is>
      </c>
      <c r="R11" s="168" t="n">
        <v>46318</v>
      </c>
      <c r="S11" s="169" t="inlineStr">
        <is>
          <t>2026-Q4</t>
        </is>
      </c>
      <c r="T11" s="171" t="inlineStr">
        <is>
          <t>embankment, erosion</t>
        </is>
      </c>
      <c r="U11" s="159"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Survived against the odds: home destroyed in typhoon No. 25 landslide in Kamogawa; Iimura Hiroshi says fear comes with consciousness</t>
        </is>
      </c>
      <c r="C12" s="161" t="inlineStr">
        <is>
          <t>Hazards &amp; Resilience</t>
        </is>
      </c>
      <c r="D12" s="162" t="n">
        <v>4</v>
      </c>
      <c r="E12" s="175" t="inlineStr">
        <is>
          <t>News brief</t>
        </is>
      </c>
      <c r="F12" s="164" t="inlineStr">
        <is>
          <t>To review</t>
        </is>
      </c>
      <c r="G12" s="165" t="n"/>
      <c r="H12" s="166" t="n"/>
      <c r="I12" s="167" t="inlineStr">
        <is>
          <t>What slope and saturation conditions cause houses on hillsides to be destroyed by debris slides during typhoon rainfall, and how can early warning address them?</t>
        </is>
      </c>
      <c r="J12" s="167" t="inlineStr">
        <is>
          <t>千葉日報オンライン</t>
        </is>
      </c>
      <c r="K12" s="168" t="n">
        <v>46320</v>
      </c>
      <c r="L12" s="167" t="inlineStr">
        <is>
          <t>自宅崩壊“九死に一生” 台風２５号 鴨川で土砂崩れ多発 生き埋めから生還 飯村浩さん 意識あるからこそ恐怖</t>
        </is>
      </c>
      <c r="M12" s="167" t="n"/>
      <c r="N12" s="169" t="inlineStr">
        <is>
          <t>Japan</t>
        </is>
      </c>
      <c r="O12" s="167" t="inlineStr">
        <is>
          <t>Kamogawa, Chiba</t>
        </is>
      </c>
      <c r="P12" s="167" t="inlineStr">
        <is>
          <t>Typhoon 25 landslides, Bōsō Peninsula, Japan (Oct 2026) · Event · 2 reports</t>
        </is>
      </c>
      <c r="Q12" s="170" t="inlineStr">
        <is>
          <t>Japan</t>
        </is>
      </c>
      <c r="R12" s="168" t="n">
        <v>46319</v>
      </c>
      <c r="S12" s="169" t="inlineStr">
        <is>
          <t>2026-Q4</t>
        </is>
      </c>
      <c r="T12" s="171" t="inlineStr">
        <is>
          <t>landslide, collapse</t>
        </is>
      </c>
      <c r="U12" s="159"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Four guests fall into sinkhole at Occidental Cozumel hotel</t>
        </is>
      </c>
      <c r="C13" s="177" t="inlineStr">
        <is>
          <t>Infrastructure &amp; the Underground City</t>
        </is>
      </c>
      <c r="D13" s="162" t="n">
        <v>4</v>
      </c>
      <c r="E13" s="175" t="inlineStr">
        <is>
          <t>News brief</t>
        </is>
      </c>
      <c r="F13" s="164" t="inlineStr">
        <is>
          <t>To review</t>
        </is>
      </c>
      <c r="G13" s="165" t="n"/>
      <c r="H13" s="166" t="n"/>
      <c r="I13" s="167" t="inlineStr">
        <is>
          <t>How do karst cavities and dissolution features in coastal limestone create sudden collapses beneath hotel and tourist structures?</t>
        </is>
      </c>
      <c r="J13" s="167" t="inlineStr">
        <is>
          <t>Quintana Roo Hoy</t>
        </is>
      </c>
      <c r="K13" s="168" t="n">
        <v>46320</v>
      </c>
      <c r="L13" s="167" t="inlineStr">
        <is>
          <t>Cuatro huéspedes caen en socavón del hotel Occidental Cozumel</t>
        </is>
      </c>
      <c r="M13" s="167" t="n"/>
      <c r="N13" s="169" t="inlineStr">
        <is>
          <t>Mexico</t>
        </is>
      </c>
      <c r="O13" s="167" t="inlineStr">
        <is>
          <t>Cozumel, Quintana Roo</t>
        </is>
      </c>
      <c r="P13" s="167" t="n"/>
      <c r="Q13" s="170" t="inlineStr">
        <is>
          <t>Colombia</t>
        </is>
      </c>
      <c r="R13" s="168" t="n">
        <v>46319</v>
      </c>
      <c r="S13" s="169" t="inlineStr">
        <is>
          <t>2026-Q4</t>
        </is>
      </c>
      <c r="T13" s="171" t="inlineStr">
        <is>
          <t>sinkhole</t>
        </is>
      </c>
      <c r="U13" s="159"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9" t="n">
        <v>11</v>
      </c>
      <c r="B14" s="160" t="inlineStr">
        <is>
          <t>Close-up of giant 120 m deep sinkhole just discovered in Phong Nha-Ke Bang</t>
        </is>
      </c>
      <c r="C14" s="178" t="inlineStr">
        <is>
          <t>Characterisation &amp; Modelling</t>
        </is>
      </c>
      <c r="D14" s="162" t="n">
        <v>4</v>
      </c>
      <c r="E14" s="163" t="inlineStr">
        <is>
          <t>Feature lead</t>
        </is>
      </c>
      <c r="F14" s="164" t="inlineStr">
        <is>
          <t>To review</t>
        </is>
      </c>
      <c r="G14" s="165" t="n"/>
      <c r="H14" s="166" t="n"/>
      <c r="I14" s="167" t="inlineStr">
        <is>
          <t>How are very deep karst sinkholes investigated, and what does their formation reveal about hazards around cave systems?</t>
        </is>
      </c>
      <c r="J14" s="167" t="inlineStr">
        <is>
          <t>Laodong.vn</t>
        </is>
      </c>
      <c r="K14" s="168" t="n">
        <v>46320</v>
      </c>
      <c r="L14" s="167" t="inlineStr">
        <is>
          <t>퐁냐케방에서 방금 발견된 깊이 120m의 거대한 싱크홀 근접 촬영</t>
        </is>
      </c>
      <c r="M14" s="167" t="n"/>
      <c r="N14" s="169" t="inlineStr">
        <is>
          <t>Vietnam</t>
        </is>
      </c>
      <c r="O14" s="167" t="inlineStr">
        <is>
          <t>Phong Nha-Ke Bang</t>
        </is>
      </c>
      <c r="P14" s="167" t="inlineStr">
        <is>
          <t>Phong Nha-Ke Bang 120 m sinkhole discovery, Vietnam · Update · 4 reports</t>
        </is>
      </c>
      <c r="Q14" s="170" t="inlineStr">
        <is>
          <t>South Korea</t>
        </is>
      </c>
      <c r="R14" s="168" t="n">
        <v>46320</v>
      </c>
      <c r="S14" s="169" t="inlineStr">
        <is>
          <t>2026-Q4</t>
        </is>
      </c>
      <c r="T14" s="171" t="inlineStr">
        <is>
          <t>sinkhole</t>
        </is>
      </c>
      <c r="U14" s="159"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9" t="n">
        <v>12</v>
      </c>
      <c r="B15" s="160" t="inlineStr">
        <is>
          <t>Using AI to provide early warning of landslide risks.</t>
        </is>
      </c>
      <c r="C15" s="179" t="inlineStr">
        <is>
          <t>Digital Geotechnics</t>
        </is>
      </c>
      <c r="D15" s="162" t="n">
        <v>4</v>
      </c>
      <c r="E15" s="163" t="inlineStr">
        <is>
          <t>Feature lead</t>
        </is>
      </c>
      <c r="F15" s="164" t="inlineStr">
        <is>
          <t>To review</t>
        </is>
      </c>
      <c r="G15" s="165" t="n"/>
      <c r="H15" s="166" t="n"/>
      <c r="I15" s="167" t="inlineStr">
        <is>
          <t>How reliable are AI-based landslide early-warning models when trained on sparse ground monitoring data?</t>
        </is>
      </c>
      <c r="J15" s="167" t="inlineStr">
        <is>
          <t>Vietnam.vn</t>
        </is>
      </c>
      <c r="K15" s="168" t="n">
        <v>46320</v>
      </c>
      <c r="L15" s="167" t="n"/>
      <c r="M15" s="167" t="n"/>
      <c r="N15" s="169" t="n"/>
      <c r="O15" s="167" t="n"/>
      <c r="P15" s="167" t="n"/>
      <c r="Q15" s="170" t="inlineStr">
        <is>
          <t>United Kingdom</t>
        </is>
      </c>
      <c r="R15" s="168" t="n">
        <v>46319</v>
      </c>
      <c r="S15" s="169" t="inlineStr">
        <is>
          <t>2026-Q4</t>
        </is>
      </c>
      <c r="T15" s="171" t="inlineStr">
        <is>
          <t>landslide</t>
        </is>
      </c>
      <c r="U15" s="159"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9" t="n">
        <v>13</v>
      </c>
      <c r="B16" s="160" t="inlineStr">
        <is>
          <t>Reconstruction of the Terrazas del Valle bridge begins after sinkhole</t>
        </is>
      </c>
      <c r="C16" s="177" t="inlineStr">
        <is>
          <t>Infrastructure &amp; the Underground City</t>
        </is>
      </c>
      <c r="D16" s="162" t="n">
        <v>4</v>
      </c>
      <c r="E16" s="175" t="inlineStr">
        <is>
          <t>News brief</t>
        </is>
      </c>
      <c r="F16" s="164" t="inlineStr">
        <is>
          <t>To review</t>
        </is>
      </c>
      <c r="G16" s="165" t="n"/>
      <c r="H16" s="166" t="n"/>
      <c r="I16" s="167" t="inlineStr">
        <is>
          <t>What investigation and foundation design are needed to rebuild a bridge whose support ground has collapsed into a sinkhole?</t>
        </is>
      </c>
      <c r="J16" s="167" t="inlineStr">
        <is>
          <t>NDT Noticias de Tijuana</t>
        </is>
      </c>
      <c r="K16" s="168" t="n">
        <v>46320</v>
      </c>
      <c r="L16" s="167" t="inlineStr">
        <is>
          <t>Inician reconstrucción del puente de Terrazas del Valle tras socavón</t>
        </is>
      </c>
      <c r="M16" s="167" t="n"/>
      <c r="N16" s="169" t="inlineStr">
        <is>
          <t>Mexico</t>
        </is>
      </c>
      <c r="O16" s="167" t="inlineStr">
        <is>
          <t>Terrazas del Valle bridge, Tijuana</t>
        </is>
      </c>
      <c r="P16" s="167" t="n"/>
      <c r="Q16" s="170" t="inlineStr">
        <is>
          <t>Colombia</t>
        </is>
      </c>
      <c r="R16" s="168" t="n">
        <v>46319</v>
      </c>
      <c r="S16" s="169" t="inlineStr">
        <is>
          <t>2026-Q4</t>
        </is>
      </c>
      <c r="T16" s="171" t="inlineStr">
        <is>
          <t>sinkhole</t>
        </is>
      </c>
      <c r="U16" s="159"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9" t="n">
        <v>14</v>
      </c>
      <c r="B17" s="160" t="inlineStr">
        <is>
          <t>120 m deep sinkhole containing primeval forest discovered in Phong Nha-Ke Bang area</t>
        </is>
      </c>
      <c r="C17" s="178" t="inlineStr">
        <is>
          <t>Characterisation &amp; Modelling</t>
        </is>
      </c>
      <c r="D17" s="162" t="n">
        <v>4</v>
      </c>
      <c r="E17" s="163" t="inlineStr">
        <is>
          <t>Feature lead</t>
        </is>
      </c>
      <c r="F17" s="164" t="inlineStr">
        <is>
          <t>To review</t>
        </is>
      </c>
      <c r="G17" s="165" t="n"/>
      <c r="H17" s="166" t="n"/>
      <c r="I17" s="167" t="inlineStr">
        <is>
          <t>How are very deep karst sinkholes investigated, and what does their formation reveal about hazards around cave systems?</t>
        </is>
      </c>
      <c r="J17" s="167" t="inlineStr">
        <is>
          <t>Vietnam.vn</t>
        </is>
      </c>
      <c r="K17" s="168" t="n">
        <v>46320</v>
      </c>
      <c r="L17" s="167" t="inlineStr">
        <is>
          <t>퐁냐-케방 지역에서 원시림이 포함된 깊이 120미터의 싱크홀이 발견되었습니다.</t>
        </is>
      </c>
      <c r="M17" s="167" t="n"/>
      <c r="N17" s="169" t="inlineStr">
        <is>
          <t>Vietnam</t>
        </is>
      </c>
      <c r="O17" s="167" t="inlineStr">
        <is>
          <t>Phong Nha-Ke Bang</t>
        </is>
      </c>
      <c r="P17" s="167" t="inlineStr">
        <is>
          <t>Phong Nha-Ke Bang 120 m sinkhole discovery, Vietnam · Update · 4 reports</t>
        </is>
      </c>
      <c r="Q17" s="170" t="inlineStr">
        <is>
          <t>South Korea</t>
        </is>
      </c>
      <c r="R17" s="168" t="n">
        <v>46317</v>
      </c>
      <c r="S17" s="169" t="inlineStr">
        <is>
          <t>2026-Q4</t>
        </is>
      </c>
      <c r="T17" s="171" t="inlineStr">
        <is>
          <t>sinkhole</t>
        </is>
      </c>
      <c r="U17" s="159"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9" t="n">
        <v>15</v>
      </c>
      <c r="B18" s="160" t="inlineStr">
        <is>
          <t>Can Tho to invest over 500 billion dong in dykes against erosion at Cu Lao Dung</t>
        </is>
      </c>
      <c r="C18" s="176" t="inlineStr">
        <is>
          <t>Offshore, Coasts &amp; Water</t>
        </is>
      </c>
      <c r="D18" s="162" t="n">
        <v>4</v>
      </c>
      <c r="E18" s="163" t="inlineStr">
        <is>
          <t>Feature lead</t>
        </is>
      </c>
      <c r="F18" s="164" t="inlineStr">
        <is>
          <t>To review</t>
        </is>
      </c>
      <c r="G18" s="165" t="n"/>
      <c r="H18" s="166" t="n"/>
      <c r="I18" s="167" t="inlineStr">
        <is>
          <t>How should dyke and bank protection balance erosion control against settlement and stability on soft deltaic soils?</t>
        </is>
      </c>
      <c r="J18" s="167" t="inlineStr">
        <is>
          <t>Báo Nhân Dân điện tử</t>
        </is>
      </c>
      <c r="K18" s="168" t="n">
        <v>46320</v>
      </c>
      <c r="L18" s="167" t="inlineStr">
        <is>
          <t>Cần Thơ đầu tư hơn 500 tỷ đồng xây dựng đê phòng, chống sạt lở ở Cù Lao Dung</t>
        </is>
      </c>
      <c r="M18" s="167" t="n"/>
      <c r="N18" s="169" t="inlineStr">
        <is>
          <t>Vietnam</t>
        </is>
      </c>
      <c r="O18" s="167" t="inlineStr">
        <is>
          <t>Cu Lao Dung, Can Tho</t>
        </is>
      </c>
      <c r="P18" s="167" t="n"/>
      <c r="Q18" s="170" t="inlineStr">
        <is>
          <t>Vietnam</t>
        </is>
      </c>
      <c r="R18" s="168" t="n">
        <v>46319</v>
      </c>
      <c r="S18" s="169" t="inlineStr">
        <is>
          <t>2026-Q4</t>
        </is>
      </c>
      <c r="T18" s="171" t="inlineStr">
        <is>
          <t>landslide</t>
        </is>
      </c>
      <c r="U18" s="159"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Krong No river erosion in Lam Dong threatens irrigation works and farmland</t>
        </is>
      </c>
      <c r="C19" s="176" t="inlineStr">
        <is>
          <t>Offshore, Coasts &amp; Water</t>
        </is>
      </c>
      <c r="D19" s="162" t="n">
        <v>4</v>
      </c>
      <c r="E19" s="163" t="inlineStr">
        <is>
          <t>Feature lead</t>
        </is>
      </c>
      <c r="F19" s="164" t="inlineStr">
        <is>
          <t>To review</t>
        </is>
      </c>
      <c r="G19" s="165" t="n"/>
      <c r="H19" s="166" t="n"/>
      <c r="I19" s="167" t="inlineStr">
        <is>
          <t>How can riverbank erosion be assessed and countered to protect irrigation infrastructure and farmland?</t>
        </is>
      </c>
      <c r="J19" s="167" t="inlineStr">
        <is>
          <t>tin.skydoor.net</t>
        </is>
      </c>
      <c r="K19" s="168" t="n">
        <v>46320</v>
      </c>
      <c r="L19" s="167" t="inlineStr">
        <is>
          <t>Sạt lở sông Krông Nô tại Lâm Đồng đe dọa công trình thủy lợi và đất canh tác</t>
        </is>
      </c>
      <c r="M19" s="167" t="n"/>
      <c r="N19" s="169" t="inlineStr">
        <is>
          <t>Vietnam</t>
        </is>
      </c>
      <c r="O19" s="167" t="inlineStr">
        <is>
          <t>Krong No River, Lam Dong</t>
        </is>
      </c>
      <c r="P19" s="167" t="n"/>
      <c r="Q19" s="170" t="inlineStr">
        <is>
          <t>Vietnam</t>
        </is>
      </c>
      <c r="R19" s="168" t="n">
        <v>46319</v>
      </c>
      <c r="S19" s="169" t="inlineStr">
        <is>
          <t>2026-Q4</t>
        </is>
      </c>
      <c r="T19" s="171" t="inlineStr">
        <is>
          <t>landslide</t>
        </is>
      </c>
      <c r="U19" s="159"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9" t="n">
        <v>17</v>
      </c>
      <c r="B20" s="160" t="inlineStr">
        <is>
          <t>Accelerating clean-up work after landslides on Provincial Road 160 along the Chay River.</t>
        </is>
      </c>
      <c r="C20" s="161" t="inlineStr">
        <is>
          <t>Hazards &amp; Resilience</t>
        </is>
      </c>
      <c r="D20" s="162" t="n">
        <v>4</v>
      </c>
      <c r="E20" s="175" t="inlineStr">
        <is>
          <t>News brief</t>
        </is>
      </c>
      <c r="F20" s="164" t="inlineStr">
        <is>
          <t>To review</t>
        </is>
      </c>
      <c r="G20" s="165" t="n"/>
      <c r="H20" s="166" t="n"/>
      <c r="I20" s="167" t="inlineStr">
        <is>
          <t>What slope stabilisation and post-failure assessment methods are suited to repeated landslides along a road built beside a river valley?</t>
        </is>
      </c>
      <c r="J20" s="167" t="inlineStr">
        <is>
          <t>Vietnam.vn</t>
        </is>
      </c>
      <c r="K20" s="168" t="n">
        <v>46320</v>
      </c>
      <c r="L20" s="167" t="inlineStr">
        <is>
          <t>Agilizar las labores de saneamiento tras los deslizamientos de tierra ocurridos en la carretera provincial 160 a lo largo del río Chay.</t>
        </is>
      </c>
      <c r="M20" s="167" t="n"/>
      <c r="N20" s="169" t="inlineStr">
        <is>
          <t>Vietnam</t>
        </is>
      </c>
      <c r="O20" s="167" t="inlineStr">
        <is>
          <t>Provincial Road 160, Chay River</t>
        </is>
      </c>
      <c r="P20" s="167" t="inlineStr">
        <is>
          <t>Provincial Road 160 Chay River landslides, Vietnam (Oct 2026) · Response &amp; recovery · 2 reports</t>
        </is>
      </c>
      <c r="Q20" s="170" t="inlineStr">
        <is>
          <t>Spain</t>
        </is>
      </c>
      <c r="R20" s="168" t="n">
        <v>46320</v>
      </c>
      <c r="S20" s="169" t="inlineStr">
        <is>
          <t>2026-Q4</t>
        </is>
      </c>
      <c r="T20" s="171" t="inlineStr">
        <is>
          <t>landslide</t>
        </is>
      </c>
      <c r="U20" s="159"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9" t="n">
        <v>18</v>
      </c>
      <c r="B21" s="160" t="inlineStr">
        <is>
          <t>Tragedy in Tecate: a worker dies after being buried by an earth slope on 23 October.</t>
        </is>
      </c>
      <c r="C21" s="161" t="inlineStr">
        <is>
          <t>Hazards &amp; Resilience</t>
        </is>
      </c>
      <c r="D21" s="162" t="n">
        <v>4</v>
      </c>
      <c r="E21" s="163" t="inlineStr">
        <is>
          <t>Feature lead</t>
        </is>
      </c>
      <c r="F21" s="164" t="inlineStr">
        <is>
          <t>To review</t>
        </is>
      </c>
      <c r="G21" s="165" t="n"/>
      <c r="H21" s="166" t="n"/>
      <c r="I21" s="167" t="inlineStr">
        <is>
          <t>What failure mechanisms and excavation safety controls would have prevented a worker being buried by an earth slope during construction?</t>
        </is>
      </c>
      <c r="J21" s="167" t="inlineStr">
        <is>
          <t>El Congresista</t>
        </is>
      </c>
      <c r="K21" s="168" t="n">
        <v>46320</v>
      </c>
      <c r="L21" s="167" t="inlineStr">
        <is>
          <t>Tragedia en Tecate: un trabajador muere tras ser sepultado por un talud de tierra el 23 de octubre.</t>
        </is>
      </c>
      <c r="M21" s="167" t="n"/>
      <c r="N21" s="169" t="inlineStr">
        <is>
          <t>Mexico</t>
        </is>
      </c>
      <c r="O21" s="167" t="inlineStr">
        <is>
          <t>Tecate, Baja California</t>
        </is>
      </c>
      <c r="P21" s="167" t="n"/>
      <c r="Q21" s="170" t="inlineStr">
        <is>
          <t>Spain</t>
        </is>
      </c>
      <c r="R21" s="168" t="n">
        <v>46320</v>
      </c>
      <c r="S21" s="169" t="inlineStr">
        <is>
          <t>2026-Q4</t>
        </is>
      </c>
      <c r="T21" s="171" t="inlineStr">
        <is>
          <t>retaining wall</t>
        </is>
      </c>
      <c r="U21" s="159"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9" t="n">
        <v>19</v>
      </c>
      <c r="B22" s="160" t="inlineStr">
        <is>
          <t>Three homes destroyed after landslide in rural area of Moniquirá.</t>
        </is>
      </c>
      <c r="C22" s="161" t="inlineStr">
        <is>
          <t>Hazards &amp; Resilience</t>
        </is>
      </c>
      <c r="D22" s="162" t="n">
        <v>4</v>
      </c>
      <c r="E22" s="175" t="inlineStr">
        <is>
          <t>News brief</t>
        </is>
      </c>
      <c r="F22" s="164" t="inlineStr">
        <is>
          <t>To review</t>
        </is>
      </c>
      <c r="G22" s="165" t="n"/>
      <c r="H22" s="166" t="n"/>
      <c r="I22" s="167" t="inlineStr">
        <is>
          <t>What triggering conditions and hazard mapping would identify rural slopes at risk of landslides destroying housing?</t>
        </is>
      </c>
      <c r="J22" s="167" t="inlineStr">
        <is>
          <t>Noticias Caracol</t>
        </is>
      </c>
      <c r="K22" s="168" t="n">
        <v>46320</v>
      </c>
      <c r="L22" s="167" t="inlineStr">
        <is>
          <t>Tres viviendas quedaron destruidas tras deslizamiento en zona rural de Moniquirá</t>
        </is>
      </c>
      <c r="M22" s="167" t="n"/>
      <c r="N22" s="169" t="inlineStr">
        <is>
          <t>Colombia</t>
        </is>
      </c>
      <c r="O22" s="167" t="inlineStr">
        <is>
          <t>Moniquirá, Boyacá</t>
        </is>
      </c>
      <c r="P22" s="167" t="n"/>
      <c r="Q22" s="170" t="inlineStr">
        <is>
          <t>Mexico</t>
        </is>
      </c>
      <c r="R22" s="168" t="n">
        <v>46318</v>
      </c>
      <c r="S22" s="169" t="inlineStr">
        <is>
          <t>2026-Q4</t>
        </is>
      </c>
      <c r="T22" s="171" t="inlineStr">
        <is>
          <t>landslide</t>
        </is>
      </c>
      <c r="U22" s="159"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9" t="n">
        <v>20</v>
      </c>
      <c r="B23" s="160" t="inlineStr">
        <is>
          <t>Large landslide on Tofana di Dentro. No hikers involved.</t>
        </is>
      </c>
      <c r="C23" s="161" t="inlineStr">
        <is>
          <t>Hazards &amp; Resilience</t>
        </is>
      </c>
      <c r="D23" s="162" t="n">
        <v>4</v>
      </c>
      <c r="E23" s="163" t="inlineStr">
        <is>
          <t>Feature lead</t>
        </is>
      </c>
      <c r="F23" s="164" t="inlineStr">
        <is>
          <t>To review</t>
        </is>
      </c>
      <c r="G23" s="165" t="n"/>
      <c r="H23" s="166" t="n"/>
      <c r="I23" s="167" t="inlineStr">
        <is>
          <t>What controls rock slope instability in Dolomite mountains, and how can monitoring reduce risk to hikers from large rockfalls?</t>
        </is>
      </c>
      <c r="J23" s="167" t="inlineStr">
        <is>
          <t>Giornale Nord Est</t>
        </is>
      </c>
      <c r="K23" s="168" t="n">
        <v>46320</v>
      </c>
      <c r="L23" s="167" t="inlineStr">
        <is>
          <t>Frana di grandi dimensioni sulla Tofana di Dentro. Nessun escursionista coinvolto</t>
        </is>
      </c>
      <c r="M23" s="167" t="n"/>
      <c r="N23" s="169" t="inlineStr">
        <is>
          <t>Italy</t>
        </is>
      </c>
      <c r="O23" s="167" t="inlineStr">
        <is>
          <t>Tofana di Dentro, Dolomites</t>
        </is>
      </c>
      <c r="P23" s="167" t="n"/>
      <c r="Q23" s="170" t="inlineStr">
        <is>
          <t>Italy</t>
        </is>
      </c>
      <c r="R23" s="168" t="n">
        <v>46319</v>
      </c>
      <c r="S23" s="169" t="inlineStr">
        <is>
          <t>2026-Q4</t>
        </is>
      </c>
      <c r="T23" s="171" t="inlineStr">
        <is>
          <t>landslide</t>
        </is>
      </c>
      <c r="U23" s="159"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9" t="n">
        <v>21</v>
      </c>
      <c r="B24" s="160" t="inlineStr">
        <is>
          <t>Sicily, from the Niscemi landslide to Cyclone Harry: the Army rewards the Engineer Sappers.</t>
        </is>
      </c>
      <c r="C24" s="161" t="inlineStr">
        <is>
          <t>Hazards &amp; Resilience</t>
        </is>
      </c>
      <c r="D24" s="162" t="n">
        <v>4</v>
      </c>
      <c r="E24" s="163" t="inlineStr">
        <is>
          <t>Feature lead</t>
        </is>
      </c>
      <c r="F24" s="164" t="inlineStr">
        <is>
          <t>To review</t>
        </is>
      </c>
      <c r="G24" s="165" t="n"/>
      <c r="H24" s="166" t="n"/>
      <c r="I24" s="167" t="inlineStr">
        <is>
          <t>What lessons do the Niscemi landslide and Cyclone Harry offer about slope instability and engineering response in Sicily?</t>
        </is>
      </c>
      <c r="J24" s="167" t="inlineStr">
        <is>
          <t>StrettoWeb</t>
        </is>
      </c>
      <c r="K24" s="168" t="n">
        <v>46320</v>
      </c>
      <c r="L24" s="167" t="inlineStr">
        <is>
          <t>Sicilia, dalla frana di Niscemi al ciclone Harry: l’Esercito premia il Genio Guastatori</t>
        </is>
      </c>
      <c r="M24" s="167" t="n"/>
      <c r="N24" s="169" t="inlineStr">
        <is>
          <t>Italy</t>
        </is>
      </c>
      <c r="O24" s="167" t="inlineStr">
        <is>
          <t>Niscemi, Sicily</t>
        </is>
      </c>
      <c r="P24" s="167" t="n"/>
      <c r="Q24" s="170" t="inlineStr">
        <is>
          <t>Italy</t>
        </is>
      </c>
      <c r="R24" s="168" t="n">
        <v>46318</v>
      </c>
      <c r="S24" s="169" t="inlineStr">
        <is>
          <t>2026-Q4</t>
        </is>
      </c>
      <c r="T24" s="171" t="inlineStr">
        <is>
          <t>landslide</t>
        </is>
      </c>
      <c r="U24" s="159"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9" t="n">
        <v>22</v>
      </c>
      <c r="B25" s="160" t="inlineStr">
        <is>
          <t>Rapidly advancing clean-up work for landslides on Provincial Road 160 along the Chay River.</t>
        </is>
      </c>
      <c r="C25" s="161" t="inlineStr">
        <is>
          <t>Hazards &amp; Resilience</t>
        </is>
      </c>
      <c r="D25" s="162" t="n">
        <v>4</v>
      </c>
      <c r="E25" s="180" t="inlineStr">
        <is>
          <t>Watch only</t>
        </is>
      </c>
      <c r="F25" s="164" t="inlineStr">
        <is>
          <t>To review</t>
        </is>
      </c>
      <c r="G25" s="165" t="n"/>
      <c r="H25" s="166" t="n"/>
      <c r="I25" s="167" t="inlineStr">
        <is>
          <t>Duplicate of the Chay River road landslide clean-up story; monitor for follow-up on repair methods.</t>
        </is>
      </c>
      <c r="J25" s="167" t="inlineStr">
        <is>
          <t>Vietnam.vn</t>
        </is>
      </c>
      <c r="K25" s="168" t="n">
        <v>46320</v>
      </c>
      <c r="L25" s="167" t="inlineStr">
        <is>
          <t>チャイ川沿いの州道160号線における土砂崩れの復旧作業を迅速に進める。</t>
        </is>
      </c>
      <c r="M25" s="167" t="n"/>
      <c r="N25" s="169" t="inlineStr">
        <is>
          <t>Vietnam</t>
        </is>
      </c>
      <c r="O25" s="167" t="inlineStr">
        <is>
          <t>Provincial Road 160, Chay River</t>
        </is>
      </c>
      <c r="P25" s="167" t="inlineStr">
        <is>
          <t>Provincial Road 160 Chay River landslides, Vietnam (Oct 2026) · Response &amp; recovery · 2 reports</t>
        </is>
      </c>
      <c r="Q25" s="170" t="inlineStr">
        <is>
          <t>Japan</t>
        </is>
      </c>
      <c r="R25" s="168" t="n">
        <v>46320</v>
      </c>
      <c r="S25" s="169" t="inlineStr">
        <is>
          <t>2026-Q4</t>
        </is>
      </c>
      <c r="T25" s="171" t="inlineStr">
        <is>
          <t>landslide</t>
        </is>
      </c>
      <c r="U25" s="159"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9" t="n">
        <v>23</v>
      </c>
      <c r="B26" s="160" t="inlineStr">
        <is>
          <t>Special feature: landslides frequent after Typhoon 25; hidden danger in Chiba's Bōsō Peninsula terrain, 'high valley density'.</t>
        </is>
      </c>
      <c r="C26" s="161" t="inlineStr">
        <is>
          <t>Hazards &amp; Resilience</t>
        </is>
      </c>
      <c r="D26" s="162" t="n">
        <v>4</v>
      </c>
      <c r="E26" s="163" t="inlineStr">
        <is>
          <t>Feature lead</t>
        </is>
      </c>
      <c r="F26" s="164" t="inlineStr">
        <is>
          <t>To review</t>
        </is>
      </c>
      <c r="G26" s="165" t="n"/>
      <c r="H26" s="166" t="n"/>
      <c r="I26" s="167" t="inlineStr">
        <is>
          <t>Why does valley density in the Bōsō Peninsula terrain increase landslide hazard during typhoon rainfall, and how should it be mapped?</t>
        </is>
      </c>
      <c r="J26" s="167" t="inlineStr">
        <is>
          <t>Yahoo!ニュース</t>
        </is>
      </c>
      <c r="K26" s="168" t="n">
        <v>46320</v>
      </c>
      <c r="L26" s="167" t="inlineStr">
        <is>
          <t>【特集】台風25号で土砂崩れ多発 千葉・房総半島の地形に潜む危険 「谷密度が高い」 (チバテレ)</t>
        </is>
      </c>
      <c r="M26" s="167" t="n"/>
      <c r="N26" s="169" t="inlineStr">
        <is>
          <t>Japan</t>
        </is>
      </c>
      <c r="O26" s="167" t="inlineStr">
        <is>
          <t>Bōsō Peninsula, Chiba</t>
        </is>
      </c>
      <c r="P26" s="167" t="inlineStr">
        <is>
          <t>Typhoon 25 landslides, Bōsō Peninsula, Japan (Oct 2026) · Investigation &amp; inquiry · 2 reports</t>
        </is>
      </c>
      <c r="Q26" s="170" t="inlineStr">
        <is>
          <t>Japan</t>
        </is>
      </c>
      <c r="R26" s="168" t="n">
        <v>46318</v>
      </c>
      <c r="S26" s="169" t="inlineStr">
        <is>
          <t>2026-Q4</t>
        </is>
      </c>
      <c r="T26" s="171" t="inlineStr">
        <is>
          <t>landslide</t>
        </is>
      </c>
      <c r="U26" s="159"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9" t="n">
        <v>24</v>
      </c>
      <c r="B27" s="160" t="inlineStr">
        <is>
          <t>Forestry expert with 20 years' experience: newly found sinkhole in Pong Nha–Ke Bang is a 'difficult problem to solve'.</t>
        </is>
      </c>
      <c r="C27" s="161" t="inlineStr">
        <is>
          <t>Hazards &amp; Resilience</t>
        </is>
      </c>
      <c r="D27" s="162" t="n">
        <v>4</v>
      </c>
      <c r="E27" s="163" t="inlineStr">
        <is>
          <t>Feature lead</t>
        </is>
      </c>
      <c r="F27" s="164" t="inlineStr">
        <is>
          <t>To review</t>
        </is>
      </c>
      <c r="G27" s="165" t="n"/>
      <c r="H27" s="166" t="n"/>
      <c r="I27" s="167" t="inlineStr">
        <is>
          <t>Why are sinkholes in karst or soluble terrain so difficult to resolve, and what investigation methods identify them early?</t>
        </is>
      </c>
      <c r="J27" s="167" t="inlineStr">
        <is>
          <t>Vietnam.vn</t>
        </is>
      </c>
      <c r="K27" s="168" t="n">
        <v>46320</v>
      </c>
      <c r="L27" s="167" t="inlineStr">
        <is>
          <t>20년 경력의 산림 전문가: 퐁냐-케방에서 새로 발견된 싱크홀은 "해결하기 어려운 문제"다.</t>
        </is>
      </c>
      <c r="M27" s="167" t="n"/>
      <c r="N27" s="169" t="inlineStr">
        <is>
          <t>Vietnam</t>
        </is>
      </c>
      <c r="O27" s="167" t="inlineStr">
        <is>
          <t>Phong Nha–Ke Bang</t>
        </is>
      </c>
      <c r="P27" s="167" t="inlineStr">
        <is>
          <t>Phong Nha-Ke Bang 120 m sinkhole discovery, Vietnam · Update · 4 reports</t>
        </is>
      </c>
      <c r="Q27" s="170" t="inlineStr">
        <is>
          <t>South Korea</t>
        </is>
      </c>
      <c r="R27" s="168" t="n">
        <v>46320</v>
      </c>
      <c r="S27" s="169" t="inlineStr">
        <is>
          <t>2026-Q4</t>
        </is>
      </c>
      <c r="T27" s="171" t="inlineStr">
        <is>
          <t>sinkhole</t>
        </is>
      </c>
      <c r="U27" s="159"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Body of doctor pulled from rubble, residents evacuated after Paya Terubong landslide</t>
        </is>
      </c>
      <c r="C28" s="161" t="inlineStr">
        <is>
          <t>Hazards &amp; Resilience</t>
        </is>
      </c>
      <c r="D28" s="162" t="n">
        <v>4</v>
      </c>
      <c r="E28" s="163" t="inlineStr">
        <is>
          <t>Feature lead</t>
        </is>
      </c>
      <c r="F28" s="164" t="inlineStr">
        <is>
          <t>To review</t>
        </is>
      </c>
      <c r="G28" s="165" t="n"/>
      <c r="H28" s="166" t="n"/>
      <c r="I28" s="167" t="inlineStr">
        <is>
          <t>What triggered the fatal Paya Terubong hillside failure, and how should residential slopes be assessed before evacuation and recovery?</t>
        </is>
      </c>
      <c r="J28" s="167" t="inlineStr">
        <is>
          <t>Malay Mail</t>
        </is>
      </c>
      <c r="K28" s="168" t="n">
        <v>46320</v>
      </c>
      <c r="L28" s="167" t="n"/>
      <c r="M28" s="167" t="n"/>
      <c r="N28" s="169" t="inlineStr">
        <is>
          <t>Malaysia</t>
        </is>
      </c>
      <c r="O28" s="167" t="inlineStr">
        <is>
          <t>Paya Terubong, Penang</t>
        </is>
      </c>
      <c r="P28" s="167" t="inlineStr">
        <is>
          <t>Paya Terubong landslide, Penang, Malaysia (Oct 2026) · Response &amp; recovery · 3 reports</t>
        </is>
      </c>
      <c r="Q28" s="170" t="inlineStr">
        <is>
          <t>United Kingdom</t>
        </is>
      </c>
      <c r="R28" s="168" t="n">
        <v>46320</v>
      </c>
      <c r="S28" s="169" t="inlineStr">
        <is>
          <t>2026-Q4</t>
        </is>
      </c>
      <c r="T28" s="171" t="inlineStr">
        <is>
          <t>landslide</t>
        </is>
      </c>
      <c r="U28" s="159"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9" t="n">
        <v>26</v>
      </c>
      <c r="B29" s="160" t="inlineStr">
        <is>
          <t>Penang council halts hillside construction, roadworks after fatal landslide</t>
        </is>
      </c>
      <c r="C29" s="161" t="inlineStr">
        <is>
          <t>Hazards &amp; Resilience</t>
        </is>
      </c>
      <c r="D29" s="162" t="n">
        <v>4</v>
      </c>
      <c r="E29" s="163" t="inlineStr">
        <is>
          <t>Feature lead</t>
        </is>
      </c>
      <c r="F29" s="164" t="inlineStr">
        <is>
          <t>To review</t>
        </is>
      </c>
      <c r="G29" s="165" t="n"/>
      <c r="H29" s="166" t="n"/>
      <c r="I29" s="167" t="inlineStr">
        <is>
          <t>Should hillside development be halted after a fatal landslide, and what slope stability criteria should govern such construction?</t>
        </is>
      </c>
      <c r="J29" s="167" t="inlineStr">
        <is>
          <t>The Sun Malaysia</t>
        </is>
      </c>
      <c r="K29" s="168" t="n">
        <v>46320</v>
      </c>
      <c r="L29" s="167" t="n"/>
      <c r="M29" s="167" t="n"/>
      <c r="N29" s="169" t="inlineStr">
        <is>
          <t>Malaysia</t>
        </is>
      </c>
      <c r="O29" s="167" t="inlineStr">
        <is>
          <t>Penang hillside</t>
        </is>
      </c>
      <c r="P29" s="167" t="inlineStr">
        <is>
          <t>Paya Terubong landslide, Penang, Malaysia (Oct 2026) · Legal &amp; policy · 3 reports</t>
        </is>
      </c>
      <c r="Q29" s="170" t="inlineStr">
        <is>
          <t>United Kingdom</t>
        </is>
      </c>
      <c r="R29" s="168" t="n">
        <v>46320</v>
      </c>
      <c r="S29" s="169" t="inlineStr">
        <is>
          <t>2026-Q4</t>
        </is>
      </c>
      <c r="T29" s="171" t="inlineStr">
        <is>
          <t>landslide</t>
        </is>
      </c>
      <c r="U29" s="159"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9" t="n">
        <v>27</v>
      </c>
      <c r="B30" s="160" t="inlineStr">
        <is>
          <t>Rain batters Nilgiris; landslide buries government bus, driver loses life</t>
        </is>
      </c>
      <c r="C30" s="161" t="inlineStr">
        <is>
          <t>Hazards &amp; Resilience</t>
        </is>
      </c>
      <c r="D30" s="162" t="n">
        <v>4</v>
      </c>
      <c r="E30" s="175" t="inlineStr">
        <is>
          <t>News brief</t>
        </is>
      </c>
      <c r="F30" s="164" t="inlineStr">
        <is>
          <t>To review</t>
        </is>
      </c>
      <c r="G30" s="165" t="n"/>
      <c r="H30" s="166" t="n"/>
      <c r="I30" s="167" t="inlineStr">
        <is>
          <t>How can landslide risk on hill-road corridors be managed when a government bus is buried during heavy rain?</t>
        </is>
      </c>
      <c r="J30" s="167" t="inlineStr">
        <is>
          <t>The New Indian Express</t>
        </is>
      </c>
      <c r="K30" s="168" t="n">
        <v>46320</v>
      </c>
      <c r="L30" s="167" t="n"/>
      <c r="M30" s="167" t="n"/>
      <c r="N30" s="169" t="inlineStr">
        <is>
          <t>India</t>
        </is>
      </c>
      <c r="O30" s="167" t="inlineStr">
        <is>
          <t>Nilgiris, Tamil Nadu</t>
        </is>
      </c>
      <c r="P30" s="167" t="n"/>
      <c r="Q30" s="170" t="inlineStr">
        <is>
          <t>United Kingdom</t>
        </is>
      </c>
      <c r="R30" s="168" t="n">
        <v>46320</v>
      </c>
      <c r="S30" s="169" t="inlineStr">
        <is>
          <t>2026-Q4</t>
        </is>
      </c>
      <c r="T30" s="171" t="inlineStr">
        <is>
          <t>landslide</t>
        </is>
      </c>
      <c r="U30" s="159"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[Land disappearing beneath the sea] Double attack of climate-driven sea-level rise and ground subsidence; global lands vanishing from maps.</t>
        </is>
      </c>
      <c r="C31" s="176" t="inlineStr">
        <is>
          <t>Offshore, Coasts &amp; Water</t>
        </is>
      </c>
      <c r="D31" s="162" t="n">
        <v>4</v>
      </c>
      <c r="E31" s="163" t="inlineStr">
        <is>
          <t>Feature lead</t>
        </is>
      </c>
      <c r="F31" s="164" t="inlineStr">
        <is>
          <t>To review</t>
        </is>
      </c>
      <c r="G31" s="165" t="n"/>
      <c r="H31" s="166" t="n"/>
      <c r="I31" s="167" t="inlineStr">
        <is>
          <t>How do sea-level rise and land subsidence combine to lower coastal ground, and what engineering responses can slow the loss of land?</t>
        </is>
      </c>
      <c r="J31" s="167" t="inlineStr">
        <is>
          <t>AI넷</t>
        </is>
      </c>
      <c r="K31" s="168" t="n">
        <v>46320</v>
      </c>
      <c r="L31" s="167" t="inlineStr">
        <is>
          <t>[국토가 바닷속으로 사라진다] 기후변화 발 해수면 상승·지반 침하의 이중 습격, 지도에서 지워지는 지구촌</t>
        </is>
      </c>
      <c r="M31" s="167" t="n"/>
      <c r="N31" s="169" t="n"/>
      <c r="O31" s="167" t="n"/>
      <c r="P31" s="167" t="n"/>
      <c r="Q31" s="170" t="inlineStr">
        <is>
          <t>South Korea</t>
        </is>
      </c>
      <c r="R31" s="168" t="n">
        <v>46320</v>
      </c>
      <c r="S31" s="169" t="inlineStr">
        <is>
          <t>2026-Q4</t>
        </is>
      </c>
      <c r="T31" s="171" t="inlineStr">
        <is>
          <t>subsidence</t>
        </is>
      </c>
      <c r="U31" s="159"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Shield 'Nadezhda' completes tunnelling to future metro stations in Primorsky district</t>
        </is>
      </c>
      <c r="C32" s="177" t="inlineStr">
        <is>
          <t>Infrastructure &amp; the Underground City</t>
        </is>
      </c>
      <c r="D32" s="162" t="n">
        <v>4</v>
      </c>
      <c r="E32" s="175" t="inlineStr">
        <is>
          <t>News brief</t>
        </is>
      </c>
      <c r="F32" s="164" t="inlineStr">
        <is>
          <t>To review</t>
        </is>
      </c>
      <c r="G32" s="165" t="n"/>
      <c r="H32" s="166" t="n"/>
      <c r="I32" s="167" t="inlineStr">
        <is>
          <t>How did the shield tunnelling through the local soils, with groundwater and face-stability conditions, shape the progress of the St Petersburg metro extension?</t>
        </is>
      </c>
      <c r="J32" s="167" t="inlineStr">
        <is>
          <t>Piter.tv</t>
        </is>
      </c>
      <c r="K32" s="168" t="n">
        <v>46320</v>
      </c>
      <c r="L32" s="167" t="inlineStr">
        <is>
          <t>Щит "Надежда" завершил проходку тоннеля к будущим станциям метро Приморского района</t>
        </is>
      </c>
      <c r="M32" s="167" t="n"/>
      <c r="N32" s="169" t="inlineStr">
        <is>
          <t>Russia</t>
        </is>
      </c>
      <c r="O32" s="167" t="inlineStr">
        <is>
          <t>Primorsky district, St Petersburg</t>
        </is>
      </c>
      <c r="P32" s="167" t="n"/>
      <c r="Q32" s="170" t="inlineStr">
        <is>
          <t>Russia</t>
        </is>
      </c>
      <c r="R32" s="168" t="n">
        <v>46318</v>
      </c>
      <c r="S32" s="169" t="inlineStr">
        <is>
          <t>2026-Q4</t>
        </is>
      </c>
      <c r="T32" s="171" t="inlineStr">
        <is>
          <t>tunnel, metro line</t>
        </is>
      </c>
      <c r="U32" s="159"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9" t="n">
        <v>30</v>
      </c>
      <c r="B33" s="160" t="inlineStr">
        <is>
          <t>Experts comment on the plan to level Mot mountain in Quy Nhon</t>
        </is>
      </c>
      <c r="C33" s="177" t="inlineStr">
        <is>
          <t>Infrastructure &amp; the Underground City</t>
        </is>
      </c>
      <c r="D33" s="162" t="n">
        <v>4</v>
      </c>
      <c r="E33" s="163" t="inlineStr">
        <is>
          <t>Feature lead</t>
        </is>
      </c>
      <c r="F33" s="164" t="inlineStr">
        <is>
          <t>To review</t>
        </is>
      </c>
      <c r="G33" s="165" t="n"/>
      <c r="H33" s="166" t="n"/>
      <c r="I33" s="167" t="inlineStr">
        <is>
          <t>What are the slope stability, rock-cutting and environmental trade-offs in levelling a granite mountain inside an urban area, and how should experts weigh them?</t>
        </is>
      </c>
      <c r="J33" s="167" t="inlineStr">
        <is>
          <t>Vietnam.vn</t>
        </is>
      </c>
      <c r="K33" s="168" t="n">
        <v>46320</v>
      </c>
      <c r="L33" s="167" t="inlineStr">
        <is>
          <t>Des experts s'expriment sur le projet de rasage du mont Mot à Quy Nhon.</t>
        </is>
      </c>
      <c r="M33" s="167" t="n"/>
      <c r="N33" s="169" t="inlineStr">
        <is>
          <t>Vietnam</t>
        </is>
      </c>
      <c r="O33" s="167" t="inlineStr">
        <is>
          <t>Mot Mountain, Quy Nhon</t>
        </is>
      </c>
      <c r="P33" s="167" t="inlineStr">
        <is>
          <t>Mot Mountain levelling proposal, Quy Nhon, Vietnam · Update · 2 reports</t>
        </is>
      </c>
      <c r="Q33" s="170" t="inlineStr">
        <is>
          <t>France</t>
        </is>
      </c>
      <c r="R33" s="168" t="n">
        <v>46318</v>
      </c>
      <c r="S33" s="169" t="inlineStr">
        <is>
          <t>2026-Q4</t>
        </is>
      </c>
      <c r="T33" s="171" t="n"/>
      <c r="U33" s="159"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Imperial advances planning of block caving method at Red Chris mine</t>
        </is>
      </c>
      <c r="C34" s="177" t="inlineStr">
        <is>
          <t>Infrastructure &amp; the Underground City</t>
        </is>
      </c>
      <c r="D34" s="162" t="n">
        <v>4</v>
      </c>
      <c r="E34" s="181" t="inlineStr">
        <is>
          <t>Academia-to-Industry topic</t>
        </is>
      </c>
      <c r="F34" s="164" t="inlineStr">
        <is>
          <t>To review</t>
        </is>
      </c>
      <c r="G34" s="165" t="n"/>
      <c r="H34" s="166" t="n"/>
      <c r="I34" s="167" t="inlineStr">
        <is>
          <t>What geomechanical data and rock mass characterisation are needed to plan block caving sequences safely in a large porphyry copper mine?</t>
        </is>
      </c>
      <c r="J34" s="167" t="inlineStr">
        <is>
          <t>MarketScreener España</t>
        </is>
      </c>
      <c r="K34" s="168" t="n">
        <v>46320</v>
      </c>
      <c r="L34" s="167" t="inlineStr">
        <is>
          <t>Imperial avanza en la planificación del método de hundimiento por bloques en la mina Red Chris</t>
        </is>
      </c>
      <c r="M34" s="167" t="n"/>
      <c r="N34" s="169" t="inlineStr">
        <is>
          <t>Canada</t>
        </is>
      </c>
      <c r="O34" s="167" t="inlineStr">
        <is>
          <t>Red Chris mine</t>
        </is>
      </c>
      <c r="P34" s="167" t="n"/>
      <c r="Q34" s="170" t="inlineStr">
        <is>
          <t>Argentina</t>
        </is>
      </c>
      <c r="R34" s="168" t="n">
        <v>46318</v>
      </c>
      <c r="S34" s="169" t="inlineStr">
        <is>
          <t>2026-Q4</t>
        </is>
      </c>
      <c r="T34" s="171" t="n"/>
      <c r="U34" s="159"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9" t="n">
        <v>32</v>
      </c>
      <c r="B35" s="160" t="inlineStr">
        <is>
          <t>SAM demands answers over fatal Penang landslide which killed doctor</t>
        </is>
      </c>
      <c r="C35" s="182" t="inlineStr">
        <is>
          <t>Geotechnics &amp; Society</t>
        </is>
      </c>
      <c r="D35" s="162" t="n">
        <v>3</v>
      </c>
      <c r="E35" s="175" t="inlineStr">
        <is>
          <t>News brief</t>
        </is>
      </c>
      <c r="F35" s="164" t="inlineStr">
        <is>
          <t>To review</t>
        </is>
      </c>
      <c r="G35" s="165" t="n"/>
      <c r="H35" s="166" t="n"/>
      <c r="I35" s="167" t="inlineStr">
        <is>
          <t>What accountability and slope regulation gaps are revealed after a fatal landslide in a hillside urban area?</t>
        </is>
      </c>
      <c r="J35" s="167" t="inlineStr">
        <is>
          <t>NST Online</t>
        </is>
      </c>
      <c r="K35" s="168" t="n">
        <v>46320</v>
      </c>
      <c r="L35" s="167" t="n"/>
      <c r="M35" s="167" t="n"/>
      <c r="N35" s="169" t="inlineStr">
        <is>
          <t>Malaysia</t>
        </is>
      </c>
      <c r="O35" s="167" t="inlineStr">
        <is>
          <t>Penang</t>
        </is>
      </c>
      <c r="P35" s="167" t="inlineStr">
        <is>
          <t>Paya Terubong landslide, Penang, Malaysia (Oct 2026) · Legal &amp; policy · 3 reports</t>
        </is>
      </c>
      <c r="Q35" s="170" t="inlineStr">
        <is>
          <t>United Kingdom</t>
        </is>
      </c>
      <c r="R35" s="168" t="n">
        <v>46320</v>
      </c>
      <c r="S35" s="169" t="inlineStr">
        <is>
          <t>2026-Q4</t>
        </is>
      </c>
      <c r="T35" s="171" t="inlineStr">
        <is>
          <t>landslide</t>
        </is>
      </c>
      <c r="U35" s="159"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9" t="n">
        <v>33</v>
      </c>
      <c r="B36" s="160" t="inlineStr">
        <is>
          <t>'The 1956 Landslide and the Church of San Pietro': photographic exhibition extended</t>
        </is>
      </c>
      <c r="C36" s="182" t="inlineStr">
        <is>
          <t>Geotechnics &amp; Society</t>
        </is>
      </c>
      <c r="D36" s="162" t="n">
        <v>3</v>
      </c>
      <c r="E36" s="180" t="inlineStr">
        <is>
          <t>Watch only</t>
        </is>
      </c>
      <c r="F36" s="164" t="inlineStr">
        <is>
          <t>To review</t>
        </is>
      </c>
      <c r="G36" s="165" t="n"/>
      <c r="H36" s="166" t="n"/>
      <c r="I36" s="167" t="inlineStr">
        <is>
          <t>How did the 1956 landslide shape settlement decisions and church site safety, and what does that history teach about landslide memory?</t>
        </is>
      </c>
      <c r="J36" s="167" t="inlineStr">
        <is>
          <t>Trigno.net</t>
        </is>
      </c>
      <c r="K36" s="168" t="n">
        <v>46320</v>
      </c>
      <c r="L36" s="167" t="inlineStr">
        <is>
          <t>"La Frana del 1956 e la Chiesa di San Pietro", prorogata la mostra fotografica</t>
        </is>
      </c>
      <c r="M36" s="167" t="n"/>
      <c r="N36" s="169" t="inlineStr">
        <is>
          <t>Italy</t>
        </is>
      </c>
      <c r="O36" s="167" t="n"/>
      <c r="P36" s="167" t="n"/>
      <c r="Q36" s="170" t="inlineStr">
        <is>
          <t>Italy</t>
        </is>
      </c>
      <c r="R36" s="168" t="n">
        <v>46319</v>
      </c>
      <c r="S36" s="169" t="inlineStr">
        <is>
          <t>2026-Q4</t>
        </is>
      </c>
      <c r="T36" s="171" t="inlineStr">
        <is>
          <t>landslide</t>
        </is>
      </c>
      <c r="U36" s="159"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9" t="n">
        <v>34</v>
      </c>
      <c r="B37" s="160" t="inlineStr">
        <is>
          <t>Exploring Phong Nha-Ke Bang’s famous sinkholes</t>
        </is>
      </c>
      <c r="C37" s="178" t="inlineStr">
        <is>
          <t>Characterisation &amp; Modelling</t>
        </is>
      </c>
      <c r="D37" s="162" t="n">
        <v>3</v>
      </c>
      <c r="E37" s="183" t="inlineStr">
        <is>
          <t>Regional insight</t>
        </is>
      </c>
      <c r="F37" s="164" t="inlineStr">
        <is>
          <t>To review</t>
        </is>
      </c>
      <c r="G37" s="165" t="n"/>
      <c r="H37" s="166" t="n"/>
      <c r="I37" s="167" t="inlineStr">
        <is>
          <t>How can karst cave systems and sinkhole susceptibility be mapped and characterised in tropical limestone terrain for tourism and infrastructure?</t>
        </is>
      </c>
      <c r="J37" s="167" t="inlineStr">
        <is>
          <t>DTiNews</t>
        </is>
      </c>
      <c r="K37" s="168" t="n">
        <v>46320</v>
      </c>
      <c r="L37" s="167" t="n"/>
      <c r="M37" s="167" t="n"/>
      <c r="N37" s="169" t="inlineStr">
        <is>
          <t>Vietnam</t>
        </is>
      </c>
      <c r="O37" s="167" t="inlineStr">
        <is>
          <t>Phong Nha-Ke Bang</t>
        </is>
      </c>
      <c r="P37" s="167" t="n"/>
      <c r="Q37" s="170" t="inlineStr">
        <is>
          <t>United Kingdom</t>
        </is>
      </c>
      <c r="R37" s="168" t="n">
        <v>46320</v>
      </c>
      <c r="S37" s="169" t="inlineStr">
        <is>
          <t>2026-Q4</t>
        </is>
      </c>
      <c r="T37" s="171" t="inlineStr">
        <is>
          <t>sinkhole</t>
        </is>
      </c>
      <c r="U37" s="159"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Dong Thap province spends 330 billion dong to tackle landslide-hit areas</t>
        </is>
      </c>
      <c r="C38" s="176" t="inlineStr">
        <is>
          <t>Offshore, Coasts &amp; Water</t>
        </is>
      </c>
      <c r="D38" s="162" t="n">
        <v>3</v>
      </c>
      <c r="E38" s="183" t="inlineStr">
        <is>
          <t>Regional insight</t>
        </is>
      </c>
      <c r="F38" s="164" t="inlineStr">
        <is>
          <t>To review</t>
        </is>
      </c>
      <c r="G38" s="165" t="n"/>
      <c r="H38" s="166" t="n"/>
      <c r="I38" s="167" t="inlineStr">
        <is>
          <t>How does riverbank failure in the Mekong delta drive the cost and design choice between revetments and managed retreat?</t>
        </is>
      </c>
      <c r="J38" s="167" t="inlineStr">
        <is>
          <t>Vietnam.vn</t>
        </is>
      </c>
      <c r="K38" s="168" t="n">
        <v>46320</v>
      </c>
      <c r="L38" s="167" t="inlineStr">
        <is>
          <t>La provincia di Dong Thap spende 330 miliardi di dong vietnamiti per affrontare le zone colpite dalle frane.</t>
        </is>
      </c>
      <c r="M38" s="167" t="n"/>
      <c r="N38" s="169" t="inlineStr">
        <is>
          <t>Vietnam</t>
        </is>
      </c>
      <c r="O38" s="167" t="inlineStr">
        <is>
          <t>Dong Thap province</t>
        </is>
      </c>
      <c r="P38" s="167" t="n"/>
      <c r="Q38" s="170" t="inlineStr">
        <is>
          <t>Italy</t>
        </is>
      </c>
      <c r="R38" s="168" t="n">
        <v>46318</v>
      </c>
      <c r="S38" s="169" t="inlineStr">
        <is>
          <t>2026-Q4</t>
        </is>
      </c>
      <c r="T38" s="171" t="inlineStr">
        <is>
          <t>landslide</t>
        </is>
      </c>
      <c r="U38" s="159"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9" t="n">
        <v>36</v>
      </c>
      <c r="B39" s="160" t="inlineStr">
        <is>
          <t>Un socavón en Cerro se llena de agua y amenaza a peatones y conductores tras las lluvias</t>
        </is>
      </c>
      <c r="C39" s="177" t="inlineStr">
        <is>
          <t>Infrastructure &amp; the Underground City</t>
        </is>
      </c>
      <c r="D39" s="162" t="n">
        <v>3</v>
      </c>
      <c r="E39" s="175" t="inlineStr">
        <is>
          <t>News brief</t>
        </is>
      </c>
      <c r="F39" s="164" t="inlineStr">
        <is>
          <t>To review</t>
        </is>
      </c>
      <c r="G39" s="165" t="n"/>
      <c r="H39" s="166" t="n"/>
      <c r="I39" s="167" t="inlineStr">
        <is>
          <t>What causes water-filled sinkholes to form in urban ground after rainfall, and how should pedestrian and traffic exclusion zones be set?</t>
        </is>
      </c>
      <c r="J39" s="167" t="inlineStr">
        <is>
          <t>Infobae</t>
        </is>
      </c>
      <c r="K39" s="168" t="n">
        <v>46320</v>
      </c>
      <c r="L39" s="167" t="n"/>
      <c r="M39" s="167" t="n"/>
      <c r="N39" s="169" t="n"/>
      <c r="O39" s="167" t="inlineStr">
        <is>
          <t>Cerro</t>
        </is>
      </c>
      <c r="P39" s="167" t="n"/>
      <c r="Q39" s="170" t="inlineStr">
        <is>
          <t>Colombia</t>
        </is>
      </c>
      <c r="R39" s="168" t="n">
        <v>46319</v>
      </c>
      <c r="S39" s="169" t="inlineStr">
        <is>
          <t>2026-Q4</t>
        </is>
      </c>
      <c r="T39" s="171" t="inlineStr">
        <is>
          <t>sinkhole</t>
        </is>
      </c>
      <c r="U39" s="159"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9" t="n">
        <v>37</v>
      </c>
      <c r="B40" s="160" t="inlineStr">
        <is>
          <t>A sinkhole trapped an ambulance transporting a patient</t>
        </is>
      </c>
      <c r="C40" s="177" t="inlineStr">
        <is>
          <t>Infrastructure &amp; the Underground City</t>
        </is>
      </c>
      <c r="D40" s="162" t="n">
        <v>3</v>
      </c>
      <c r="E40" s="175" t="inlineStr">
        <is>
          <t>News brief</t>
        </is>
      </c>
      <c r="F40" s="164" t="inlineStr">
        <is>
          <t>To review</t>
        </is>
      </c>
      <c r="G40" s="165" t="n"/>
      <c r="H40" s="166" t="n"/>
      <c r="I40" s="167" t="inlineStr">
        <is>
          <t>What ground investigation is needed to explain sudden road sinkholes that trap emergency vehicles on mountain-road pavements?</t>
        </is>
      </c>
      <c r="J40" s="167" t="inlineStr">
        <is>
          <t>Diario 7 lagos</t>
        </is>
      </c>
      <c r="K40" s="168" t="n">
        <v>46320</v>
      </c>
      <c r="L40" s="167" t="inlineStr">
        <is>
          <t>Un socavón dejó atrapada a una ambulancia que trasladaba a una paciente</t>
        </is>
      </c>
      <c r="M40" s="167" t="n"/>
      <c r="N40" s="169" t="inlineStr">
        <is>
          <t>Argentina</t>
        </is>
      </c>
      <c r="O40" s="167" t="inlineStr">
        <is>
          <t>Siete Lagos, Patagonia</t>
        </is>
      </c>
      <c r="P40" s="167" t="inlineStr">
        <is>
          <t>Aucapán road sinkhole traps ambulance, Argentina (Oct 2026) · Event · 2 reports</t>
        </is>
      </c>
      <c r="Q40" s="170" t="inlineStr">
        <is>
          <t>Colombia</t>
        </is>
      </c>
      <c r="R40" s="168" t="n">
        <v>46319</v>
      </c>
      <c r="S40" s="169" t="inlineStr">
        <is>
          <t>2026-Q4</t>
        </is>
      </c>
      <c r="T40" s="171" t="inlineStr">
        <is>
          <t>sinkhole</t>
        </is>
      </c>
      <c r="U40" s="159"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Sinkhole endangers motorists and pedestrians in the 21 de Marzo neighbourhood</t>
        </is>
      </c>
      <c r="C41" s="177" t="inlineStr">
        <is>
          <t>Infrastructure &amp; the Underground City</t>
        </is>
      </c>
      <c r="D41" s="162" t="n">
        <v>3</v>
      </c>
      <c r="E41" s="175" t="inlineStr">
        <is>
          <t>News brief</t>
        </is>
      </c>
      <c r="F41" s="164" t="inlineStr">
        <is>
          <t>To review</t>
        </is>
      </c>
      <c r="G41" s="165" t="n"/>
      <c r="H41" s="166" t="n"/>
      <c r="I41" s="167" t="inlineStr">
        <is>
          <t>What are the likely causes of urban road sinkholes, such as leaking pipes or subsurface erosion, and how should they be detected early?</t>
        </is>
      </c>
      <c r="J41" s="167" t="inlineStr">
        <is>
          <t>El Sol de México</t>
        </is>
      </c>
      <c r="K41" s="168" t="n">
        <v>46320</v>
      </c>
      <c r="L41" s="167" t="inlineStr">
        <is>
          <t>Socavón pone en riesgo a automovilistas y peatones en la colonia 21 de Marzo</t>
        </is>
      </c>
      <c r="M41" s="167" t="n"/>
      <c r="N41" s="169" t="inlineStr">
        <is>
          <t>Mexico</t>
        </is>
      </c>
      <c r="O41" s="167" t="inlineStr">
        <is>
          <t>Colonia 21 de Marzo</t>
        </is>
      </c>
      <c r="P41" s="167" t="n"/>
      <c r="Q41" s="170" t="inlineStr">
        <is>
          <t>Colombia</t>
        </is>
      </c>
      <c r="R41" s="168" t="n">
        <v>46320</v>
      </c>
      <c r="S41" s="169" t="inlineStr">
        <is>
          <t>2026-Q4</t>
        </is>
      </c>
      <c r="T41" s="171" t="inlineStr">
        <is>
          <t>sinkhole</t>
        </is>
      </c>
      <c r="U41" s="159"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Government abandons community with an enormous sinkhole</t>
        </is>
      </c>
      <c r="C42" s="177" t="inlineStr">
        <is>
          <t>Infrastructure &amp; the Underground City</t>
        </is>
      </c>
      <c r="D42" s="162" t="n">
        <v>3</v>
      </c>
      <c r="E42" s="180" t="inlineStr">
        <is>
          <t>Watch only</t>
        </is>
      </c>
      <c r="F42" s="164" t="inlineStr">
        <is>
          <t>To review</t>
        </is>
      </c>
      <c r="G42" s="165" t="n"/>
      <c r="H42" s="166" t="n"/>
      <c r="I42" s="167" t="inlineStr">
        <is>
          <t>Large community sinkhole left without official remediation; the geotechnical cause and responsibility for investigation remain open.</t>
        </is>
      </c>
      <c r="J42" s="167" t="inlineStr">
        <is>
          <t>emsavalles.com</t>
        </is>
      </c>
      <c r="K42" s="168" t="n">
        <v>46320</v>
      </c>
      <c r="L42" s="167" t="inlineStr">
        <is>
          <t>Gobierno abandona comunidad con un enorme socavón</t>
        </is>
      </c>
      <c r="M42" s="167" t="n"/>
      <c r="N42" s="169" t="n"/>
      <c r="O42" s="167" t="n"/>
      <c r="P42" s="167" t="n"/>
      <c r="Q42" s="170" t="inlineStr">
        <is>
          <t>Colombia</t>
        </is>
      </c>
      <c r="R42" s="168" t="n">
        <v>46319</v>
      </c>
      <c r="S42" s="169" t="inlineStr">
        <is>
          <t>2026-Q4</t>
        </is>
      </c>
      <c r="T42" s="171" t="inlineStr">
        <is>
          <t>sinkhole</t>
        </is>
      </c>
      <c r="U42" s="159"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Sinkhole repair will close Route 241 in Lebanon County for a week</t>
        </is>
      </c>
      <c r="C43" s="177" t="inlineStr">
        <is>
          <t>Infrastructure &amp; the Underground City</t>
        </is>
      </c>
      <c r="D43" s="162" t="n">
        <v>3</v>
      </c>
      <c r="E43" s="175" t="inlineStr">
        <is>
          <t>News brief</t>
        </is>
      </c>
      <c r="F43" s="164" t="inlineStr">
        <is>
          <t>To review</t>
        </is>
      </c>
      <c r="G43" s="165" t="n"/>
      <c r="H43" s="166" t="n"/>
      <c r="I43" s="167" t="inlineStr">
        <is>
          <t>What causes sinkholes under pavement in karst or mined ground, and which investigation methods would have identified the void before the road failed?</t>
        </is>
      </c>
      <c r="J43" s="167" t="inlineStr">
        <is>
          <t>ABC27</t>
        </is>
      </c>
      <c r="K43" s="168" t="n">
        <v>46320</v>
      </c>
      <c r="L43" s="167" t="n"/>
      <c r="M43" s="167" t="n"/>
      <c r="N43" s="169" t="inlineStr">
        <is>
          <t>United States</t>
        </is>
      </c>
      <c r="O43" s="167" t="inlineStr">
        <is>
          <t>Route 241, Lebanon County</t>
        </is>
      </c>
      <c r="P43" s="167" t="n"/>
      <c r="Q43" s="170" t="inlineStr">
        <is>
          <t>United Kingdom</t>
        </is>
      </c>
      <c r="R43" s="168" t="n">
        <v>46319</v>
      </c>
      <c r="S43" s="169" t="inlineStr">
        <is>
          <t>2026-Q4</t>
        </is>
      </c>
      <c r="T43" s="171" t="inlineStr">
        <is>
          <t>sinkhole</t>
        </is>
      </c>
      <c r="U43" s="159"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TBMs to be produced under Aatmanirbhar Bharat, says Ashwini Vaishnaw</t>
        </is>
      </c>
      <c r="C44" s="177" t="inlineStr">
        <is>
          <t>Infrastructure &amp; the Underground City</t>
        </is>
      </c>
      <c r="D44" s="162" t="n">
        <v>3</v>
      </c>
      <c r="E44" s="175" t="inlineStr">
        <is>
          <t>News brief</t>
        </is>
      </c>
      <c r="F44" s="164" t="inlineStr">
        <is>
          <t>To review</t>
        </is>
      </c>
      <c r="G44" s="165" t="n"/>
      <c r="H44" s="166" t="n"/>
      <c r="I44" s="167" t="inlineStr">
        <is>
          <t>How does local manufacturing of tunnel boring machines affect the technical adaptation of TBMs to varied ground conditions in India's tunnelling projects?</t>
        </is>
      </c>
      <c r="J44" s="167" t="inlineStr">
        <is>
          <t>The Hindu</t>
        </is>
      </c>
      <c r="K44" s="168" t="n">
        <v>46320</v>
      </c>
      <c r="L44" s="167" t="n"/>
      <c r="M44" s="167" t="n"/>
      <c r="N44" s="169" t="inlineStr">
        <is>
          <t>India</t>
        </is>
      </c>
      <c r="O44" s="167" t="n"/>
      <c r="P44" s="167" t="n"/>
      <c r="Q44" s="170" t="inlineStr">
        <is>
          <t>United Kingdom</t>
        </is>
      </c>
      <c r="R44" s="168" t="n">
        <v>46318</v>
      </c>
      <c r="S44" s="169" t="inlineStr">
        <is>
          <t>2026-Q4</t>
        </is>
      </c>
      <c r="T44" s="171" t="inlineStr">
        <is>
          <t>tbm</t>
        </is>
      </c>
      <c r="U44" s="159"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A section of the Esquina waterfront promenade closed due to subsidence</t>
        </is>
      </c>
      <c r="C45" s="176" t="inlineStr">
        <is>
          <t>Offshore, Coasts &amp; Water</t>
        </is>
      </c>
      <c r="D45" s="162" t="n">
        <v>3</v>
      </c>
      <c r="E45" s="175" t="inlineStr">
        <is>
          <t>News brief</t>
        </is>
      </c>
      <c r="F45" s="164" t="inlineStr">
        <is>
          <t>To review</t>
        </is>
      </c>
      <c r="G45" s="165" t="n"/>
      <c r="H45" s="166" t="n"/>
      <c r="I45" s="167" t="inlineStr">
        <is>
          <t>What causes subsidence along a riverfront promenade, and what ground investigation would identify the weak or eroded soils behind it?</t>
        </is>
      </c>
      <c r="J45" s="167" t="inlineStr">
        <is>
          <t>Diario 1588</t>
        </is>
      </c>
      <c r="K45" s="168" t="n">
        <v>46320</v>
      </c>
      <c r="L45" s="167" t="inlineStr">
        <is>
          <t>Cerraron un sector de la costanera de Esquina por hundimiento</t>
        </is>
      </c>
      <c r="M45" s="167" t="n"/>
      <c r="N45" s="169" t="inlineStr">
        <is>
          <t>Argentina</t>
        </is>
      </c>
      <c r="O45" s="167" t="inlineStr">
        <is>
          <t>Esquina costanera</t>
        </is>
      </c>
      <c r="P45" s="167" t="inlineStr">
        <is>
          <t>Esquina riverfront promenade subsidence, Argentina (Oct 2026) · Event · 2 reports</t>
        </is>
      </c>
      <c r="Q45" s="170" t="inlineStr">
        <is>
          <t>Argentina</t>
        </is>
      </c>
      <c r="R45" s="168" t="n">
        <v>46317</v>
      </c>
      <c r="S45" s="169" t="inlineStr">
        <is>
          <t>2026-Q4</t>
        </is>
      </c>
      <c r="T45" s="171" t="n"/>
      <c r="U45" s="159"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Experts from Hong Kong propose solutions to counter sea-level rise in Vietnam</t>
        </is>
      </c>
      <c r="C46" s="176" t="inlineStr">
        <is>
          <t>Offshore, Coasts &amp; Water</t>
        </is>
      </c>
      <c r="D46" s="162" t="n">
        <v>3</v>
      </c>
      <c r="E46" s="183" t="inlineStr">
        <is>
          <t>Regional insight</t>
        </is>
      </c>
      <c r="F46" s="164" t="inlineStr">
        <is>
          <t>To review</t>
        </is>
      </c>
      <c r="G46" s="165" t="n"/>
      <c r="H46" s="166" t="n"/>
      <c r="I46" s="167" t="inlineStr">
        <is>
          <t>Which ground-engineering measures, such as seawalls and soft-soil improvement, best protect low-lying deltas and coasts facing sea-level rise and subsidence?</t>
        </is>
      </c>
      <c r="J46" s="167" t="inlineStr">
        <is>
          <t>Vietnam.vn</t>
        </is>
      </c>
      <c r="K46" s="168" t="n">
        <v>46320</v>
      </c>
      <c r="L46" s="167" t="inlineStr">
        <is>
          <t>来自中国香港的专家为应对越南海平面上升提出了解决方案。</t>
        </is>
      </c>
      <c r="M46" s="167" t="n"/>
      <c r="N46" s="169" t="inlineStr">
        <is>
          <t>Vietnam</t>
        </is>
      </c>
      <c r="O46" s="167" t="inlineStr">
        <is>
          <t>Vietnam coast</t>
        </is>
      </c>
      <c r="P46" s="167" t="n"/>
      <c r="Q46" s="170" t="inlineStr">
        <is>
          <t>China</t>
        </is>
      </c>
      <c r="R46" s="168" t="n">
        <v>46319</v>
      </c>
      <c r="S46" s="169" t="inlineStr">
        <is>
          <t>2026-Q4</t>
        </is>
      </c>
      <c r="T46" s="171" t="n"/>
      <c r="U46" s="159"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Paving train rehabilitated Prolongación Moctezuma, but a sinkhole remained in front of a private road and vehicles block sidewalks</t>
        </is>
      </c>
      <c r="C47" s="177" t="inlineStr">
        <is>
          <t>Infrastructure &amp; the Underground City</t>
        </is>
      </c>
      <c r="D47" s="162" t="n">
        <v>3</v>
      </c>
      <c r="E47" s="175" t="inlineStr">
        <is>
          <t>News brief</t>
        </is>
      </c>
      <c r="F47" s="164" t="inlineStr">
        <is>
          <t>To review</t>
        </is>
      </c>
      <c r="G47" s="165" t="n"/>
      <c r="H47" s="166" t="n"/>
      <c r="I47" s="167" t="inlineStr">
        <is>
          <t>Why did the newly paved street develop a subsidence in front of a private road, and how could trench backfill and compaction have prevented it?</t>
        </is>
      </c>
      <c r="J47" s="167" t="inlineStr">
        <is>
          <t>El Portal de Chicoloapan</t>
        </is>
      </c>
      <c r="K47" s="168" t="n">
        <v>46320</v>
      </c>
      <c r="L47" s="167" t="inlineStr">
        <is>
          <t>Con el tren de pavimentación rehabilitaron Prolongación Moctezuma, sin embargo quedó un hundimiento frente a la privada y vehículos bloqueando las banquetas</t>
        </is>
      </c>
      <c r="M47" s="167" t="n"/>
      <c r="N47" s="169" t="inlineStr">
        <is>
          <t>Mexico</t>
        </is>
      </c>
      <c r="O47" s="167" t="inlineStr">
        <is>
          <t>Prolongación Moctezuma, Chicoloapan</t>
        </is>
      </c>
      <c r="P47" s="167" t="n"/>
      <c r="Q47" s="170" t="inlineStr">
        <is>
          <t>Argentina</t>
        </is>
      </c>
      <c r="R47" s="168" t="n">
        <v>46320</v>
      </c>
      <c r="S47" s="169" t="inlineStr">
        <is>
          <t>2026-Q4</t>
        </is>
      </c>
      <c r="T47" s="171" t="n"/>
      <c r="U47" s="159"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Experts comment on the plan to level Mot Mountain in Quy Nhon</t>
        </is>
      </c>
      <c r="C48" s="177" t="inlineStr">
        <is>
          <t>Infrastructure &amp; the Underground City</t>
        </is>
      </c>
      <c r="D48" s="162" t="n">
        <v>3</v>
      </c>
      <c r="E48" s="163" t="inlineStr">
        <is>
          <t>Feature lead</t>
        </is>
      </c>
      <c r="F48" s="164" t="inlineStr">
        <is>
          <t>To review</t>
        </is>
      </c>
      <c r="G48" s="165" t="n"/>
      <c r="H48" s="166" t="n"/>
      <c r="I48" s="167" t="inlineStr">
        <is>
          <t>What geotechnical challenges arise in levelling a hill in Quy Nhon, including slope stability, cut volumes, and the reuse of excavated soil?</t>
        </is>
      </c>
      <c r="J48" s="167" t="inlineStr">
        <is>
          <t>Vietnam.vn</t>
        </is>
      </c>
      <c r="K48" s="168" t="n">
        <v>46320</v>
      </c>
      <c r="L48" s="167" t="inlineStr">
        <is>
          <t>전문가들이 꾸이년의 못산을 평탄화하려는 계획에 대해 의견을 밝혔다.</t>
        </is>
      </c>
      <c r="M48" s="167" t="n"/>
      <c r="N48" s="169" t="inlineStr">
        <is>
          <t>Vietnam</t>
        </is>
      </c>
      <c r="O48" s="167" t="inlineStr">
        <is>
          <t>Quy Nhon, Binh Dinh</t>
        </is>
      </c>
      <c r="P48" s="167" t="inlineStr">
        <is>
          <t>Mot Mountain levelling proposal, Quy Nhon, Vietnam · Update · 2 reports</t>
        </is>
      </c>
      <c r="Q48" s="170" t="inlineStr">
        <is>
          <t>South Korea</t>
        </is>
      </c>
      <c r="R48" s="168" t="n">
        <v>46318</v>
      </c>
      <c r="S48" s="169" t="inlineStr">
        <is>
          <t>2026-Q4</t>
        </is>
      </c>
      <c r="T48" s="171" t="n"/>
      <c r="U48" s="159"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Voronezh replaces another six metres of damaged collector on Moskovsky Avenue</t>
        </is>
      </c>
      <c r="C49" s="177" t="inlineStr">
        <is>
          <t>Infrastructure &amp; the Underground City</t>
        </is>
      </c>
      <c r="D49" s="162" t="n">
        <v>3</v>
      </c>
      <c r="E49" s="175" t="inlineStr">
        <is>
          <t>News brief</t>
        </is>
      </c>
      <c r="F49" s="164" t="inlineStr">
        <is>
          <t>To review</t>
        </is>
      </c>
      <c r="G49" s="165" t="n"/>
      <c r="H49" s="166" t="n"/>
      <c r="I49" s="167" t="inlineStr">
        <is>
          <t>How do ground movements or soil conditions around urban collector pipes cause damage, and what should guide repair and reinstatement works?</t>
        </is>
      </c>
      <c r="J49" s="167" t="inlineStr">
        <is>
          <t>Новости Воронежа интернет-газета</t>
        </is>
      </c>
      <c r="K49" s="168" t="n">
        <v>46320</v>
      </c>
      <c r="L49" s="167" t="inlineStr">
        <is>
          <t>В Воронеже заменили еще шесть метров поврежденного коллектора на Московском проспекте</t>
        </is>
      </c>
      <c r="M49" s="167" t="n"/>
      <c r="N49" s="169" t="inlineStr">
        <is>
          <t>Russia</t>
        </is>
      </c>
      <c r="O49" s="167" t="inlineStr">
        <is>
          <t>Moskovsky Avenue, Voronezh</t>
        </is>
      </c>
      <c r="P49" s="167" t="n"/>
      <c r="Q49" s="170" t="inlineStr">
        <is>
          <t>Russia</t>
        </is>
      </c>
      <c r="R49" s="168" t="n">
        <v>46319</v>
      </c>
      <c r="S49" s="169" t="inlineStr">
        <is>
          <t>2026-Q4</t>
        </is>
      </c>
      <c r="T49" s="171" t="n"/>
      <c r="U49" s="159"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Experts weigh in on proposal to level Mot Mountain in Quy Nhon</t>
        </is>
      </c>
      <c r="C50" s="177" t="inlineStr">
        <is>
          <t>Infrastructure &amp; the Underground City</t>
        </is>
      </c>
      <c r="D50" s="162" t="n">
        <v>3</v>
      </c>
      <c r="E50" s="183" t="inlineStr">
        <is>
          <t>Regional insight</t>
        </is>
      </c>
      <c r="F50" s="164" t="inlineStr">
        <is>
          <t>To review</t>
        </is>
      </c>
      <c r="G50" s="165" t="n"/>
      <c r="H50" s="166" t="n"/>
      <c r="I50" s="167" t="inlineStr">
        <is>
          <t>How can slope stability, rock cutting and geohazard risks be assessed when a coastal hill is proposed for levelling in an urban area?</t>
        </is>
      </c>
      <c r="J50" s="167" t="inlineStr">
        <is>
          <t>Vietnam.vn</t>
        </is>
      </c>
      <c r="K50" s="168" t="n">
        <v>46320</v>
      </c>
      <c r="L50" s="167" t="inlineStr">
        <is>
          <t>Para ahli angkat bicara tentang usulan untuk meratakan Gunung Mot di Quy Nhon.</t>
        </is>
      </c>
      <c r="M50" s="167" t="n"/>
      <c r="N50" s="169" t="inlineStr">
        <is>
          <t>Vietnam</t>
        </is>
      </c>
      <c r="O50" s="167" t="inlineStr">
        <is>
          <t>Mot Mountain, Quy Nhon</t>
        </is>
      </c>
      <c r="P50" s="167" t="inlineStr">
        <is>
          <t>Mot Mountain levelling proposal, Quy Nhon, Vietnam · Event · 2 reports</t>
        </is>
      </c>
      <c r="Q50" s="170" t="inlineStr">
        <is>
          <t>Indonesia</t>
        </is>
      </c>
      <c r="R50" s="168" t="n">
        <v>46319</v>
      </c>
      <c r="S50" s="169" t="inlineStr">
        <is>
          <t>2026-Q4</t>
        </is>
      </c>
      <c r="T50" s="171" t="n"/>
      <c r="U50" s="159"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Behavior of Square-Round Shaft Combination Helical Piles and Anchors</t>
        </is>
      </c>
      <c r="C51" s="184" t="inlineStr">
        <is>
          <t>Ground Improvement &amp; Innovation</t>
        </is>
      </c>
      <c r="D51" s="162" t="n">
        <v>5</v>
      </c>
      <c r="E51" s="181" t="inlineStr">
        <is>
          <t>Academia-to-Industry topic</t>
        </is>
      </c>
      <c r="F51" s="164" t="inlineStr">
        <is>
          <t>To review</t>
        </is>
      </c>
      <c r="G51" s="165" t="n"/>
      <c r="H51" s="166" t="n"/>
      <c r="I51" s="167" t="inlineStr">
        <is>
          <t>How do square-round shaft combination helical piles and anchors behave under load, and how can their capacity be predicted reliably?</t>
        </is>
      </c>
      <c r="J51" s="167" t="inlineStr">
        <is>
          <t>Geoengineer.org</t>
        </is>
      </c>
      <c r="K51" s="168" t="n">
        <v>46319</v>
      </c>
      <c r="L51" s="167" t="n"/>
      <c r="M51" s="167" t="n"/>
      <c r="N51" s="169" t="n"/>
      <c r="O51" s="167" t="n"/>
      <c r="P51" s="167" t="n"/>
      <c r="Q51" s="170" t="inlineStr">
        <is>
          <t>United States</t>
        </is>
      </c>
      <c r="R51" s="168" t="n">
        <v>46318</v>
      </c>
      <c r="S51" s="169" t="inlineStr">
        <is>
          <t>2026-Q4</t>
        </is>
      </c>
      <c r="T51" s="171" t="inlineStr">
        <is>
          <t>pile, shaft</t>
        </is>
      </c>
      <c r="U51" s="159"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Floating wind needs grounded solutions</t>
        </is>
      </c>
      <c r="C52" s="176" t="inlineStr">
        <is>
          <t>Offshore, Coasts &amp; Water</t>
        </is>
      </c>
      <c r="D52" s="162" t="n">
        <v>5</v>
      </c>
      <c r="E52" s="163" t="inlineStr">
        <is>
          <t>Feature lead</t>
        </is>
      </c>
      <c r="F52" s="164" t="inlineStr">
        <is>
          <t>To review</t>
        </is>
      </c>
      <c r="G52" s="165" t="n"/>
      <c r="H52" s="166" t="n"/>
      <c r="I52" s="167" t="inlineStr">
        <is>
          <t>What geotechnical challenges arise in anchoring floating offshore wind foundations in variable seabed soils under extreme loading?</t>
        </is>
      </c>
      <c r="J52" s="167" t="inlineStr">
        <is>
          <t>Ground Engineering</t>
        </is>
      </c>
      <c r="K52" s="168" t="n">
        <v>46319</v>
      </c>
      <c r="L52" s="167" t="n"/>
      <c r="M52" s="167" t="n"/>
      <c r="N52" s="169" t="n"/>
      <c r="O52" s="167" t="n"/>
      <c r="P52" s="167" t="n"/>
      <c r="Q52" s="170" t="n"/>
      <c r="R52" s="168" t="n">
        <v>46318</v>
      </c>
      <c r="S52" s="169" t="inlineStr">
        <is>
          <t>2026-Q4</t>
        </is>
      </c>
      <c r="T52" s="171" t="inlineStr">
        <is>
          <t>offshore wind</t>
        </is>
      </c>
      <c r="U52" s="159"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Sinkhole at excavation site: ground sank even after underground safety assessment</t>
        </is>
      </c>
      <c r="C53" s="177" t="inlineStr">
        <is>
          <t>Infrastructure &amp; the Underground City</t>
        </is>
      </c>
      <c r="D53" s="162" t="n">
        <v>5</v>
      </c>
      <c r="E53" s="163" t="inlineStr">
        <is>
          <t>Feature lead</t>
        </is>
      </c>
      <c r="F53" s="164" t="inlineStr">
        <is>
          <t>To review</t>
        </is>
      </c>
      <c r="G53" s="165" t="n"/>
      <c r="H53" s="166" t="n"/>
      <c r="I53" s="167" t="inlineStr">
        <is>
          <t>Why did ground sink at an excavation despite a completed underground safety assessment, and what gaps exist in such assessments?</t>
        </is>
      </c>
      <c r="J53" s="167" t="inlineStr">
        <is>
          <t>충청신문</t>
        </is>
      </c>
      <c r="K53" s="168" t="n">
        <v>46319</v>
      </c>
      <c r="L53" s="167" t="inlineStr">
        <is>
          <t>장종태, "굴착 현장 싱크홀...지하안전평가 받고도 땅 꺼졌다"</t>
        </is>
      </c>
      <c r="M53" s="167" t="n"/>
      <c r="N53" s="169" t="inlineStr">
        <is>
          <t>South Korea</t>
        </is>
      </c>
      <c r="O53" s="167" t="n"/>
      <c r="P53" s="167" t="n"/>
      <c r="Q53" s="170" t="inlineStr">
        <is>
          <t>South Korea</t>
        </is>
      </c>
      <c r="R53" s="168" t="n">
        <v>46317</v>
      </c>
      <c r="S53" s="169" t="inlineStr">
        <is>
          <t>2026-Q4</t>
        </is>
      </c>
      <c r="T53" s="171" t="inlineStr">
        <is>
          <t>sinkhole, excavation</t>
        </is>
      </c>
      <c r="U53" s="159"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9" t="n">
        <v>51</v>
      </c>
      <c r="B54" s="160" t="inlineStr">
        <is>
          <t>Mussolini's engineers drilled 361 holes under Pisa's foundations in 1934 to straighten it, making it lean more.</t>
        </is>
      </c>
      <c r="C54" s="184" t="inlineStr">
        <is>
          <t>Ground Improvement &amp; Innovation</t>
        </is>
      </c>
      <c r="D54" s="162" t="n">
        <v>5</v>
      </c>
      <c r="E54" s="163" t="inlineStr">
        <is>
          <t>Feature lead</t>
        </is>
      </c>
      <c r="F54" s="164" t="inlineStr">
        <is>
          <t>To review</t>
        </is>
      </c>
      <c r="G54" s="165" t="n"/>
      <c r="H54" s="166" t="n"/>
      <c r="I54" s="167" t="inlineStr">
        <is>
          <t>Why did drilling holes beneath Pisa's foundations to correct its tilt backfire, and what does this teach about controlled soil removal and differential settlement in stabilisation works?</t>
        </is>
      </c>
      <c r="J54" s="167" t="inlineStr">
        <is>
          <t>Sciencepost</t>
        </is>
      </c>
      <c r="K54" s="168" t="n">
        <v>46319</v>
      </c>
      <c r="L54" s="167" t="inlineStr">
        <is>
          <t>En perçant 361 trous dans ses fondations en 1934 pour la redresser, les ingénieurs de Mussolini ont littéralement fait pencher la tour de Pise encore plus</t>
        </is>
      </c>
      <c r="M54" s="167" t="n"/>
      <c r="N54" s="169" t="inlineStr">
        <is>
          <t>Italy</t>
        </is>
      </c>
      <c r="O54" s="167" t="inlineStr">
        <is>
          <t>Pisa</t>
        </is>
      </c>
      <c r="P54" s="167" t="n"/>
      <c r="Q54" s="170" t="inlineStr">
        <is>
          <t>Senegal</t>
        </is>
      </c>
      <c r="R54" s="168" t="n">
        <v>46319</v>
      </c>
      <c r="S54" s="169" t="inlineStr">
        <is>
          <t>2026-Q4</t>
        </is>
      </c>
      <c r="T54" s="171" t="inlineStr">
        <is>
          <t>foundation</t>
        </is>
      </c>
      <c r="U54" s="159"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9" t="n">
        <v>52</v>
      </c>
      <c r="B55" s="160" t="inlineStr">
        <is>
          <t>Serious landslides in South Gia Nghia</t>
        </is>
      </c>
      <c r="C55" s="161" t="inlineStr">
        <is>
          <t>Hazards &amp; Resilience</t>
        </is>
      </c>
      <c r="D55" s="162" t="n">
        <v>5</v>
      </c>
      <c r="E55" s="163" t="inlineStr">
        <is>
          <t>Feature lead</t>
        </is>
      </c>
      <c r="F55" s="164" t="inlineStr">
        <is>
          <t>To review</t>
        </is>
      </c>
      <c r="G55" s="165" t="n"/>
      <c r="H55" s="166" t="n"/>
      <c r="I55" s="167" t="inlineStr">
        <is>
          <t>What rainfall and slope geometry triggered this serious landslide in Nam Gia Nghia, and how should weathered residual soils on such slopes be investigated and stabilised?</t>
        </is>
      </c>
      <c r="J55" s="167" t="inlineStr">
        <is>
          <t>Vietnam.vn</t>
        </is>
      </c>
      <c r="K55" s="168" t="n">
        <v>46319</v>
      </c>
      <c r="L55" s="167" t="inlineStr">
        <is>
          <t>Sụt trượt đất nghiêm trọng ở Nam Gia Nghĩa</t>
        </is>
      </c>
      <c r="M55" s="167" t="n"/>
      <c r="N55" s="169" t="inlineStr">
        <is>
          <t>Vietnam</t>
        </is>
      </c>
      <c r="O55" s="167" t="inlineStr">
        <is>
          <t>Nam Gia Nghia, Dak Nong</t>
        </is>
      </c>
      <c r="P55" s="167" t="n"/>
      <c r="Q55" s="170" t="inlineStr">
        <is>
          <t>Vietnam</t>
        </is>
      </c>
      <c r="R55" s="168" t="n">
        <v>46317</v>
      </c>
      <c r="S55" s="169" t="inlineStr">
        <is>
          <t>2026-Q4</t>
        </is>
      </c>
      <c r="T55" s="171" t="n"/>
      <c r="U55" s="159"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Automatic segmentation of rock mass fracture networks from UAV imagery using cross-domain transfer learning under scarce labels.</t>
        </is>
      </c>
      <c r="C56" s="179" t="inlineStr">
        <is>
          <t>Digital Geotechnics</t>
        </is>
      </c>
      <c r="D56" s="162" t="n">
        <v>5</v>
      </c>
      <c r="E56" s="181" t="inlineStr">
        <is>
          <t>Academia-to-Industry topic</t>
        </is>
      </c>
      <c r="F56" s="164" t="inlineStr">
        <is>
          <t>To review</t>
        </is>
      </c>
      <c r="G56" s="165" t="n"/>
      <c r="H56" s="166" t="n"/>
      <c r="I56" s="167" t="inlineStr">
        <is>
          <t>Can transfer learning from related image domains reliably segment rock fracture networks in UAV imagery when labelled data are scarce, and how accurate are the results?</t>
        </is>
      </c>
      <c r="J56" s="167" t="inlineStr">
        <is>
          <t>生物通</t>
        </is>
      </c>
      <c r="K56" s="168" t="n">
        <v>46319</v>
      </c>
      <c r="L56" s="167" t="inlineStr">
        <is>
          <t>标签稀缺条件下基于跨域迁移学习的无人机岩体裂隙网络自动分割方法</t>
        </is>
      </c>
      <c r="M56" s="167" t="n"/>
      <c r="N56" s="169" t="n"/>
      <c r="O56" s="167" t="n"/>
      <c r="P56" s="167" t="n"/>
      <c r="Q56" s="170" t="inlineStr">
        <is>
          <t>China</t>
        </is>
      </c>
      <c r="R56" s="168" t="n">
        <v>46318</v>
      </c>
      <c r="S56" s="169" t="inlineStr">
        <is>
          <t>2026-Q4</t>
        </is>
      </c>
      <c r="T56" s="171" t="n"/>
      <c r="U56" s="159"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53" customHeight="1">
      <c r="A57" s="159" t="n">
        <v>54</v>
      </c>
      <c r="B57" s="160" t="inlineStr">
        <is>
          <t>M4 landslip work begins as part of wider repair programme</t>
        </is>
      </c>
      <c r="C57" s="161" t="inlineStr">
        <is>
          <t>Hazards &amp; Resilience</t>
        </is>
      </c>
      <c r="D57" s="162" t="n">
        <v>4</v>
      </c>
      <c r="E57" s="163" t="inlineStr">
        <is>
          <t>Feature lead</t>
        </is>
      </c>
      <c r="F57" s="164" t="inlineStr">
        <is>
          <t>To review</t>
        </is>
      </c>
      <c r="G57" s="165" t="n"/>
      <c r="H57" s="166" t="n"/>
      <c r="I57" s="167" t="inlineStr">
        <is>
          <t>How should engineers diagnose and stabilise a landslipped motorway embankment, and what drainage and monitoring measures prevent recurrence?</t>
        </is>
      </c>
      <c r="J57" s="167" t="inlineStr">
        <is>
          <t>Ground Engineering</t>
        </is>
      </c>
      <c r="K57" s="168" t="n">
        <v>46319</v>
      </c>
      <c r="L57" s="167" t="n"/>
      <c r="M57" s="167" t="n"/>
      <c r="N57" s="169" t="inlineStr">
        <is>
          <t>United Kingdom</t>
        </is>
      </c>
      <c r="O57" s="167" t="inlineStr">
        <is>
          <t>M4 Wiltshire</t>
        </is>
      </c>
      <c r="P57" s="167" t="n"/>
      <c r="Q57" s="170" t="n"/>
      <c r="R57" s="168" t="n">
        <v>46318</v>
      </c>
      <c r="S57" s="169" t="inlineStr">
        <is>
          <t>2026-Q4</t>
        </is>
      </c>
      <c r="T57" s="171" t="inlineStr">
        <is>
          <t>landslide, landslip, embankment</t>
        </is>
      </c>
      <c r="U57" s="159"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9" t="n">
        <v>55</v>
      </c>
      <c r="B58" s="160" t="inlineStr">
        <is>
          <t>Landslide-prevention embankment threatens residential area</t>
        </is>
      </c>
      <c r="C58" s="161" t="inlineStr">
        <is>
          <t>Hazards &amp; Resilience</t>
        </is>
      </c>
      <c r="D58" s="162" t="n">
        <v>4</v>
      </c>
      <c r="E58" s="163" t="inlineStr">
        <is>
          <t>Feature lead</t>
        </is>
      </c>
      <c r="F58" s="164" t="inlineStr">
        <is>
          <t>To review</t>
        </is>
      </c>
      <c r="G58" s="165" t="n"/>
      <c r="H58" s="166" t="n"/>
      <c r="I58" s="167" t="inlineStr">
        <is>
          <t>Can retaining and protective embankments be designed to resist landslide loading from upslope slopes beside settlements, and how should such risk be assessed?</t>
        </is>
      </c>
      <c r="J58" s="167" t="inlineStr">
        <is>
          <t>Vietnam.vn</t>
        </is>
      </c>
      <c r="K58" s="168" t="n">
        <v>46319</v>
      </c>
      <c r="L58" s="167" t="inlineStr">
        <is>
          <t>Tanggul pencegah tanah longsor 'mengancam' kawasan permukiman.</t>
        </is>
      </c>
      <c r="M58" s="167" t="n"/>
      <c r="N58" s="169" t="inlineStr">
        <is>
          <t>Indonesia</t>
        </is>
      </c>
      <c r="O58" s="167" t="n"/>
      <c r="P58" s="167" t="n"/>
      <c r="Q58" s="170" t="inlineStr">
        <is>
          <t>Indonesia</t>
        </is>
      </c>
      <c r="R58" s="168" t="n">
        <v>46318</v>
      </c>
      <c r="S58" s="169" t="inlineStr">
        <is>
          <t>2026-Q4</t>
        </is>
      </c>
      <c r="T58" s="171" t="inlineStr">
        <is>
          <t>landslide, embankment</t>
        </is>
      </c>
      <c r="U58" s="159"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9" t="n">
        <v>56</v>
      </c>
      <c r="B59" s="160" t="inlineStr">
        <is>
          <t>Storms in Liguria, major landslide in Savona: the collapse destroyed a city road</t>
        </is>
      </c>
      <c r="C59" s="161" t="inlineStr">
        <is>
          <t>Hazards &amp; Resilience</t>
        </is>
      </c>
      <c r="D59" s="162" t="n">
        <v>4</v>
      </c>
      <c r="E59" s="175" t="inlineStr">
        <is>
          <t>News brief</t>
        </is>
      </c>
      <c r="F59" s="164" t="inlineStr">
        <is>
          <t>To review</t>
        </is>
      </c>
      <c r="G59" s="165" t="n"/>
      <c r="H59" s="166" t="n"/>
      <c r="I59" s="167" t="inlineStr">
        <is>
          <t>What triggered this large rock or soil slope failure in Savona during heavy rain, and what does the collapse reveal about slope stability in Liguria?</t>
        </is>
      </c>
      <c r="J59" s="167" t="inlineStr">
        <is>
          <t>agenzia giornalistica opinione</t>
        </is>
      </c>
      <c r="K59" s="168" t="n">
        <v>46319</v>
      </c>
      <c r="L59" s="167" t="inlineStr">
        <is>
          <t>RAINEWS * CRONACA: «MALTEMPO IN LIGURIA, GRANDE FRANA A SAVONA: IL CROLLO HA DISTRUTTO UNA STRADA CITTADINA</t>
        </is>
      </c>
      <c r="M59" s="167" t="n"/>
      <c r="N59" s="169" t="inlineStr">
        <is>
          <t>Italy</t>
        </is>
      </c>
      <c r="O59" s="167" t="inlineStr">
        <is>
          <t>Savona, Liguria</t>
        </is>
      </c>
      <c r="P59" s="167" t="n"/>
      <c r="Q59" s="170" t="inlineStr">
        <is>
          <t>Italy</t>
        </is>
      </c>
      <c r="R59" s="168" t="n">
        <v>46317</v>
      </c>
      <c r="S59" s="169" t="inlineStr">
        <is>
          <t>2026-Q4</t>
        </is>
      </c>
      <c r="T59" s="171" t="inlineStr">
        <is>
          <t>landslide, collapse</t>
        </is>
      </c>
      <c r="U59" s="159"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9" t="n">
        <v>57</v>
      </c>
      <c r="B60" s="160" t="inlineStr">
        <is>
          <t>At Khanh Le pass, traffic will be interrupted at 30-minute intervals to deal with landslides; road users should plan accordingly</t>
        </is>
      </c>
      <c r="C60" s="161" t="inlineStr">
        <is>
          <t>Hazards &amp; Resilience</t>
        </is>
      </c>
      <c r="D60" s="162" t="n">
        <v>4</v>
      </c>
      <c r="E60" s="163" t="inlineStr">
        <is>
          <t>Feature lead</t>
        </is>
      </c>
      <c r="F60" s="164" t="inlineStr">
        <is>
          <t>To review</t>
        </is>
      </c>
      <c r="G60" s="165" t="n"/>
      <c r="H60" s="166" t="n"/>
      <c r="I60" s="167" t="inlineStr">
        <is>
          <t>How should traffic management and monitoring be combined with slope stabilisation on mountain passes subject to recurrent landslides?</t>
        </is>
      </c>
      <c r="J60" s="167" t="inlineStr">
        <is>
          <t>Vietnam.vn</t>
        </is>
      </c>
      <c r="K60" s="168" t="n">
        <v>46319</v>
      </c>
      <c r="L60" s="167" t="inlineStr">
        <is>
          <t>En el paso de Khanh Le, el tráfico se interrumpirá a intervalos de 30 minutos para hacer frente a los deslizamientos de tierra; los usuarios de la carretera deben tenerlo en cuenta.</t>
        </is>
      </c>
      <c r="M60" s="167" t="n"/>
      <c r="N60" s="169" t="inlineStr">
        <is>
          <t>Vietnam</t>
        </is>
      </c>
      <c r="O60" s="167" t="inlineStr">
        <is>
          <t>Khanh Le pass</t>
        </is>
      </c>
      <c r="P60" s="167" t="n"/>
      <c r="Q60" s="170" t="inlineStr">
        <is>
          <t>Spain</t>
        </is>
      </c>
      <c r="R60" s="168" t="n">
        <v>46319</v>
      </c>
      <c r="S60" s="169" t="inlineStr">
        <is>
          <t>2026-Q4</t>
        </is>
      </c>
      <c r="T60" s="171" t="inlineStr">
        <is>
          <t>landslide</t>
        </is>
      </c>
      <c r="U60" s="159"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9" t="n">
        <v>58</v>
      </c>
      <c r="B61" s="160" t="inlineStr">
        <is>
          <t>Valmontone, bad weather: tuff slope collapses onto Prenestina road, road partially closed</t>
        </is>
      </c>
      <c r="C61" s="161" t="inlineStr">
        <is>
          <t>Hazards &amp; Resilience</t>
        </is>
      </c>
      <c r="D61" s="162" t="n">
        <v>4</v>
      </c>
      <c r="E61" s="175" t="inlineStr">
        <is>
          <t>News brief</t>
        </is>
      </c>
      <c r="F61" s="164" t="inlineStr">
        <is>
          <t>To review</t>
        </is>
      </c>
      <c r="G61" s="165" t="n"/>
      <c r="H61" s="166" t="n"/>
      <c r="I61" s="167" t="inlineStr">
        <is>
          <t>What causes tuff cliff collapse in volcanic deposits under rainfall, and how can such slopes be assessed and stabilised near roads?</t>
        </is>
      </c>
      <c r="J61" s="167" t="inlineStr">
        <is>
          <t>Il Giornale dei Castelli Romani</t>
        </is>
      </c>
      <c r="K61" s="168" t="n">
        <v>46319</v>
      </c>
      <c r="L61" s="167" t="inlineStr">
        <is>
          <t>Valmontone, maltempo: frana costone di tufo sulla via Prenestina, strada parzialmente chiusa</t>
        </is>
      </c>
      <c r="M61" s="167" t="n"/>
      <c r="N61" s="169" t="inlineStr">
        <is>
          <t>Italy</t>
        </is>
      </c>
      <c r="O61" s="167" t="inlineStr">
        <is>
          <t>Valmontone, Prenestina road</t>
        </is>
      </c>
      <c r="P61" s="167" t="n"/>
      <c r="Q61" s="170" t="inlineStr">
        <is>
          <t>Italy</t>
        </is>
      </c>
      <c r="R61" s="168" t="n">
        <v>46319</v>
      </c>
      <c r="S61" s="169" t="inlineStr">
        <is>
          <t>2026-Q4</t>
        </is>
      </c>
      <c r="T61" s="171" t="inlineStr">
        <is>
          <t>landslide</t>
        </is>
      </c>
      <c r="U61" s="159"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9" t="n">
        <v>59</v>
      </c>
      <c r="B62" s="160" t="inlineStr">
        <is>
          <t>Bonea, landslide in Capo locality: mayor closes three roads by urgent order</t>
        </is>
      </c>
      <c r="C62" s="161" t="inlineStr">
        <is>
          <t>Hazards &amp; Resilience</t>
        </is>
      </c>
      <c r="D62" s="162" t="n">
        <v>4</v>
      </c>
      <c r="E62" s="175" t="inlineStr">
        <is>
          <t>News brief</t>
        </is>
      </c>
      <c r="F62" s="164" t="inlineStr">
        <is>
          <t>To review</t>
        </is>
      </c>
      <c r="G62" s="165" t="n"/>
      <c r="H62" s="166" t="n"/>
      <c r="I62" s="167" t="inlineStr">
        <is>
          <t>What ground investigation would confirm the landslide mechanism at Capo locality and guide safe reopening of the three closed roads?</t>
        </is>
      </c>
      <c r="J62" s="167" t="inlineStr">
        <is>
          <t>Tv7 Benevento</t>
        </is>
      </c>
      <c r="K62" s="168" t="n">
        <v>46319</v>
      </c>
      <c r="L62" s="167" t="inlineStr">
        <is>
          <t>BONEA, FRANA IN LOCALITÀ CAPO: IL SINDACO CHIUDE TRE STRADE CON ORDINANZA URGENTE</t>
        </is>
      </c>
      <c r="M62" s="167" t="n"/>
      <c r="N62" s="169" t="inlineStr">
        <is>
          <t>Italy</t>
        </is>
      </c>
      <c r="O62" s="167" t="inlineStr">
        <is>
          <t>Bonea, Capo locality</t>
        </is>
      </c>
      <c r="P62" s="167" t="n"/>
      <c r="Q62" s="170" t="inlineStr">
        <is>
          <t>Italy</t>
        </is>
      </c>
      <c r="R62" s="168" t="n">
        <v>46319</v>
      </c>
      <c r="S62" s="169" t="inlineStr">
        <is>
          <t>2026-Q4</t>
        </is>
      </c>
      <c r="T62" s="171" t="inlineStr">
        <is>
          <t>landslide</t>
        </is>
      </c>
      <c r="U62" s="159"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La frana del Cencione Tra fango e polemiche Le ruspe sono al lavoro</t>
        </is>
      </c>
      <c r="C63" s="161" t="inlineStr">
        <is>
          <t>Hazards &amp; Resilience</t>
        </is>
      </c>
      <c r="D63" s="162" t="n">
        <v>4</v>
      </c>
      <c r="E63" s="163" t="inlineStr">
        <is>
          <t>Feature lead</t>
        </is>
      </c>
      <c r="F63" s="164" t="inlineStr">
        <is>
          <t>To review</t>
        </is>
      </c>
      <c r="G63" s="165" t="n"/>
      <c r="H63" s="166" t="n"/>
      <c r="I63" s="167" t="inlineStr">
        <is>
          <t>How should authorities balance urgent earthworks with geotechnical investigation and accountability when a landslide site becomes politically contested?</t>
        </is>
      </c>
      <c r="J63" s="167" t="inlineStr">
        <is>
          <t>Zazoom Social News</t>
        </is>
      </c>
      <c r="K63" s="168" t="n">
        <v>46319</v>
      </c>
      <c r="L63" s="167" t="n"/>
      <c r="M63" s="167" t="n"/>
      <c r="N63" s="169" t="inlineStr">
        <is>
          <t>Italy</t>
        </is>
      </c>
      <c r="O63" s="167" t="inlineStr">
        <is>
          <t>Cencione</t>
        </is>
      </c>
      <c r="P63" s="167" t="n"/>
      <c r="Q63" s="170" t="inlineStr">
        <is>
          <t>Italy</t>
        </is>
      </c>
      <c r="R63" s="168" t="n">
        <v>46318</v>
      </c>
      <c r="S63" s="169" t="inlineStr">
        <is>
          <t>2026-Q4</t>
        </is>
      </c>
      <c r="T63" s="171" t="inlineStr">
        <is>
          <t>landslide</t>
        </is>
      </c>
      <c r="U63" s="159"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9" t="n">
        <v>61</v>
      </c>
      <c r="B64" s="160" t="inlineStr">
        <is>
          <t>TNI helps landslide victims in Lae Ikan, Subulussalam</t>
        </is>
      </c>
      <c r="C64" s="161" t="inlineStr">
        <is>
          <t>Hazards &amp; Resilience</t>
        </is>
      </c>
      <c r="D64" s="162" t="n">
        <v>4</v>
      </c>
      <c r="E64" s="175" t="inlineStr">
        <is>
          <t>News brief</t>
        </is>
      </c>
      <c r="F64" s="164" t="inlineStr">
        <is>
          <t>To review</t>
        </is>
      </c>
      <c r="G64" s="165" t="n"/>
      <c r="H64" s="166" t="n"/>
      <c r="I64" s="167" t="inlineStr">
        <is>
          <t>What role can emergency response and rapid geotechnical assessment play after a landslide in a mountainous Indonesian village?</t>
        </is>
      </c>
      <c r="J64" s="167" t="inlineStr">
        <is>
          <t>RRI.co.id</t>
        </is>
      </c>
      <c r="K64" s="168" t="n">
        <v>46319</v>
      </c>
      <c r="L64" s="167" t="inlineStr">
        <is>
          <t>TNI Bantu Korban Longsor di Lae Ikan Subulussalam</t>
        </is>
      </c>
      <c r="M64" s="167" t="n"/>
      <c r="N64" s="169" t="inlineStr">
        <is>
          <t>Indonesia</t>
        </is>
      </c>
      <c r="O64" s="167" t="inlineStr">
        <is>
          <t>Lae Ikan, Subulussalam</t>
        </is>
      </c>
      <c r="P64" s="167" t="n"/>
      <c r="Q64" s="170" t="inlineStr">
        <is>
          <t>Indonesia</t>
        </is>
      </c>
      <c r="R64" s="168" t="n">
        <v>46319</v>
      </c>
      <c r="S64" s="169" t="inlineStr">
        <is>
          <t>2026-Q4</t>
        </is>
      </c>
      <c r="T64" s="171" t="inlineStr">
        <is>
          <t>landslide</t>
        </is>
      </c>
      <c r="U64" s="159"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9" t="n">
        <v>62</v>
      </c>
      <c r="B65" s="160" t="inlineStr">
        <is>
          <t>Intense rains cause alluvion in rural sector of Concepción: residents fear new landslides</t>
        </is>
      </c>
      <c r="C65" s="161" t="inlineStr">
        <is>
          <t>Hazards &amp; Resilience</t>
        </is>
      </c>
      <c r="D65" s="162" t="n">
        <v>4</v>
      </c>
      <c r="E65" s="163" t="inlineStr">
        <is>
          <t>Feature lead</t>
        </is>
      </c>
      <c r="F65" s="164" t="inlineStr">
        <is>
          <t>To review</t>
        </is>
      </c>
      <c r="G65" s="165" t="n"/>
      <c r="H65" s="166" t="n"/>
      <c r="I65" s="167" t="inlineStr">
        <is>
          <t>What triggered the rain-induced debris flow and slope failure in this rural hillside, and how can residents' risk of further slides be assessed?</t>
        </is>
      </c>
      <c r="J65" s="167" t="inlineStr">
        <is>
          <t>Meganoticias</t>
        </is>
      </c>
      <c r="K65" s="168" t="n">
        <v>46319</v>
      </c>
      <c r="L65" s="167" t="inlineStr">
        <is>
          <t>Intensas lluvias provocan aluvión en sector rural de Concepción: Vecinos temen nuevos deslizamientos</t>
        </is>
      </c>
      <c r="M65" s="167" t="n"/>
      <c r="N65" s="169" t="inlineStr">
        <is>
          <t>Chile</t>
        </is>
      </c>
      <c r="O65" s="167" t="inlineStr">
        <is>
          <t>Concepción</t>
        </is>
      </c>
      <c r="P65" s="167" t="n"/>
      <c r="Q65" s="170" t="inlineStr">
        <is>
          <t>Chile</t>
        </is>
      </c>
      <c r="R65" s="168" t="n">
        <v>46317</v>
      </c>
      <c r="S65" s="169" t="inlineStr">
        <is>
          <t>2026-Q4</t>
        </is>
      </c>
      <c r="T65" s="171" t="inlineStr">
        <is>
          <t>landslide, debris flow</t>
        </is>
      </c>
      <c r="U65" s="159"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9" t="n">
        <v>63</v>
      </c>
      <c r="B66" s="160" t="inlineStr">
        <is>
          <t>Rockfall onto houses in Chi Lang commune, Lang Son province</t>
        </is>
      </c>
      <c r="C66" s="161" t="inlineStr">
        <is>
          <t>Hazards &amp; Resilience</t>
        </is>
      </c>
      <c r="D66" s="162" t="n">
        <v>4</v>
      </c>
      <c r="E66" s="175" t="inlineStr">
        <is>
          <t>News brief</t>
        </is>
      </c>
      <c r="F66" s="164" t="inlineStr">
        <is>
          <t>To review</t>
        </is>
      </c>
      <c r="G66" s="165" t="n"/>
      <c r="H66" s="166" t="n"/>
      <c r="I66" s="167" t="inlineStr">
        <is>
          <t>What mechanisms cause rockfall onto houses below steep slopes, and how should hazard mitigation be designed for rural settlements?</t>
        </is>
      </c>
      <c r="J66" s="167" t="inlineStr">
        <is>
          <t>Baolangson.vn</t>
        </is>
      </c>
      <c r="K66" s="168" t="n">
        <v>46319</v>
      </c>
      <c r="L66" s="167" t="inlineStr">
        <is>
          <t>Sạt lở đá xuống nhà dân tại xã Chi Lăng - Báo và Phát thanh, Truyền hình Lạng Sơn</t>
        </is>
      </c>
      <c r="M66" s="167" t="n"/>
      <c r="N66" s="169" t="inlineStr">
        <is>
          <t>Vietnam</t>
        </is>
      </c>
      <c r="O66" s="167" t="inlineStr">
        <is>
          <t>Chi Lang commune, Lang Son</t>
        </is>
      </c>
      <c r="P66" s="167" t="n"/>
      <c r="Q66" s="170" t="inlineStr">
        <is>
          <t>Vietnam</t>
        </is>
      </c>
      <c r="R66" s="168" t="n">
        <v>46317</v>
      </c>
      <c r="S66" s="169" t="inlineStr">
        <is>
          <t>2026-Q4</t>
        </is>
      </c>
      <c r="T66" s="171" t="inlineStr">
        <is>
          <t>landslide, rockfall</t>
        </is>
      </c>
      <c r="U66" s="159"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9" t="n">
        <v>64</v>
      </c>
      <c r="B67" s="160" t="inlineStr">
        <is>
          <t>Close-up of a 500-metre street section in Lam Dong province severely damaged by subsidence and landslides</t>
        </is>
      </c>
      <c r="C67" s="161" t="inlineStr">
        <is>
          <t>Hazards &amp; Resilience</t>
        </is>
      </c>
      <c r="D67" s="162" t="n">
        <v>4</v>
      </c>
      <c r="E67" s="183" t="inlineStr">
        <is>
          <t>Regional insight</t>
        </is>
      </c>
      <c r="F67" s="164" t="inlineStr">
        <is>
          <t>To review</t>
        </is>
      </c>
      <c r="G67" s="165" t="n"/>
      <c r="H67" s="166" t="n"/>
      <c r="I67" s="167" t="inlineStr">
        <is>
          <t>What combination of subsidence and landslide processes damaged this 500 m road, and how should such ground be investigated and repaired?</t>
        </is>
      </c>
      <c r="J67" s="167" t="inlineStr">
        <is>
          <t>Vietnam.vn</t>
        </is>
      </c>
      <c r="K67" s="168" t="n">
        <v>46319</v>
      </c>
      <c r="L67" s="167" t="inlineStr">
        <is>
          <t>Крупный план участка улицы длиной 500 метров в провинции Ламдонг, сильно пострадавшего от проседания грунта и оползней.</t>
        </is>
      </c>
      <c r="M67" s="167" t="n"/>
      <c r="N67" s="169" t="inlineStr">
        <is>
          <t>Vietnam</t>
        </is>
      </c>
      <c r="O67" s="167" t="inlineStr">
        <is>
          <t>Lam Dong province</t>
        </is>
      </c>
      <c r="P67" s="167" t="n"/>
      <c r="Q67" s="170" t="inlineStr">
        <is>
          <t>Russia</t>
        </is>
      </c>
      <c r="R67" s="168" t="n">
        <v>46317</v>
      </c>
      <c r="S67" s="169" t="inlineStr">
        <is>
          <t>2026-Q4</t>
        </is>
      </c>
      <c r="T67" s="171" t="inlineStr">
        <is>
          <t>landslide, subsidence, soil</t>
        </is>
      </c>
      <c r="U67" s="159"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Quang Tri: Severe coastal erosion threatens dikes, embankments, and people's lives.</t>
        </is>
      </c>
      <c r="C68" s="176" t="inlineStr">
        <is>
          <t>Offshore, Coasts &amp; Water</t>
        </is>
      </c>
      <c r="D68" s="162" t="n">
        <v>4</v>
      </c>
      <c r="E68" s="183" t="inlineStr">
        <is>
          <t>Regional insight</t>
        </is>
      </c>
      <c r="F68" s="164" t="inlineStr">
        <is>
          <t>To review</t>
        </is>
      </c>
      <c r="G68" s="165" t="n"/>
      <c r="H68" s="166" t="n"/>
      <c r="I68" s="167" t="inlineStr">
        <is>
          <t>What processes drive severe coastal erosion undermining dikes, and what protection measures suit such shorelines?</t>
        </is>
      </c>
      <c r="J68" s="167" t="inlineStr">
        <is>
          <t>Vietnam.vn</t>
        </is>
      </c>
      <c r="K68" s="168" t="n">
        <v>46319</v>
      </c>
      <c r="L68" s="167" t="n"/>
      <c r="M68" s="167" t="n"/>
      <c r="N68" s="169" t="inlineStr">
        <is>
          <t>Vietnam</t>
        </is>
      </c>
      <c r="O68" s="167" t="inlineStr">
        <is>
          <t>Quang Tri</t>
        </is>
      </c>
      <c r="P68" s="167" t="inlineStr">
        <is>
          <t>Quang Tri coastal erosion threatening dykes, Vietnam (Oct 2026) · Event · 2 reports</t>
        </is>
      </c>
      <c r="Q68" s="170" t="inlineStr">
        <is>
          <t>Vietnam</t>
        </is>
      </c>
      <c r="R68" s="168" t="n">
        <v>46318</v>
      </c>
      <c r="S68" s="169" t="inlineStr">
        <is>
          <t>2026-Q4</t>
        </is>
      </c>
      <c r="T68" s="171" t="inlineStr">
        <is>
          <t>embankment, dike, erosion</t>
        </is>
      </c>
      <c r="U68" s="159"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9" t="n">
        <v>66</v>
      </c>
      <c r="B69" s="160" t="inlineStr">
        <is>
          <t>Nghe An: urgent measures needed to prevent landslide on embankment along coastal road</t>
        </is>
      </c>
      <c r="C69" s="176" t="inlineStr">
        <is>
          <t>Offshore, Coasts &amp; Water</t>
        </is>
      </c>
      <c r="D69" s="162" t="n">
        <v>4</v>
      </c>
      <c r="E69" s="183" t="inlineStr">
        <is>
          <t>Regional insight</t>
        </is>
      </c>
      <c r="F69" s="164" t="inlineStr">
        <is>
          <t>To review</t>
        </is>
      </c>
      <c r="G69" s="165" t="n"/>
      <c r="H69" s="166" t="n"/>
      <c r="I69" s="167" t="inlineStr">
        <is>
          <t>What urgent stabilisation options suit a failing embankment on a coastal road, and how should slope failure risk be assessed?</t>
        </is>
      </c>
      <c r="J69" s="167" t="inlineStr">
        <is>
          <t>Vietnam.vn</t>
        </is>
      </c>
      <c r="K69" s="168" t="n">
        <v>46319</v>
      </c>
      <c r="L69" s="167" t="inlineStr">
        <is>
          <t>Нге Ан: Необходимы срочные меры для предотвращения оползня на насыпи вдоль прибрежной дороги.</t>
        </is>
      </c>
      <c r="M69" s="167" t="n"/>
      <c r="N69" s="169" t="inlineStr">
        <is>
          <t>Vietnam</t>
        </is>
      </c>
      <c r="O69" s="167" t="inlineStr">
        <is>
          <t>Nghe An</t>
        </is>
      </c>
      <c r="P69" s="167" t="n"/>
      <c r="Q69" s="170" t="inlineStr">
        <is>
          <t>Russia</t>
        </is>
      </c>
      <c r="R69" s="168" t="n">
        <v>46318</v>
      </c>
      <c r="S69" s="169" t="inlineStr">
        <is>
          <t>2026-Q4</t>
        </is>
      </c>
      <c r="T69" s="171" t="inlineStr">
        <is>
          <t>landslide, embankment</t>
        </is>
      </c>
      <c r="U69" s="159"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57-billion-dong erosion revetment in Thanh Hoa subsides and cracks right after completion</t>
        </is>
      </c>
      <c r="C70" s="161" t="inlineStr">
        <is>
          <t>Hazards &amp; Resilience</t>
        </is>
      </c>
      <c r="D70" s="162" t="n">
        <v>4</v>
      </c>
      <c r="E70" s="163" t="inlineStr">
        <is>
          <t>Feature lead</t>
        </is>
      </c>
      <c r="F70" s="164" t="inlineStr">
        <is>
          <t>To review</t>
        </is>
      </c>
      <c r="G70" s="165" t="n"/>
      <c r="H70" s="166" t="n"/>
      <c r="I70" s="167" t="inlineStr">
        <is>
          <t>Why did a newly completed revetment subside and crack so soon, and what foundation or design checks could have prevented it?</t>
        </is>
      </c>
      <c r="J70" s="167" t="inlineStr">
        <is>
          <t>Báo Thanh Niên</t>
        </is>
      </c>
      <c r="K70" s="168" t="n">
        <v>46319</v>
      </c>
      <c r="L70" s="167" t="inlineStr">
        <is>
          <t>Kè chống sạt lở hơn 57 tỉ đồng ở Thanh Hóa vừa làm xong đã sụt lún, đứt gãy</t>
        </is>
      </c>
      <c r="M70" s="167" t="n"/>
      <c r="N70" s="169" t="inlineStr">
        <is>
          <t>Vietnam</t>
        </is>
      </c>
      <c r="O70" s="167" t="inlineStr">
        <is>
          <t>Thanh Hoa</t>
        </is>
      </c>
      <c r="P70" s="167" t="n"/>
      <c r="Q70" s="170" t="inlineStr">
        <is>
          <t>Vietnam</t>
        </is>
      </c>
      <c r="R70" s="168" t="n">
        <v>46319</v>
      </c>
      <c r="S70" s="169" t="inlineStr">
        <is>
          <t>2026-Q4</t>
        </is>
      </c>
      <c r="T70" s="171" t="inlineStr">
        <is>
          <t>landslide, subsidence</t>
        </is>
      </c>
      <c r="U70" s="159"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9" t="n">
        <v>68</v>
      </c>
      <c r="B71" s="160" t="inlineStr">
        <is>
          <t>Lam Dong warns of serious subsidence and sliding on city streets</t>
        </is>
      </c>
      <c r="C71" s="161" t="inlineStr">
        <is>
          <t>Hazards &amp; Resilience</t>
        </is>
      </c>
      <c r="D71" s="162" t="n">
        <v>4</v>
      </c>
      <c r="E71" s="183" t="inlineStr">
        <is>
          <t>Regional insight</t>
        </is>
      </c>
      <c r="F71" s="164" t="inlineStr">
        <is>
          <t>To review</t>
        </is>
      </c>
      <c r="G71" s="165" t="n"/>
      <c r="H71" s="166" t="n"/>
      <c r="I71" s="167" t="inlineStr">
        <is>
          <t>What causes urban street subsidence and sliding in this highland city, and how should authorities monitor and warn residents?</t>
        </is>
      </c>
      <c r="J71" s="167" t="inlineStr">
        <is>
          <t>Báo và phát thanh, truyền hình Đồng Tháp</t>
        </is>
      </c>
      <c r="K71" s="168" t="n">
        <v>46319</v>
      </c>
      <c r="L71" s="167" t="inlineStr">
        <is>
          <t>Lâm Đồng: Cảnh báo sụt lún, sạt trượt nghiêm trọng đường phố</t>
        </is>
      </c>
      <c r="M71" s="167" t="n"/>
      <c r="N71" s="169" t="inlineStr">
        <is>
          <t>Vietnam</t>
        </is>
      </c>
      <c r="O71" s="167" t="inlineStr">
        <is>
          <t>Da Lat, Lam Dong</t>
        </is>
      </c>
      <c r="P71" s="167" t="n"/>
      <c r="Q71" s="170" t="inlineStr">
        <is>
          <t>Vietnam</t>
        </is>
      </c>
      <c r="R71" s="168" t="n">
        <v>46318</v>
      </c>
      <c r="S71" s="169" t="inlineStr">
        <is>
          <t>2026-Q4</t>
        </is>
      </c>
      <c r="T71" s="171" t="inlineStr">
        <is>
          <t>landslide, subsidence</t>
        </is>
      </c>
      <c r="U71" s="159"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9" t="n">
        <v>69</v>
      </c>
      <c r="B72" s="160" t="inlineStr">
        <is>
          <t>Identifying a huge sinkhole in Phong Nha-Ke Bang National Park; exploring Thien Ha cave in Ninh Binh</t>
        </is>
      </c>
      <c r="C72" s="161" t="inlineStr">
        <is>
          <t>Hazards &amp; Resilience</t>
        </is>
      </c>
      <c r="D72" s="162" t="n">
        <v>4</v>
      </c>
      <c r="E72" s="163" t="inlineStr">
        <is>
          <t>Feature lead</t>
        </is>
      </c>
      <c r="F72" s="164" t="inlineStr">
        <is>
          <t>To review</t>
        </is>
      </c>
      <c r="G72" s="165" t="n"/>
      <c r="H72" s="166" t="n"/>
      <c r="I72" s="167" t="inlineStr">
        <is>
          <t>What karst processes produce giant sinkholes, and how can they be detected and assessed in limestone terrain?</t>
        </is>
      </c>
      <c r="J72" s="167" t="inlineStr">
        <is>
          <t>Kenh14.vn</t>
        </is>
      </c>
      <c r="K72" s="168" t="n">
        <v>46319</v>
      </c>
      <c r="L72" s="167" t="inlineStr">
        <is>
          <t>Xác định hố sụt lún “khủng” ở Vườn quốc gia Phong Nha-Kẻ Bàng Khám phá hang động Thiên Hà huyền ảo ở Ninh Bình</t>
        </is>
      </c>
      <c r="M72" s="167" t="n"/>
      <c r="N72" s="169" t="inlineStr">
        <is>
          <t>Vietnam</t>
        </is>
      </c>
      <c r="O72" s="167" t="inlineStr">
        <is>
          <t>Phong Nha-Ke Bang National Park</t>
        </is>
      </c>
      <c r="P72" s="167" t="n"/>
      <c r="Q72" s="170" t="inlineStr">
        <is>
          <t>Vietnam</t>
        </is>
      </c>
      <c r="R72" s="168" t="n">
        <v>46318</v>
      </c>
      <c r="S72" s="169" t="inlineStr">
        <is>
          <t>2026-Q4</t>
        </is>
      </c>
      <c r="T72" s="171" t="inlineStr">
        <is>
          <t>sinkhole, subsidence</t>
        </is>
      </c>
      <c r="U72" s="159"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9" t="n">
        <v>70</v>
      </c>
      <c r="B73" s="160" t="inlineStr">
        <is>
          <t>Close-up of a 500-metre street in Lam Dong province, badly hit by subsidence and landslides</t>
        </is>
      </c>
      <c r="C73" s="161" t="inlineStr">
        <is>
          <t>Hazards &amp; Resilience</t>
        </is>
      </c>
      <c r="D73" s="162" t="n">
        <v>4</v>
      </c>
      <c r="E73" s="183" t="inlineStr">
        <is>
          <t>Regional insight</t>
        </is>
      </c>
      <c r="F73" s="164" t="inlineStr">
        <is>
          <t>To review</t>
        </is>
      </c>
      <c r="G73" s="165" t="n"/>
      <c r="H73" s="166" t="n"/>
      <c r="I73" s="167" t="inlineStr">
        <is>
          <t>What combination of subsidence and landslide processes damaged this 500 m road, and how should such ground be investigated and repaired?</t>
        </is>
      </c>
      <c r="J73" s="167" t="inlineStr">
        <is>
          <t>Vietnam.vn</t>
        </is>
      </c>
      <c r="K73" s="168" t="n">
        <v>46319</v>
      </c>
      <c r="L73" s="167" t="inlineStr">
        <is>
          <t>Gros plan sur 500 mètres de rue dans la province de Lam Dong, gravement touchée par des affaissements et des glissements de terrain.</t>
        </is>
      </c>
      <c r="M73" s="167" t="n"/>
      <c r="N73" s="169" t="inlineStr">
        <is>
          <t>Vietnam</t>
        </is>
      </c>
      <c r="O73" s="167" t="inlineStr">
        <is>
          <t>Lam Dong province</t>
        </is>
      </c>
      <c r="P73" s="167" t="n"/>
      <c r="Q73" s="170" t="inlineStr">
        <is>
          <t>Vietnam</t>
        </is>
      </c>
      <c r="R73" s="168" t="n">
        <v>46317</v>
      </c>
      <c r="S73" s="169" t="inlineStr">
        <is>
          <t>2026-Q4</t>
        </is>
      </c>
      <c r="T73" s="171" t="inlineStr">
        <is>
          <t>landslide, subsidence</t>
        </is>
      </c>
      <c r="U73" s="159"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Anti-landslide embankment threatens residential area</t>
        </is>
      </c>
      <c r="C74" s="161" t="inlineStr">
        <is>
          <t>Hazards &amp; Resilience</t>
        </is>
      </c>
      <c r="D74" s="162" t="n">
        <v>4</v>
      </c>
      <c r="E74" s="183" t="inlineStr">
        <is>
          <t>Regional insight</t>
        </is>
      </c>
      <c r="F74" s="164" t="inlineStr">
        <is>
          <t>To review</t>
        </is>
      </c>
      <c r="G74" s="165" t="n"/>
      <c r="H74" s="166" t="n"/>
      <c r="I74" s="167" t="inlineStr">
        <is>
          <t>Why does this anti-landslide embankment threaten housing, and what stability checks should apply to embankments near settlements?</t>
        </is>
      </c>
      <c r="J74" s="167" t="inlineStr">
        <is>
          <t>Vietnam.vn</t>
        </is>
      </c>
      <c r="K74" s="168" t="n">
        <v>46319</v>
      </c>
      <c r="L74" s="167" t="inlineStr">
        <is>
          <t>산사태 방지 제방이 주거 지역을 위협하고 있다.</t>
        </is>
      </c>
      <c r="M74" s="167" t="n"/>
      <c r="N74" s="169" t="inlineStr">
        <is>
          <t>Vietnam</t>
        </is>
      </c>
      <c r="O74" s="167" t="n"/>
      <c r="P74" s="167" t="n"/>
      <c r="Q74" s="170" t="inlineStr">
        <is>
          <t>South Korea</t>
        </is>
      </c>
      <c r="R74" s="168" t="n">
        <v>46319</v>
      </c>
      <c r="S74" s="169" t="inlineStr">
        <is>
          <t>2026-Q4</t>
        </is>
      </c>
      <c r="T74" s="171" t="inlineStr">
        <is>
          <t>landslide, embankment</t>
        </is>
      </c>
      <c r="U74" s="159"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9" t="n">
        <v>72</v>
      </c>
      <c r="B75" s="160" t="inlineStr">
        <is>
          <t>Nghe An: early treatment needed for slope failure on coastal road cut</t>
        </is>
      </c>
      <c r="C75" s="176" t="inlineStr">
        <is>
          <t>Offshore, Coasts &amp; Water</t>
        </is>
      </c>
      <c r="D75" s="162" t="n">
        <v>4</v>
      </c>
      <c r="E75" s="183" t="inlineStr">
        <is>
          <t>Regional insight</t>
        </is>
      </c>
      <c r="F75" s="164" t="inlineStr">
        <is>
          <t>To review</t>
        </is>
      </c>
      <c r="G75" s="165" t="n"/>
      <c r="H75" s="166" t="n"/>
      <c r="I75" s="167" t="inlineStr">
        <is>
          <t>What causes slope failure in coastal road cuts, and which stabilisation methods are most suitable for weathered coastal soils?</t>
        </is>
      </c>
      <c r="J75" s="167" t="inlineStr">
        <is>
          <t>Vietnam.vn</t>
        </is>
      </c>
      <c r="K75" s="168" t="n">
        <v>46319</v>
      </c>
      <c r="L75" s="167" t="inlineStr">
        <is>
          <t>Nghệ An: Cần sớm xử lý sạt lở taluy dương trên tuyến đường ven biển</t>
        </is>
      </c>
      <c r="M75" s="167" t="n"/>
      <c r="N75" s="169" t="inlineStr">
        <is>
          <t>Vietnam</t>
        </is>
      </c>
      <c r="O75" s="167" t="inlineStr">
        <is>
          <t>Nghe An</t>
        </is>
      </c>
      <c r="P75" s="167" t="inlineStr">
        <is>
          <t>Nghe An coastal road embankment landslide, Vietnam (Oct 2026) · Event · 2 reports</t>
        </is>
      </c>
      <c r="Q75" s="170" t="inlineStr">
        <is>
          <t>Vietnam</t>
        </is>
      </c>
      <c r="R75" s="168" t="n">
        <v>46318</v>
      </c>
      <c r="S75" s="169" t="inlineStr">
        <is>
          <t>2026-Q4</t>
        </is>
      </c>
      <c r="T75" s="171" t="inlineStr">
        <is>
          <t>landslide, slope</t>
        </is>
      </c>
      <c r="U75" s="159"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9" t="n">
        <v>73</v>
      </c>
      <c r="B76" s="160" t="inlineStr">
        <is>
          <t>Osan: Jo Yong-ho's restoration of Seobu-ro retaining wall after road collapse, aiming to restore public trust</t>
        </is>
      </c>
      <c r="C76" s="177" t="inlineStr">
        <is>
          <t>Infrastructure &amp; the Underground City</t>
        </is>
      </c>
      <c r="D76" s="162" t="n">
        <v>4</v>
      </c>
      <c r="E76" s="163" t="inlineStr">
        <is>
          <t>Feature lead</t>
        </is>
      </c>
      <c r="F76" s="164" t="inlineStr">
        <is>
          <t>To review</t>
        </is>
      </c>
      <c r="G76" s="165" t="n"/>
      <c r="H76" s="166" t="n"/>
      <c r="I76" s="167" t="inlineStr">
        <is>
          <t>What caused the road collapse behind this retaining wall, and how should wall reconstruction address backfill and drainage?</t>
        </is>
      </c>
      <c r="J76" s="167" t="inlineStr">
        <is>
          <t>아주경제</t>
        </is>
      </c>
      <c r="K76" s="168" t="n">
        <v>46319</v>
      </c>
      <c r="L76" s="167" t="inlineStr">
        <is>
          <t>[강대웅의 정문일침(頂門一鍼)] 조용호 시장의 오산시 서부로 옹벽 복구...무너진 도로 넘어 시민 신뢰 회복</t>
        </is>
      </c>
      <c r="M76" s="167" t="n"/>
      <c r="N76" s="169" t="inlineStr">
        <is>
          <t>South Korea</t>
        </is>
      </c>
      <c r="O76" s="167" t="inlineStr">
        <is>
          <t>Osan, Seobu-ro</t>
        </is>
      </c>
      <c r="P76" s="167" t="n"/>
      <c r="Q76" s="170" t="inlineStr">
        <is>
          <t>South Korea</t>
        </is>
      </c>
      <c r="R76" s="168" t="n">
        <v>46319</v>
      </c>
      <c r="S76" s="169" t="inlineStr">
        <is>
          <t>2026-Q4</t>
        </is>
      </c>
      <c r="T76" s="171" t="inlineStr">
        <is>
          <t>retaining wall, collapse</t>
        </is>
      </c>
      <c r="U76" s="159"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Lawmakers warn of major accidents as retaining wall near apartments repeatedly collapses; drainage and private land issues</t>
        </is>
      </c>
      <c r="C77" s="177" t="inlineStr">
        <is>
          <t>Infrastructure &amp; the Underground City</t>
        </is>
      </c>
      <c r="D77" s="162" t="n">
        <v>4</v>
      </c>
      <c r="E77" s="183" t="inlineStr">
        <is>
          <t>Regional insight</t>
        </is>
      </c>
      <c r="F77" s="164" t="inlineStr">
        <is>
          <t>To review</t>
        </is>
      </c>
      <c r="G77" s="165" t="n"/>
      <c r="H77" s="166" t="n"/>
      <c r="I77" s="167" t="inlineStr">
        <is>
          <t>Why do retaining walls beside apartments collapse repeatedly, and how do drainage and private land ownership complicate remediation?</t>
        </is>
      </c>
      <c r="J77" s="167" t="inlineStr">
        <is>
          <t>Naver Blog</t>
        </is>
      </c>
      <c r="K77" s="168" t="n">
        <v>46319</v>
      </c>
      <c r="L77" s="167" t="inlineStr">
        <is>
          <t>반주영 의원 “인명피해로 이어지면 큰 사고”…황성석 의원도 고촌 옹벽 안전대책 촉구 | 아파트 인접 옹벽 반복 붕괴 우려…상부 배수로·사유지 문제에 시의 적극적인 협의 주문</t>
        </is>
      </c>
      <c r="M77" s="167" t="n"/>
      <c r="N77" s="169" t="inlineStr">
        <is>
          <t>South Korea</t>
        </is>
      </c>
      <c r="O77" s="167" t="inlineStr">
        <is>
          <t>Gochon, Gimpo</t>
        </is>
      </c>
      <c r="P77" s="167" t="n"/>
      <c r="Q77" s="170" t="inlineStr">
        <is>
          <t>South Korea</t>
        </is>
      </c>
      <c r="R77" s="168" t="n">
        <v>46318</v>
      </c>
      <c r="S77" s="169" t="inlineStr">
        <is>
          <t>2026-Q4</t>
        </is>
      </c>
      <c r="T77" s="171" t="inlineStr">
        <is>
          <t>retaining wall, collapse</t>
        </is>
      </c>
      <c r="U77" s="159"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Part of a retaining wall collapsed near Pioneer Park in Yalta after rains</t>
        </is>
      </c>
      <c r="C78" s="177" t="inlineStr">
        <is>
          <t>Infrastructure &amp; the Underground City</t>
        </is>
      </c>
      <c r="D78" s="162" t="n">
        <v>4</v>
      </c>
      <c r="E78" s="183" t="inlineStr">
        <is>
          <t>Regional insight</t>
        </is>
      </c>
      <c r="F78" s="164" t="inlineStr">
        <is>
          <t>To review</t>
        </is>
      </c>
      <c r="G78" s="165" t="n"/>
      <c r="H78" s="166" t="n"/>
      <c r="I78" s="167" t="inlineStr">
        <is>
          <t>Why did this retaining wall fail after heavy rain, and what drainage and wall design checks should coastal slopes receive?</t>
        </is>
      </c>
      <c r="J78" s="167" t="inlineStr">
        <is>
          <t>Крыминформ</t>
        </is>
      </c>
      <c r="K78" s="168" t="n">
        <v>46319</v>
      </c>
      <c r="L78" s="167" t="inlineStr">
        <is>
          <t>После ливней у Пионерского парка в Ялте обрушилась часть подпорной стены</t>
        </is>
      </c>
      <c r="M78" s="167" t="n"/>
      <c r="N78" s="169" t="inlineStr">
        <is>
          <t>Ukraine</t>
        </is>
      </c>
      <c r="O78" s="167" t="inlineStr">
        <is>
          <t>Yalta, Pioneer Park</t>
        </is>
      </c>
      <c r="P78" s="167" t="n"/>
      <c r="Q78" s="170" t="inlineStr">
        <is>
          <t>Russia</t>
        </is>
      </c>
      <c r="R78" s="168" t="n">
        <v>46317</v>
      </c>
      <c r="S78" s="169" t="inlineStr">
        <is>
          <t>2026-Q4</t>
        </is>
      </c>
      <c r="T78" s="171" t="inlineStr">
        <is>
          <t>retaining wall, collapse</t>
        </is>
      </c>
      <c r="U78" s="159"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9" t="n">
        <v>76</v>
      </c>
      <c r="B79" s="160" t="inlineStr">
        <is>
          <t>Two houses collapse due to Tien River bank erosion</t>
        </is>
      </c>
      <c r="C79" s="176" t="inlineStr">
        <is>
          <t>Offshore, Coasts &amp; Water</t>
        </is>
      </c>
      <c r="D79" s="162" t="n">
        <v>4</v>
      </c>
      <c r="E79" s="175" t="inlineStr">
        <is>
          <t>News brief</t>
        </is>
      </c>
      <c r="F79" s="164" t="inlineStr">
        <is>
          <t>To review</t>
        </is>
      </c>
      <c r="G79" s="165" t="n"/>
      <c r="H79" s="166" t="n"/>
      <c r="I79" s="167" t="inlineStr">
        <is>
          <t>What riverbank erosion processes undermined these houses, and how can bank stability be assessed near settlements?</t>
        </is>
      </c>
      <c r="J79" s="167" t="inlineStr">
        <is>
          <t>VTV.vn</t>
        </is>
      </c>
      <c r="K79" s="168" t="n">
        <v>46319</v>
      </c>
      <c r="L79" s="167" t="inlineStr">
        <is>
          <t>Hai căn nhà đổ sập do sạt lở bờ sông Tiền</t>
        </is>
      </c>
      <c r="M79" s="167" t="n"/>
      <c r="N79" s="169" t="inlineStr">
        <is>
          <t>Vietnam</t>
        </is>
      </c>
      <c r="O79" s="167" t="inlineStr">
        <is>
          <t>Tien River</t>
        </is>
      </c>
      <c r="P79" s="167" t="n"/>
      <c r="Q79" s="170" t="inlineStr">
        <is>
          <t>Vietnam</t>
        </is>
      </c>
      <c r="R79" s="168" t="n">
        <v>46318</v>
      </c>
      <c r="S79" s="169" t="inlineStr">
        <is>
          <t>2026-Q4</t>
        </is>
      </c>
      <c r="T79" s="171" t="inlineStr">
        <is>
          <t>landslide, collapse</t>
        </is>
      </c>
      <c r="U79" s="159"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Gochang-Buan Noeuldaegyo Enters Geotechnical Survey Phase; Construction Targeted for January 2028</t>
        </is>
      </c>
      <c r="C80" s="177" t="inlineStr">
        <is>
          <t>Infrastructure &amp; the Underground City</t>
        </is>
      </c>
      <c r="D80" s="162" t="n">
        <v>4</v>
      </c>
      <c r="E80" s="175" t="inlineStr">
        <is>
          <t>News brief</t>
        </is>
      </c>
      <c r="F80" s="164" t="inlineStr">
        <is>
          <t>To review</t>
        </is>
      </c>
      <c r="G80" s="165" t="n"/>
      <c r="H80" s="166" t="n"/>
      <c r="I80" s="167" t="inlineStr">
        <is>
          <t>What ground conditions will the geotechnical survey reveal for this Korean nuclear-related or major construction project, and how will they shape the 2028 schedule?</t>
        </is>
      </c>
      <c r="J80" s="167" t="inlineStr">
        <is>
          <t>아시아경제</t>
        </is>
      </c>
      <c r="K80" s="168" t="n">
        <v>46319</v>
      </c>
      <c r="L80" s="167" t="n"/>
      <c r="M80" s="167" t="n"/>
      <c r="N80" s="169" t="inlineStr">
        <is>
          <t>South Korea</t>
        </is>
      </c>
      <c r="O80" s="167" t="inlineStr">
        <is>
          <t>Gochang-Buan</t>
        </is>
      </c>
      <c r="P80" s="167" t="n"/>
      <c r="Q80" s="170" t="inlineStr">
        <is>
          <t>United Kingdom</t>
        </is>
      </c>
      <c r="R80" s="168" t="n">
        <v>46317</v>
      </c>
      <c r="S80" s="169" t="inlineStr">
        <is>
          <t>2026-Q4</t>
        </is>
      </c>
      <c r="T80" s="171" t="inlineStr">
        <is>
          <t>geotechnical</t>
        </is>
      </c>
      <c r="U80" s="159"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9" t="n">
        <v>78</v>
      </c>
      <c r="B81" s="160" t="inlineStr">
        <is>
          <t>Se ha descubierto un socavón del tamaño de casi tres campos de fútbol en Phong Nha Ke Bang.</t>
        </is>
      </c>
      <c r="C81" s="178" t="inlineStr">
        <is>
          <t>Characterisation &amp; Modelling</t>
        </is>
      </c>
      <c r="D81" s="162" t="n">
        <v>4</v>
      </c>
      <c r="E81" s="163" t="inlineStr">
        <is>
          <t>Feature lead</t>
        </is>
      </c>
      <c r="F81" s="164" t="inlineStr">
        <is>
          <t>To review</t>
        </is>
      </c>
      <c r="G81" s="165" t="n"/>
      <c r="H81" s="166" t="n"/>
      <c r="I81" s="167" t="inlineStr">
        <is>
          <t>How do karst dissolution and roof collapse produce giant dolines like the one in Phong Nha Ke Bang, and how can such cavities be characterised?</t>
        </is>
      </c>
      <c r="J81" s="167" t="inlineStr">
        <is>
          <t>Vietnam.vn</t>
        </is>
      </c>
      <c r="K81" s="168" t="n">
        <v>46319</v>
      </c>
      <c r="L81" s="167" t="n"/>
      <c r="M81" s="167" t="n"/>
      <c r="N81" s="169" t="inlineStr">
        <is>
          <t>Vietnam</t>
        </is>
      </c>
      <c r="O81" s="167" t="inlineStr">
        <is>
          <t>Phong Nha Ke Bang</t>
        </is>
      </c>
      <c r="P81" s="167" t="n"/>
      <c r="Q81" s="170" t="inlineStr">
        <is>
          <t>Colombia</t>
        </is>
      </c>
      <c r="R81" s="168" t="n">
        <v>46318</v>
      </c>
      <c r="S81" s="169" t="inlineStr">
        <is>
          <t>2026-Q4</t>
        </is>
      </c>
      <c r="T81" s="171" t="inlineStr">
        <is>
          <t>sinkhole</t>
        </is>
      </c>
      <c r="U81" s="159"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CEDH finds negligence by Guasave municipality in death of teacher who fell into sinkhole</t>
        </is>
      </c>
      <c r="C82" s="182" t="inlineStr">
        <is>
          <t>Geotechnics &amp; Society</t>
        </is>
      </c>
      <c r="D82" s="162" t="n">
        <v>4</v>
      </c>
      <c r="E82" s="163" t="inlineStr">
        <is>
          <t>Feature lead</t>
        </is>
      </c>
      <c r="F82" s="164" t="inlineStr">
        <is>
          <t>To review</t>
        </is>
      </c>
      <c r="G82" s="165" t="n"/>
      <c r="H82" s="166" t="n"/>
      <c r="I82" s="167" t="inlineStr">
        <is>
          <t>What duty of care should municipalities meet in managing known ground-collapse hazards in urban areas, as the Guasave case suggests?</t>
        </is>
      </c>
      <c r="J82" s="167" t="inlineStr">
        <is>
          <t>www.noroeste.com.mx</t>
        </is>
      </c>
      <c r="K82" s="168" t="n">
        <v>46319</v>
      </c>
      <c r="L82" s="167" t="inlineStr">
        <is>
          <t>CEDH acredita negligencia del Ayuntamiento de Guasave por muerte de profesor que cayó en socavón</t>
        </is>
      </c>
      <c r="M82" s="167" t="n"/>
      <c r="N82" s="169" t="inlineStr">
        <is>
          <t>Mexico</t>
        </is>
      </c>
      <c r="O82" s="167" t="inlineStr">
        <is>
          <t>Guasave, Sinaloa</t>
        </is>
      </c>
      <c r="P82" s="167" t="n"/>
      <c r="Q82" s="170" t="inlineStr">
        <is>
          <t>Colombia</t>
        </is>
      </c>
      <c r="R82" s="168" t="n">
        <v>46317</v>
      </c>
      <c r="S82" s="169" t="inlineStr">
        <is>
          <t>2026-Q4</t>
        </is>
      </c>
      <c r="T82" s="171" t="inlineStr">
        <is>
          <t>sinkhole</t>
        </is>
      </c>
      <c r="U82" s="159"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9" t="n">
        <v>80</v>
      </c>
      <c r="B83" s="160" t="inlineStr">
        <is>
          <t>Vista de cerca del gigantesco socavón de 120 metros de profundidad descubierto recientemente en Vietnam.</t>
        </is>
      </c>
      <c r="C83" s="178" t="inlineStr">
        <is>
          <t>Characterisation &amp; Modelling</t>
        </is>
      </c>
      <c r="D83" s="162" t="n">
        <v>4</v>
      </c>
      <c r="E83" s="163" t="inlineStr">
        <is>
          <t>Feature lead</t>
        </is>
      </c>
      <c r="F83" s="164" t="inlineStr">
        <is>
          <t>To review</t>
        </is>
      </c>
      <c r="G83" s="165" t="n"/>
      <c r="H83" s="166" t="n"/>
      <c r="I83" s="167" t="inlineStr">
        <is>
          <t>Which geomorphological and hydrogeological processes produced a 120 m deep collapse, and how can the stability of its steep walls be assessed?</t>
        </is>
      </c>
      <c r="J83" s="167" t="inlineStr">
        <is>
          <t>Vietnam.vn</t>
        </is>
      </c>
      <c r="K83" s="168" t="n">
        <v>46319</v>
      </c>
      <c r="L83" s="167" t="n"/>
      <c r="M83" s="167" t="n"/>
      <c r="N83" s="169" t="inlineStr">
        <is>
          <t>Vietnam</t>
        </is>
      </c>
      <c r="O83" s="167" t="inlineStr">
        <is>
          <t>Quang Binh</t>
        </is>
      </c>
      <c r="P83" s="167" t="n"/>
      <c r="Q83" s="170" t="inlineStr">
        <is>
          <t>Colombia</t>
        </is>
      </c>
      <c r="R83" s="168" t="n">
        <v>46318</v>
      </c>
      <c r="S83" s="169" t="inlineStr">
        <is>
          <t>2026-Q4</t>
        </is>
      </c>
      <c r="T83" s="171" t="inlineStr">
        <is>
          <t>sinkhole</t>
        </is>
      </c>
      <c r="U83" s="159"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Primeval forest grows at bottom of 120-meter-deep sinkhole in central Vietnam</t>
        </is>
      </c>
      <c r="C84" s="178" t="inlineStr">
        <is>
          <t>Characterisation &amp; Modelling</t>
        </is>
      </c>
      <c r="D84" s="162" t="n">
        <v>4</v>
      </c>
      <c r="E84" s="163" t="inlineStr">
        <is>
          <t>Feature lead</t>
        </is>
      </c>
      <c r="F84" s="164" t="inlineStr">
        <is>
          <t>To review</t>
        </is>
      </c>
      <c r="G84" s="165" t="n"/>
      <c r="H84" s="166" t="n"/>
      <c r="I84" s="167" t="inlineStr">
        <is>
          <t>How do karst collapse sinkholes form in limestone terrain, and what do such deep features reveal about cave ground stability and hazard mapping?</t>
        </is>
      </c>
      <c r="J84" s="167" t="inlineStr">
        <is>
          <t>VnExpress International</t>
        </is>
      </c>
      <c r="K84" s="168" t="n">
        <v>46319</v>
      </c>
      <c r="L84" s="167" t="n"/>
      <c r="M84" s="167" t="n"/>
      <c r="N84" s="169" t="inlineStr">
        <is>
          <t>Vietnam</t>
        </is>
      </c>
      <c r="O84" s="167" t="inlineStr">
        <is>
          <t>Quang Binh</t>
        </is>
      </c>
      <c r="P84" s="167" t="inlineStr">
        <is>
          <t>Phong Nha-Ke Bang 120 m sinkhole discovery, Vietnam · Event · 4 reports</t>
        </is>
      </c>
      <c r="Q84" s="170" t="inlineStr">
        <is>
          <t>United Kingdom</t>
        </is>
      </c>
      <c r="R84" s="168" t="n">
        <v>46319</v>
      </c>
      <c r="S84" s="169" t="inlineStr">
        <is>
          <t>2026-Q4</t>
        </is>
      </c>
      <c r="T84" s="171" t="inlineStr">
        <is>
          <t>sinkhole</t>
        </is>
      </c>
      <c r="U84" s="159"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Mystery in El Bosque: sinkhole appears amid rain and swallows a car</t>
        </is>
      </c>
      <c r="C85" s="177" t="inlineStr">
        <is>
          <t>Infrastructure &amp; the Underground City</t>
        </is>
      </c>
      <c r="D85" s="162" t="n">
        <v>4</v>
      </c>
      <c r="E85" s="175" t="inlineStr">
        <is>
          <t>News brief</t>
        </is>
      </c>
      <c r="F85" s="164" t="inlineStr">
        <is>
          <t>To review</t>
        </is>
      </c>
      <c r="G85" s="165" t="n"/>
      <c r="H85" s="166" t="n"/>
      <c r="I85" s="167" t="inlineStr">
        <is>
          <t>How do rainfall, leaking pipes and soil erosion combine to create sudden road sinkholes that swallow vehicles, as in El Bosque?</t>
        </is>
      </c>
      <c r="J85" s="167" t="inlineStr">
        <is>
          <t>BioBioChile</t>
        </is>
      </c>
      <c r="K85" s="168" t="n">
        <v>46319</v>
      </c>
      <c r="L85" s="167" t="inlineStr">
        <is>
          <t>Misterio en El Bosque: socavón aparece en medio de la lluvia y se traga un auto</t>
        </is>
      </c>
      <c r="M85" s="167" t="n"/>
      <c r="N85" s="169" t="inlineStr">
        <is>
          <t>Chile</t>
        </is>
      </c>
      <c r="O85" s="167" t="inlineStr">
        <is>
          <t>El Bosque, Santiago</t>
        </is>
      </c>
      <c r="P85" s="167" t="n"/>
      <c r="Q85" s="170" t="inlineStr">
        <is>
          <t>Colombia</t>
        </is>
      </c>
      <c r="R85" s="168" t="n">
        <v>46317</v>
      </c>
      <c r="S85" s="169" t="inlineStr">
        <is>
          <t>2026-Q4</t>
        </is>
      </c>
      <c r="T85" s="171" t="inlineStr">
        <is>
          <t>sinkhole</t>
        </is>
      </c>
      <c r="U85" s="159"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More than 300 neighbourhoods at risk from rain; Eloy Alfaro sinkhole casts doubt on Quito's underground infrastructure</t>
        </is>
      </c>
      <c r="C86" s="177" t="inlineStr">
        <is>
          <t>Infrastructure &amp; the Underground City</t>
        </is>
      </c>
      <c r="D86" s="162" t="n">
        <v>4</v>
      </c>
      <c r="E86" s="163" t="inlineStr">
        <is>
          <t>Feature lead</t>
        </is>
      </c>
      <c r="F86" s="164" t="inlineStr">
        <is>
          <t>To review</t>
        </is>
      </c>
      <c r="G86" s="165" t="n"/>
      <c r="H86" s="166" t="n"/>
      <c r="I86" s="167" t="inlineStr">
        <is>
          <t>What does the Eloy Alfaro sinkhole reveal about the condition of Quito's buried infrastructure and the ground beneath rain-affected neighbourhoods?</t>
        </is>
      </c>
      <c r="J86" s="167" t="inlineStr">
        <is>
          <t>El Universo</t>
        </is>
      </c>
      <c r="K86" s="168" t="n">
        <v>46319</v>
      </c>
      <c r="L86" s="167" t="inlineStr">
        <is>
          <t>Más de 300 barrios en riesgo por las lluvias, socavón en la Eloy Alfaro pone en duda la infraestructura subterránea de Quito</t>
        </is>
      </c>
      <c r="M86" s="167" t="n"/>
      <c r="N86" s="169" t="inlineStr">
        <is>
          <t>Ecuador</t>
        </is>
      </c>
      <c r="O86" s="167" t="inlineStr">
        <is>
          <t>Eloy Alfaro, Quito</t>
        </is>
      </c>
      <c r="P86" s="167" t="n"/>
      <c r="Q86" s="170" t="inlineStr">
        <is>
          <t>Colombia</t>
        </is>
      </c>
      <c r="R86" s="168" t="n">
        <v>46318</v>
      </c>
      <c r="S86" s="169" t="inlineStr">
        <is>
          <t>2026-Q4</t>
        </is>
      </c>
      <c r="T86" s="171" t="inlineStr">
        <is>
          <t>sinkhole</t>
        </is>
      </c>
      <c r="U86" s="159"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Presidential delegate on Arauco sinkhole: 'It was built on land that was not optimal'</t>
        </is>
      </c>
      <c r="C87" s="177" t="inlineStr">
        <is>
          <t>Infrastructure &amp; the Underground City</t>
        </is>
      </c>
      <c r="D87" s="162" t="n">
        <v>4</v>
      </c>
      <c r="E87" s="163" t="inlineStr">
        <is>
          <t>Feature lead</t>
        </is>
      </c>
      <c r="F87" s="164" t="inlineStr">
        <is>
          <t>To review</t>
        </is>
      </c>
      <c r="G87" s="165" t="n"/>
      <c r="H87" s="166" t="n"/>
      <c r="I87" s="167" t="inlineStr">
        <is>
          <t>What ground investigation and foundation decisions should be scrutinised when a structure is built on unsuitable terrain, as officials claim in Arauco?</t>
        </is>
      </c>
      <c r="J87" s="167" t="inlineStr">
        <is>
          <t>Cooperativa</t>
        </is>
      </c>
      <c r="K87" s="168" t="n">
        <v>46319</v>
      </c>
      <c r="L87" s="167" t="inlineStr">
        <is>
          <t>Delegado presidencial y el socavón en Arauco: "Aquí se construyó en un terreno que no era óptimo"</t>
        </is>
      </c>
      <c r="M87" s="167" t="n"/>
      <c r="N87" s="169" t="inlineStr">
        <is>
          <t>Chile</t>
        </is>
      </c>
      <c r="O87" s="167" t="inlineStr">
        <is>
          <t>Arauco</t>
        </is>
      </c>
      <c r="P87" s="167" t="n"/>
      <c r="Q87" s="170" t="inlineStr">
        <is>
          <t>Colombia</t>
        </is>
      </c>
      <c r="R87" s="168" t="n">
        <v>46319</v>
      </c>
      <c r="S87" s="169" t="inlineStr">
        <is>
          <t>2026-Q4</t>
        </is>
      </c>
      <c r="T87" s="171" t="inlineStr">
        <is>
          <t>sinkhole</t>
        </is>
      </c>
      <c r="U87" s="159"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9" t="n">
        <v>85</v>
      </c>
      <c r="B88" s="160" t="inlineStr">
        <is>
          <t>JUMAPAM and Pemex evaluate underground network after sinkhole on Emilio Barragán avenue in Mazatlán</t>
        </is>
      </c>
      <c r="C88" s="177" t="inlineStr">
        <is>
          <t>Infrastructure &amp; the Underground City</t>
        </is>
      </c>
      <c r="D88" s="162" t="n">
        <v>4</v>
      </c>
      <c r="E88" s="163" t="inlineStr">
        <is>
          <t>Feature lead</t>
        </is>
      </c>
      <c r="F88" s="164" t="inlineStr">
        <is>
          <t>To review</t>
        </is>
      </c>
      <c r="G88" s="165" t="n"/>
      <c r="H88" s="166" t="n"/>
      <c r="I88" s="167" t="inlineStr">
        <is>
          <t>How can utilities mapping and leak detection clarify whether pipe defects caused the Emilio Barragán sinkhole in Mazatlán?</t>
        </is>
      </c>
      <c r="J88" s="167" t="inlineStr">
        <is>
          <t>Debate</t>
        </is>
      </c>
      <c r="K88" s="168" t="n">
        <v>46319</v>
      </c>
      <c r="L88" s="167" t="inlineStr">
        <is>
          <t>JUMAPAM y Pemex evalúan red subterránea tras socavón en la avenida Emilio Barragán en Mazatlán</t>
        </is>
      </c>
      <c r="M88" s="167" t="n"/>
      <c r="N88" s="169" t="inlineStr">
        <is>
          <t>Mexico</t>
        </is>
      </c>
      <c r="O88" s="167" t="inlineStr">
        <is>
          <t>Mazatlan, Emilio Barragan avenue</t>
        </is>
      </c>
      <c r="P88" s="167" t="n"/>
      <c r="Q88" s="170" t="inlineStr">
        <is>
          <t>Colombia</t>
        </is>
      </c>
      <c r="R88" s="168" t="n">
        <v>46317</v>
      </c>
      <c r="S88" s="169" t="inlineStr">
        <is>
          <t>2026-Q4</t>
        </is>
      </c>
      <c r="T88" s="171" t="inlineStr">
        <is>
          <t>sinkhole</t>
        </is>
      </c>
      <c r="U88" s="159"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9" t="n">
        <v>86</v>
      </c>
      <c r="B89" s="160" t="inlineStr">
        <is>
          <t>What lies inside the hole over two hectares wide in the middle of Phong Nha-Ke Bang forest?</t>
        </is>
      </c>
      <c r="C89" s="178" t="inlineStr">
        <is>
          <t>Characterisation &amp; Modelling</t>
        </is>
      </c>
      <c r="D89" s="162" t="n">
        <v>4</v>
      </c>
      <c r="E89" s="163" t="inlineStr">
        <is>
          <t>Feature lead</t>
        </is>
      </c>
      <c r="F89" s="164" t="inlineStr">
        <is>
          <t>To review</t>
        </is>
      </c>
      <c r="G89" s="165" t="n"/>
      <c r="H89" s="166" t="n"/>
      <c r="I89" s="167" t="inlineStr">
        <is>
          <t>What karst processes, such as collapse or dissolution, could create a large sinkhole of over two hectares in a tropical forest, and how should it be investigated and monitored?</t>
        </is>
      </c>
      <c r="J89" s="167" t="inlineStr">
        <is>
          <t>Vietnam.vn</t>
        </is>
      </c>
      <c r="K89" s="168" t="n">
        <v>46319</v>
      </c>
      <c r="L89" s="167" t="inlineStr">
        <is>
          <t>ما الذي يوجد داخل الحفرة التي تزيد مساحتها عن هكتارين في وسط غابة فونغ نها - كي بانغ؟</t>
        </is>
      </c>
      <c r="M89" s="167" t="n"/>
      <c r="N89" s="169" t="inlineStr">
        <is>
          <t>Vietnam</t>
        </is>
      </c>
      <c r="O89" s="167" t="inlineStr">
        <is>
          <t>Phong Nha-Ke Bang</t>
        </is>
      </c>
      <c r="P89" s="167" t="n"/>
      <c r="Q89" s="170" t="inlineStr">
        <is>
          <t>Egypt</t>
        </is>
      </c>
      <c r="R89" s="168" t="n">
        <v>46319</v>
      </c>
      <c r="S89" s="169" t="inlineStr">
        <is>
          <t>2026-Q4</t>
        </is>
      </c>
      <c r="T89" s="171" t="n"/>
      <c r="U89" s="159"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Analytical study of 3D transient dynamic response of a cylindrical cavity in an elastic medium under triangular pulse load.</t>
        </is>
      </c>
      <c r="C90" s="178" t="inlineStr">
        <is>
          <t>Characterisation &amp; Modelling</t>
        </is>
      </c>
      <c r="D90" s="162" t="n">
        <v>4</v>
      </c>
      <c r="E90" s="181" t="inlineStr">
        <is>
          <t>Academia-to-Industry topic</t>
        </is>
      </c>
      <c r="F90" s="164" t="inlineStr">
        <is>
          <t>To review</t>
        </is>
      </c>
      <c r="G90" s="165" t="n"/>
      <c r="H90" s="166" t="n"/>
      <c r="I90" s="167" t="inlineStr">
        <is>
          <t>How do analytical solutions for a cylindrical cavity under triangular pulse loads inform the validation of numerical models for underground openings under impact?</t>
        </is>
      </c>
      <c r="J90" s="167" t="inlineStr">
        <is>
          <t>生物通</t>
        </is>
      </c>
      <c r="K90" s="168" t="n">
        <v>46319</v>
      </c>
      <c r="L90" s="167" t="inlineStr">
        <is>
          <t>弹性介质中圆柱形空腔受三角形脉冲冲击载荷的三维瞬态动力响应解析研究</t>
        </is>
      </c>
      <c r="M90" s="167" t="n"/>
      <c r="N90" s="169" t="n"/>
      <c r="O90" s="167" t="n"/>
      <c r="P90" s="167" t="n"/>
      <c r="Q90" s="170" t="inlineStr">
        <is>
          <t>China</t>
        </is>
      </c>
      <c r="R90" s="168" t="n">
        <v>46318</v>
      </c>
      <c r="S90" s="169" t="inlineStr">
        <is>
          <t>2026-Q4</t>
        </is>
      </c>
      <c r="T90" s="171" t="n"/>
      <c r="U90" s="159"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Concerns over riverbank erosion leading to loss of farmland</t>
        </is>
      </c>
      <c r="C91" s="176" t="inlineStr">
        <is>
          <t>Offshore, Coasts &amp; Water</t>
        </is>
      </c>
      <c r="D91" s="162" t="n">
        <v>4</v>
      </c>
      <c r="E91" s="163" t="inlineStr">
        <is>
          <t>Feature lead</t>
        </is>
      </c>
      <c r="F91" s="164" t="inlineStr">
        <is>
          <t>To review</t>
        </is>
      </c>
      <c r="G91" s="165" t="n"/>
      <c r="H91" s="166" t="n"/>
      <c r="I91" s="167" t="inlineStr">
        <is>
          <t>What bank erosion mechanisms and protection measures are effective for riverbanks threatening farmland, and how can they be monitored over time?</t>
        </is>
      </c>
      <c r="J91" s="167" t="inlineStr">
        <is>
          <t>Vietnam.vn</t>
        </is>
      </c>
      <c r="K91" s="168" t="n">
        <v>46319</v>
      </c>
      <c r="L91" s="167" t="inlineStr">
        <is>
          <t>مخاوف بشأن تآكل ضفاف الأنهار مما يؤدي إلى فقدان الأراضي الزراعية.</t>
        </is>
      </c>
      <c r="M91" s="167" t="n"/>
      <c r="N91" s="169" t="inlineStr">
        <is>
          <t>Vietnam</t>
        </is>
      </c>
      <c r="O91" s="167" t="n"/>
      <c r="P91" s="167" t="n"/>
      <c r="Q91" s="170" t="inlineStr">
        <is>
          <t>Egypt</t>
        </is>
      </c>
      <c r="R91" s="168" t="n">
        <v>46318</v>
      </c>
      <c r="S91" s="169" t="inlineStr">
        <is>
          <t>2026-Q4</t>
        </is>
      </c>
      <c r="T91" s="171" t="n"/>
      <c r="U91" s="159"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Quang Tri: Severe sea erosion threatens dykes and residents' livelihoods</t>
        </is>
      </c>
      <c r="C92" s="176" t="inlineStr">
        <is>
          <t>Offshore, Coasts &amp; Water</t>
        </is>
      </c>
      <c r="D92" s="162" t="n">
        <v>4</v>
      </c>
      <c r="E92" s="163" t="inlineStr">
        <is>
          <t>Feature lead</t>
        </is>
      </c>
      <c r="F92" s="164" t="inlineStr">
        <is>
          <t>To review</t>
        </is>
      </c>
      <c r="G92" s="165" t="n"/>
      <c r="H92" s="166" t="n"/>
      <c r="I92" s="167" t="inlineStr">
        <is>
          <t>How do sea-level-driven erosion and scour undermine sea dyke foundations in Quang Tri, and which revetment and foundation designs suit eroding sandy coastal soils?</t>
        </is>
      </c>
      <c r="J92" s="167" t="inlineStr">
        <is>
          <t>Người Đưa Tin</t>
        </is>
      </c>
      <c r="K92" s="168" t="n">
        <v>46319</v>
      </c>
      <c r="L92" s="167" t="inlineStr">
        <is>
          <t>Quảng Trị: Biển xâm thực nghiêm trọng đe dọa đê kè và đời sống người dân</t>
        </is>
      </c>
      <c r="M92" s="167" t="n"/>
      <c r="N92" s="169" t="inlineStr">
        <is>
          <t>Vietnam</t>
        </is>
      </c>
      <c r="O92" s="167" t="inlineStr">
        <is>
          <t>Quang Tri</t>
        </is>
      </c>
      <c r="P92" s="167" t="n"/>
      <c r="Q92" s="170" t="inlineStr">
        <is>
          <t>Vietnam</t>
        </is>
      </c>
      <c r="R92" s="168" t="n">
        <v>46318</v>
      </c>
      <c r="S92" s="169" t="inlineStr">
        <is>
          <t>2026-Q4</t>
        </is>
      </c>
      <c r="T92" s="171" t="n"/>
      <c r="U92" s="159"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9" t="n">
        <v>90</v>
      </c>
      <c r="B93" s="160" t="inlineStr">
        <is>
          <t>Ben Thanh - Tham Luong metro to have all 11 stations completed by end of 2026</t>
        </is>
      </c>
      <c r="C93" s="177" t="inlineStr">
        <is>
          <t>Infrastructure &amp; the Underground City</t>
        </is>
      </c>
      <c r="D93" s="162" t="n">
        <v>4</v>
      </c>
      <c r="E93" s="163" t="inlineStr">
        <is>
          <t>Feature lead</t>
        </is>
      </c>
      <c r="F93" s="164" t="inlineStr">
        <is>
          <t>To review</t>
        </is>
      </c>
      <c r="G93" s="165" t="n"/>
      <c r="H93" s="166" t="n"/>
      <c r="I93" s="167" t="inlineStr">
        <is>
          <t>What ground conditions and deep excavation and tunnelling methods are used for metro stations in soft Ho Chi Minh City clays with high groundwater, and what risks follow?</t>
        </is>
      </c>
      <c r="J93" s="167" t="inlineStr">
        <is>
          <t>VOH</t>
        </is>
      </c>
      <c r="K93" s="168" t="n">
        <v>46319</v>
      </c>
      <c r="L93" s="167" t="inlineStr">
        <is>
          <t>Metro Bến Thành - Tham Lương cuối năm 2026 làm cả 11 nhà ga</t>
        </is>
      </c>
      <c r="M93" s="167" t="n"/>
      <c r="N93" s="169" t="inlineStr">
        <is>
          <t>Vietnam</t>
        </is>
      </c>
      <c r="O93" s="167" t="inlineStr">
        <is>
          <t>Ho Chi Minh City</t>
        </is>
      </c>
      <c r="P93" s="167" t="n"/>
      <c r="Q93" s="170" t="inlineStr">
        <is>
          <t>Vietnam</t>
        </is>
      </c>
      <c r="R93" s="168" t="n">
        <v>46318</v>
      </c>
      <c r="S93" s="169" t="inlineStr">
        <is>
          <t>2026-Q4</t>
        </is>
      </c>
      <c r="T93" s="171" t="n"/>
      <c r="U93" s="159"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9" t="n">
        <v>91</v>
      </c>
      <c r="B94" s="160" t="inlineStr">
        <is>
          <t>Snowy 2.0 cost and completion date revised</t>
        </is>
      </c>
      <c r="C94" s="185" t="inlineStr">
        <is>
          <t>Sustainability &amp; the Energy Transition</t>
        </is>
      </c>
      <c r="D94" s="162" t="n">
        <v>3</v>
      </c>
      <c r="E94" s="175" t="inlineStr">
        <is>
          <t>News brief</t>
        </is>
      </c>
      <c r="F94" s="164" t="inlineStr">
        <is>
          <t>To review</t>
        </is>
      </c>
      <c r="G94" s="165" t="n"/>
      <c r="H94" s="166" t="n"/>
      <c r="I94" s="167" t="inlineStr">
        <is>
          <t>What ground-related risks drive cost and schedule overruns in large pumped hydro cavern and tunnel excavations?</t>
        </is>
      </c>
      <c r="J94" s="167" t="inlineStr">
        <is>
          <t>Tunnels &amp; Tunnelling</t>
        </is>
      </c>
      <c r="K94" s="168" t="n">
        <v>46319</v>
      </c>
      <c r="L94" s="167" t="n"/>
      <c r="M94" s="167" t="n"/>
      <c r="N94" s="169" t="inlineStr">
        <is>
          <t>Australia</t>
        </is>
      </c>
      <c r="O94" s="167" t="inlineStr">
        <is>
          <t>Snowy Mountains</t>
        </is>
      </c>
      <c r="P94" s="167" t="n"/>
      <c r="Q94" s="170" t="n"/>
      <c r="R94" s="168" t="n">
        <v>46318</v>
      </c>
      <c r="S94" s="169" t="inlineStr">
        <is>
          <t>2026-Q4</t>
        </is>
      </c>
      <c r="T94" s="171" t="inlineStr">
        <is>
          <t>excavation, tbm, tunnelling, tunnel</t>
        </is>
      </c>
      <c r="U94" s="159"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Mobile shield deployed for A14 Vinci Tunnel reconstruction</t>
        </is>
      </c>
      <c r="C95" s="177" t="inlineStr">
        <is>
          <t>Infrastructure &amp; the Underground City</t>
        </is>
      </c>
      <c r="D95" s="162" t="n">
        <v>3</v>
      </c>
      <c r="E95" s="175" t="inlineStr">
        <is>
          <t>News brief</t>
        </is>
      </c>
      <c r="F95" s="164" t="inlineStr">
        <is>
          <t>To review</t>
        </is>
      </c>
      <c r="G95" s="165" t="n"/>
      <c r="H95" s="166" t="n"/>
      <c r="I95" s="167" t="inlineStr">
        <is>
          <t>How does a mobile shield enable tunnel reconstruction within an operating motorway tunnel, and what ground support issues arise?</t>
        </is>
      </c>
      <c r="J95" s="167" t="inlineStr">
        <is>
          <t>Tunnelling Journal</t>
        </is>
      </c>
      <c r="K95" s="168" t="n">
        <v>46319</v>
      </c>
      <c r="L95" s="167" t="n"/>
      <c r="M95" s="167" t="n"/>
      <c r="N95" s="169" t="inlineStr">
        <is>
          <t>Italy</t>
        </is>
      </c>
      <c r="O95" s="167" t="inlineStr">
        <is>
          <t>A14 Vinci Tunnel</t>
        </is>
      </c>
      <c r="P95" s="167" t="n"/>
      <c r="Q95" s="170" t="n"/>
      <c r="R95" s="168" t="n">
        <v>46317</v>
      </c>
      <c r="S95" s="169" t="inlineStr">
        <is>
          <t>2026-Q4</t>
        </is>
      </c>
      <c r="T95" s="171" t="inlineStr">
        <is>
          <t>tunnelling, tunnel</t>
        </is>
      </c>
      <c r="U95" s="159"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What options exist for Mot Mountain in Quy Nhon: levelling it or preserving the historic site?</t>
        </is>
      </c>
      <c r="C96" s="177" t="inlineStr">
        <is>
          <t>Infrastructure &amp; the Underground City</t>
        </is>
      </c>
      <c r="D96" s="162" t="n">
        <v>3</v>
      </c>
      <c r="E96" s="163" t="inlineStr">
        <is>
          <t>Feature lead</t>
        </is>
      </c>
      <c r="F96" s="164" t="inlineStr">
        <is>
          <t>To review</t>
        </is>
      </c>
      <c r="G96" s="165" t="n"/>
      <c r="H96" s="166" t="n"/>
      <c r="I96" s="167" t="inlineStr">
        <is>
          <t>What geotechnical and heritage considerations should guide levelling versus preserving a rocky hill site in an urban coastal city?</t>
        </is>
      </c>
      <c r="J96" s="167" t="inlineStr">
        <is>
          <t>Vietnam.vn</t>
        </is>
      </c>
      <c r="K96" s="168" t="n">
        <v>46319</v>
      </c>
      <c r="L96" s="167" t="inlineStr">
        <is>
          <t>Apa saja pilihan yang tersedia untuk Gunung Mot di Quy Nhon: meratakannya atau melestarikan situs bersejarah tersebut?</t>
        </is>
      </c>
      <c r="M96" s="167" t="n"/>
      <c r="N96" s="169" t="inlineStr">
        <is>
          <t>Vietnam</t>
        </is>
      </c>
      <c r="O96" s="167" t="inlineStr">
        <is>
          <t>Mot Mountain, Quy Nhon</t>
        </is>
      </c>
      <c r="P96" s="167" t="inlineStr">
        <is>
          <t>Mot Mountain levelling proposal, Quy Nhon, Vietnam · Event · 2 reports</t>
        </is>
      </c>
      <c r="Q96" s="170" t="inlineStr">
        <is>
          <t>Indonesia</t>
        </is>
      </c>
      <c r="R96" s="168" t="n">
        <v>46319</v>
      </c>
      <c r="S96" s="169" t="inlineStr">
        <is>
          <t>2026-Q4</t>
        </is>
      </c>
      <c r="T96" s="171" t="n"/>
      <c r="U96" s="159"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9" t="n">
        <v>94</v>
      </c>
      <c r="B97" s="160" t="inlineStr">
        <is>
          <t>Abergeldie awarded patent for underground hydrogen storage solution</t>
        </is>
      </c>
      <c r="C97" s="185" t="inlineStr">
        <is>
          <t>Sustainability &amp; the Energy Transition</t>
        </is>
      </c>
      <c r="D97" s="162" t="n">
        <v>3</v>
      </c>
      <c r="E97" s="181" t="inlineStr">
        <is>
          <t>Academia-to-Industry topic</t>
        </is>
      </c>
      <c r="F97" s="164" t="inlineStr">
        <is>
          <t>To review</t>
        </is>
      </c>
      <c r="G97" s="165" t="n"/>
      <c r="H97" s="166" t="n"/>
      <c r="I97" s="167" t="inlineStr">
        <is>
          <t>What ground conditions and geomechanical criteria govern underground hydrogen storage, and how does blind boring apply?</t>
        </is>
      </c>
      <c r="J97" s="167" t="inlineStr">
        <is>
          <t>Tunnels &amp; Tunnelling</t>
        </is>
      </c>
      <c r="K97" s="168" t="n">
        <v>46319</v>
      </c>
      <c r="L97" s="167" t="n"/>
      <c r="M97" s="167" t="n"/>
      <c r="N97" s="169" t="n"/>
      <c r="O97" s="167" t="n"/>
      <c r="P97" s="167" t="n"/>
      <c r="Q97" s="170" t="n"/>
      <c r="R97" s="168" t="n">
        <v>46318</v>
      </c>
      <c r="S97" s="169" t="inlineStr">
        <is>
          <t>2026-Q4</t>
        </is>
      </c>
      <c r="T97" s="171" t="inlineStr">
        <is>
          <t>tunnelling, tunnel</t>
        </is>
      </c>
      <c r="U97" s="159"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9" t="n">
        <v>95</v>
      </c>
      <c r="B98" s="160" t="inlineStr">
        <is>
          <t>Snowy 2.0 cost rises to A$22.2bn</t>
        </is>
      </c>
      <c r="C98" s="185" t="inlineStr">
        <is>
          <t>Sustainability &amp; the Energy Transition</t>
        </is>
      </c>
      <c r="D98" s="162" t="n">
        <v>3</v>
      </c>
      <c r="E98" s="175" t="inlineStr">
        <is>
          <t>News brief</t>
        </is>
      </c>
      <c r="F98" s="164" t="inlineStr">
        <is>
          <t>To review</t>
        </is>
      </c>
      <c r="G98" s="165" t="n"/>
      <c r="H98" s="166" t="n"/>
      <c r="I98" s="167" t="inlineStr">
        <is>
          <t>What ground-related factors drive repeated cost increases in large underground pumped hydro projects?</t>
        </is>
      </c>
      <c r="J98" s="167" t="inlineStr">
        <is>
          <t>Tunnelling Journal</t>
        </is>
      </c>
      <c r="K98" s="168" t="n">
        <v>46319</v>
      </c>
      <c r="L98" s="167" t="n"/>
      <c r="M98" s="167" t="n"/>
      <c r="N98" s="169" t="inlineStr">
        <is>
          <t>Australia</t>
        </is>
      </c>
      <c r="O98" s="167" t="inlineStr">
        <is>
          <t>Snowy Mountains</t>
        </is>
      </c>
      <c r="P98" s="167" t="n"/>
      <c r="Q98" s="170" t="n"/>
      <c r="R98" s="168" t="n">
        <v>46318</v>
      </c>
      <c r="S98" s="169" t="inlineStr">
        <is>
          <t>2026-Q4</t>
        </is>
      </c>
      <c r="T98" s="171" t="inlineStr">
        <is>
          <t>tunnelling</t>
        </is>
      </c>
      <c r="U98" s="159"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Minvu advances 121 housing support cases in Villa El Mirador, Arauco, and prepares soil study</t>
        </is>
      </c>
      <c r="C99" s="178" t="inlineStr">
        <is>
          <t>Characterisation &amp; Modelling</t>
        </is>
      </c>
      <c r="D99" s="162" t="n">
        <v>3</v>
      </c>
      <c r="E99" s="175" t="inlineStr">
        <is>
          <t>News brief</t>
        </is>
      </c>
      <c r="F99" s="164" t="inlineStr">
        <is>
          <t>To review</t>
        </is>
      </c>
      <c r="G99" s="165" t="n"/>
      <c r="H99" s="166" t="n"/>
      <c r="I99" s="167" t="inlineStr">
        <is>
          <t>What soil investigation is needed before housing support works on this site, and how should ground conditions shape foundation choice?</t>
        </is>
      </c>
      <c r="J99" s="167" t="inlineStr">
        <is>
          <t>Trade-news.cl</t>
        </is>
      </c>
      <c r="K99" s="168" t="n">
        <v>46319</v>
      </c>
      <c r="L99" s="167" t="inlineStr">
        <is>
          <t>Minvu avanza en 121 casos de apoyo habitacional en la Villa El Mirador de Arauco y prepara estudio de suelos</t>
        </is>
      </c>
      <c r="M99" s="167" t="n"/>
      <c r="N99" s="169" t="inlineStr">
        <is>
          <t>Chile</t>
        </is>
      </c>
      <c r="O99" s="167" t="inlineStr">
        <is>
          <t>Villa El Mirador, Arauco</t>
        </is>
      </c>
      <c r="P99" s="167" t="inlineStr">
        <is>
          <t>Arauco sinkhole, Chile (Oct 2026) · Event · 2 reports</t>
        </is>
      </c>
      <c r="Q99" s="170" t="inlineStr">
        <is>
          <t>Peru</t>
        </is>
      </c>
      <c r="R99" s="168" t="n">
        <v>46318</v>
      </c>
      <c r="S99" s="169" t="inlineStr">
        <is>
          <t>2026-Q4</t>
        </is>
      </c>
      <c r="T99" s="171" t="inlineStr">
        <is>
          <t>site investigation, soil</t>
        </is>
      </c>
      <c r="U99" s="159"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Body of miner trapped in a tunnel collapse in Gámeza recovered</t>
        </is>
      </c>
      <c r="C100" s="182" t="inlineStr">
        <is>
          <t>Geotechnics &amp; Society</t>
        </is>
      </c>
      <c r="D100" s="162" t="n">
        <v>3</v>
      </c>
      <c r="E100" s="175" t="inlineStr">
        <is>
          <t>News brief</t>
        </is>
      </c>
      <c r="F100" s="164" t="inlineStr">
        <is>
          <t>To review</t>
        </is>
      </c>
      <c r="G100" s="165" t="n"/>
      <c r="H100" s="166" t="n"/>
      <c r="I100" s="167" t="inlineStr">
        <is>
          <t>What ground and support conditions lead to tunnel collapses in small mines, and how can rescue operations account for ground instability?</t>
        </is>
      </c>
      <c r="J100" s="167" t="inlineStr">
        <is>
          <t>Boyacá 7 Días</t>
        </is>
      </c>
      <c r="K100" s="168" t="n">
        <v>46319</v>
      </c>
      <c r="L100" s="167" t="inlineStr">
        <is>
          <t>Rescatan el cuerpo sin vida del minero que había quedado atrapado en un socavón en Gámeza</t>
        </is>
      </c>
      <c r="M100" s="167" t="n"/>
      <c r="N100" s="169" t="inlineStr">
        <is>
          <t>Colombia</t>
        </is>
      </c>
      <c r="O100" s="167" t="inlineStr">
        <is>
          <t>Gámeza, Boyacá</t>
        </is>
      </c>
      <c r="P100" s="167" t="n"/>
      <c r="Q100" s="170" t="inlineStr">
        <is>
          <t>Colombia</t>
        </is>
      </c>
      <c r="R100" s="168" t="n">
        <v>46317</v>
      </c>
      <c r="S100" s="169" t="inlineStr">
        <is>
          <t>2026-Q4</t>
        </is>
      </c>
      <c r="T100" s="171" t="inlineStr">
        <is>
          <t>sinkhole</t>
        </is>
      </c>
      <c r="U100" s="159"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9" t="n">
        <v>98</v>
      </c>
      <c r="B101" s="160" t="inlineStr">
        <is>
          <t>Strong waves on Mazatlán beaches form sinkhole in monument</t>
        </is>
      </c>
      <c r="C101" s="176" t="inlineStr">
        <is>
          <t>Offshore, Coasts &amp; Water</t>
        </is>
      </c>
      <c r="D101" s="162" t="n">
        <v>3</v>
      </c>
      <c r="E101" s="175" t="inlineStr">
        <is>
          <t>News brief</t>
        </is>
      </c>
      <c r="F101" s="164" t="inlineStr">
        <is>
          <t>To review</t>
        </is>
      </c>
      <c r="G101" s="165" t="n"/>
      <c r="H101" s="166" t="n"/>
      <c r="I101" s="167" t="inlineStr">
        <is>
          <t>How do wave action and beach sand erosion undermine coastal monuments and promenade ground in Mazatlán?</t>
        </is>
      </c>
      <c r="J101" s="167" t="inlineStr">
        <is>
          <t>El Universal</t>
        </is>
      </c>
      <c r="K101" s="168" t="n">
        <v>46319</v>
      </c>
      <c r="L101" s="167" t="inlineStr">
        <is>
          <t>Fuerte oleaje en playas de Mazatlán forma socavón en monumento</t>
        </is>
      </c>
      <c r="M101" s="167" t="n"/>
      <c r="N101" s="169" t="inlineStr">
        <is>
          <t>Mexico</t>
        </is>
      </c>
      <c r="O101" s="167" t="inlineStr">
        <is>
          <t>Mazatlan beaches</t>
        </is>
      </c>
      <c r="P101" s="167" t="n"/>
      <c r="Q101" s="170" t="inlineStr">
        <is>
          <t>Colombia</t>
        </is>
      </c>
      <c r="R101" s="168" t="n">
        <v>46319</v>
      </c>
      <c r="S101" s="169" t="inlineStr">
        <is>
          <t>2026-Q4</t>
        </is>
      </c>
      <c r="T101" s="171" t="inlineStr">
        <is>
          <t>sinkhole</t>
        </is>
      </c>
      <c r="U101" s="159"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Ivan Noskov announced restoration of a retaining wall on Vladimirskaya Street in Samara</t>
        </is>
      </c>
      <c r="C102" s="177" t="inlineStr">
        <is>
          <t>Infrastructure &amp; the Underground City</t>
        </is>
      </c>
      <c r="D102" s="162" t="n">
        <v>3</v>
      </c>
      <c r="E102" s="175" t="inlineStr">
        <is>
          <t>News brief</t>
        </is>
      </c>
      <c r="F102" s="164" t="inlineStr">
        <is>
          <t>To review</t>
        </is>
      </c>
      <c r="G102" s="165" t="n"/>
      <c r="H102" s="166" t="n"/>
      <c r="I102" s="167" t="inlineStr">
        <is>
          <t>What causes retaining-wall deterioration on urban slopes like Samara's, and how should restoration design address overall slope stability?</t>
        </is>
      </c>
      <c r="J102" s="167" t="inlineStr">
        <is>
          <t>Самарская газета</t>
        </is>
      </c>
      <c r="K102" s="168" t="n">
        <v>46319</v>
      </c>
      <c r="L102" s="167" t="inlineStr">
        <is>
          <t>Иван Носков анонсировал восстановление подпорной стены на Владимирской в Самаре</t>
        </is>
      </c>
      <c r="M102" s="167" t="n"/>
      <c r="N102" s="169" t="inlineStr">
        <is>
          <t>Russia</t>
        </is>
      </c>
      <c r="O102" s="167" t="inlineStr">
        <is>
          <t>Samara, Vladimirskaya Street</t>
        </is>
      </c>
      <c r="P102" s="167" t="n"/>
      <c r="Q102" s="170" t="inlineStr">
        <is>
          <t>Russia</t>
        </is>
      </c>
      <c r="R102" s="168" t="n">
        <v>46318</v>
      </c>
      <c r="S102" s="169" t="inlineStr">
        <is>
          <t>2026-Q4</t>
        </is>
      </c>
      <c r="T102" s="171" t="inlineStr">
        <is>
          <t>retaining wall</t>
        </is>
      </c>
      <c r="U102" s="159"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9" t="n">
        <v>100</v>
      </c>
      <c r="B103" s="160" t="inlineStr">
        <is>
          <t>Escobedo begins repair of sinkhole</t>
        </is>
      </c>
      <c r="C103" s="177" t="inlineStr">
        <is>
          <t>Infrastructure &amp; the Underground City</t>
        </is>
      </c>
      <c r="D103" s="162" t="n">
        <v>3</v>
      </c>
      <c r="E103" s="175" t="inlineStr">
        <is>
          <t>News brief</t>
        </is>
      </c>
      <c r="F103" s="164" t="inlineStr">
        <is>
          <t>To review</t>
        </is>
      </c>
      <c r="G103" s="165" t="n"/>
      <c r="H103" s="166" t="n"/>
      <c r="I103" s="167" t="inlineStr">
        <is>
          <t>What investigation and grouting methods are used to repair urban sinkholes like the one in Escobedo?</t>
        </is>
      </c>
      <c r="J103" s="167" t="inlineStr">
        <is>
          <t>Detona, Real News</t>
        </is>
      </c>
      <c r="K103" s="168" t="n">
        <v>46319</v>
      </c>
      <c r="L103" s="167" t="inlineStr">
        <is>
          <t>Inicia Escobedo reparación de socavón</t>
        </is>
      </c>
      <c r="M103" s="167" t="n"/>
      <c r="N103" s="169" t="inlineStr">
        <is>
          <t>Mexico</t>
        </is>
      </c>
      <c r="O103" s="167" t="inlineStr">
        <is>
          <t>Escobedo</t>
        </is>
      </c>
      <c r="P103" s="167" t="n"/>
      <c r="Q103" s="170" t="inlineStr">
        <is>
          <t>Colombia</t>
        </is>
      </c>
      <c r="R103" s="168" t="n">
        <v>46319</v>
      </c>
      <c r="S103" s="169" t="inlineStr">
        <is>
          <t>2026-Q4</t>
        </is>
      </c>
      <c r="T103" s="171" t="inlineStr">
        <is>
          <t>sinkhole</t>
        </is>
      </c>
      <c r="U103" s="159"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9" t="n">
        <v>101</v>
      </c>
      <c r="B104" s="160" t="inlineStr">
        <is>
          <t>Center attends sinkhole in Casa Blanca</t>
        </is>
      </c>
      <c r="C104" s="177" t="inlineStr">
        <is>
          <t>Infrastructure &amp; the Underground City</t>
        </is>
      </c>
      <c r="D104" s="162" t="n">
        <v>3</v>
      </c>
      <c r="E104" s="175" t="inlineStr">
        <is>
          <t>News brief</t>
        </is>
      </c>
      <c r="F104" s="164" t="inlineStr">
        <is>
          <t>To review</t>
        </is>
      </c>
      <c r="G104" s="165" t="n"/>
      <c r="H104" s="166" t="n"/>
      <c r="I104" s="167" t="inlineStr">
        <is>
          <t>What subsurface causes are likely behind the Casa Blanca sinkhole, and how should emergency response proceed?</t>
        </is>
      </c>
      <c r="J104" s="167" t="inlineStr">
        <is>
          <t>Tabasco HOY</t>
        </is>
      </c>
      <c r="K104" s="168" t="n">
        <v>46319</v>
      </c>
      <c r="L104" s="167" t="inlineStr">
        <is>
          <t>Centro atiende socavón en Casa Blanca</t>
        </is>
      </c>
      <c r="M104" s="167" t="n"/>
      <c r="N104" s="169" t="inlineStr">
        <is>
          <t>Mexico</t>
        </is>
      </c>
      <c r="O104" s="167" t="inlineStr">
        <is>
          <t>Casa Blanca, Tabasco</t>
        </is>
      </c>
      <c r="P104" s="167" t="n"/>
      <c r="Q104" s="170" t="inlineStr">
        <is>
          <t>Colombia</t>
        </is>
      </c>
      <c r="R104" s="168" t="n">
        <v>46319</v>
      </c>
      <c r="S104" s="169" t="inlineStr">
        <is>
          <t>2026-Q4</t>
        </is>
      </c>
      <c r="T104" s="171" t="inlineStr">
        <is>
          <t>sinkhole</t>
        </is>
      </c>
      <c r="U104" s="159"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9" t="n">
        <v>102</v>
      </c>
      <c r="B105" s="160" t="inlineStr">
        <is>
          <t>Sinkhole forms at top of underpass in Francisco I. Madero</t>
        </is>
      </c>
      <c r="C105" s="177" t="inlineStr">
        <is>
          <t>Infrastructure &amp; the Underground City</t>
        </is>
      </c>
      <c r="D105" s="162" t="n">
        <v>3</v>
      </c>
      <c r="E105" s="175" t="inlineStr">
        <is>
          <t>News brief</t>
        </is>
      </c>
      <c r="F105" s="164" t="inlineStr">
        <is>
          <t>To review</t>
        </is>
      </c>
      <c r="G105" s="165" t="n"/>
      <c r="H105" s="166" t="n"/>
      <c r="I105" s="167" t="inlineStr">
        <is>
          <t>What ground movements and drainage failures beneath an underpass cause sinkholes at its top surface?</t>
        </is>
      </c>
      <c r="J105" s="167" t="inlineStr">
        <is>
          <t>El Siglo de Torreón</t>
        </is>
      </c>
      <c r="K105" s="168" t="n">
        <v>46319</v>
      </c>
      <c r="L105" s="167" t="inlineStr">
        <is>
          <t>Se origina socavón en la parte superior del paso a desnivel en Francisco I. Madero</t>
        </is>
      </c>
      <c r="M105" s="167" t="n"/>
      <c r="N105" s="169" t="inlineStr">
        <is>
          <t>Mexico</t>
        </is>
      </c>
      <c r="O105" s="167" t="inlineStr">
        <is>
          <t>Francisco I. Madero, Torreon</t>
        </is>
      </c>
      <c r="P105" s="167" t="n"/>
      <c r="Q105" s="170" t="inlineStr">
        <is>
          <t>Colombia</t>
        </is>
      </c>
      <c r="R105" s="168" t="n">
        <v>46318</v>
      </c>
      <c r="S105" s="169" t="inlineStr">
        <is>
          <t>2026-Q4</t>
        </is>
      </c>
      <c r="T105" s="171" t="inlineStr">
        <is>
          <t>sinkhole</t>
        </is>
      </c>
      <c r="U105" s="159"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9" t="n">
        <v>103</v>
      </c>
      <c r="B106" s="160" t="inlineStr">
        <is>
          <t>Ambulance left hanging in a sinkhole in Aucapán rescued</t>
        </is>
      </c>
      <c r="C106" s="177" t="inlineStr">
        <is>
          <t>Infrastructure &amp; the Underground City</t>
        </is>
      </c>
      <c r="D106" s="162" t="n">
        <v>3</v>
      </c>
      <c r="E106" s="175" t="inlineStr">
        <is>
          <t>News brief</t>
        </is>
      </c>
      <c r="F106" s="164" t="inlineStr">
        <is>
          <t>To review</t>
        </is>
      </c>
      <c r="G106" s="165" t="n"/>
      <c r="H106" s="166" t="n"/>
      <c r="I106" s="167" t="inlineStr">
        <is>
          <t>How do soil loss and void formation under a road lead to vehicles hanging over sinkholes, and what rescue precautions apply?</t>
        </is>
      </c>
      <c r="J106" s="167" t="inlineStr">
        <is>
          <t>Realidad Sanmartinense</t>
        </is>
      </c>
      <c r="K106" s="168" t="n">
        <v>46319</v>
      </c>
      <c r="L106" s="167" t="inlineStr">
        <is>
          <t>Rescatan ambulancia que quedó colgada en un socavón en Aucapán</t>
        </is>
      </c>
      <c r="M106" s="167" t="n"/>
      <c r="N106" s="169" t="inlineStr">
        <is>
          <t>Argentina</t>
        </is>
      </c>
      <c r="O106" s="167" t="inlineStr">
        <is>
          <t>Aucapan, Neuquen</t>
        </is>
      </c>
      <c r="P106" s="167" t="inlineStr">
        <is>
          <t>Aucapán road sinkhole traps ambulance, Argentina (Oct 2026) · Event · 2 reports</t>
        </is>
      </c>
      <c r="Q106" s="170" t="inlineStr">
        <is>
          <t>Colombia</t>
        </is>
      </c>
      <c r="R106" s="168" t="n">
        <v>46318</v>
      </c>
      <c r="S106" s="169" t="inlineStr">
        <is>
          <t>2026-Q4</t>
        </is>
      </c>
      <c r="T106" s="171" t="inlineStr">
        <is>
          <t>sinkhole</t>
        </is>
      </c>
      <c r="U106" s="159"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9" t="n">
        <v>104</v>
      </c>
      <c r="B107" s="160" t="inlineStr">
        <is>
          <t>Gia Lai province People's Committee chairman discusses proposal to level Mot Mountain.</t>
        </is>
      </c>
      <c r="C107" s="182" t="inlineStr">
        <is>
          <t>Geotechnics &amp; Society</t>
        </is>
      </c>
      <c r="D107" s="162" t="n">
        <v>3</v>
      </c>
      <c r="E107" s="183" t="inlineStr">
        <is>
          <t>Regional insight</t>
        </is>
      </c>
      <c r="F107" s="164" t="inlineStr">
        <is>
          <t>To review</t>
        </is>
      </c>
      <c r="G107" s="165" t="n"/>
      <c r="H107" s="166" t="n"/>
      <c r="I107" s="167" t="inlineStr">
        <is>
          <t>What are the geotechnical feasibility issues of levelling a hill, including rock quality, slope excavation and stability, compared with preservation?</t>
        </is>
      </c>
      <c r="J107" s="167" t="inlineStr">
        <is>
          <t>Vietnam.vn</t>
        </is>
      </c>
      <c r="K107" s="168" t="n">
        <v>46319</v>
      </c>
      <c r="L107" s="167" t="inlineStr">
        <is>
          <t>رئيس اللجنة الشعبية لمقاطعة جيا لاي يتحدث عن اقتراح تسوية جبل موت.</t>
        </is>
      </c>
      <c r="M107" s="167" t="n"/>
      <c r="N107" s="169" t="inlineStr">
        <is>
          <t>Vietnam</t>
        </is>
      </c>
      <c r="O107" s="167" t="inlineStr">
        <is>
          <t>Mot Mountain, Gia Lai</t>
        </is>
      </c>
      <c r="P107" s="167" t="n"/>
      <c r="Q107" s="170" t="inlineStr">
        <is>
          <t>Egypt</t>
        </is>
      </c>
      <c r="R107" s="168" t="n">
        <v>46318</v>
      </c>
      <c r="S107" s="169" t="inlineStr">
        <is>
          <t>2026-Q4</t>
        </is>
      </c>
      <c r="T107" s="171" t="n"/>
      <c r="U107" s="159"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What are the options for Mot Mountain in Quy Nhon: level it or preserve the historic site?</t>
        </is>
      </c>
      <c r="C108" s="182" t="inlineStr">
        <is>
          <t>Geotechnics &amp; Society</t>
        </is>
      </c>
      <c r="D108" s="162" t="n">
        <v>3</v>
      </c>
      <c r="E108" s="183" t="inlineStr">
        <is>
          <t>Regional insight</t>
        </is>
      </c>
      <c r="F108" s="164" t="inlineStr">
        <is>
          <t>To review</t>
        </is>
      </c>
      <c r="G108" s="165" t="n"/>
      <c r="H108" s="166" t="n"/>
      <c r="I108" s="167" t="inlineStr">
        <is>
          <t>What geotechnical assessments would be needed to compare levelling Mot Mountain with conserving its historic site, including rock stability and foundation implications?</t>
        </is>
      </c>
      <c r="J108" s="167" t="inlineStr">
        <is>
          <t>Vietnam.vn</t>
        </is>
      </c>
      <c r="K108" s="168" t="n">
        <v>46319</v>
      </c>
      <c r="L108" s="167" t="inlineStr">
        <is>
          <t>Quais são as opções para o Monte Mot em Quy Nhon: nivelá-lo ou preservar o sítio histórico?</t>
        </is>
      </c>
      <c r="M108" s="167" t="n"/>
      <c r="N108" s="169" t="inlineStr">
        <is>
          <t>Vietnam</t>
        </is>
      </c>
      <c r="O108" s="167" t="inlineStr">
        <is>
          <t>Mot Mountain, Quy Nhon</t>
        </is>
      </c>
      <c r="P108" s="167" t="n"/>
      <c r="Q108" s="170" t="inlineStr">
        <is>
          <t>Brazil</t>
        </is>
      </c>
      <c r="R108" s="168" t="n">
        <v>46319</v>
      </c>
      <c r="S108" s="169" t="inlineStr">
        <is>
          <t>2026-Q4</t>
        </is>
      </c>
      <c r="T108" s="171" t="n"/>
      <c r="U108" s="159"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Cerraron un sector de la costanera de una ciudad correntina por hundimiento</t>
        </is>
      </c>
      <c r="C109" s="176" t="inlineStr">
        <is>
          <t>Offshore, Coasts &amp; Water</t>
        </is>
      </c>
      <c r="D109" s="162" t="n">
        <v>3</v>
      </c>
      <c r="E109" s="175" t="inlineStr">
        <is>
          <t>News brief</t>
        </is>
      </c>
      <c r="F109" s="164" t="inlineStr">
        <is>
          <t>To review</t>
        </is>
      </c>
      <c r="G109" s="165" t="n"/>
      <c r="H109" s="166" t="n"/>
      <c r="I109" s="167" t="inlineStr">
        <is>
          <t>What causes subsidence along a riverfront promenade in Corrientes, and how should ground investigation guide repair of the costanera?</t>
        </is>
      </c>
      <c r="J109" s="167" t="inlineStr">
        <is>
          <t>El Litoral | Novedades de Corrientes</t>
        </is>
      </c>
      <c r="K109" s="168" t="n">
        <v>46319</v>
      </c>
      <c r="L109" s="167" t="n"/>
      <c r="M109" s="167" t="n"/>
      <c r="N109" s="169" t="inlineStr">
        <is>
          <t>Argentina</t>
        </is>
      </c>
      <c r="O109" s="167" t="inlineStr">
        <is>
          <t>Corrientes costanera</t>
        </is>
      </c>
      <c r="P109" s="167" t="inlineStr">
        <is>
          <t>Esquina riverfront promenade subsidence, Argentina (Oct 2026) · Event · 2 reports</t>
        </is>
      </c>
      <c r="Q109" s="170" t="inlineStr">
        <is>
          <t>Argentina</t>
        </is>
      </c>
      <c r="R109" s="168" t="n">
        <v>46317</v>
      </c>
      <c r="S109" s="169" t="inlineStr">
        <is>
          <t>2026-Q4</t>
        </is>
      </c>
      <c r="T109" s="171" t="n"/>
      <c r="U109" s="159"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9" t="n">
        <v>107</v>
      </c>
      <c r="B110" s="160" t="inlineStr">
        <is>
          <t>Inician rehabilitación tras hundimiento de losa en el Malecón Costero de Coatzacoalcos</t>
        </is>
      </c>
      <c r="C110" s="176" t="inlineStr">
        <is>
          <t>Offshore, Coasts &amp; Water</t>
        </is>
      </c>
      <c r="D110" s="162" t="n">
        <v>3</v>
      </c>
      <c r="E110" s="175" t="inlineStr">
        <is>
          <t>News brief</t>
        </is>
      </c>
      <c r="F110" s="164" t="inlineStr">
        <is>
          <t>To review</t>
        </is>
      </c>
      <c r="G110" s="165" t="n"/>
      <c r="H110" s="166" t="n"/>
      <c r="I110" s="167" t="inlineStr">
        <is>
          <t>What causes slab sinking on a coastal promenade exposed to waves, and what foundation and drainage remedies are appropriate?</t>
        </is>
      </c>
      <c r="J110" s="167" t="inlineStr">
        <is>
          <t>:: Foro Coatza ::</t>
        </is>
      </c>
      <c r="K110" s="168" t="n">
        <v>46319</v>
      </c>
      <c r="L110" s="167" t="n"/>
      <c r="M110" s="167" t="n"/>
      <c r="N110" s="169" t="inlineStr">
        <is>
          <t>Mexico</t>
        </is>
      </c>
      <c r="O110" s="167" t="inlineStr">
        <is>
          <t>Coatzacoalcos malecon</t>
        </is>
      </c>
      <c r="P110" s="167" t="n"/>
      <c r="Q110" s="170" t="inlineStr">
        <is>
          <t>Argentina</t>
        </is>
      </c>
      <c r="R110" s="168" t="n">
        <v>46318</v>
      </c>
      <c r="S110" s="169" t="inlineStr">
        <is>
          <t>2026-Q4</t>
        </is>
      </c>
      <c r="T110" s="171" t="n"/>
      <c r="U110" s="159"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check with</t>
        </is>
      </c>
    </row>
    <row r="12" outlineLevel="1" ht="66.5" customHeight="1">
      <c r="A12" s="190" t="n">
        <v>53</v>
      </c>
      <c r="B12" s="191" t="n">
        <v>5</v>
      </c>
      <c r="C12"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check with</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54" customHeight="1">
      <c r="A18" s="190" t="n">
        <v>2</v>
      </c>
      <c r="B18" s="191" t="n">
        <v>5</v>
      </c>
      <c r="C18" s="192" t="inlineStr">
        <is>
          <t>Fragility of port disaster prevention exposed: liquefaction halts logistics at Yatsushiro
(English headline translated by Claude · Original: 港湾防災のもろさ露呈 八代、液状化で物流停止)</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66.5" customHeight="1">
      <c r="A19" s="190" t="n">
        <v>3</v>
      </c>
      <c r="B19" s="191" t="n">
        <v>5</v>
      </c>
      <c r="C19"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66.5" customHeight="1">
      <c r="A20" s="190" t="n">
        <v>4</v>
      </c>
      <c r="B20" s="191" t="n">
        <v>5</v>
      </c>
      <c r="C20" s="192" t="inlineStr">
        <is>
          <t>Up to 1.20 metres of ground moved during the 7.5 earthquake that shook Panama
(English headline translated by Claude · Original: Hasta 1.20 metros se desplazó el suelo durante el terremoto de 7.5 que sacudió Panamá)</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66.5" customHeight="1">
      <c r="A21" s="190" t="n">
        <v>5</v>
      </c>
      <c r="B21" s="191" t="n">
        <v>5</v>
      </c>
      <c r="C21" s="192" t="inlineStr">
        <is>
          <t>Zaruma sits on old gold galleries: where is the sinkhole risk concentrated?
(English headline translated by Claude · Original: Zaruma está sobre antiguas galerías de oro: ¿Dónde se concentra el riesgo de hundimiento?)</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
(English headline translated by Claude · Original: Sụt trượt đất nghiêm trọng ở Nam Gia Nghĩa)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
(English headline translated by Claude · Original: Tanggul pencegah tanah longsor 'mengancam' kawasan permukiman.)</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66.5" customHeight="1">
      <c r="A25" s="190" t="n">
        <v>56</v>
      </c>
      <c r="B25" s="191" t="n">
        <v>4</v>
      </c>
      <c r="C25" s="192" t="inlineStr">
        <is>
          <t>Storms in Liguria, major landslide in Savona: the collapse destroyed a city road
(English headline translated by Claude · Original: RAINEWS * CRONACA: «MALTEMPO IN LIGURIA, GRANDE FRANA A SAVONA: IL CROLLO HA DISTRUTTO UNA STRADA CITTADINA)</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104" customHeight="1">
      <c r="A26" s="190" t="n">
        <v>57</v>
      </c>
      <c r="B26" s="191" t="n">
        <v>4</v>
      </c>
      <c r="C26"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66.5" customHeight="1">
      <c r="A27" s="190" t="n">
        <v>58</v>
      </c>
      <c r="B27" s="191" t="n">
        <v>4</v>
      </c>
      <c r="C27" s="192" t="inlineStr">
        <is>
          <t>Valmontone, bad weather: tuff slope collapses onto Prenestina road, road partially closed
(English headline translated by Claude · Original: Valmontone, maltempo: frana costone di tufo sulla via Prenestina, strada parzialmente chiusa)</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66.5" customHeight="1">
      <c r="A28" s="190" t="n">
        <v>59</v>
      </c>
      <c r="B28" s="191" t="n">
        <v>4</v>
      </c>
      <c r="C28" s="192" t="inlineStr">
        <is>
          <t>Bonea, landslide in Capo locality: mayor closes three roads by urgent order
(English headline translated by Claude · Original: BONEA, FRANA IN LOCALITÀ CAPO: IL SINDACO CHIUDE TRE STRADE CON ORDINANZA URGENTE)</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
(English headline translated by Claude · Original: TNI Bantu Korban Longsor di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66.5" customHeight="1">
      <c r="A32" s="190" t="n">
        <v>62</v>
      </c>
      <c r="B32" s="191" t="n">
        <v>4</v>
      </c>
      <c r="C32" s="192" t="inlineStr">
        <is>
          <t>Intense rains cause alluvion in rural sector of Concepción: residents fear new landslides
(English headline translated by Claude · Original: Intensas lluvias provocan aluvión en sector rural de Concepción: Vecinos temen nuevos deslizamientos)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66.5" customHeight="1">
      <c r="A33" s="190" t="n">
        <v>63</v>
      </c>
      <c r="B33" s="191" t="n">
        <v>4</v>
      </c>
      <c r="C33" s="192" t="inlineStr">
        <is>
          <t>Rockfall onto houses in Chi Lang commune, Lang Son province
(English headline translated by Claude · Original: Sạt lở đá xuống nhà dân tại xã Chi Lăng - Báo và Phát thanh, Truyền hình Lạng Sơn)</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66.5" customHeight="1">
      <c r="A34" s="190" t="n">
        <v>64</v>
      </c>
      <c r="B34" s="191" t="n">
        <v>4</v>
      </c>
      <c r="C34"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66.5" customHeight="1">
      <c r="A35" s="190" t="n">
        <v>67</v>
      </c>
      <c r="B35" s="191" t="n">
        <v>4</v>
      </c>
      <c r="C35" s="192" t="inlineStr">
        <is>
          <t>57-billion-dong erosion revetment in Thanh Hoa subsides and cracks right after completion
(English headline translated by Claude · Original: Kè chống sạt lở hơn 57 tỉ đồng ở Thanh Hóa vừa làm xong đã sụt lún, đứt gãy)</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54" customHeight="1">
      <c r="A36" s="190" t="n">
        <v>68</v>
      </c>
      <c r="B36" s="191" t="n">
        <v>4</v>
      </c>
      <c r="C36" s="192" t="inlineStr">
        <is>
          <t>Lam Dong warns of serious subsidence and sliding on city streets
(English headline translated by Claude · Original: Lâm Đồng: Cảnh báo sụt lún, sạt trượt nghiêm trọng đường phố)</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66.5" customHeight="1">
      <c r="A37" s="190" t="n">
        <v>69</v>
      </c>
      <c r="B37" s="191" t="n">
        <v>4</v>
      </c>
      <c r="C37"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79" customHeight="1">
      <c r="A38" s="190" t="n">
        <v>70</v>
      </c>
      <c r="B38" s="191" t="n">
        <v>4</v>
      </c>
      <c r="C38"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
(English headline translated by Claude · Original: 산사태 방지 제방이 주거 지역을 위협하고 있다.)</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66.5" customHeight="1">
      <c r="A40" s="190" t="n">
        <v>9</v>
      </c>
      <c r="B40" s="191" t="n">
        <v>4</v>
      </c>
      <c r="C40"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79" customHeight="1">
      <c r="A41" s="190" t="n">
        <v>17</v>
      </c>
      <c r="B41" s="191" t="n">
        <v>4</v>
      </c>
      <c r="C41"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66.5" customHeight="1">
      <c r="A42" s="190" t="n">
        <v>18</v>
      </c>
      <c r="B42" s="191" t="n">
        <v>4</v>
      </c>
      <c r="C42" s="192" t="inlineStr">
        <is>
          <t>Tragedy in Tecate: a worker dies after being buried by an earth slope on 23 October.
(English headline translated by Claude · Original: Tragedia en Tecate: un trabajador muere tras ser sepultado por un talud de tierra el 23 de octubre.)</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66.5" customHeight="1">
      <c r="A43" s="190" t="n">
        <v>19</v>
      </c>
      <c r="B43" s="191" t="n">
        <v>4</v>
      </c>
      <c r="C43" s="192" t="inlineStr">
        <is>
          <t>Three homes destroyed after landslide in rural area of Moniquirá.
(English headline translated by Claude · Original: Tres viviendas quedaron destruidas tras deslizamiento en zona rural de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54" customHeight="1">
      <c r="A44" s="190" t="n">
        <v>20</v>
      </c>
      <c r="B44" s="191" t="n">
        <v>4</v>
      </c>
      <c r="C44" s="192" t="inlineStr">
        <is>
          <t>Large landslide on Tofana di Dentro. No hikers involved.
(English headline translated by Claude · Original: Frana di grandi dimensioni sulla Tofana di Dentro. Nessun escursionista coinvolto)</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66.5" customHeight="1">
      <c r="A45" s="190" t="n">
        <v>21</v>
      </c>
      <c r="B45" s="191" t="n">
        <v>4</v>
      </c>
      <c r="C45" s="192" t="inlineStr">
        <is>
          <t>Sicily, from the Niscemi landslide to Cyclone Harry: the Army rewards the Engineer Sappers.
(English headline translated by Claude · Original: Sicilia, dalla frana di Niscemi al ciclone Harry: l’Esercito premia il Genio Guastatori)</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54" customHeight="1">
      <c r="A46" s="190" t="n">
        <v>22</v>
      </c>
      <c r="B46" s="191" t="n">
        <v>4</v>
      </c>
      <c r="C46" s="192" t="inlineStr">
        <is>
          <t>Rapidly advancing clean-up work for landslides on Provincial Road 160 along the Chay River.
(English headline translated by Claude · Original: チャイ川沿いの州道160号線における土砂崩れの復旧作業を迅速に進める。)</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66.5" customHeight="1">
      <c r="A47" s="190" t="n">
        <v>23</v>
      </c>
      <c r="B47" s="191" t="n">
        <v>4</v>
      </c>
      <c r="C47"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66.5" customHeight="1">
      <c r="A48" s="190" t="n">
        <v>24</v>
      </c>
      <c r="B48" s="191" t="n">
        <v>4</v>
      </c>
      <c r="C48"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check with</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79" customHeight="1">
      <c r="A56" s="190" t="n">
        <v>51</v>
      </c>
      <c r="B56" s="191" t="n">
        <v>5</v>
      </c>
      <c r="C56"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check with</t>
        </is>
      </c>
    </row>
    <row r="60" outlineLevel="1" ht="54" customHeight="1">
      <c r="A60" s="190" t="n">
        <v>50</v>
      </c>
      <c r="B60" s="191" t="n">
        <v>5</v>
      </c>
      <c r="C60" s="192" t="inlineStr">
        <is>
          <t>Sinkhole at excavation site: ground sank even after underground safety assessment
(English headline translated by Claude · Original: 장종태, "굴착 현장 싱크홀...지하안전평가 받고도 땅 꺼졌다")</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54" customHeight="1">
      <c r="A61" s="190" t="n">
        <v>73</v>
      </c>
      <c r="B61" s="191" t="n">
        <v>4</v>
      </c>
      <c r="C61"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79" customHeight="1">
      <c r="A62" s="190" t="n">
        <v>74</v>
      </c>
      <c r="B62" s="191" t="n">
        <v>4</v>
      </c>
      <c r="C62"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66.5" customHeight="1">
      <c r="A63" s="190" t="n">
        <v>75</v>
      </c>
      <c r="B63" s="191" t="n">
        <v>4</v>
      </c>
      <c r="C63"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
(English headline translated by Claude · Original: Cuatro huéspedes caen en socavón del hotel Occidental Cozumel)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66.5" customHeight="1">
      <c r="A66" s="190" t="n">
        <v>13</v>
      </c>
      <c r="B66" s="191" t="n">
        <v>4</v>
      </c>
      <c r="C66" s="192" t="inlineStr">
        <is>
          <t>Reconstruction of the Terrazas del Valle bridge begins after sinkhole
(English headline translated by Claude · Original: Inician reconstrucción del puente de Terrazas del Valle tras socavón)</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66.5" customHeight="1">
      <c r="A67" s="190" t="n">
        <v>82</v>
      </c>
      <c r="B67" s="191" t="n">
        <v>4</v>
      </c>
      <c r="C67" s="192" t="inlineStr">
        <is>
          <t>Mystery in El Bosque: sinkhole appears amid rain and swallows a car
(English headline translated by Claude · Original: Misterio en El Bosque: socavón aparece en medio de la lluvia y se traga un auto)</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91.5" customHeight="1">
      <c r="A68" s="190" t="n">
        <v>83</v>
      </c>
      <c r="B68" s="191" t="n">
        <v>4</v>
      </c>
      <c r="C68"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66.5" customHeight="1">
      <c r="A69" s="190" t="n">
        <v>84</v>
      </c>
      <c r="B69" s="191" t="n">
        <v>4</v>
      </c>
      <c r="C69" s="192" t="inlineStr">
        <is>
          <t>Presidential delegate on Arauco sinkhole: 'It was built on land that was not optimal'
(English headline translated by Claude · Original: Delegado presidencial y el socavón en Arauco: "Aquí se construyó en un terreno que no era óptimo")</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66.5" customHeight="1">
      <c r="A70" s="190" t="n">
        <v>85</v>
      </c>
      <c r="B70" s="191" t="n">
        <v>4</v>
      </c>
      <c r="C70"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66.5" customHeight="1">
      <c r="A71" s="190" t="n">
        <v>29</v>
      </c>
      <c r="B71" s="191" t="n">
        <v>4</v>
      </c>
      <c r="C71"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66.5" customHeight="1">
      <c r="A72" s="190" t="n">
        <v>30</v>
      </c>
      <c r="B72" s="191" t="n">
        <v>4</v>
      </c>
      <c r="C72" s="192" t="inlineStr">
        <is>
          <t>Experts comment on the plan to level Mot mountain in Quy Nhon
(English headline translated by Claude · Original: Des experts s'expriment sur le projet de rasage du mont Mot à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66.5" customHeight="1">
      <c r="A73" s="190" t="n">
        <v>31</v>
      </c>
      <c r="B73" s="191" t="n">
        <v>4</v>
      </c>
      <c r="C73" s="192" t="inlineStr">
        <is>
          <t>Imperial advances planning of block caving method at Red Chris mine
(English headline translated by Claude · Original: Imperial avanza en la planificación del método de hundimiento por bloques en la mina Red Chris)</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
(English headline translated by Claude · Original: Metro Bến Thành - Tham Lương cuối năm 2026 làm cả 11 nhà ga)</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66.5" customHeight="1">
      <c r="A76" s="190" t="n">
        <v>93</v>
      </c>
      <c r="B76" s="191" t="n">
        <v>3</v>
      </c>
      <c r="C76"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54" customHeight="1">
      <c r="A78" s="190" t="n">
        <v>37</v>
      </c>
      <c r="B78" s="191" t="n">
        <v>3</v>
      </c>
      <c r="C78" s="192" t="inlineStr">
        <is>
          <t>A sinkhole trapped an ambulance transporting a patient
(English headline translated by Claude · Original: Un socavón dejó atrapada a una ambulancia que trasladaba a una paciente)</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66.5" customHeight="1">
      <c r="A79" s="190" t="n">
        <v>38</v>
      </c>
      <c r="B79" s="191" t="n">
        <v>3</v>
      </c>
      <c r="C79" s="192" t="inlineStr">
        <is>
          <t>Sinkhole endangers motorists and pedestrians in the 21 de Marzo neighbourhood
(English headline translated by Claude · Original: Socavón pone en riesgo a automovilistas y peatones en la colonia 21 de Marzo)</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
(English headline translated by Claude · Original: Gobierno abandona comunidad con un enorme socavón)</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66.5" customHeight="1">
      <c r="A82" s="190" t="n">
        <v>99</v>
      </c>
      <c r="B82" s="191" t="n">
        <v>3</v>
      </c>
      <c r="C8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41.5" customHeight="1">
      <c r="A83" s="190" t="n">
        <v>100</v>
      </c>
      <c r="B83" s="191" t="n">
        <v>3</v>
      </c>
      <c r="C83" s="192" t="inlineStr">
        <is>
          <t>Escobedo begins repair of sinkhole
(English headline translated by Claude · Original: Inicia Escobedo reparación de socavón)</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
(English headline translated by Claude · Original: Centro atiende socavón en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54" customHeight="1">
      <c r="A85" s="190" t="n">
        <v>102</v>
      </c>
      <c r="B85" s="191" t="n">
        <v>3</v>
      </c>
      <c r="C85" s="192" t="inlineStr">
        <is>
          <t>Sinkhole forms at top of underpass in Francisco I. Madero
(English headline translated by Claude · Original: Se origina socavón en la parte superior del paso a desnivel en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
(English headline translated by Claude · Original: Rescatan ambulancia que quedó colgada en un socavón en Aucapán)</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91.5" customHeight="1">
      <c r="A88" s="190" t="n">
        <v>44</v>
      </c>
      <c r="B88" s="191" t="n">
        <v>3</v>
      </c>
      <c r="C8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54" customHeight="1">
      <c r="A89" s="190" t="n">
        <v>45</v>
      </c>
      <c r="B89" s="191" t="n">
        <v>3</v>
      </c>
      <c r="C89" s="192" t="inlineStr">
        <is>
          <t>Experts comment on the plan to level Mot Mountain in Quy Nhon
(English headline translated by Claude · Original: 전문가들이 꾸이년의 못산을 평탄화하려는 계획에 대해 의견을 밝혔다.)</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66.5" customHeight="1">
      <c r="A90" s="190" t="n">
        <v>46</v>
      </c>
      <c r="B90" s="191" t="n">
        <v>3</v>
      </c>
      <c r="C9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66.5" customHeight="1">
      <c r="A91" s="190" t="n">
        <v>47</v>
      </c>
      <c r="B91" s="191" t="n">
        <v>3</v>
      </c>
      <c r="C91" s="192" t="inlineStr">
        <is>
          <t>Experts weigh in on proposal to level Mot Mountain in Quy Nhon
(English headline translated by Claude · Original: Para ahli angkat bicara tentang usulan untuk meratakan Gunung Mot di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check with</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
(English headline translated by Claude · Original: 응에안성: 해안 도로 제방의 산사태 발생에 대한 긴급 조치가 필요합니다.)</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66.5" customHeight="1">
      <c r="A98" s="190" t="n">
        <v>66</v>
      </c>
      <c r="B98" s="191" t="n">
        <v>4</v>
      </c>
      <c r="C9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66.5" customHeight="1">
      <c r="A99" s="190" t="n">
        <v>72</v>
      </c>
      <c r="B99" s="191" t="n">
        <v>4</v>
      </c>
      <c r="C99" s="192" t="inlineStr">
        <is>
          <t>Nghe An: early treatment needed for slope failure on coastal road cut
(English headline translated by Claude · Original: Nghệ An: Cần sớm xử lý sạt lở taluy dương trên tuyến đường ven biển)</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54" customHeight="1">
      <c r="A100" s="190" t="n">
        <v>8</v>
      </c>
      <c r="B100" s="191" t="n">
        <v>4</v>
      </c>
      <c r="C100" s="192" t="inlineStr">
        <is>
          <t>Quang Tri: severe coastal erosion threatens dykes, embankments and residents' lives.
(English headline translated by Claude · Original: 꽝찌: 심각한 해안 침식으로 인해 제방과 둑, 그리고 주민들의 생명이 위협받고 있습니다.)</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
(English headline translated by Claude · Original: Hai căn nhà đổ sập do sạt lở bờ sông Tiền)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66.5" customHeight="1">
      <c r="A102" s="190" t="n">
        <v>15</v>
      </c>
      <c r="B102" s="191" t="n">
        <v>4</v>
      </c>
      <c r="C102" s="192" t="inlineStr">
        <is>
          <t>Can Tho to invest over 500 billion dong in dykes against erosion at Cu Lao Dung
(English headline translated by Claude · Original: Cần Thơ đầu tư hơn 500 tỷ đồng xây dựng đê phòng, chống sạt lở ở Cù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66.5" customHeight="1">
      <c r="A103" s="190" t="n">
        <v>16</v>
      </c>
      <c r="B103" s="191" t="n">
        <v>4</v>
      </c>
      <c r="C103" s="192" t="inlineStr">
        <is>
          <t>Krong No river erosion in Lam Dong threatens irrigation works and farmland
(English headline translated by Claude · Original: Sạt lở sông Krông Nô tại Lâm Đồng đe dọa công trình thủy lợi và đất canh tác)</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66.5" customHeight="1">
      <c r="A104" s="190" t="n">
        <v>28</v>
      </c>
      <c r="B104" s="191" t="n">
        <v>4</v>
      </c>
      <c r="C104"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66.5" customHeight="1">
      <c r="A105" s="190" t="n">
        <v>88</v>
      </c>
      <c r="B105" s="191" t="n">
        <v>4</v>
      </c>
      <c r="C105" s="192" t="inlineStr">
        <is>
          <t>Concerns over riverbank erosion leading to loss of farmland
(English headline translated by Claude · Original: مخاوف بشأن تآكل ضفاف الأنهار مما يؤدي إلى فقدان الأراضي الزراعية.)</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66.5" customHeight="1">
      <c r="A106" s="190" t="n">
        <v>89</v>
      </c>
      <c r="B106" s="191" t="n">
        <v>4</v>
      </c>
      <c r="C106" s="192" t="inlineStr">
        <is>
          <t>Quang Tri: Severe sea erosion threatens dykes and residents' livelihoods
(English headline translated by Claude · Original: Quảng Trị: Biển xâm thực nghiêm trọng đe dọa đê kè và đời sống người dân)</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66.5" customHeight="1">
      <c r="A107" s="190" t="n">
        <v>35</v>
      </c>
      <c r="B107" s="191" t="n">
        <v>3</v>
      </c>
      <c r="C107" s="192" t="inlineStr">
        <is>
          <t>Dong Thap province spends 330 billion dong to tackle landslide-hit areas
(English headline translated by Claude · Original: La provincia di Dong Thap spende 330 miliardi di dong vietnamiti per affrontare le zone colpite dalle frane.)</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41.5" customHeight="1">
      <c r="A108" s="190" t="n">
        <v>98</v>
      </c>
      <c r="B108" s="191" t="n">
        <v>3</v>
      </c>
      <c r="C108" s="192" t="inlineStr">
        <is>
          <t>Strong waves on Mazatlán beaches form sinkhole in monument
(English headline translated by Claude · Original: Fuerte oleaje en playas de Mazatlán forma socavón en monumento)</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54" customHeight="1">
      <c r="A109" s="190" t="n">
        <v>42</v>
      </c>
      <c r="B109" s="191" t="n">
        <v>3</v>
      </c>
      <c r="C109" s="192" t="inlineStr">
        <is>
          <t>A section of the Esquina waterfront promenade closed due to subsidence
(English headline translated by Claude · Original: Cerraron un sector de la costanera de Esquina por hundimiento)</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
(English headline translated by Claude · Original: 来自中国香港的专家为应对越南海平面上升提出了解决方案。)</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check with</t>
        </is>
      </c>
    </row>
    <row r="116" outlineLevel="1" ht="54" customHeight="1">
      <c r="A116" s="190" t="n">
        <v>11</v>
      </c>
      <c r="B116" s="191" t="n">
        <v>4</v>
      </c>
      <c r="C116" s="192" t="inlineStr">
        <is>
          <t>Close-up of giant 120 m deep sinkhole just discovered in Phong Nha-Ke Bang
(English headline translated by Claude · Original: 퐁냐케방에서 방금 발견된 깊이 120m의 거대한 싱크홀 근접 촬영)</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54" customHeight="1">
      <c r="A117" s="190" t="n">
        <v>14</v>
      </c>
      <c r="B117" s="191" t="n">
        <v>4</v>
      </c>
      <c r="C117" s="192" t="inlineStr">
        <is>
          <t>120 m deep sinkhole containing primeval forest discovered in Phong Nha-Ke Bang area
(English headline translated by Claude · Original: 퐁냐-케방 지역에서 원시림이 포함된 깊이 120미터의 싱크홀이 발견되었습니다.)</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66.5" customHeight="1">
      <c r="A121" s="190" t="n">
        <v>86</v>
      </c>
      <c r="B121" s="191" t="n">
        <v>4</v>
      </c>
      <c r="C121"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66.5" customHeight="1">
      <c r="A122" s="190" t="n">
        <v>87</v>
      </c>
      <c r="B122" s="191" t="n">
        <v>4</v>
      </c>
      <c r="C122"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66.5" customHeight="1">
      <c r="A123" s="190" t="n">
        <v>96</v>
      </c>
      <c r="B123" s="191" t="n">
        <v>3</v>
      </c>
      <c r="C123"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check with</t>
        </is>
      </c>
    </row>
    <row r="128" outlineLevel="1" ht="66.5" customHeight="1">
      <c r="A128" s="190" t="n">
        <v>79</v>
      </c>
      <c r="B128" s="191" t="n">
        <v>4</v>
      </c>
      <c r="C128" s="192" t="inlineStr">
        <is>
          <t>CEDH finds negligence by Guasave municipality in death of teacher who fell into sinkhole
(English headline translated by Claude · Original: CEDH acredita negligencia del Ayuntamiento de Guasave por muerte de profesor que cayó en socavón)</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66.5" customHeight="1">
      <c r="A130" s="190" t="n">
        <v>33</v>
      </c>
      <c r="B130" s="191" t="n">
        <v>3</v>
      </c>
      <c r="C130" s="192" t="inlineStr">
        <is>
          <t>'The 1956 Landslide and the Church of San Pietro': photographic exhibition extended
(English headline translated by Claude · Original: "La Frana del 1956 e la Chiesa di San Pietro", prorogata la mostra fotografica)</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66.5" customHeight="1">
      <c r="A131" s="190" t="n">
        <v>97</v>
      </c>
      <c r="B131" s="191" t="n">
        <v>3</v>
      </c>
      <c r="C131" s="192" t="inlineStr">
        <is>
          <t>Body of miner trapped in a tunnel collapse in Gámeza recovered
(English headline translated by Claude · Original: Rescatan el cuerpo sin vida del minero que había quedado atrapado en un socavón en Gámeza)</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66.5" customHeight="1">
      <c r="A132" s="190" t="n">
        <v>104</v>
      </c>
      <c r="B132" s="191" t="n">
        <v>3</v>
      </c>
      <c r="C132"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66.5" customHeight="1">
      <c r="A133" s="190" t="n">
        <v>105</v>
      </c>
      <c r="B133" s="191" t="n">
        <v>3</v>
      </c>
      <c r="C133" s="192" t="inlineStr">
        <is>
          <t>What are the options for Mot Mountain in Quy Nhon: level it or preserve the historic site?
(English headline translated by Claude · Original: Quais são as opções para o Monte Mot em Quy Nhon: nivelá-lo ou preservar o sítio histórico?)</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23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65.5" customHeight="1">
      <c r="A4" s="159" t="n">
        <v>1</v>
      </c>
      <c r="B4" s="160" t="inlineStr">
        <is>
          <t>Secondary Compression of Deep Foundations in Carbonate Soils: An InSAR Study of Sunny Isles, Florida</t>
        </is>
      </c>
      <c r="C4" s="177" t="inlineStr">
        <is>
          <t>Infrastructure &amp; the Underground City</t>
        </is>
      </c>
      <c r="D4" s="162" t="n">
        <v>4</v>
      </c>
      <c r="E4" s="230" t="inlineStr">
        <is>
          <t>To review</t>
        </is>
      </c>
      <c r="F4" s="166" t="n"/>
      <c r="G4" s="167"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171" t="inlineStr">
        <is>
          <t>subsidence, settlement, deep foundation, foundation, pile, soil</t>
        </is>
      </c>
      <c r="M4" s="234" t="inlineStr">
        <is>
          <t>https://doi.org/10.1061/jggefk.gteng-15394</t>
        </is>
      </c>
    </row>
    <row r="5" ht="53" customHeight="1">
      <c r="A5" s="159" t="n">
        <v>2</v>
      </c>
      <c r="B5" s="160" t="inlineStr">
        <is>
          <t>Experimental investigation on deformation behavior of pile-supported embankments with geogrid-tire cells reinforcement</t>
        </is>
      </c>
      <c r="C5" s="184" t="inlineStr">
        <is>
          <t>Ground Improvement &amp; Innovation</t>
        </is>
      </c>
      <c r="D5" s="162" t="n">
        <v>4</v>
      </c>
      <c r="E5" s="230" t="inlineStr">
        <is>
          <t>To review</t>
        </is>
      </c>
      <c r="F5" s="166" t="n"/>
      <c r="G5" s="167"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171" t="inlineStr">
        <is>
          <t>pile, embankment, geogrid</t>
        </is>
      </c>
      <c r="M5" s="234" t="inlineStr">
        <is>
          <t>https://doi.org/10.1016/j.trgeo.2026.102499</t>
        </is>
      </c>
    </row>
    <row r="6" ht="65.5" customHeight="1">
      <c r="A6" s="159" t="n">
        <v>3</v>
      </c>
      <c r="B6" s="160" t="inlineStr">
        <is>
          <t>Stiffness compatibility in geosynthetic-reinforced column-supported embankment widening over soft ground: numerical insights and a design framework</t>
        </is>
      </c>
      <c r="C6" s="184" t="inlineStr">
        <is>
          <t>Ground Improvement &amp; Innovation</t>
        </is>
      </c>
      <c r="D6" s="162" t="n">
        <v>4</v>
      </c>
      <c r="E6" s="230" t="inlineStr">
        <is>
          <t>To review</t>
        </is>
      </c>
      <c r="F6" s="166" t="n"/>
      <c r="G6" s="167"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171" t="inlineStr">
        <is>
          <t>embankment, geosynthetic</t>
        </is>
      </c>
      <c r="M6" s="234" t="inlineStr">
        <is>
          <t>https://doi.org/10.1016/j.sandf.2026.101892</t>
        </is>
      </c>
    </row>
    <row r="7" ht="65.5" customHeight="1">
      <c r="A7" s="159" t="n">
        <v>4</v>
      </c>
      <c r="B7" s="160" t="inlineStr">
        <is>
          <t>Extended soil-arching analysis for piled embankments with rectangular pile layouts</t>
        </is>
      </c>
      <c r="C7" s="184" t="inlineStr">
        <is>
          <t>Ground Improvement &amp; Innovation</t>
        </is>
      </c>
      <c r="D7" s="162" t="n">
        <v>4</v>
      </c>
      <c r="E7" s="230" t="inlineStr">
        <is>
          <t>To review</t>
        </is>
      </c>
      <c r="F7" s="166" t="n"/>
      <c r="G7" s="167"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171" t="inlineStr">
        <is>
          <t>pile, embankment, soil</t>
        </is>
      </c>
      <c r="M7" s="234" t="inlineStr">
        <is>
          <t>https://doi.org/10.1680/jgeen.26.00025</t>
        </is>
      </c>
    </row>
    <row r="8" ht="65.5" customHeight="1">
      <c r="A8" s="159" t="n">
        <v>5</v>
      </c>
      <c r="B8" s="160" t="inlineStr">
        <is>
          <t>Development and properties of thixotropic cementitious slurry for ultra-long horizontal directional pre-grouting</t>
        </is>
      </c>
      <c r="C8" s="177" t="inlineStr">
        <is>
          <t>Infrastructure &amp; the Underground City</t>
        </is>
      </c>
      <c r="D8" s="162" t="n">
        <v>4</v>
      </c>
      <c r="E8" s="230" t="inlineStr">
        <is>
          <t>To review</t>
        </is>
      </c>
      <c r="F8" s="166" t="n"/>
      <c r="G8" s="167"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171" t="inlineStr">
        <is>
          <t>grouting</t>
        </is>
      </c>
      <c r="M8" s="234" t="inlineStr">
        <is>
          <t>https://doi.org/10.1016/j.tust.2026.108244</t>
        </is>
      </c>
    </row>
    <row r="9" ht="65.5" customHeight="1">
      <c r="A9" s="159" t="n">
        <v>6</v>
      </c>
      <c r="B9" s="160" t="inlineStr">
        <is>
          <t>Probabilistic State Parameter–Based Liquefaction Triggering Model</t>
        </is>
      </c>
      <c r="C9" s="161" t="inlineStr">
        <is>
          <t>Hazards &amp; Resilience</t>
        </is>
      </c>
      <c r="D9" s="162" t="n">
        <v>4</v>
      </c>
      <c r="E9" s="230" t="inlineStr">
        <is>
          <t>To review</t>
        </is>
      </c>
      <c r="F9" s="166" t="n"/>
      <c r="G9" s="167"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171" t="inlineStr">
        <is>
          <t>geotechnical, liquefaction, earthquake, soil</t>
        </is>
      </c>
      <c r="M9" s="234" t="inlineStr">
        <is>
          <t>https://doi.org/10.1061/jggefk.gteng-15418</t>
        </is>
      </c>
    </row>
    <row r="10" ht="53" customHeight="1">
      <c r="A10" s="159" t="n">
        <v>7</v>
      </c>
      <c r="B10" s="160" t="inlineStr">
        <is>
          <t>From rockfall to landslide: early warning based on video monitoring in open-pit mines</t>
        </is>
      </c>
      <c r="C10" s="161" t="inlineStr">
        <is>
          <t>Hazards &amp; Resilience</t>
        </is>
      </c>
      <c r="D10" s="162" t="n">
        <v>4</v>
      </c>
      <c r="E10" s="230" t="inlineStr">
        <is>
          <t>To review</t>
        </is>
      </c>
      <c r="F10" s="166" t="n"/>
      <c r="G10" s="167"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171" t="inlineStr">
        <is>
          <t>landslide, rockfall</t>
        </is>
      </c>
      <c r="M10" s="234" t="inlineStr">
        <is>
          <t>https://doi.org/10.1007/s10346-026-02861-3</t>
        </is>
      </c>
    </row>
    <row r="11" ht="53" customHeight="1">
      <c r="A11" s="159" t="n">
        <v>8</v>
      </c>
      <c r="B11" s="160" t="inlineStr">
        <is>
          <t>Stability analysis of geotextile tube tailings dams under inclined stacking: composite failure mechanism and oblique horizontal slice method</t>
        </is>
      </c>
      <c r="C11" s="185" t="inlineStr">
        <is>
          <t>Sustainability &amp; the Energy Transition</t>
        </is>
      </c>
      <c r="D11" s="162" t="n">
        <v>4</v>
      </c>
      <c r="E11" s="230" t="inlineStr">
        <is>
          <t>To review</t>
        </is>
      </c>
      <c r="F11" s="166" t="n"/>
      <c r="G11" s="167"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171" t="inlineStr">
        <is>
          <t>tailings, dam</t>
        </is>
      </c>
      <c r="M11" s="234" t="inlineStr">
        <is>
          <t>https://doi.org/10.1007/s11440-026-03261-6</t>
        </is>
      </c>
    </row>
    <row r="12" ht="53" customHeight="1">
      <c r="A12" s="159" t="n">
        <v>9</v>
      </c>
      <c r="B12" s="160" t="inlineStr">
        <is>
          <t>A unified experimental-numerical assessment of Cable, Pile, and Zone solid rockbolt models in FLAC3D: bond-slip, load transfer, and model selection</t>
        </is>
      </c>
      <c r="C12" s="179" t="inlineStr">
        <is>
          <t>Digital Geotechnics</t>
        </is>
      </c>
      <c r="D12" s="162" t="n">
        <v>4</v>
      </c>
      <c r="E12" s="230" t="inlineStr">
        <is>
          <t>To review</t>
        </is>
      </c>
      <c r="F12" s="166" t="n"/>
      <c r="G12" s="167"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171" t="inlineStr">
        <is>
          <t>pile</t>
        </is>
      </c>
      <c r="M12" s="234" t="inlineStr">
        <is>
          <t>https://doi.org/10.1016/j.compgeo.2026.108759</t>
        </is>
      </c>
    </row>
    <row r="13" ht="53" customHeight="1">
      <c r="A13" s="159" t="n">
        <v>10</v>
      </c>
      <c r="B13" s="160" t="inlineStr">
        <is>
          <t>Integrated seismic and electrical imaging with clustering for the hydro-mechanical screening of a high-altitude earthfill dam</t>
        </is>
      </c>
      <c r="C13" s="178" t="inlineStr">
        <is>
          <t>Characterisation &amp; Modelling</t>
        </is>
      </c>
      <c r="D13" s="162" t="n">
        <v>4</v>
      </c>
      <c r="E13" s="230" t="inlineStr">
        <is>
          <t>To review</t>
        </is>
      </c>
      <c r="F13" s="166" t="n"/>
      <c r="G13" s="167"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171" t="inlineStr">
        <is>
          <t>dam</t>
        </is>
      </c>
      <c r="M13" s="234" t="inlineStr">
        <is>
          <t>https://doi.org/10.1016/j.enggeo.2026.109161</t>
        </is>
      </c>
    </row>
    <row r="14" ht="53" customHeight="1">
      <c r="A14" s="159" t="n">
        <v>11</v>
      </c>
      <c r="B14" s="160" t="inlineStr">
        <is>
          <t>Geophysical site characterization and scenario-based seismic hazard mapping with slope-based topographic amplification factors: case study of the hilltop Trakošćan castle, Croatia</t>
        </is>
      </c>
      <c r="C14" s="161" t="inlineStr">
        <is>
          <t>Hazards &amp; Resilience</t>
        </is>
      </c>
      <c r="D14" s="162" t="n">
        <v>4</v>
      </c>
      <c r="E14" s="230" t="inlineStr">
        <is>
          <t>To review</t>
        </is>
      </c>
      <c r="F14" s="166" t="n"/>
      <c r="G14" s="167"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171" t="inlineStr">
        <is>
          <t>slope</t>
        </is>
      </c>
      <c r="M14" s="234" t="inlineStr">
        <is>
          <t>https://doi.org/10.1016/j.enggeo.2026.109162</t>
        </is>
      </c>
    </row>
    <row r="15" ht="53" customHeight="1">
      <c r="A15" s="159" t="n">
        <v>12</v>
      </c>
      <c r="B15" s="160" t="inlineStr">
        <is>
          <t>Evaluation of cyclic response of local subgrade materials in Thailand conforming to Chinese high-speed rail standard</t>
        </is>
      </c>
      <c r="C15" s="177" t="inlineStr">
        <is>
          <t>Infrastructure &amp; the Underground City</t>
        </is>
      </c>
      <c r="D15" s="162" t="n">
        <v>4</v>
      </c>
      <c r="E15" s="230" t="inlineStr">
        <is>
          <t>To review</t>
        </is>
      </c>
      <c r="F15" s="166" t="n"/>
      <c r="G15" s="167"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171" t="n"/>
      <c r="M15" s="234" t="inlineStr">
        <is>
          <t>https://doi.org/10.1016/j.soildyn.2026.110756</t>
        </is>
      </c>
    </row>
    <row r="16" ht="65.5" customHeight="1">
      <c r="A16" s="159" t="n">
        <v>13</v>
      </c>
      <c r="B16" s="160" t="inlineStr">
        <is>
          <t>Energy-based machine learning models for predicting soil liquefaction potential</t>
        </is>
      </c>
      <c r="C16" s="161" t="inlineStr">
        <is>
          <t>Hazards &amp; Resilience</t>
        </is>
      </c>
      <c r="D16" s="162" t="n">
        <v>3</v>
      </c>
      <c r="E16" s="230" t="inlineStr">
        <is>
          <t>To review</t>
        </is>
      </c>
      <c r="F16" s="166" t="n"/>
      <c r="G16" s="167"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171" t="inlineStr">
        <is>
          <t>liquefaction, soil</t>
        </is>
      </c>
      <c r="M16" s="234" t="inlineStr">
        <is>
          <t>https://doi.org/10.1016/j.compgeo.2026.108768</t>
        </is>
      </c>
    </row>
    <row r="17" ht="65.5" customHeight="1">
      <c r="A17" s="159" t="n">
        <v>14</v>
      </c>
      <c r="B17" s="160" t="inlineStr">
        <is>
          <t>Particle-scale insights into sand deformation during open-ended pile installation using DIC and X-ray CT</t>
        </is>
      </c>
      <c r="C17" s="178" t="inlineStr">
        <is>
          <t>Characterisation &amp; Modelling</t>
        </is>
      </c>
      <c r="D17" s="162" t="n">
        <v>3</v>
      </c>
      <c r="E17" s="230" t="inlineStr">
        <is>
          <t>To review</t>
        </is>
      </c>
      <c r="F17" s="166" t="n"/>
      <c r="G17" s="167"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171" t="inlineStr">
        <is>
          <t>pile</t>
        </is>
      </c>
      <c r="M17" s="234" t="inlineStr">
        <is>
          <t>https://doi.org/10.1680/jgeot.25.00605</t>
        </is>
      </c>
    </row>
    <row r="18" ht="78" customHeight="1">
      <c r="A18" s="159" t="n">
        <v>15</v>
      </c>
      <c r="B18" s="160" t="inlineStr">
        <is>
          <t>Shaking table test of high-speed railway bridges with novel variable friction pendulum bearings</t>
        </is>
      </c>
      <c r="C18" s="161" t="inlineStr">
        <is>
          <t>Hazards &amp; Resilience</t>
        </is>
      </c>
      <c r="D18" s="162" t="n">
        <v>3</v>
      </c>
      <c r="E18" s="230" t="inlineStr">
        <is>
          <t>To review</t>
        </is>
      </c>
      <c r="F18" s="166" t="n"/>
      <c r="G18" s="167"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171" t="inlineStr">
        <is>
          <t>railway</t>
        </is>
      </c>
      <c r="M18" s="234" t="inlineStr">
        <is>
          <t>https://doi.org/10.1016/j.soildyn.2026.110782</t>
        </is>
      </c>
    </row>
    <row r="19" ht="53" customHeight="1">
      <c r="A19" s="159" t="n">
        <v>16</v>
      </c>
      <c r="B19" s="160" t="inlineStr">
        <is>
          <t>Influence of Fabric and Drying Shrinkage on Heat Transfer in Unsaturated Soils: Experimental and Microscale Numerical Study</t>
        </is>
      </c>
      <c r="C19" s="185" t="inlineStr">
        <is>
          <t>Sustainability &amp; the Energy Transition</t>
        </is>
      </c>
      <c r="D19" s="162" t="n">
        <v>3</v>
      </c>
      <c r="E19" s="230" t="inlineStr">
        <is>
          <t>To review</t>
        </is>
      </c>
      <c r="F19" s="166" t="n"/>
      <c r="G19" s="167"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171" t="inlineStr">
        <is>
          <t>clay, soil</t>
        </is>
      </c>
      <c r="M19" s="234" t="inlineStr">
        <is>
          <t>https://doi.org/10.1061/jggefk.gteng-15142</t>
        </is>
      </c>
    </row>
    <row r="20" ht="53" customHeight="1">
      <c r="A20" s="159" t="n">
        <v>17</v>
      </c>
      <c r="B20" s="160" t="inlineStr">
        <is>
          <t>Impact of spatial soil variability on landslide susceptibility using 3D probabilistic slope stability analysis</t>
        </is>
      </c>
      <c r="C20" s="161" t="inlineStr">
        <is>
          <t>Hazards &amp; Resilience</t>
        </is>
      </c>
      <c r="D20" s="162" t="n">
        <v>3</v>
      </c>
      <c r="E20" s="230" t="inlineStr">
        <is>
          <t>To review</t>
        </is>
      </c>
      <c r="F20" s="166" t="n"/>
      <c r="G20" s="167"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171" t="inlineStr">
        <is>
          <t>landslide, slope stability, slope, soil</t>
        </is>
      </c>
      <c r="M20" s="234" t="inlineStr">
        <is>
          <t>https://doi.org/10.1080/17499518.2026.2750358</t>
        </is>
      </c>
    </row>
    <row r="21" ht="53" customHeight="1">
      <c r="A21" s="159" t="n">
        <v>18</v>
      </c>
      <c r="B21" s="160" t="inlineStr">
        <is>
          <t>Progressive soil collapse and tunnel-system response in an underground complex under varying excavation configurations</t>
        </is>
      </c>
      <c r="C21" s="177" t="inlineStr">
        <is>
          <t>Infrastructure &amp; the Underground City</t>
        </is>
      </c>
      <c r="D21" s="162" t="n">
        <v>3</v>
      </c>
      <c r="E21" s="230" t="inlineStr">
        <is>
          <t>To review</t>
        </is>
      </c>
      <c r="F21" s="166" t="n"/>
      <c r="G21" s="167"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171" t="inlineStr">
        <is>
          <t>excavation, tunnel, collapse, soil</t>
        </is>
      </c>
      <c r="M21" s="234" t="inlineStr">
        <is>
          <t>https://doi.org/10.1016/j.tust.2026.108241</t>
        </is>
      </c>
    </row>
    <row r="22" ht="53" customHeight="1">
      <c r="A22" s="159" t="n">
        <v>19</v>
      </c>
      <c r="B22" s="160" t="inlineStr">
        <is>
          <t>Defining the chalk–shale boundary in intact rock samples for engineering geology practice</t>
        </is>
      </c>
      <c r="C22" s="178" t="inlineStr">
        <is>
          <t>Characterisation &amp; Modelling</t>
        </is>
      </c>
      <c r="D22" s="162" t="n">
        <v>3</v>
      </c>
      <c r="E22" s="230" t="inlineStr">
        <is>
          <t>To review</t>
        </is>
      </c>
      <c r="F22" s="166" t="n"/>
      <c r="G22" s="167"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171" t="inlineStr">
        <is>
          <t>engineering geology</t>
        </is>
      </c>
      <c r="M22" s="234" t="inlineStr">
        <is>
          <t>https://doi.org/10.1016/j.enggeo.2026.109168</t>
        </is>
      </c>
    </row>
    <row r="23" ht="53" customHeight="1">
      <c r="A23" s="159" t="n">
        <v>20</v>
      </c>
      <c r="B23" s="160" t="inlineStr">
        <is>
          <t>A nonlinear elastoplastic subloading surface model for rock under cyclic loading-unloading with application to compressed air energy storage cavern operation</t>
        </is>
      </c>
      <c r="C23" s="185" t="inlineStr">
        <is>
          <t>Sustainability &amp; the Energy Transition</t>
        </is>
      </c>
      <c r="D23" s="162" t="n">
        <v>3</v>
      </c>
      <c r="E23" s="230" t="inlineStr">
        <is>
          <t>To review</t>
        </is>
      </c>
      <c r="F23" s="166" t="n"/>
      <c r="G23" s="167"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171" t="n"/>
      <c r="M23" s="234" t="inlineStr">
        <is>
          <t>https://doi.org/10.1016/j.compgeo.2026.108765</t>
        </is>
      </c>
    </row>
    <row r="24" ht="65.5" customHeight="1">
      <c r="A24" s="159" t="n">
        <v>21</v>
      </c>
      <c r="B24" s="160" t="inlineStr">
        <is>
          <t>Probabilistic stability and progressive failure of pile-supported embankments under borehole-constrained stratigraphic uncertainty</t>
        </is>
      </c>
      <c r="C24" s="178" t="inlineStr">
        <is>
          <t>Characterisation &amp; Modelling</t>
        </is>
      </c>
      <c r="D24" s="162" t="n">
        <v>3</v>
      </c>
      <c r="E24" s="230" t="inlineStr">
        <is>
          <t>To review</t>
        </is>
      </c>
      <c r="F24" s="166" t="n"/>
      <c r="G24" s="167"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171" t="inlineStr">
        <is>
          <t>pile, embankment, borehole</t>
        </is>
      </c>
      <c r="M24" s="234" t="inlineStr">
        <is>
          <t>https://doi.org/10.1016/j.trgeo.2026.102482</t>
        </is>
      </c>
    </row>
    <row r="25" ht="53" customHeight="1">
      <c r="A25" s="159" t="n">
        <v>22</v>
      </c>
      <c r="B25" s="160" t="inlineStr">
        <is>
          <t>Large-Scale Flume Investigation of Pore Water Pressure Evolution under Wave–Soil–Structure Interaction</t>
        </is>
      </c>
      <c r="C25" s="176" t="inlineStr">
        <is>
          <t>Offshore, Coasts &amp; Water</t>
        </is>
      </c>
      <c r="D25" s="162" t="n">
        <v>3</v>
      </c>
      <c r="E25" s="230" t="inlineStr">
        <is>
          <t>To review</t>
        </is>
      </c>
      <c r="F25" s="166" t="n"/>
      <c r="G25" s="167"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171" t="inlineStr">
        <is>
          <t>liquefaction, foundation, soil</t>
        </is>
      </c>
      <c r="M25" s="234" t="inlineStr">
        <is>
          <t>https://doi.org/10.1061/jggefk.gteng-15428</t>
        </is>
      </c>
    </row>
    <row r="26" ht="53" customHeight="1">
      <c r="A26" s="159" t="n">
        <v>23</v>
      </c>
      <c r="B26" s="160" t="inlineStr">
        <is>
          <t>Digital technology and AI for climate-resilient underground infrastructure: Current advances and future directions</t>
        </is>
      </c>
      <c r="C26" s="179" t="inlineStr">
        <is>
          <t>Digital Geotechnics</t>
        </is>
      </c>
      <c r="D26" s="162" t="n">
        <v>3</v>
      </c>
      <c r="E26" s="230" t="inlineStr">
        <is>
          <t>To review</t>
        </is>
      </c>
      <c r="F26" s="166" t="n"/>
      <c r="G26" s="167"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171" t="n"/>
      <c r="M26" s="234"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75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28</v>
      </c>
      <c r="C4" s="244">
        <f>SUMPRODUCT(Stories!$W$4:$W$110,--(Stories!$J$4:$J$110=$A4))</f>
        <v/>
      </c>
      <c r="D4" s="245" t="n">
        <v>3.8</v>
      </c>
      <c r="E4" s="243" t="n">
        <v>21</v>
      </c>
      <c r="F4" s="246" t="inlineStr">
        <is>
          <t>Hazards &amp; Resilience</t>
        </is>
      </c>
      <c r="G4" s="243" t="n">
        <v>6</v>
      </c>
      <c r="H4" s="171" t="inlineStr">
        <is>
          <t>South Korea, Vietnam, Indonesia, Egypt, Spain, Russia, Colombia, United Kingdom, Japan, France, Italy, China, Brazil</t>
        </is>
      </c>
      <c r="I4" s="247" t="n">
        <v>46320</v>
      </c>
    </row>
    <row r="5" ht="15.5" customHeight="1">
      <c r="A5" s="231" t="inlineStr">
        <is>
          <t>Ground Engineering</t>
        </is>
      </c>
      <c r="B5" s="243" t="n">
        <v>2</v>
      </c>
      <c r="C5" s="244">
        <f>SUMPRODUCT(Stories!$W$4:$W$110,--(Stories!$J$4:$J$110=$A5))</f>
        <v/>
      </c>
      <c r="D5" s="245" t="n">
        <v>4.5</v>
      </c>
      <c r="E5" s="243" t="n">
        <v>2</v>
      </c>
      <c r="F5" s="248" t="inlineStr">
        <is>
          <t>Offshore, Coasts &amp; Water</t>
        </is>
      </c>
      <c r="G5" s="243" t="n">
        <v>2</v>
      </c>
      <c r="H5" s="171" t="inlineStr"/>
      <c r="I5" s="247" t="n">
        <v>46319</v>
      </c>
    </row>
    <row r="6" ht="15.5" customHeight="1">
      <c r="A6" s="231" t="inlineStr">
        <is>
          <t>Infobae</t>
        </is>
      </c>
      <c r="B6" s="243" t="n">
        <v>2</v>
      </c>
      <c r="C6" s="244">
        <f>SUMPRODUCT(Stories!$W$4:$W$110,--(Stories!$J$4:$J$110=$A6))</f>
        <v/>
      </c>
      <c r="D6" s="245" t="n">
        <v>4</v>
      </c>
      <c r="E6" s="243" t="n">
        <v>1</v>
      </c>
      <c r="F6" s="246" t="inlineStr">
        <is>
          <t>Hazards &amp; Resilience</t>
        </is>
      </c>
      <c r="G6" s="243" t="n">
        <v>2</v>
      </c>
      <c r="H6" s="171" t="inlineStr">
        <is>
          <t>Argentina, Colombia</t>
        </is>
      </c>
      <c r="I6" s="247" t="n">
        <v>46320</v>
      </c>
    </row>
    <row r="7" ht="28" customHeight="1">
      <c r="A7" s="231" t="inlineStr">
        <is>
          <t>Tunnelling Journal</t>
        </is>
      </c>
      <c r="B7" s="243" t="n">
        <v>2</v>
      </c>
      <c r="C7" s="244">
        <f>SUMPRODUCT(Stories!$W$4:$W$110,--(Stories!$J$4:$J$110=$A7))</f>
        <v/>
      </c>
      <c r="D7" s="245" t="n">
        <v>3</v>
      </c>
      <c r="E7" s="243" t="n">
        <v>0</v>
      </c>
      <c r="F7" s="249" t="inlineStr">
        <is>
          <t>Infrastructure &amp; the Underground City</t>
        </is>
      </c>
      <c r="G7" s="243" t="n">
        <v>2</v>
      </c>
      <c r="H7" s="171" t="inlineStr"/>
      <c r="I7" s="247" t="n">
        <v>46319</v>
      </c>
    </row>
    <row r="8" ht="28" customHeight="1">
      <c r="A8" s="231" t="inlineStr">
        <is>
          <t>Tunnels &amp; Tunnelling</t>
        </is>
      </c>
      <c r="B8" s="243" t="n">
        <v>2</v>
      </c>
      <c r="C8" s="244">
        <f>SUMPRODUCT(Stories!$W$4:$W$110,--(Stories!$J$4:$J$110=$A8))</f>
        <v/>
      </c>
      <c r="D8" s="245" t="n">
        <v>3</v>
      </c>
      <c r="E8" s="243" t="n">
        <v>0</v>
      </c>
      <c r="F8" s="250" t="inlineStr">
        <is>
          <t>Sustainability &amp; the Energy Transition</t>
        </is>
      </c>
      <c r="G8" s="243" t="n">
        <v>1</v>
      </c>
      <c r="H8" s="171" t="inlineStr"/>
      <c r="I8" s="247" t="n">
        <v>46319</v>
      </c>
    </row>
    <row r="9" ht="15.5" customHeight="1">
      <c r="A9" s="231" t="inlineStr">
        <is>
          <t>生物通</t>
        </is>
      </c>
      <c r="B9" s="243" t="n">
        <v>2</v>
      </c>
      <c r="C9" s="244">
        <f>SUMPRODUCT(Stories!$W$4:$W$110,--(Stories!$J$4:$J$110=$A9))</f>
        <v/>
      </c>
      <c r="D9" s="245" t="n">
        <v>4.5</v>
      </c>
      <c r="E9" s="243" t="n">
        <v>2</v>
      </c>
      <c r="F9" s="251" t="inlineStr">
        <is>
          <t>Digital Geotechnics</t>
        </is>
      </c>
      <c r="G9" s="243" t="n">
        <v>2</v>
      </c>
      <c r="H9" s="171" t="inlineStr">
        <is>
          <t>China</t>
        </is>
      </c>
      <c r="I9" s="247" t="n">
        <v>46319</v>
      </c>
    </row>
    <row r="10" ht="15.5" customHeight="1">
      <c r="A10" s="231" t="inlineStr">
        <is>
          <t>:: Foro Coatza ::</t>
        </is>
      </c>
      <c r="B10" s="243" t="n">
        <v>1</v>
      </c>
      <c r="C10" s="244">
        <f>SUMPRODUCT(Stories!$W$4:$W$110,--(Stories!$J$4:$J$110=$A10))</f>
        <v/>
      </c>
      <c r="D10" s="245" t="n">
        <v>3</v>
      </c>
      <c r="E10" s="243" t="n">
        <v>0</v>
      </c>
      <c r="F10" s="248" t="inlineStr">
        <is>
          <t>Offshore, Coasts &amp; Water</t>
        </is>
      </c>
      <c r="G10" s="243" t="n">
        <v>1</v>
      </c>
      <c r="H10" s="171" t="inlineStr">
        <is>
          <t>Argentina</t>
        </is>
      </c>
      <c r="I10" s="247" t="n">
        <v>46319</v>
      </c>
    </row>
    <row r="11" ht="28" customHeight="1">
      <c r="A11" s="231" t="inlineStr">
        <is>
          <t>ABC27</t>
        </is>
      </c>
      <c r="B11" s="243" t="n">
        <v>1</v>
      </c>
      <c r="C11" s="244">
        <f>SUMPRODUCT(Stories!$W$4:$W$110,--(Stories!$J$4:$J$110=$A11))</f>
        <v/>
      </c>
      <c r="D11" s="245" t="n">
        <v>3</v>
      </c>
      <c r="E11" s="243" t="n">
        <v>0</v>
      </c>
      <c r="F11" s="249" t="inlineStr">
        <is>
          <t>Infrastructure &amp; the Underground City</t>
        </is>
      </c>
      <c r="G11" s="243" t="n">
        <v>1</v>
      </c>
      <c r="H11" s="171" t="inlineStr">
        <is>
          <t>United Kingdom</t>
        </is>
      </c>
      <c r="I11" s="247" t="n">
        <v>46320</v>
      </c>
    </row>
    <row r="12" ht="15.5" customHeight="1">
      <c r="A12" s="231" t="inlineStr">
        <is>
          <t>agenzia giornalistica opinione</t>
        </is>
      </c>
      <c r="B12" s="243" t="n">
        <v>1</v>
      </c>
      <c r="C12" s="244">
        <f>SUMPRODUCT(Stories!$W$4:$W$110,--(Stories!$J$4:$J$110=$A12))</f>
        <v/>
      </c>
      <c r="D12" s="245" t="n">
        <v>4</v>
      </c>
      <c r="E12" s="243" t="n">
        <v>1</v>
      </c>
      <c r="F12" s="246" t="inlineStr">
        <is>
          <t>Hazards &amp; Resilience</t>
        </is>
      </c>
      <c r="G12" s="243" t="n">
        <v>1</v>
      </c>
      <c r="H12" s="171" t="inlineStr">
        <is>
          <t>Italy</t>
        </is>
      </c>
      <c r="I12" s="247" t="n">
        <v>46319</v>
      </c>
    </row>
    <row r="13" ht="15.5" customHeight="1">
      <c r="A13" s="231" t="inlineStr">
        <is>
          <t>AI넷</t>
        </is>
      </c>
      <c r="B13" s="243" t="n">
        <v>1</v>
      </c>
      <c r="C13" s="244">
        <f>SUMPRODUCT(Stories!$W$4:$W$110,--(Stories!$J$4:$J$110=$A13))</f>
        <v/>
      </c>
      <c r="D13" s="245" t="n">
        <v>4</v>
      </c>
      <c r="E13" s="243" t="n">
        <v>1</v>
      </c>
      <c r="F13" s="248" t="inlineStr">
        <is>
          <t>Offshore, Coasts &amp; Water</t>
        </is>
      </c>
      <c r="G13" s="243" t="n">
        <v>1</v>
      </c>
      <c r="H13" s="171" t="inlineStr">
        <is>
          <t>South Korea</t>
        </is>
      </c>
      <c r="I13" s="247" t="n">
        <v>46320</v>
      </c>
    </row>
    <row r="14" ht="15.5" customHeight="1">
      <c r="A14" s="231" t="inlineStr">
        <is>
          <t>Baolangson.vn</t>
        </is>
      </c>
      <c r="B14" s="243" t="n">
        <v>1</v>
      </c>
      <c r="C14" s="244">
        <f>SUMPRODUCT(Stories!$W$4:$W$110,--(Stories!$J$4:$J$110=$A14))</f>
        <v/>
      </c>
      <c r="D14" s="245" t="n">
        <v>4</v>
      </c>
      <c r="E14" s="243" t="n">
        <v>1</v>
      </c>
      <c r="F14" s="246" t="inlineStr">
        <is>
          <t>Hazards &amp; Resilience</t>
        </is>
      </c>
      <c r="G14" s="243" t="n">
        <v>1</v>
      </c>
      <c r="H14" s="171" t="inlineStr">
        <is>
          <t>Vietnam</t>
        </is>
      </c>
      <c r="I14" s="247" t="n">
        <v>46319</v>
      </c>
    </row>
    <row r="15" ht="28" customHeight="1">
      <c r="A15" s="231" t="inlineStr">
        <is>
          <t>BioBioChile</t>
        </is>
      </c>
      <c r="B15" s="243" t="n">
        <v>1</v>
      </c>
      <c r="C15" s="244">
        <f>SUMPRODUCT(Stories!$W$4:$W$110,--(Stories!$J$4:$J$110=$A15))</f>
        <v/>
      </c>
      <c r="D15" s="245" t="n">
        <v>4</v>
      </c>
      <c r="E15" s="243" t="n">
        <v>1</v>
      </c>
      <c r="F15" s="249" t="inlineStr">
        <is>
          <t>Infrastructure &amp; the Underground City</t>
        </is>
      </c>
      <c r="G15" s="243" t="n">
        <v>1</v>
      </c>
      <c r="H15" s="171" t="inlineStr">
        <is>
          <t>Colombia</t>
        </is>
      </c>
      <c r="I15" s="247" t="n">
        <v>46319</v>
      </c>
    </row>
    <row r="16" ht="15.5" customHeight="1">
      <c r="A16" s="231" t="inlineStr">
        <is>
          <t>Boyacá 7 Días</t>
        </is>
      </c>
      <c r="B16" s="243" t="n">
        <v>1</v>
      </c>
      <c r="C16" s="244">
        <f>SUMPRODUCT(Stories!$W$4:$W$110,--(Stories!$J$4:$J$110=$A16))</f>
        <v/>
      </c>
      <c r="D16" s="245" t="n">
        <v>3</v>
      </c>
      <c r="E16" s="243" t="n">
        <v>0</v>
      </c>
      <c r="F16" s="252" t="inlineStr">
        <is>
          <t>Geotechnics &amp; Society</t>
        </is>
      </c>
      <c r="G16" s="243" t="n">
        <v>1</v>
      </c>
      <c r="H16" s="171" t="inlineStr">
        <is>
          <t>Colombia</t>
        </is>
      </c>
      <c r="I16" s="247" t="n">
        <v>46319</v>
      </c>
    </row>
    <row r="17" ht="15.5" customHeight="1">
      <c r="A17" s="231" t="inlineStr">
        <is>
          <t>Báo Nhân Dân điện tử</t>
        </is>
      </c>
      <c r="B17" s="243" t="n">
        <v>1</v>
      </c>
      <c r="C17" s="244">
        <f>SUMPRODUCT(Stories!$W$4:$W$110,--(Stories!$J$4:$J$110=$A17))</f>
        <v/>
      </c>
      <c r="D17" s="245" t="n">
        <v>4</v>
      </c>
      <c r="E17" s="243" t="n">
        <v>1</v>
      </c>
      <c r="F17" s="248" t="inlineStr">
        <is>
          <t>Offshore, Coasts &amp; Water</t>
        </is>
      </c>
      <c r="G17" s="243" t="n">
        <v>1</v>
      </c>
      <c r="H17" s="171" t="inlineStr">
        <is>
          <t>Vietnam</t>
        </is>
      </c>
      <c r="I17" s="247" t="n">
        <v>46320</v>
      </c>
    </row>
    <row r="18" ht="15.5" customHeight="1">
      <c r="A18" s="231" t="inlineStr">
        <is>
          <t>Báo Thanh Niên</t>
        </is>
      </c>
      <c r="B18" s="243" t="n">
        <v>1</v>
      </c>
      <c r="C18" s="244">
        <f>SUMPRODUCT(Stories!$W$4:$W$110,--(Stories!$J$4:$J$110=$A18))</f>
        <v/>
      </c>
      <c r="D18" s="245" t="n">
        <v>4</v>
      </c>
      <c r="E18" s="243" t="n">
        <v>1</v>
      </c>
      <c r="F18" s="246" t="inlineStr">
        <is>
          <t>Hazards &amp; Resilience</t>
        </is>
      </c>
      <c r="G18" s="243" t="n">
        <v>1</v>
      </c>
      <c r="H18" s="171" t="inlineStr">
        <is>
          <t>Vietnam</t>
        </is>
      </c>
      <c r="I18" s="247" t="n">
        <v>46319</v>
      </c>
    </row>
    <row r="19" ht="28" customHeight="1">
      <c r="A19" s="231" t="inlineStr">
        <is>
          <t>Báo và phát thanh, truyền hình Đồng Tháp</t>
        </is>
      </c>
      <c r="B19" s="243" t="n">
        <v>1</v>
      </c>
      <c r="C19" s="244">
        <f>SUMPRODUCT(Stories!$W$4:$W$110,--(Stories!$J$4:$J$110=$A19))</f>
        <v/>
      </c>
      <c r="D19" s="245" t="n">
        <v>4</v>
      </c>
      <c r="E19" s="243" t="n">
        <v>1</v>
      </c>
      <c r="F19" s="246" t="inlineStr">
        <is>
          <t>Hazards &amp; Resilience</t>
        </is>
      </c>
      <c r="G19" s="243" t="n">
        <v>1</v>
      </c>
      <c r="H19" s="171" t="inlineStr">
        <is>
          <t>Vietnam</t>
        </is>
      </c>
      <c r="I19" s="247" t="n">
        <v>46319</v>
      </c>
    </row>
    <row r="20" ht="28" customHeight="1">
      <c r="A20" s="231" t="inlineStr">
        <is>
          <t>Cooperativa</t>
        </is>
      </c>
      <c r="B20" s="243" t="n">
        <v>1</v>
      </c>
      <c r="C20" s="244">
        <f>SUMPRODUCT(Stories!$W$4:$W$110,--(Stories!$J$4:$J$110=$A20))</f>
        <v/>
      </c>
      <c r="D20" s="245" t="n">
        <v>4</v>
      </c>
      <c r="E20" s="243" t="n">
        <v>1</v>
      </c>
      <c r="F20" s="249" t="inlineStr">
        <is>
          <t>Infrastructure &amp; the Underground City</t>
        </is>
      </c>
      <c r="G20" s="243" t="n">
        <v>1</v>
      </c>
      <c r="H20" s="171" t="inlineStr">
        <is>
          <t>Colombia</t>
        </is>
      </c>
      <c r="I20" s="247" t="n">
        <v>46319</v>
      </c>
    </row>
    <row r="21" ht="28" customHeight="1">
      <c r="A21" s="231" t="inlineStr">
        <is>
          <t>Debate</t>
        </is>
      </c>
      <c r="B21" s="243" t="n">
        <v>1</v>
      </c>
      <c r="C21" s="244">
        <f>SUMPRODUCT(Stories!$W$4:$W$110,--(Stories!$J$4:$J$110=$A21))</f>
        <v/>
      </c>
      <c r="D21" s="245" t="n">
        <v>4</v>
      </c>
      <c r="E21" s="243" t="n">
        <v>1</v>
      </c>
      <c r="F21" s="249"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SUMPRODUCT(Stories!$W$4:$W$110,--(Stories!$J$4:$J$110=$A22))</f>
        <v/>
      </c>
      <c r="D22" s="245" t="n">
        <v>3</v>
      </c>
      <c r="E22" s="243" t="n">
        <v>0</v>
      </c>
      <c r="F22" s="249" t="inlineStr">
        <is>
          <t>Infrastructure &amp; the Underground City</t>
        </is>
      </c>
      <c r="G22" s="243" t="n">
        <v>1</v>
      </c>
      <c r="H22" s="171" t="inlineStr">
        <is>
          <t>Colombia</t>
        </is>
      </c>
      <c r="I22" s="247" t="n">
        <v>46319</v>
      </c>
    </row>
    <row r="23" ht="15.5" customHeight="1">
      <c r="A23" s="231" t="inlineStr">
        <is>
          <t>Diario 1588</t>
        </is>
      </c>
      <c r="B23" s="243" t="n">
        <v>1</v>
      </c>
      <c r="C23" s="244">
        <f>SUMPRODUCT(Stories!$W$4:$W$110,--(Stories!$J$4:$J$110=$A23))</f>
        <v/>
      </c>
      <c r="D23" s="245" t="n">
        <v>3</v>
      </c>
      <c r="E23" s="243" t="n">
        <v>0</v>
      </c>
      <c r="F23" s="248" t="inlineStr">
        <is>
          <t>Offshore, Coasts &amp; Water</t>
        </is>
      </c>
      <c r="G23" s="243" t="n">
        <v>1</v>
      </c>
      <c r="H23" s="171" t="inlineStr">
        <is>
          <t>Argentina</t>
        </is>
      </c>
      <c r="I23" s="247" t="n">
        <v>46320</v>
      </c>
    </row>
    <row r="24" ht="28" customHeight="1">
      <c r="A24" s="231" t="inlineStr">
        <is>
          <t>Diario 7 lagos</t>
        </is>
      </c>
      <c r="B24" s="243" t="n">
        <v>1</v>
      </c>
      <c r="C24" s="244">
        <f>SUMPRODUCT(Stories!$W$4:$W$110,--(Stories!$J$4:$J$110=$A24))</f>
        <v/>
      </c>
      <c r="D24" s="245" t="n">
        <v>3</v>
      </c>
      <c r="E24" s="243" t="n">
        <v>0</v>
      </c>
      <c r="F24" s="249" t="inlineStr">
        <is>
          <t>Infrastructure &amp; the Underground City</t>
        </is>
      </c>
      <c r="G24" s="243" t="n">
        <v>1</v>
      </c>
      <c r="H24" s="171" t="inlineStr">
        <is>
          <t>Colombia</t>
        </is>
      </c>
      <c r="I24" s="247" t="n">
        <v>46320</v>
      </c>
    </row>
    <row r="25" ht="15.5" customHeight="1">
      <c r="A25" s="231" t="inlineStr">
        <is>
          <t>DTiNews</t>
        </is>
      </c>
      <c r="B25" s="243" t="n">
        <v>1</v>
      </c>
      <c r="C25" s="244">
        <f>SUMPRODUCT(Stories!$W$4:$W$110,--(Stories!$J$4:$J$110=$A25))</f>
        <v/>
      </c>
      <c r="D25" s="245" t="n">
        <v>3</v>
      </c>
      <c r="E25" s="243" t="n">
        <v>0</v>
      </c>
      <c r="F25" s="253" t="inlineStr">
        <is>
          <t>Characterisation &amp; Modelling</t>
        </is>
      </c>
      <c r="G25" s="243" t="n">
        <v>1</v>
      </c>
      <c r="H25" s="171" t="inlineStr">
        <is>
          <t>United Kingdom</t>
        </is>
      </c>
      <c r="I25" s="247" t="n">
        <v>46320</v>
      </c>
    </row>
    <row r="26" ht="15.5" customHeight="1">
      <c r="A26" s="231" t="inlineStr">
        <is>
          <t>El Congresista</t>
        </is>
      </c>
      <c r="B26" s="243" t="n">
        <v>1</v>
      </c>
      <c r="C26" s="244">
        <f>SUMPRODUCT(Stories!$W$4:$W$110,--(Stories!$J$4:$J$110=$A26))</f>
        <v/>
      </c>
      <c r="D26" s="245" t="n">
        <v>4</v>
      </c>
      <c r="E26" s="243" t="n">
        <v>1</v>
      </c>
      <c r="F26" s="246" t="inlineStr">
        <is>
          <t>Hazards &amp; Resilience</t>
        </is>
      </c>
      <c r="G26" s="243" t="n">
        <v>1</v>
      </c>
      <c r="H26" s="171" t="inlineStr">
        <is>
          <t>Spain</t>
        </is>
      </c>
      <c r="I26" s="247" t="n">
        <v>46320</v>
      </c>
    </row>
    <row r="27" ht="28" customHeight="1">
      <c r="A27" s="231" t="inlineStr">
        <is>
          <t>El Litoral | Novedades de Corrientes</t>
        </is>
      </c>
      <c r="B27" s="243" t="n">
        <v>1</v>
      </c>
      <c r="C27" s="244">
        <f>SUMPRODUCT(Stories!$W$4:$W$110,--(Stories!$J$4:$J$110=$A27))</f>
        <v/>
      </c>
      <c r="D27" s="245" t="n">
        <v>3</v>
      </c>
      <c r="E27" s="243" t="n">
        <v>0</v>
      </c>
      <c r="F27" s="248" t="inlineStr">
        <is>
          <t>Offshore, Coasts &amp; Water</t>
        </is>
      </c>
      <c r="G27" s="243" t="n">
        <v>1</v>
      </c>
      <c r="H27" s="171" t="inlineStr">
        <is>
          <t>Argentina</t>
        </is>
      </c>
      <c r="I27" s="247" t="n">
        <v>46319</v>
      </c>
    </row>
    <row r="28" ht="28" customHeight="1">
      <c r="A28" s="231" t="inlineStr">
        <is>
          <t>El Portal de Chicoloapan</t>
        </is>
      </c>
      <c r="B28" s="243" t="n">
        <v>1</v>
      </c>
      <c r="C28" s="244">
        <f>SUMPRODUCT(Stories!$W$4:$W$110,--(Stories!$J$4:$J$110=$A28))</f>
        <v/>
      </c>
      <c r="D28" s="245" t="n">
        <v>3</v>
      </c>
      <c r="E28" s="243" t="n">
        <v>0</v>
      </c>
      <c r="F28" s="249" t="inlineStr">
        <is>
          <t>Infrastructure &amp; the Underground City</t>
        </is>
      </c>
      <c r="G28" s="243" t="n">
        <v>1</v>
      </c>
      <c r="H28" s="171" t="inlineStr">
        <is>
          <t>Argentina</t>
        </is>
      </c>
      <c r="I28" s="247" t="n">
        <v>46320</v>
      </c>
    </row>
    <row r="29" ht="28" customHeight="1">
      <c r="A29" s="231" t="inlineStr">
        <is>
          <t>El Siglo de Torreón</t>
        </is>
      </c>
      <c r="B29" s="243" t="n">
        <v>1</v>
      </c>
      <c r="C29" s="244">
        <f>SUMPRODUCT(Stories!$W$4:$W$110,--(Stories!$J$4:$J$110=$A29))</f>
        <v/>
      </c>
      <c r="D29" s="245" t="n">
        <v>3</v>
      </c>
      <c r="E29" s="243" t="n">
        <v>0</v>
      </c>
      <c r="F29" s="249"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SUMPRODUCT(Stories!$W$4:$W$110,--(Stories!$J$4:$J$110=$A30))</f>
        <v/>
      </c>
      <c r="D30" s="245" t="n">
        <v>3</v>
      </c>
      <c r="E30" s="243" t="n">
        <v>0</v>
      </c>
      <c r="F30" s="249"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SUMPRODUCT(Stories!$W$4:$W$110,--(Stories!$J$4:$J$110=$A31))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SUMPRODUCT(Stories!$W$4:$W$110,--(Stories!$J$4:$J$110=$A32))</f>
        <v/>
      </c>
      <c r="D32" s="245" t="n">
        <v>4</v>
      </c>
      <c r="E32" s="243" t="n">
        <v>1</v>
      </c>
      <c r="F32" s="249"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SUMPRODUCT(Stories!$W$4:$W$110,--(Stories!$J$4:$J$110=$A33))</f>
        <v/>
      </c>
      <c r="D33" s="245" t="n">
        <v>3</v>
      </c>
      <c r="E33" s="243" t="n">
        <v>0</v>
      </c>
      <c r="F33" s="249"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SUMPRODUCT(Stories!$W$4:$W$110,--(Stories!$J$4:$J$110=$A34))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SUMPRODUCT(Stories!$W$4:$W$110,--(Stories!$J$4:$J$110=$A35))</f>
        <v/>
      </c>
      <c r="D35" s="245" t="n">
        <v>5</v>
      </c>
      <c r="E35" s="243" t="n">
        <v>1</v>
      </c>
      <c r="F35" s="254" t="inlineStr">
        <is>
          <t>Ground Improvement &amp; Innovation</t>
        </is>
      </c>
      <c r="G35" s="243" t="n">
        <v>1</v>
      </c>
      <c r="H35" s="171" t="inlineStr">
        <is>
          <t>United States</t>
        </is>
      </c>
      <c r="I35" s="247" t="n">
        <v>46319</v>
      </c>
    </row>
    <row r="36" ht="15.5" customHeight="1">
      <c r="A36" s="231" t="inlineStr">
        <is>
          <t>Giornale Nord Est</t>
        </is>
      </c>
      <c r="B36" s="243" t="n">
        <v>1</v>
      </c>
      <c r="C36" s="244">
        <f>SUMPRODUCT(Stories!$W$4:$W$110,--(Stories!$J$4:$J$110=$A36))</f>
        <v/>
      </c>
      <c r="D36" s="245" t="n">
        <v>4</v>
      </c>
      <c r="E36" s="243" t="n">
        <v>1</v>
      </c>
      <c r="F36" s="246" t="inlineStr">
        <is>
          <t>Hazards &amp; Resilience</t>
        </is>
      </c>
      <c r="G36" s="243" t="n">
        <v>1</v>
      </c>
      <c r="H36" s="171" t="inlineStr">
        <is>
          <t>Italy</t>
        </is>
      </c>
      <c r="I36" s="247" t="n">
        <v>46320</v>
      </c>
    </row>
    <row r="37" ht="15.5" customHeight="1">
      <c r="A37" s="231" t="inlineStr">
        <is>
          <t>Il Giornale dei Castelli Romani</t>
        </is>
      </c>
      <c r="B37" s="243" t="n">
        <v>1</v>
      </c>
      <c r="C37" s="244">
        <f>SUMPRODUCT(Stories!$W$4:$W$110,--(Stories!$J$4:$J$110=$A37))</f>
        <v/>
      </c>
      <c r="D37" s="245" t="n">
        <v>4</v>
      </c>
      <c r="E37" s="243" t="n">
        <v>1</v>
      </c>
      <c r="F37" s="246" t="inlineStr">
        <is>
          <t>Hazards &amp; Resilience</t>
        </is>
      </c>
      <c r="G37" s="243" t="n">
        <v>1</v>
      </c>
      <c r="H37" s="171" t="inlineStr">
        <is>
          <t>Italy</t>
        </is>
      </c>
      <c r="I37" s="247" t="n">
        <v>46319</v>
      </c>
    </row>
    <row r="38" ht="15.5" customHeight="1">
      <c r="A38" s="231" t="inlineStr">
        <is>
          <t>Kenh14.vn</t>
        </is>
      </c>
      <c r="B38" s="243" t="n">
        <v>1</v>
      </c>
      <c r="C38" s="244">
        <f>SUMPRODUCT(Stories!$W$4:$W$110,--(Stories!$J$4:$J$110=$A38))</f>
        <v/>
      </c>
      <c r="D38" s="245" t="n">
        <v>4</v>
      </c>
      <c r="E38" s="243" t="n">
        <v>1</v>
      </c>
      <c r="F38" s="246" t="inlineStr">
        <is>
          <t>Hazards &amp; Resilience</t>
        </is>
      </c>
      <c r="G38" s="243" t="n">
        <v>1</v>
      </c>
      <c r="H38" s="171" t="inlineStr">
        <is>
          <t>Vietnam</t>
        </is>
      </c>
      <c r="I38" s="247" t="n">
        <v>46319</v>
      </c>
    </row>
    <row r="39" ht="15.5" customHeight="1">
      <c r="A39" s="231" t="inlineStr">
        <is>
          <t>Laodong.vn</t>
        </is>
      </c>
      <c r="B39" s="243" t="n">
        <v>1</v>
      </c>
      <c r="C39" s="244">
        <f>SUMPRODUCT(Stories!$W$4:$W$110,--(Stories!$J$4:$J$110=$A39))</f>
        <v/>
      </c>
      <c r="D39" s="245" t="n">
        <v>4</v>
      </c>
      <c r="E39" s="243" t="n">
        <v>1</v>
      </c>
      <c r="F39" s="253" t="inlineStr">
        <is>
          <t>Characterisation &amp; Modelling</t>
        </is>
      </c>
      <c r="G39" s="243" t="n">
        <v>1</v>
      </c>
      <c r="H39" s="171" t="inlineStr">
        <is>
          <t>South Korea</t>
        </is>
      </c>
      <c r="I39" s="247" t="n">
        <v>46320</v>
      </c>
    </row>
    <row r="40" ht="15.5" customHeight="1">
      <c r="A40" s="231" t="inlineStr">
        <is>
          <t>Malay Mail</t>
        </is>
      </c>
      <c r="B40" s="243" t="n">
        <v>1</v>
      </c>
      <c r="C40" s="244">
        <f>SUMPRODUCT(Stories!$W$4:$W$110,--(Stories!$J$4:$J$110=$A40))</f>
        <v/>
      </c>
      <c r="D40" s="245" t="n">
        <v>4</v>
      </c>
      <c r="E40" s="243" t="n">
        <v>1</v>
      </c>
      <c r="F40" s="246" t="inlineStr">
        <is>
          <t>Hazards &amp; Resilience</t>
        </is>
      </c>
      <c r="G40" s="243" t="n">
        <v>1</v>
      </c>
      <c r="H40" s="171" t="inlineStr">
        <is>
          <t>United Kingdom</t>
        </is>
      </c>
      <c r="I40" s="247" t="n">
        <v>46320</v>
      </c>
    </row>
    <row r="41" ht="28" customHeight="1">
      <c r="A41" s="231" t="inlineStr">
        <is>
          <t>MarketScreener España</t>
        </is>
      </c>
      <c r="B41" s="243" t="n">
        <v>1</v>
      </c>
      <c r="C41" s="244">
        <f>SUMPRODUCT(Stories!$W$4:$W$110,--(Stories!$J$4:$J$110=$A41))</f>
        <v/>
      </c>
      <c r="D41" s="245" t="n">
        <v>4</v>
      </c>
      <c r="E41" s="243" t="n">
        <v>1</v>
      </c>
      <c r="F41" s="249" t="inlineStr">
        <is>
          <t>Infrastructure &amp; the Underground City</t>
        </is>
      </c>
      <c r="G41" s="243" t="n">
        <v>1</v>
      </c>
      <c r="H41" s="171" t="inlineStr">
        <is>
          <t>Argentina</t>
        </is>
      </c>
      <c r="I41" s="247" t="n">
        <v>46320</v>
      </c>
    </row>
    <row r="42" ht="15.5" customHeight="1">
      <c r="A42" s="231" t="inlineStr">
        <is>
          <t>Meganoticias</t>
        </is>
      </c>
      <c r="B42" s="243" t="n">
        <v>1</v>
      </c>
      <c r="C42" s="244">
        <f>SUMPRODUCT(Stories!$W$4:$W$110,--(Stories!$J$4:$J$110=$A42))</f>
        <v/>
      </c>
      <c r="D42" s="245" t="n">
        <v>4</v>
      </c>
      <c r="E42" s="243" t="n">
        <v>1</v>
      </c>
      <c r="F42" s="246" t="inlineStr">
        <is>
          <t>Hazards &amp; Resilience</t>
        </is>
      </c>
      <c r="G42" s="243" t="n">
        <v>1</v>
      </c>
      <c r="H42" s="171" t="inlineStr">
        <is>
          <t>Chile</t>
        </is>
      </c>
      <c r="I42" s="247" t="n">
        <v>46319</v>
      </c>
    </row>
    <row r="43" ht="28" customHeight="1">
      <c r="A43" s="231" t="inlineStr">
        <is>
          <t>Naver Blog</t>
        </is>
      </c>
      <c r="B43" s="243" t="n">
        <v>1</v>
      </c>
      <c r="C43" s="244">
        <f>SUMPRODUCT(Stories!$W$4:$W$110,--(Stories!$J$4:$J$110=$A43))</f>
        <v/>
      </c>
      <c r="D43" s="245" t="n">
        <v>4</v>
      </c>
      <c r="E43" s="243" t="n">
        <v>1</v>
      </c>
      <c r="F43" s="249" t="inlineStr">
        <is>
          <t>Infrastructure &amp; the Underground City</t>
        </is>
      </c>
      <c r="G43" s="243" t="n">
        <v>1</v>
      </c>
      <c r="H43" s="171" t="inlineStr">
        <is>
          <t>South Korea</t>
        </is>
      </c>
      <c r="I43" s="247" t="n">
        <v>46319</v>
      </c>
    </row>
    <row r="44" ht="28" customHeight="1">
      <c r="A44" s="231" t="inlineStr">
        <is>
          <t>NDT Noticias de Tijuana</t>
        </is>
      </c>
      <c r="B44" s="243" t="n">
        <v>1</v>
      </c>
      <c r="C44" s="244">
        <f>SUMPRODUCT(Stories!$W$4:$W$110,--(Stories!$J$4:$J$110=$A44))</f>
        <v/>
      </c>
      <c r="D44" s="245" t="n">
        <v>4</v>
      </c>
      <c r="E44" s="243" t="n">
        <v>1</v>
      </c>
      <c r="F44" s="249" t="inlineStr">
        <is>
          <t>Infrastructure &amp; the Underground City</t>
        </is>
      </c>
      <c r="G44" s="243" t="n">
        <v>1</v>
      </c>
      <c r="H44" s="171" t="inlineStr">
        <is>
          <t>Colombia</t>
        </is>
      </c>
      <c r="I44" s="247" t="n">
        <v>46320</v>
      </c>
    </row>
    <row r="45" ht="15.5" customHeight="1">
      <c r="A45" s="231" t="inlineStr">
        <is>
          <t>Người Đưa Tin</t>
        </is>
      </c>
      <c r="B45" s="243" t="n">
        <v>1</v>
      </c>
      <c r="C45" s="244">
        <f>SUMPRODUCT(Stories!$W$4:$W$110,--(Stories!$J$4:$J$110=$A45))</f>
        <v/>
      </c>
      <c r="D45" s="245" t="n">
        <v>4</v>
      </c>
      <c r="E45" s="243" t="n">
        <v>1</v>
      </c>
      <c r="F45" s="248" t="inlineStr">
        <is>
          <t>Offshore, Coasts &amp; Water</t>
        </is>
      </c>
      <c r="G45" s="243" t="n">
        <v>1</v>
      </c>
      <c r="H45" s="171" t="inlineStr">
        <is>
          <t>Vietnam</t>
        </is>
      </c>
      <c r="I45" s="247" t="n">
        <v>46319</v>
      </c>
    </row>
    <row r="46" ht="15.5" customHeight="1">
      <c r="A46" s="231" t="inlineStr">
        <is>
          <t>Noticias Caracol</t>
        </is>
      </c>
      <c r="B46" s="243" t="n">
        <v>1</v>
      </c>
      <c r="C46" s="244">
        <f>SUMPRODUCT(Stories!$W$4:$W$110,--(Stories!$J$4:$J$110=$A46))</f>
        <v/>
      </c>
      <c r="D46" s="245" t="n">
        <v>4</v>
      </c>
      <c r="E46" s="243" t="n">
        <v>1</v>
      </c>
      <c r="F46" s="246" t="inlineStr">
        <is>
          <t>Hazards &amp; Resilience</t>
        </is>
      </c>
      <c r="G46" s="243" t="n">
        <v>1</v>
      </c>
      <c r="H46" s="171" t="inlineStr">
        <is>
          <t>Mexico</t>
        </is>
      </c>
      <c r="I46" s="247" t="n">
        <v>46320</v>
      </c>
    </row>
    <row r="47" ht="15.5" customHeight="1">
      <c r="A47" s="231" t="inlineStr">
        <is>
          <t>NST Online</t>
        </is>
      </c>
      <c r="B47" s="243" t="n">
        <v>1</v>
      </c>
      <c r="C47" s="244">
        <f>SUMPRODUCT(Stories!$W$4:$W$110,--(Stories!$J$4:$J$110=$A47))</f>
        <v/>
      </c>
      <c r="D47" s="245" t="n">
        <v>3</v>
      </c>
      <c r="E47" s="243" t="n">
        <v>0</v>
      </c>
      <c r="F47" s="252" t="inlineStr">
        <is>
          <t>Geotechnics &amp; Society</t>
        </is>
      </c>
      <c r="G47" s="243" t="n">
        <v>1</v>
      </c>
      <c r="H47" s="171" t="inlineStr">
        <is>
          <t>United Kingdom</t>
        </is>
      </c>
      <c r="I47" s="247" t="n">
        <v>46320</v>
      </c>
    </row>
    <row r="48" ht="15.5" customHeight="1">
      <c r="A48" s="231" t="inlineStr">
        <is>
          <t>Onmanorama</t>
        </is>
      </c>
      <c r="B48" s="243" t="n">
        <v>1</v>
      </c>
      <c r="C48" s="244">
        <f>SUMPRODUCT(Stories!$W$4:$W$110,--(Stories!$J$4:$J$110=$A48))</f>
        <v/>
      </c>
      <c r="D48" s="245" t="n">
        <v>5</v>
      </c>
      <c r="E48" s="243" t="n">
        <v>1</v>
      </c>
      <c r="F48" s="246" t="inlineStr">
        <is>
          <t>Hazards &amp; Resilience</t>
        </is>
      </c>
      <c r="G48" s="243" t="n">
        <v>1</v>
      </c>
      <c r="H48" s="171" t="inlineStr">
        <is>
          <t>South Africa</t>
        </is>
      </c>
      <c r="I48" s="247" t="n">
        <v>46320</v>
      </c>
    </row>
    <row r="49" ht="28" customHeight="1">
      <c r="A49" s="231" t="inlineStr">
        <is>
          <t>Piter.tv</t>
        </is>
      </c>
      <c r="B49" s="243" t="n">
        <v>1</v>
      </c>
      <c r="C49" s="244">
        <f>SUMPRODUCT(Stories!$W$4:$W$110,--(Stories!$J$4:$J$110=$A49))</f>
        <v/>
      </c>
      <c r="D49" s="245" t="n">
        <v>4</v>
      </c>
      <c r="E49" s="243" t="n">
        <v>1</v>
      </c>
      <c r="F49" s="249" t="inlineStr">
        <is>
          <t>Infrastructure &amp; the Underground City</t>
        </is>
      </c>
      <c r="G49" s="243" t="n">
        <v>1</v>
      </c>
      <c r="H49" s="171" t="inlineStr">
        <is>
          <t>Russia</t>
        </is>
      </c>
      <c r="I49" s="247" t="n">
        <v>46320</v>
      </c>
    </row>
    <row r="50" ht="15.5" customHeight="1">
      <c r="A50" s="231" t="inlineStr">
        <is>
          <t>Publimicro</t>
        </is>
      </c>
      <c r="B50" s="243" t="n">
        <v>1</v>
      </c>
      <c r="C50" s="244">
        <f>SUMPRODUCT(Stories!$W$4:$W$110,--(Stories!$J$4:$J$110=$A50))</f>
        <v/>
      </c>
      <c r="D50" s="245" t="n">
        <v>5</v>
      </c>
      <c r="E50" s="243" t="n">
        <v>1</v>
      </c>
      <c r="F50" s="246" t="inlineStr">
        <is>
          <t>Hazards &amp; Resilience</t>
        </is>
      </c>
      <c r="G50" s="243" t="n">
        <v>1</v>
      </c>
      <c r="H50" s="171" t="inlineStr">
        <is>
          <t>Colombia</t>
        </is>
      </c>
      <c r="I50" s="247" t="n">
        <v>46320</v>
      </c>
    </row>
    <row r="51" ht="28" customHeight="1">
      <c r="A51" s="231" t="inlineStr">
        <is>
          <t>Quintana Roo Hoy</t>
        </is>
      </c>
      <c r="B51" s="243" t="n">
        <v>1</v>
      </c>
      <c r="C51" s="244">
        <f>SUMPRODUCT(Stories!$W$4:$W$110,--(Stories!$J$4:$J$110=$A51))</f>
        <v/>
      </c>
      <c r="D51" s="245" t="n">
        <v>4</v>
      </c>
      <c r="E51" s="243" t="n">
        <v>1</v>
      </c>
      <c r="F51" s="249" t="inlineStr">
        <is>
          <t>Infrastructure &amp; the Underground City</t>
        </is>
      </c>
      <c r="G51" s="243" t="n">
        <v>1</v>
      </c>
      <c r="H51" s="171" t="inlineStr">
        <is>
          <t>Colombia</t>
        </is>
      </c>
      <c r="I51" s="247" t="n">
        <v>46320</v>
      </c>
    </row>
    <row r="52" ht="28" customHeight="1">
      <c r="A52" s="231" t="inlineStr">
        <is>
          <t>Realidad Sanmartinense</t>
        </is>
      </c>
      <c r="B52" s="243" t="n">
        <v>1</v>
      </c>
      <c r="C52" s="244">
        <f>SUMPRODUCT(Stories!$W$4:$W$110,--(Stories!$J$4:$J$110=$A52))</f>
        <v/>
      </c>
      <c r="D52" s="245" t="n">
        <v>3</v>
      </c>
      <c r="E52" s="243" t="n">
        <v>0</v>
      </c>
      <c r="F52" s="249" t="inlineStr">
        <is>
          <t>Infrastructure &amp; the Underground City</t>
        </is>
      </c>
      <c r="G52" s="243" t="n">
        <v>1</v>
      </c>
      <c r="H52" s="171" t="inlineStr">
        <is>
          <t>Colombia</t>
        </is>
      </c>
      <c r="I52" s="247" t="n">
        <v>46319</v>
      </c>
    </row>
    <row r="53" ht="15.5" customHeight="1">
      <c r="A53" s="231" t="inlineStr">
        <is>
          <t>Revista Digital Minera REDIMIN</t>
        </is>
      </c>
      <c r="B53" s="243" t="n">
        <v>1</v>
      </c>
      <c r="C53" s="244">
        <f>SUMPRODUCT(Stories!$W$4:$W$110,--(Stories!$J$4:$J$110=$A53))</f>
        <v/>
      </c>
      <c r="D53" s="245" t="n">
        <v>5</v>
      </c>
      <c r="E53" s="243" t="n">
        <v>1</v>
      </c>
      <c r="F53" s="246" t="inlineStr">
        <is>
          <t>Hazards &amp; Resilience</t>
        </is>
      </c>
      <c r="G53" s="243" t="n">
        <v>1</v>
      </c>
      <c r="H53" s="171" t="inlineStr">
        <is>
          <t>Argentina</t>
        </is>
      </c>
      <c r="I53" s="247" t="n">
        <v>46320</v>
      </c>
    </row>
    <row r="54" ht="15.5" customHeight="1">
      <c r="A54" s="231" t="inlineStr">
        <is>
          <t>RRI.co.id</t>
        </is>
      </c>
      <c r="B54" s="243" t="n">
        <v>1</v>
      </c>
      <c r="C54" s="244">
        <f>SUMPRODUCT(Stories!$W$4:$W$110,--(Stories!$J$4:$J$110=$A54))</f>
        <v/>
      </c>
      <c r="D54" s="245" t="n">
        <v>4</v>
      </c>
      <c r="E54" s="243" t="n">
        <v>1</v>
      </c>
      <c r="F54" s="246" t="inlineStr">
        <is>
          <t>Hazards &amp; Resilience</t>
        </is>
      </c>
      <c r="G54" s="243" t="n">
        <v>1</v>
      </c>
      <c r="H54" s="171" t="inlineStr">
        <is>
          <t>Indonesia</t>
        </is>
      </c>
      <c r="I54" s="247" t="n">
        <v>46319</v>
      </c>
    </row>
    <row r="55" ht="15.5" customHeight="1">
      <c r="A55" s="231" t="inlineStr">
        <is>
          <t>Sciencepost</t>
        </is>
      </c>
      <c r="B55" s="243" t="n">
        <v>1</v>
      </c>
      <c r="C55" s="244">
        <f>SUMPRODUCT(Stories!$W$4:$W$110,--(Stories!$J$4:$J$110=$A55))</f>
        <v/>
      </c>
      <c r="D55" s="245" t="n">
        <v>5</v>
      </c>
      <c r="E55" s="243" t="n">
        <v>1</v>
      </c>
      <c r="F55" s="254" t="inlineStr">
        <is>
          <t>Ground Improvement &amp; Innovation</t>
        </is>
      </c>
      <c r="G55" s="243" t="n">
        <v>1</v>
      </c>
      <c r="H55" s="171" t="inlineStr">
        <is>
          <t>Senegal</t>
        </is>
      </c>
      <c r="I55" s="247" t="n">
        <v>46319</v>
      </c>
    </row>
    <row r="56" ht="15.5" customHeight="1">
      <c r="A56" s="231" t="inlineStr">
        <is>
          <t>StrettoWeb</t>
        </is>
      </c>
      <c r="B56" s="243" t="n">
        <v>1</v>
      </c>
      <c r="C56" s="244">
        <f>SUMPRODUCT(Stories!$W$4:$W$110,--(Stories!$J$4:$J$110=$A56))</f>
        <v/>
      </c>
      <c r="D56" s="245" t="n">
        <v>4</v>
      </c>
      <c r="E56" s="243" t="n">
        <v>1</v>
      </c>
      <c r="F56" s="246" t="inlineStr">
        <is>
          <t>Hazards &amp; Resilience</t>
        </is>
      </c>
      <c r="G56" s="243" t="n">
        <v>1</v>
      </c>
      <c r="H56" s="171" t="inlineStr">
        <is>
          <t>Italy</t>
        </is>
      </c>
      <c r="I56" s="247" t="n">
        <v>46320</v>
      </c>
    </row>
    <row r="57" ht="28" customHeight="1">
      <c r="A57" s="231" t="inlineStr">
        <is>
          <t>Tabasco HOY</t>
        </is>
      </c>
      <c r="B57" s="243" t="n">
        <v>1</v>
      </c>
      <c r="C57" s="244">
        <f>SUMPRODUCT(Stories!$W$4:$W$110,--(Stories!$J$4:$J$110=$A57))</f>
        <v/>
      </c>
      <c r="D57" s="245" t="n">
        <v>3</v>
      </c>
      <c r="E57" s="243" t="n">
        <v>0</v>
      </c>
      <c r="F57" s="249" t="inlineStr">
        <is>
          <t>Infrastructure &amp; the Underground City</t>
        </is>
      </c>
      <c r="G57" s="243" t="n">
        <v>1</v>
      </c>
      <c r="H57" s="171" t="inlineStr">
        <is>
          <t>Colombia</t>
        </is>
      </c>
      <c r="I57" s="247" t="n">
        <v>46319</v>
      </c>
    </row>
    <row r="58" ht="28" customHeight="1">
      <c r="A58" s="231" t="inlineStr">
        <is>
          <t>The Hindu</t>
        </is>
      </c>
      <c r="B58" s="243" t="n">
        <v>1</v>
      </c>
      <c r="C58" s="244">
        <f>SUMPRODUCT(Stories!$W$4:$W$110,--(Stories!$J$4:$J$110=$A58))</f>
        <v/>
      </c>
      <c r="D58" s="245" t="n">
        <v>3</v>
      </c>
      <c r="E58" s="243" t="n">
        <v>0</v>
      </c>
      <c r="F58" s="249" t="inlineStr">
        <is>
          <t>Infrastructure &amp; the Underground City</t>
        </is>
      </c>
      <c r="G58" s="243" t="n">
        <v>1</v>
      </c>
      <c r="H58" s="171" t="inlineStr">
        <is>
          <t>United Kingdom</t>
        </is>
      </c>
      <c r="I58" s="247" t="n">
        <v>46320</v>
      </c>
    </row>
    <row r="59" ht="15.5" customHeight="1">
      <c r="A59" s="231" t="inlineStr">
        <is>
          <t>The New Indian Express</t>
        </is>
      </c>
      <c r="B59" s="243" t="n">
        <v>1</v>
      </c>
      <c r="C59" s="244">
        <f>SUMPRODUCT(Stories!$W$4:$W$110,--(Stories!$J$4:$J$110=$A59))</f>
        <v/>
      </c>
      <c r="D59" s="245" t="n">
        <v>4</v>
      </c>
      <c r="E59" s="243" t="n">
        <v>1</v>
      </c>
      <c r="F59" s="246" t="inlineStr">
        <is>
          <t>Hazards &amp; Resilience</t>
        </is>
      </c>
      <c r="G59" s="243" t="n">
        <v>1</v>
      </c>
      <c r="H59" s="171" t="inlineStr">
        <is>
          <t>United Kingdom</t>
        </is>
      </c>
      <c r="I59" s="247" t="n">
        <v>46320</v>
      </c>
    </row>
    <row r="60" ht="15.5" customHeight="1">
      <c r="A60" s="231" t="inlineStr">
        <is>
          <t>The Sun Malaysia</t>
        </is>
      </c>
      <c r="B60" s="243" t="n">
        <v>1</v>
      </c>
      <c r="C60" s="244">
        <f>SUMPRODUCT(Stories!$W$4:$W$110,--(Stories!$J$4:$J$110=$A60))</f>
        <v/>
      </c>
      <c r="D60" s="245" t="n">
        <v>4</v>
      </c>
      <c r="E60" s="243" t="n">
        <v>1</v>
      </c>
      <c r="F60" s="246" t="inlineStr">
        <is>
          <t>Hazards &amp; Resilience</t>
        </is>
      </c>
      <c r="G60" s="243" t="n">
        <v>1</v>
      </c>
      <c r="H60" s="171" t="inlineStr">
        <is>
          <t>United Kingdom</t>
        </is>
      </c>
      <c r="I60" s="247" t="n">
        <v>46320</v>
      </c>
    </row>
    <row r="61" ht="15.5" customHeight="1">
      <c r="A61" s="231" t="inlineStr">
        <is>
          <t>tin.skydoor.net</t>
        </is>
      </c>
      <c r="B61" s="243" t="n">
        <v>1</v>
      </c>
      <c r="C61" s="244">
        <f>SUMPRODUCT(Stories!$W$4:$W$110,--(Stories!$J$4:$J$110=$A61))</f>
        <v/>
      </c>
      <c r="D61" s="245" t="n">
        <v>4</v>
      </c>
      <c r="E61" s="243" t="n">
        <v>1</v>
      </c>
      <c r="F61" s="248" t="inlineStr">
        <is>
          <t>Offshore, Coasts &amp; Water</t>
        </is>
      </c>
      <c r="G61" s="243" t="n">
        <v>1</v>
      </c>
      <c r="H61" s="171" t="inlineStr">
        <is>
          <t>Vietnam</t>
        </is>
      </c>
      <c r="I61" s="247" t="n">
        <v>46320</v>
      </c>
    </row>
    <row r="62" ht="15.5" customHeight="1">
      <c r="A62" s="231" t="inlineStr">
        <is>
          <t>Trade-news.cl</t>
        </is>
      </c>
      <c r="B62" s="243" t="n">
        <v>1</v>
      </c>
      <c r="C62" s="244">
        <f>SUMPRODUCT(Stories!$W$4:$W$110,--(Stories!$J$4:$J$110=$A62))</f>
        <v/>
      </c>
      <c r="D62" s="245" t="n">
        <v>3</v>
      </c>
      <c r="E62" s="243" t="n">
        <v>0</v>
      </c>
      <c r="F62" s="253" t="inlineStr">
        <is>
          <t>Characterisation &amp; Modelling</t>
        </is>
      </c>
      <c r="G62" s="243" t="n">
        <v>1</v>
      </c>
      <c r="H62" s="171" t="inlineStr">
        <is>
          <t>Peru</t>
        </is>
      </c>
      <c r="I62" s="247" t="n">
        <v>46319</v>
      </c>
    </row>
    <row r="63" ht="15.5" customHeight="1">
      <c r="A63" s="231" t="inlineStr">
        <is>
          <t>Trigno.net</t>
        </is>
      </c>
      <c r="B63" s="243" t="n">
        <v>1</v>
      </c>
      <c r="C63" s="244">
        <f>SUMPRODUCT(Stories!$W$4:$W$110,--(Stories!$J$4:$J$110=$A63))</f>
        <v/>
      </c>
      <c r="D63" s="245" t="n">
        <v>3</v>
      </c>
      <c r="E63" s="243" t="n">
        <v>0</v>
      </c>
      <c r="F63" s="252" t="inlineStr">
        <is>
          <t>Geotechnics &amp; Society</t>
        </is>
      </c>
      <c r="G63" s="243" t="n">
        <v>1</v>
      </c>
      <c r="H63" s="171" t="inlineStr">
        <is>
          <t>Italy</t>
        </is>
      </c>
      <c r="I63" s="247" t="n">
        <v>46320</v>
      </c>
    </row>
    <row r="64" ht="15.5" customHeight="1">
      <c r="A64" s="231" t="inlineStr">
        <is>
          <t>Tv7 Benevento</t>
        </is>
      </c>
      <c r="B64" s="243" t="n">
        <v>1</v>
      </c>
      <c r="C64" s="244">
        <f>SUMPRODUCT(Stories!$W$4:$W$110,--(Stories!$J$4:$J$110=$A64))</f>
        <v/>
      </c>
      <c r="D64" s="245" t="n">
        <v>4</v>
      </c>
      <c r="E64" s="243" t="n">
        <v>1</v>
      </c>
      <c r="F64" s="246" t="inlineStr">
        <is>
          <t>Hazards &amp; Resilience</t>
        </is>
      </c>
      <c r="G64" s="243" t="n">
        <v>1</v>
      </c>
      <c r="H64" s="171" t="inlineStr">
        <is>
          <t>Italy</t>
        </is>
      </c>
      <c r="I64" s="247" t="n">
        <v>46319</v>
      </c>
    </row>
    <row r="65" ht="15.5" customHeight="1">
      <c r="A65" s="231" t="inlineStr">
        <is>
          <t>VnExpress International</t>
        </is>
      </c>
      <c r="B65" s="243" t="n">
        <v>1</v>
      </c>
      <c r="C65" s="244">
        <f>SUMPRODUCT(Stories!$W$4:$W$110,--(Stories!$J$4:$J$110=$A65))</f>
        <v/>
      </c>
      <c r="D65" s="245" t="n">
        <v>4</v>
      </c>
      <c r="E65" s="243" t="n">
        <v>1</v>
      </c>
      <c r="F65" s="253" t="inlineStr">
        <is>
          <t>Characterisation &amp; Modelling</t>
        </is>
      </c>
      <c r="G65" s="243" t="n">
        <v>1</v>
      </c>
      <c r="H65" s="171" t="inlineStr">
        <is>
          <t>United Kingdom</t>
        </is>
      </c>
      <c r="I65" s="247" t="n">
        <v>46319</v>
      </c>
    </row>
    <row r="66" ht="28" customHeight="1">
      <c r="A66" s="231" t="inlineStr">
        <is>
          <t>VOH</t>
        </is>
      </c>
      <c r="B66" s="243" t="n">
        <v>1</v>
      </c>
      <c r="C66" s="244">
        <f>SUMPRODUCT(Stories!$W$4:$W$110,--(Stories!$J$4:$J$110=$A66))</f>
        <v/>
      </c>
      <c r="D66" s="245" t="n">
        <v>4</v>
      </c>
      <c r="E66" s="243" t="n">
        <v>1</v>
      </c>
      <c r="F66" s="249" t="inlineStr">
        <is>
          <t>Infrastructure &amp; the Underground City</t>
        </is>
      </c>
      <c r="G66" s="243" t="n">
        <v>1</v>
      </c>
      <c r="H66" s="171" t="inlineStr">
        <is>
          <t>Vietnam</t>
        </is>
      </c>
      <c r="I66" s="247" t="n">
        <v>46319</v>
      </c>
    </row>
    <row r="67" ht="15.5" customHeight="1">
      <c r="A67" s="231" t="inlineStr">
        <is>
          <t>VTV.vn</t>
        </is>
      </c>
      <c r="B67" s="243" t="n">
        <v>1</v>
      </c>
      <c r="C67" s="244">
        <f>SUMPRODUCT(Stories!$W$4:$W$110,--(Stories!$J$4:$J$110=$A67))</f>
        <v/>
      </c>
      <c r="D67" s="245" t="n">
        <v>4</v>
      </c>
      <c r="E67" s="243" t="n">
        <v>1</v>
      </c>
      <c r="F67" s="248" t="inlineStr">
        <is>
          <t>Offshore, Coasts &amp; Water</t>
        </is>
      </c>
      <c r="G67" s="243" t="n">
        <v>1</v>
      </c>
      <c r="H67" s="171" t="inlineStr">
        <is>
          <t>Vietnam</t>
        </is>
      </c>
      <c r="I67" s="247" t="n">
        <v>46319</v>
      </c>
    </row>
    <row r="68" ht="15.5" customHeight="1">
      <c r="A68" s="231" t="inlineStr">
        <is>
          <t>www.noroeste.com.mx</t>
        </is>
      </c>
      <c r="B68" s="243" t="n">
        <v>1</v>
      </c>
      <c r="C68" s="244">
        <f>SUMPRODUCT(Stories!$W$4:$W$110,--(Stories!$J$4:$J$110=$A68))</f>
        <v/>
      </c>
      <c r="D68" s="245" t="n">
        <v>4</v>
      </c>
      <c r="E68" s="243" t="n">
        <v>1</v>
      </c>
      <c r="F68" s="252" t="inlineStr">
        <is>
          <t>Geotechnics &amp; Society</t>
        </is>
      </c>
      <c r="G68" s="243" t="n">
        <v>1</v>
      </c>
      <c r="H68" s="171" t="inlineStr">
        <is>
          <t>Colombia</t>
        </is>
      </c>
      <c r="I68" s="247" t="n">
        <v>46319</v>
      </c>
    </row>
    <row r="69" ht="15.5" customHeight="1">
      <c r="A69" s="231" t="inlineStr">
        <is>
          <t>Yahoo!ニュース</t>
        </is>
      </c>
      <c r="B69" s="243" t="n">
        <v>1</v>
      </c>
      <c r="C69" s="244">
        <f>SUMPRODUCT(Stories!$W$4:$W$110,--(Stories!$J$4:$J$110=$A69))</f>
        <v/>
      </c>
      <c r="D69" s="245" t="n">
        <v>4</v>
      </c>
      <c r="E69" s="243" t="n">
        <v>1</v>
      </c>
      <c r="F69" s="246" t="inlineStr">
        <is>
          <t>Hazards &amp; Resilience</t>
        </is>
      </c>
      <c r="G69" s="243" t="n">
        <v>1</v>
      </c>
      <c r="H69" s="171" t="inlineStr">
        <is>
          <t>Japan</t>
        </is>
      </c>
      <c r="I69" s="247" t="n">
        <v>46320</v>
      </c>
    </row>
    <row r="70" ht="15.5" customHeight="1">
      <c r="A70" s="231" t="inlineStr">
        <is>
          <t>Zazoom Social News</t>
        </is>
      </c>
      <c r="B70" s="243" t="n">
        <v>1</v>
      </c>
      <c r="C70" s="244">
        <f>SUMPRODUCT(Stories!$W$4:$W$110,--(Stories!$J$4:$J$110=$A70))</f>
        <v/>
      </c>
      <c r="D70" s="245" t="n">
        <v>4</v>
      </c>
      <c r="E70" s="243" t="n">
        <v>1</v>
      </c>
      <c r="F70" s="246" t="inlineStr">
        <is>
          <t>Hazards &amp; Resilience</t>
        </is>
      </c>
      <c r="G70" s="243" t="n">
        <v>1</v>
      </c>
      <c r="H70" s="171" t="inlineStr">
        <is>
          <t>Italy</t>
        </is>
      </c>
      <c r="I70" s="247" t="n">
        <v>46319</v>
      </c>
    </row>
    <row r="71" ht="28" customHeight="1">
      <c r="A71" s="231" t="inlineStr">
        <is>
          <t>Крыминформ</t>
        </is>
      </c>
      <c r="B71" s="243" t="n">
        <v>1</v>
      </c>
      <c r="C71" s="244">
        <f>SUMPRODUCT(Stories!$W$4:$W$110,--(Stories!$J$4:$J$110=$A71))</f>
        <v/>
      </c>
      <c r="D71" s="245" t="n">
        <v>4</v>
      </c>
      <c r="E71" s="243" t="n">
        <v>1</v>
      </c>
      <c r="F71" s="249" t="inlineStr">
        <is>
          <t>Infrastructure &amp; the Underground City</t>
        </is>
      </c>
      <c r="G71" s="243" t="n">
        <v>1</v>
      </c>
      <c r="H71" s="171" t="inlineStr">
        <is>
          <t>Russia</t>
        </is>
      </c>
      <c r="I71" s="247" t="n">
        <v>46319</v>
      </c>
    </row>
    <row r="72" ht="28" customHeight="1">
      <c r="A72" s="231" t="inlineStr">
        <is>
          <t>Новости Воронежа интернет-газета</t>
        </is>
      </c>
      <c r="B72" s="243" t="n">
        <v>1</v>
      </c>
      <c r="C72" s="244">
        <f>SUMPRODUCT(Stories!$W$4:$W$110,--(Stories!$J$4:$J$110=$A72))</f>
        <v/>
      </c>
      <c r="D72" s="245" t="n">
        <v>3</v>
      </c>
      <c r="E72" s="243" t="n">
        <v>0</v>
      </c>
      <c r="F72" s="249" t="inlineStr">
        <is>
          <t>Infrastructure &amp; the Underground City</t>
        </is>
      </c>
      <c r="G72" s="243" t="n">
        <v>1</v>
      </c>
      <c r="H72" s="171" t="inlineStr">
        <is>
          <t>Russia</t>
        </is>
      </c>
      <c r="I72" s="247" t="n">
        <v>46320</v>
      </c>
    </row>
    <row r="73" ht="28" customHeight="1">
      <c r="A73" s="231" t="inlineStr">
        <is>
          <t>Самарская газета</t>
        </is>
      </c>
      <c r="B73" s="243" t="n">
        <v>1</v>
      </c>
      <c r="C73" s="244">
        <f>SUMPRODUCT(Stories!$W$4:$W$110,--(Stories!$J$4:$J$110=$A73))</f>
        <v/>
      </c>
      <c r="D73" s="245" t="n">
        <v>3</v>
      </c>
      <c r="E73" s="243" t="n">
        <v>0</v>
      </c>
      <c r="F73" s="249" t="inlineStr">
        <is>
          <t>Infrastructure &amp; the Underground City</t>
        </is>
      </c>
      <c r="G73" s="243" t="n">
        <v>1</v>
      </c>
      <c r="H73" s="171" t="inlineStr">
        <is>
          <t>Russia</t>
        </is>
      </c>
      <c r="I73" s="247" t="n">
        <v>46319</v>
      </c>
    </row>
    <row r="74" ht="15.5" customHeight="1">
      <c r="A74" s="231" t="inlineStr">
        <is>
          <t>千葉日報オンライン</t>
        </is>
      </c>
      <c r="B74" s="243" t="n">
        <v>1</v>
      </c>
      <c r="C74" s="244">
        <f>SUMPRODUCT(Stories!$W$4:$W$110,--(Stories!$J$4:$J$110=$A74))</f>
        <v/>
      </c>
      <c r="D74" s="245" t="n">
        <v>4</v>
      </c>
      <c r="E74" s="243" t="n">
        <v>1</v>
      </c>
      <c r="F74" s="246" t="inlineStr">
        <is>
          <t>Hazards &amp; Resilience</t>
        </is>
      </c>
      <c r="G74" s="243" t="n">
        <v>1</v>
      </c>
      <c r="H74" s="171" t="inlineStr">
        <is>
          <t>Japan</t>
        </is>
      </c>
      <c r="I74" s="247" t="n">
        <v>46320</v>
      </c>
    </row>
    <row r="75" ht="15.5" customHeight="1">
      <c r="A75" s="231" t="inlineStr">
        <is>
          <t>山陽新聞</t>
        </is>
      </c>
      <c r="B75" s="243" t="n">
        <v>1</v>
      </c>
      <c r="C75" s="244">
        <f>SUMPRODUCT(Stories!$W$4:$W$110,--(Stories!$J$4:$J$110=$A75))</f>
        <v/>
      </c>
      <c r="D75" s="245" t="n">
        <v>5</v>
      </c>
      <c r="E75" s="243" t="n">
        <v>1</v>
      </c>
      <c r="F75" s="246" t="inlineStr">
        <is>
          <t>Hazards &amp; Resilience</t>
        </is>
      </c>
      <c r="G75" s="243" t="n">
        <v>1</v>
      </c>
      <c r="H75" s="171" t="inlineStr">
        <is>
          <t>Japan</t>
        </is>
      </c>
      <c r="I75" s="247" t="n">
        <v>46320</v>
      </c>
    </row>
    <row r="76" ht="28" customHeight="1">
      <c r="A76" s="231" t="inlineStr">
        <is>
          <t>아시아경제</t>
        </is>
      </c>
      <c r="B76" s="243" t="n">
        <v>1</v>
      </c>
      <c r="C76" s="244">
        <f>SUMPRODUCT(Stories!$W$4:$W$110,--(Stories!$J$4:$J$110=$A76))</f>
        <v/>
      </c>
      <c r="D76" s="245" t="n">
        <v>4</v>
      </c>
      <c r="E76" s="243" t="n">
        <v>1</v>
      </c>
      <c r="F76" s="249" t="inlineStr">
        <is>
          <t>Infrastructure &amp; the Underground City</t>
        </is>
      </c>
      <c r="G76" s="243" t="n">
        <v>1</v>
      </c>
      <c r="H76" s="171" t="inlineStr">
        <is>
          <t>United Kingdom</t>
        </is>
      </c>
      <c r="I76" s="247" t="n">
        <v>46319</v>
      </c>
    </row>
    <row r="77" ht="28" customHeight="1">
      <c r="A77" s="231" t="inlineStr">
        <is>
          <t>아주경제</t>
        </is>
      </c>
      <c r="B77" s="243" t="n">
        <v>1</v>
      </c>
      <c r="C77" s="244">
        <f>SUMPRODUCT(Stories!$W$4:$W$110,--(Stories!$J$4:$J$110=$A77))</f>
        <v/>
      </c>
      <c r="D77" s="245" t="n">
        <v>4</v>
      </c>
      <c r="E77" s="243" t="n">
        <v>1</v>
      </c>
      <c r="F77" s="249" t="inlineStr">
        <is>
          <t>Infrastructure &amp; the Underground City</t>
        </is>
      </c>
      <c r="G77" s="243" t="n">
        <v>1</v>
      </c>
      <c r="H77" s="171" t="inlineStr">
        <is>
          <t>South Korea</t>
        </is>
      </c>
      <c r="I77" s="247" t="n">
        <v>46319</v>
      </c>
    </row>
    <row r="78" ht="28" customHeight="1">
      <c r="A78" s="231" t="inlineStr">
        <is>
          <t>충청신문</t>
        </is>
      </c>
      <c r="B78" s="243" t="n">
        <v>1</v>
      </c>
      <c r="C78" s="244">
        <f>SUMPRODUCT(Stories!$W$4:$W$110,--(Stories!$J$4:$J$110=$A78))</f>
        <v/>
      </c>
      <c r="D78" s="245" t="n">
        <v>5</v>
      </c>
      <c r="E78" s="243" t="n">
        <v>1</v>
      </c>
      <c r="F78" s="249" t="inlineStr">
        <is>
          <t>Infrastructure &amp; the Underground City</t>
        </is>
      </c>
      <c r="G78" s="243" t="n">
        <v>1</v>
      </c>
      <c r="H78" s="171" t="inlineStr">
        <is>
          <t>South Korea</t>
        </is>
      </c>
      <c r="I78" s="247"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COUNTIFS(Stories!$W$4:$W$110,1,Stories!$K$4:$K$110,J2)</f>
        <v/>
      </c>
      <c r="M2" s="256" t="n">
        <v>1</v>
      </c>
      <c r="N2" s="258">
        <f>IFERROR(LARGE(Stories!$X$4:$X$110,M2),"")</f>
        <v/>
      </c>
      <c r="O2" s="256">
        <f>IF(N2="","",MATCH(N2,Stories!$X$4:$X$110,0))</f>
        <v/>
      </c>
      <c r="P2" s="256">
        <f>IF(O2="","",INDEX(Stories!$V$4:$V$110,O2)&amp;"")</f>
        <v/>
      </c>
      <c r="Q2" s="256">
        <f>IF(O2="","",IF(LEN(INDEX(Stories!$B$4:$B$110,O2))&gt;120,LEFT(INDEX(Stories!$B$4:$B$110,O2),118)&amp;"…",INDEX(Stories!$B$4:$B$110,O2)&amp;"")&amp;IF(INDEX(Stories!$L$4:$L$110,O2)&amp;""&lt;&gt;"","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COUNTIFS(Stories!$W$4:$W$110,1,Stories!$K$4:$K$110,J3)</f>
        <v/>
      </c>
      <c r="M3" s="256" t="n">
        <v>2</v>
      </c>
      <c r="N3" s="258">
        <f>IFERROR(LARGE(Stories!$X$4:$X$110,M3),"")</f>
        <v/>
      </c>
      <c r="O3" s="256">
        <f>IF(N3="","",MATCH(N3,Stories!$X$4:$X$110,0))</f>
        <v/>
      </c>
      <c r="P3" s="256">
        <f>IF(O3="","",INDEX(Stories!$V$4:$V$110,O3)&amp;"")</f>
        <v/>
      </c>
      <c r="Q3" s="256">
        <f>IF(O3="","",IF(LEN(INDEX(Stories!$B$4:$B$110,O3))&gt;120,LEFT(INDEX(Stories!$B$4:$B$110,O3),118)&amp;"…",INDEX(Stories!$B$4:$B$110,O3)&amp;"")&amp;IF(INDEX(Stories!$L$4:$L$110,O3)&amp;""&lt;&gt;""," (Claude's translation)",""))</f>
        <v/>
      </c>
    </row>
    <row r="4">
      <c r="A4" s="256" t="inlineStr">
        <is>
          <t>Digital Geotechnics</t>
        </is>
      </c>
      <c r="B4" s="256" t="inlineStr">
        <is>
          <t>News brief</t>
        </is>
      </c>
      <c r="C4" s="256" t="n">
        <v>4</v>
      </c>
      <c r="E4" s="256" t="inlineStr">
        <is>
          <t>Commissioned</t>
        </is>
      </c>
      <c r="G4" s="256" t="inlineStr">
        <is>
          <t>Stories in this workbook</t>
        </is>
      </c>
      <c r="H4" s="256" t="n">
        <v>107</v>
      </c>
      <c r="M4" s="256" t="n">
        <v>3</v>
      </c>
      <c r="N4" s="258">
        <f>IFERROR(LARGE(Stories!$X$4:$X$110,M4),"")</f>
        <v/>
      </c>
      <c r="O4" s="256">
        <f>IF(N4="","",MATCH(N4,Stories!$X$4:$X$110,0))</f>
        <v/>
      </c>
      <c r="P4" s="256">
        <f>IF(O4="","",INDEX(Stories!$V$4:$V$110,O4)&amp;"")</f>
        <v/>
      </c>
      <c r="Q4" s="256">
        <f>IF(O4="","",IF(LEN(INDEX(Stories!$B$4:$B$110,O4))&gt;120,LEFT(INDEX(Stories!$B$4:$B$110,O4),118)&amp;"…",INDEX(Stories!$B$4:$B$110,O4)&amp;"")&amp;IF(INDEX(Stories!$L$4:$L$110,O4)&amp;""&lt;&gt;"","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IFERROR(LARGE(Stories!$X$4:$X$110,M5),"")</f>
        <v/>
      </c>
      <c r="O5" s="256">
        <f>IF(N5="","",MATCH(N5,Stories!$X$4:$X$110,0))</f>
        <v/>
      </c>
      <c r="P5" s="256">
        <f>IF(O5="","",INDEX(Stories!$V$4:$V$110,O5)&amp;"")</f>
        <v/>
      </c>
      <c r="Q5" s="256">
        <f>IF(O5="","",IF(LEN(INDEX(Stories!$B$4:$B$110,O5))&gt;120,LEFT(INDEX(Stories!$B$4:$B$110,O5),118)&amp;"…",INDEX(Stories!$B$4:$B$110,O5)&amp;"")&amp;IF(INDEX(Stories!$L$4:$L$110,O5)&amp;""&lt;&gt;"","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COUNTIF(Stories!$W$4:$W$110,1)</f>
        <v/>
      </c>
      <c r="M6" s="256" t="n">
        <v>5</v>
      </c>
      <c r="N6" s="258">
        <f>IFERROR(LARGE(Stories!$X$4:$X$110,M6),"")</f>
        <v/>
      </c>
      <c r="O6" s="256">
        <f>IF(N6="","",MATCH(N6,Stories!$X$4:$X$110,0))</f>
        <v/>
      </c>
      <c r="P6" s="256">
        <f>IF(O6="","",INDEX(Stories!$V$4:$V$110,O6)&amp;"")</f>
        <v/>
      </c>
      <c r="Q6" s="256">
        <f>IF(O6="","",IF(LEN(INDEX(Stories!$B$4:$B$110,O6))&gt;120,LEFT(INDEX(Stories!$B$4:$B$110,O6),118)&amp;"…",INDEX(Stories!$B$4:$B$110,O6)&amp;"")&amp;IF(INDEX(Stories!$L$4:$L$110,O6)&amp;""&lt;&gt;""," (Claude's translation)",""))</f>
        <v/>
      </c>
    </row>
    <row r="7">
      <c r="A7" s="256" t="inlineStr">
        <is>
          <t>Infrastructure &amp; the Underground City</t>
        </is>
      </c>
      <c r="B7" s="256" t="inlineStr">
        <is>
          <t>Watch only</t>
        </is>
      </c>
      <c r="M7" s="256" t="n">
        <v>6</v>
      </c>
      <c r="N7" s="258">
        <f>IFERROR(LARGE(Stories!$X$4:$X$110,M7),"")</f>
        <v/>
      </c>
      <c r="O7" s="256">
        <f>IF(N7="","",MATCH(N7,Stories!$X$4:$X$110,0))</f>
        <v/>
      </c>
      <c r="P7" s="256">
        <f>IF(O7="","",INDEX(Stories!$V$4:$V$110,O7)&amp;"")</f>
        <v/>
      </c>
      <c r="Q7" s="256">
        <f>IF(O7="","",IF(LEN(INDEX(Stories!$B$4:$B$110,O7))&gt;120,LEFT(INDEX(Stories!$B$4:$B$110,O7),118)&amp;"…",INDEX(Stories!$B$4:$B$110,O7)&amp;"")&amp;IF(INDEX(Stories!$L$4:$L$110,O7)&amp;""&lt;&gt;""," (Claude's translation)",""))</f>
        <v/>
      </c>
    </row>
    <row r="8">
      <c r="A8" s="256" t="inlineStr">
        <is>
          <t>Offshore, Coasts &amp; Water</t>
        </is>
      </c>
      <c r="M8" s="256" t="n">
        <v>7</v>
      </c>
      <c r="N8" s="258">
        <f>IFERROR(LARGE(Stories!$X$4:$X$110,M8),"")</f>
        <v/>
      </c>
      <c r="O8" s="256">
        <f>IF(N8="","",MATCH(N8,Stories!$X$4:$X$110,0))</f>
        <v/>
      </c>
      <c r="P8" s="256">
        <f>IF(O8="","",INDEX(Stories!$V$4:$V$110,O8)&amp;"")</f>
        <v/>
      </c>
      <c r="Q8" s="256">
        <f>IF(O8="","",IF(LEN(INDEX(Stories!$B$4:$B$110,O8))&gt;120,LEFT(INDEX(Stories!$B$4:$B$110,O8),118)&amp;"…",INDEX(Stories!$B$4:$B$110,O8)&amp;"")&amp;IF(INDEX(Stories!$L$4:$L$110,O8)&amp;""&lt;&gt;""," (Claude's translation)",""))</f>
        <v/>
      </c>
    </row>
    <row r="9">
      <c r="A9" s="256" t="inlineStr">
        <is>
          <t>Characterisation &amp; Modelling</t>
        </is>
      </c>
      <c r="M9" s="256" t="n">
        <v>8</v>
      </c>
      <c r="N9" s="258">
        <f>IFERROR(LARGE(Stories!$X$4:$X$110,M9),"")</f>
        <v/>
      </c>
      <c r="O9" s="256">
        <f>IF(N9="","",MATCH(N9,Stories!$X$4:$X$110,0))</f>
        <v/>
      </c>
      <c r="P9" s="256">
        <f>IF(O9="","",INDEX(Stories!$V$4:$V$110,O9)&amp;"")</f>
        <v/>
      </c>
      <c r="Q9" s="256">
        <f>IF(O9="","",IF(LEN(INDEX(Stories!$B$4:$B$110,O9))&gt;120,LEFT(INDEX(Stories!$B$4:$B$110,O9),118)&amp;"…",INDEX(Stories!$B$4:$B$110,O9)&amp;"")&amp;IF(INDEX(Stories!$L$4:$L$110,O9)&amp;""&lt;&gt;""," (Claude's translation)",""))</f>
        <v/>
      </c>
    </row>
    <row r="10">
      <c r="A10" s="256" t="inlineStr">
        <is>
          <t>Geotechnics &amp; Society</t>
        </is>
      </c>
      <c r="M10" s="256" t="n">
        <v>9</v>
      </c>
      <c r="N10" s="258">
        <f>IFERROR(LARGE(Stories!$X$4:$X$110,M10),"")</f>
        <v/>
      </c>
      <c r="O10" s="256">
        <f>IF(N10="","",MATCH(N10,Stories!$X$4:$X$110,0))</f>
        <v/>
      </c>
      <c r="P10" s="256">
        <f>IF(O10="","",INDEX(Stories!$V$4:$V$110,O10)&amp;"")</f>
        <v/>
      </c>
      <c r="Q10" s="256">
        <f>IF(O10="","",IF(LEN(INDEX(Stories!$B$4:$B$110,O10))&gt;120,LEFT(INDEX(Stories!$B$4:$B$110,O10),118)&amp;"…",INDEX(Stories!$B$4:$B$110,O10)&amp;"")&amp;IF(INDEX(Stories!$L$4:$L$110,O10)&amp;""&lt;&gt;""," (Claude's translation)",""))</f>
        <v/>
      </c>
    </row>
    <row r="11">
      <c r="A11" s="256" t="inlineStr">
        <is>
          <t>General</t>
        </is>
      </c>
      <c r="M11" s="256" t="n">
        <v>10</v>
      </c>
      <c r="N11" s="258">
        <f>IFERROR(LARGE(Stories!$X$4:$X$110,M11),"")</f>
        <v/>
      </c>
      <c r="O11" s="256">
        <f>IF(N11="","",MATCH(N11,Stories!$X$4:$X$110,0))</f>
        <v/>
      </c>
      <c r="P11" s="256">
        <f>IF(O11="","",INDEX(Stories!$V$4:$V$110,O11)&amp;"")</f>
        <v/>
      </c>
      <c r="Q11" s="256">
        <f>IF(O11="","",IF(LEN(INDEX(Stories!$B$4:$B$110,O11))&gt;120,LEFT(INDEX(Stories!$B$4:$B$110,O11),118)&amp;"…",INDEX(Stories!$B$4:$B$110,O11)&amp;"")&amp;IF(INDEX(Stories!$L$4:$L$110,O11)&amp;""&lt;&gt;"","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2026-10-25T10:17:31Z</dcterms:created>
  <dcterms:modified xmlns:dcterms="http://purl.org/dc/terms/" xmlns:xsi="http://www.w3.org/2001/XMLSchema-instance" xsi:type="dcterms:W3CDTF">2026-10-25T10:17:31Z</dcterms:modified>
</cp:coreProperties>
</file>