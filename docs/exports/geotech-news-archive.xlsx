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4">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39" fillId="2" borderId="0" applyAlignment="1" pivotButton="0" quotePrefix="0" xfId="0">
      <alignment vertical="center"/>
    </xf>
    <xf numFmtId="0" fontId="0" fillId="29" borderId="0" pivotButton="0" quotePrefix="0" xfId="0"/>
    <xf numFmtId="0" fontId="40" fillId="29" borderId="0" applyAlignment="1" pivotButton="0" quotePrefix="0" xfId="0">
      <alignment vertical="center"/>
    </xf>
    <xf numFmtId="0" fontId="0" fillId="3" borderId="0" pivotButton="0" quotePrefix="0" xfId="0"/>
    <xf numFmtId="0" fontId="65"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9" fillId="37" borderId="3" applyAlignment="1" pivotButton="0" quotePrefix="0" xfId="0">
      <alignment horizontal="center" vertical="top"/>
    </xf>
    <xf numFmtId="0" fontId="60" fillId="38" borderId="3" applyAlignment="1" pivotButton="0" quotePrefix="0" xfId="0">
      <alignment horizontal="center" vertical="top"/>
    </xf>
    <xf numFmtId="0" fontId="61" fillId="39" borderId="3" applyAlignment="1" pivotButton="0" quotePrefix="0" xfId="0">
      <alignment horizontal="center" vertical="top"/>
    </xf>
    <xf numFmtId="0" fontId="62" fillId="40" borderId="3" applyAlignment="1" pivotButton="0" quotePrefix="0" xfId="0">
      <alignment horizontal="center" vertical="top"/>
    </xf>
    <xf numFmtId="0" fontId="63"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6" fillId="14" borderId="3" applyAlignment="1" pivotButton="0" quotePrefix="0" xfId="0">
      <alignment horizontal="left" vertical="top" indent="1"/>
    </xf>
    <xf numFmtId="0" fontId="67" fillId="16" borderId="3" applyAlignment="1" pivotButton="0" quotePrefix="0" xfId="0">
      <alignment horizontal="left" vertical="top" indent="1"/>
    </xf>
    <xf numFmtId="0" fontId="68" fillId="18" borderId="3" applyAlignment="1" pivotButton="0" quotePrefix="0" xfId="0">
      <alignment horizontal="left" vertical="top" indent="1"/>
    </xf>
    <xf numFmtId="0" fontId="69" fillId="20" borderId="3" applyAlignment="1" pivotButton="0" quotePrefix="0" xfId="0">
      <alignment horizontal="left" vertical="top" indent="1"/>
    </xf>
    <xf numFmtId="0" fontId="70" fillId="22" borderId="3" applyAlignment="1" pivotButton="0" quotePrefix="0" xfId="0">
      <alignment horizontal="left" vertical="top" indent="1"/>
    </xf>
    <xf numFmtId="0" fontId="71" fillId="24" borderId="3" applyAlignment="1" pivotButton="0" quotePrefix="0" xfId="0">
      <alignment horizontal="left" vertical="top" indent="1"/>
    </xf>
    <xf numFmtId="0" fontId="72" fillId="26" borderId="3" applyAlignment="1" pivotButton="0" quotePrefix="0" xfId="0">
      <alignment horizontal="left" vertical="top" indent="1"/>
    </xf>
    <xf numFmtId="0" fontId="73" fillId="28" borderId="3" applyAlignment="1" pivotButton="0" quotePrefix="0" xfId="0">
      <alignment horizontal="left" vertical="top" indent="1"/>
    </xf>
    <xf numFmtId="0" fontId="52" fillId="0" borderId="3" applyAlignment="1" pivotButton="0" quotePrefix="0" xfId="0">
      <alignment horizontal="left" vertical="top"/>
    </xf>
    <xf numFmtId="0" fontId="9" fillId="0" borderId="3" applyAlignment="1" pivotButton="0" quotePrefix="0" xfId="0">
      <alignment horizontal="left" vertical="top"/>
    </xf>
    <xf numFmtId="0" fontId="41" fillId="0" borderId="0" applyAlignment="1" pivotButton="0" quotePrefix="0" xfId="0">
      <alignment vertical="bottom"/>
    </xf>
    <xf numFmtId="0" fontId="43" fillId="31" borderId="0" applyAlignment="1" pivotButton="0" quotePrefix="0" xfId="0">
      <alignment vertical="center" wrapText="1" indent="1"/>
    </xf>
    <xf numFmtId="0" fontId="0" fillId="31" borderId="0" pivotButton="0" quotePrefix="0" xfId="0"/>
    <xf numFmtId="0" fontId="42"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4" fillId="2" borderId="14" applyAlignment="1" pivotButton="0" quotePrefix="0" xfId="0">
      <alignment horizontal="center" vertical="center"/>
    </xf>
    <xf numFmtId="0" fontId="0" fillId="2" borderId="14" pivotButton="0" quotePrefix="0" xfId="0"/>
    <xf numFmtId="3" fontId="44" fillId="23" borderId="14" applyAlignment="1" pivotButton="0" quotePrefix="0" xfId="0">
      <alignment horizontal="center" vertical="center"/>
    </xf>
    <xf numFmtId="0" fontId="0" fillId="23" borderId="14" pivotButton="0" quotePrefix="0" xfId="0"/>
    <xf numFmtId="3" fontId="44" fillId="33" borderId="14" applyAlignment="1" pivotButton="0" quotePrefix="0" xfId="0">
      <alignment horizontal="center" vertical="center"/>
    </xf>
    <xf numFmtId="0" fontId="0" fillId="33" borderId="14" pivotButton="0" quotePrefix="0" xfId="0"/>
    <xf numFmtId="3" fontId="44" fillId="19" borderId="14" applyAlignment="1" pivotButton="0" quotePrefix="0" xfId="0">
      <alignment horizontal="center" vertical="center"/>
    </xf>
    <xf numFmtId="0" fontId="0" fillId="19" borderId="14" pivotButton="0" quotePrefix="0" xfId="0"/>
    <xf numFmtId="3" fontId="44" fillId="15" borderId="14" applyAlignment="1" pivotButton="0" quotePrefix="0" xfId="0">
      <alignment horizontal="center" vertical="center"/>
    </xf>
    <xf numFmtId="0" fontId="0" fillId="15" borderId="14" pivotButton="0" quotePrefix="0" xfId="0"/>
    <xf numFmtId="3" fontId="44" fillId="21" borderId="14" applyAlignment="1" pivotButton="0" quotePrefix="0" xfId="0">
      <alignment horizontal="center" vertical="center"/>
    </xf>
    <xf numFmtId="0" fontId="0" fillId="21" borderId="14" pivotButton="0" quotePrefix="0" xfId="0"/>
    <xf numFmtId="0" fontId="45" fillId="32" borderId="14" applyAlignment="1" pivotButton="0" quotePrefix="0" xfId="0">
      <alignment horizontal="center" vertical="center"/>
    </xf>
    <xf numFmtId="0" fontId="0" fillId="32" borderId="14" pivotButton="0" quotePrefix="0" xfId="0"/>
    <xf numFmtId="0" fontId="46" fillId="24" borderId="14" applyAlignment="1" pivotButton="0" quotePrefix="0" xfId="0">
      <alignment horizontal="center" vertical="center"/>
    </xf>
    <xf numFmtId="0" fontId="0" fillId="24" borderId="14" pivotButton="0" quotePrefix="0" xfId="0"/>
    <xf numFmtId="0" fontId="47" fillId="34" borderId="14" applyAlignment="1" pivotButton="0" quotePrefix="0" xfId="0">
      <alignment horizontal="center" vertical="center"/>
    </xf>
    <xf numFmtId="0" fontId="0" fillId="34" borderId="14" pivotButton="0" quotePrefix="0" xfId="0"/>
    <xf numFmtId="0" fontId="48" fillId="20" borderId="14" applyAlignment="1" pivotButton="0" quotePrefix="0" xfId="0">
      <alignment horizontal="center" vertical="center"/>
    </xf>
    <xf numFmtId="0" fontId="0" fillId="20" borderId="14" pivotButton="0" quotePrefix="0" xfId="0"/>
    <xf numFmtId="0" fontId="49" fillId="16" borderId="14" applyAlignment="1" pivotButton="0" quotePrefix="0" xfId="0">
      <alignment horizontal="center" vertical="center"/>
    </xf>
    <xf numFmtId="0" fontId="0" fillId="16" borderId="14" pivotButton="0" quotePrefix="0" xfId="0"/>
    <xf numFmtId="0" fontId="50"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1" fillId="35" borderId="3" applyAlignment="1" pivotButton="0" quotePrefix="0" xfId="0">
      <alignment horizontal="center" vertical="center"/>
    </xf>
    <xf numFmtId="0" fontId="52"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3"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4" fillId="35" borderId="3" applyAlignment="1" pivotButton="0" quotePrefix="0" xfId="0">
      <alignment horizontal="center" vertical="center"/>
    </xf>
    <xf numFmtId="0" fontId="51" fillId="31" borderId="3" applyAlignment="1" pivotButton="0" quotePrefix="0" xfId="0">
      <alignment horizontal="center" vertical="center"/>
    </xf>
    <xf numFmtId="0" fontId="52"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3"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4" fillId="31" borderId="3" applyAlignment="1" pivotButton="0" quotePrefix="0" xfId="0">
      <alignment horizontal="center" vertical="center"/>
    </xf>
    <xf numFmtId="0" fontId="43"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5"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59"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58" fillId="0" borderId="3" applyAlignment="1" pivotButton="0" quotePrefix="0" xfId="0">
      <alignment vertical="center" indent="1"/>
    </xf>
    <xf numFmtId="0" fontId="61"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2" fillId="40" borderId="3" applyAlignment="1" pivotButton="0" quotePrefix="0" xfId="0">
      <alignment vertical="center" indent="1"/>
    </xf>
    <xf numFmtId="0" fontId="0" fillId="40" borderId="3" pivotButton="0" quotePrefix="0" xfId="0"/>
    <xf numFmtId="0" fontId="56" fillId="0" borderId="3" applyAlignment="1" pivotButton="0" quotePrefix="0" xfId="0">
      <alignment vertical="center" indent="1"/>
    </xf>
    <xf numFmtId="0" fontId="63"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5"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4"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38"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38"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38"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38"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8"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38"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38"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8"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100</v>
      </c>
      <c r="G74" s="94">
        <f>COUNTIFS(Stories!$W$4:$W$103,1,Stories!$S$4:$S$103,"2026-Q4")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6"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7" t="n">
        <v>46447</v>
      </c>
      <c r="B10" s="238" t="n"/>
      <c r="C10" s="231" t="inlineStr">
        <is>
          <t>Geo-Congress 2027, part of ASCE2027</t>
        </is>
      </c>
      <c r="D10" s="239" t="inlineStr">
        <is>
          <t>Other conference</t>
        </is>
      </c>
      <c r="E10" s="166" t="inlineStr">
        <is>
          <t>Philadelphia, United States</t>
        </is>
      </c>
      <c r="F10" s="166" t="inlineStr">
        <is>
          <t>1–5 Mar 2027</t>
        </is>
      </c>
      <c r="G10" s="232" t="inlineStr">
        <is>
          <t>ASCE Geo-Institute</t>
        </is>
      </c>
      <c r="H10" s="232" t="inlineStr">
        <is>
          <t>Abstracts: 4 Mar 2026 (passed)</t>
        </is>
      </c>
      <c r="I10" s="240" t="inlineStr">
        <is>
          <t>https://geoinstitute.org/news/call-abstract-geo-congress-2027-part-asce2027</t>
        </is>
      </c>
    </row>
    <row r="11" ht="30" customHeight="1">
      <c r="A11" s="237" t="n">
        <v>46489</v>
      </c>
      <c r="B11" s="238" t="inlineStr">
        <is>
          <t>ISSMGE</t>
        </is>
      </c>
      <c r="C11" s="231" t="inlineStr">
        <is>
          <t>2nd International Symposium on Ground Improvement (IS-GI 2027)</t>
        </is>
      </c>
      <c r="D11" s="241" t="inlineStr">
        <is>
          <t>ISSMGE-supported</t>
        </is>
      </c>
      <c r="E11" s="166" t="inlineStr">
        <is>
          <t>Lyon, France</t>
        </is>
      </c>
      <c r="F11" s="166" t="inlineStr">
        <is>
          <t>12–14 Apr 2027</t>
        </is>
      </c>
      <c r="G11" s="232" t="inlineStr">
        <is>
          <t>ISSMGE TC211</t>
        </is>
      </c>
      <c r="H11" s="232" t="inlineStr">
        <is>
          <t>Abstracts: 15 May 2026 (passed)</t>
        </is>
      </c>
      <c r="I11" s="240" t="inlineStr">
        <is>
          <t>https://www.issmge.org/news/2nd-is-gi-2027-lyon-call-for-abstracts</t>
        </is>
      </c>
    </row>
    <row r="12" ht="30" customHeight="1">
      <c r="A12" s="237" t="n">
        <v>46500</v>
      </c>
      <c r="B12" s="238" t="n"/>
      <c r="C12" s="231" t="inlineStr">
        <is>
          <t>ITA-AITES World Tunnel Congress 2027 (WTC 2027)</t>
        </is>
      </c>
      <c r="D12" s="239" t="inlineStr">
        <is>
          <t>Other conference</t>
        </is>
      </c>
      <c r="E12" s="166" t="inlineStr">
        <is>
          <t>Antwerp, Belgium</t>
        </is>
      </c>
      <c r="F12" s="166" t="inlineStr">
        <is>
          <t>23–29 Apr 2027</t>
        </is>
      </c>
      <c r="G12" s="232" t="inlineStr">
        <is>
          <t>ITA-AITES with the Belgian Tunnel Association</t>
        </is>
      </c>
      <c r="H12" s="232" t="inlineStr">
        <is>
          <t>Abstracts: 10 Jun 2026 (passed)</t>
        </is>
      </c>
      <c r="I12" s="240" t="inlineStr">
        <is>
          <t>https://about.ita-aites.org/future-events/2350/world-tunnel-congress-wtc-2027</t>
        </is>
      </c>
    </row>
    <row r="13" ht="30" customHeight="1">
      <c r="A13" s="237" t="n">
        <v>46566</v>
      </c>
      <c r="B13" s="238" t="inlineStr">
        <is>
          <t>ISSMGE</t>
        </is>
      </c>
      <c r="C13" s="231" t="inlineStr">
        <is>
          <t>International Conference on Sustainability in Geotechnical Engineering (ICSGE 2027)</t>
        </is>
      </c>
      <c r="D13" s="241" t="inlineStr">
        <is>
          <t>ISSMGE-supported</t>
        </is>
      </c>
      <c r="E13" s="166" t="inlineStr">
        <is>
          <t>Lisbon, Portugal</t>
        </is>
      </c>
      <c r="F13" s="166" t="inlineStr">
        <is>
          <t>28 Jun – 1 Jul 2027</t>
        </is>
      </c>
      <c r="G13" s="232" t="inlineStr">
        <is>
          <t>ISSMGE TC307 and LNEC</t>
        </is>
      </c>
      <c r="H13" s="232" t="inlineStr">
        <is>
          <t>Abstracts: 15 Jul 2026 (passed)</t>
        </is>
      </c>
      <c r="I13" s="240" t="inlineStr">
        <is>
          <t>https://www.issmge.org/news/tc223-june-news-update</t>
        </is>
      </c>
    </row>
    <row r="14" ht="30" customHeight="1">
      <c r="A14" s="237" t="n">
        <v>46644</v>
      </c>
      <c r="B14" s="238" t="inlineStr">
        <is>
          <t>ISSMGE</t>
        </is>
      </c>
      <c r="C14" s="231" t="inlineStr">
        <is>
          <t>9th International Symposium on Deformation Characteristics of Geomaterials (IS-Ankara 2027)</t>
        </is>
      </c>
      <c r="D14" s="241" t="inlineStr">
        <is>
          <t>ISSMGE-supported</t>
        </is>
      </c>
      <c r="E14" s="166" t="inlineStr">
        <is>
          <t>Ankara, Türkiye</t>
        </is>
      </c>
      <c r="F14" s="166" t="inlineStr">
        <is>
          <t>14–17 Sep 2027</t>
        </is>
      </c>
      <c r="G14" s="232" t="inlineStr">
        <is>
          <t>ISSMGE TC101, Middle East Technical University (METU)</t>
        </is>
      </c>
      <c r="H14" s="232" t="inlineStr">
        <is>
          <t>Abstracts: 21 Sep 2026 (passed)</t>
        </is>
      </c>
      <c r="I14" s="240" t="inlineStr">
        <is>
          <t>https://www.issmge.org/news/tc223-june-news-update</t>
        </is>
      </c>
    </row>
    <row r="15" ht="30" customHeight="1">
      <c r="A15" s="237" t="n">
        <v>46700</v>
      </c>
      <c r="B15" s="238" t="inlineStr">
        <is>
          <t>ISSMGE</t>
        </is>
      </c>
      <c r="C15" s="231" t="inlineStr">
        <is>
          <t>18th Asian Regional Conference on Soil Mechanics and Geotechnical Engineering (18ARC)</t>
        </is>
      </c>
      <c r="D15" s="242" t="inlineStr">
        <is>
          <t>ISSMGE conference</t>
        </is>
      </c>
      <c r="E15" s="166" t="inlineStr">
        <is>
          <t>Bangkok, Thailand</t>
        </is>
      </c>
      <c r="F15" s="166" t="inlineStr">
        <is>
          <t>9–13 Nov 2027</t>
        </is>
      </c>
      <c r="G15" s="232" t="inlineStr">
        <is>
          <t>Thai Geotechnical Society, under the auspices of ISSMGE</t>
        </is>
      </c>
      <c r="H15" s="232" t="n"/>
      <c r="I15" s="240"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3" t="n">
        <v>25</v>
      </c>
      <c r="C4" s="244">
        <f>SUMPRODUCT(Stories!$W$4:$W$103,--(Stories!$J$4:$J$103=$A4))</f>
        <v/>
      </c>
      <c r="D4" s="245" t="n">
        <v>3.8</v>
      </c>
      <c r="E4" s="243" t="n">
        <v>19</v>
      </c>
      <c r="F4" s="246" t="inlineStr">
        <is>
          <t>Hazards &amp; Resilience</t>
        </is>
      </c>
      <c r="G4" s="243" t="n">
        <v>6</v>
      </c>
      <c r="H4" s="171" t="inlineStr">
        <is>
          <t>Indonesia, Vietnam, South Korea, Egypt, France, Russia, Colombia, United Kingdom, Italy, China, Spain, Brazil</t>
        </is>
      </c>
      <c r="I4" s="247" t="n">
        <v>46320</v>
      </c>
    </row>
    <row r="5" ht="15.5" customHeight="1">
      <c r="A5" s="231" t="inlineStr">
        <is>
          <t>Cooperativa</t>
        </is>
      </c>
      <c r="B5" s="243" t="n">
        <v>2</v>
      </c>
      <c r="C5" s="244">
        <f>SUMPRODUCT(Stories!$W$4:$W$103,--(Stories!$J$4:$J$103=$A5))</f>
        <v/>
      </c>
      <c r="D5" s="245" t="n">
        <v>4</v>
      </c>
      <c r="E5" s="243" t="n">
        <v>2</v>
      </c>
      <c r="F5" s="246" t="inlineStr">
        <is>
          <t>Hazards &amp; Resilience</t>
        </is>
      </c>
      <c r="G5" s="243" t="n">
        <v>2</v>
      </c>
      <c r="H5" s="171" t="inlineStr">
        <is>
          <t>Chile, Colombia</t>
        </is>
      </c>
      <c r="I5" s="247" t="n">
        <v>46320</v>
      </c>
    </row>
    <row r="6" ht="15.5" customHeight="1">
      <c r="A6" s="231" t="inlineStr">
        <is>
          <t>Ground Engineering</t>
        </is>
      </c>
      <c r="B6" s="243" t="n">
        <v>2</v>
      </c>
      <c r="C6" s="244">
        <f>SUMPRODUCT(Stories!$W$4:$W$103,--(Stories!$J$4:$J$103=$A6))</f>
        <v/>
      </c>
      <c r="D6" s="245" t="n">
        <v>4.5</v>
      </c>
      <c r="E6" s="243" t="n">
        <v>2</v>
      </c>
      <c r="F6" s="248" t="inlineStr">
        <is>
          <t>Offshore, Coasts &amp; Water</t>
        </is>
      </c>
      <c r="G6" s="243" t="n">
        <v>2</v>
      </c>
      <c r="H6" s="171" t="inlineStr"/>
      <c r="I6" s="247" t="n">
        <v>46319</v>
      </c>
    </row>
    <row r="7" ht="15.5" customHeight="1">
      <c r="A7" s="231" t="inlineStr">
        <is>
          <t>Infobae</t>
        </is>
      </c>
      <c r="B7" s="243" t="n">
        <v>2</v>
      </c>
      <c r="C7" s="244">
        <f>SUMPRODUCT(Stories!$W$4:$W$103,--(Stories!$J$4:$J$103=$A7))</f>
        <v/>
      </c>
      <c r="D7" s="245" t="n">
        <v>4</v>
      </c>
      <c r="E7" s="243" t="n">
        <v>1</v>
      </c>
      <c r="F7" s="246" t="inlineStr">
        <is>
          <t>Hazards &amp; Resilience</t>
        </is>
      </c>
      <c r="G7" s="243" t="n">
        <v>2</v>
      </c>
      <c r="H7" s="171" t="inlineStr">
        <is>
          <t>Argentina, Colombia</t>
        </is>
      </c>
      <c r="I7" s="247" t="n">
        <v>46320</v>
      </c>
    </row>
    <row r="8" ht="15.5" customHeight="1">
      <c r="A8" s="231" t="inlineStr">
        <is>
          <t>Laodong.vn</t>
        </is>
      </c>
      <c r="B8" s="243" t="n">
        <v>2</v>
      </c>
      <c r="C8" s="244">
        <f>SUMPRODUCT(Stories!$W$4:$W$103,--(Stories!$J$4:$J$103=$A8))</f>
        <v/>
      </c>
      <c r="D8" s="245" t="n">
        <v>4</v>
      </c>
      <c r="E8" s="243" t="n">
        <v>2</v>
      </c>
      <c r="F8" s="249" t="inlineStr">
        <is>
          <t>Characterisation &amp; Modelling</t>
        </is>
      </c>
      <c r="G8" s="243" t="n">
        <v>2</v>
      </c>
      <c r="H8" s="171" t="inlineStr">
        <is>
          <t>South Korea, France</t>
        </is>
      </c>
      <c r="I8" s="247" t="n">
        <v>46320</v>
      </c>
    </row>
    <row r="9" ht="28" customHeight="1">
      <c r="A9" s="231" t="inlineStr">
        <is>
          <t>Tunnelling Journal</t>
        </is>
      </c>
      <c r="B9" s="243" t="n">
        <v>2</v>
      </c>
      <c r="C9" s="244">
        <f>SUMPRODUCT(Stories!$W$4:$W$103,--(Stories!$J$4:$J$103=$A9))</f>
        <v/>
      </c>
      <c r="D9" s="245" t="n">
        <v>3</v>
      </c>
      <c r="E9" s="243" t="n">
        <v>0</v>
      </c>
      <c r="F9" s="250" t="inlineStr">
        <is>
          <t>Infrastructure &amp; the Underground City</t>
        </is>
      </c>
      <c r="G9" s="243" t="n">
        <v>2</v>
      </c>
      <c r="H9" s="171" t="inlineStr"/>
      <c r="I9" s="247" t="n">
        <v>46319</v>
      </c>
    </row>
    <row r="10" ht="28" customHeight="1">
      <c r="A10" s="231" t="inlineStr">
        <is>
          <t>Tunnels &amp; Tunnelling</t>
        </is>
      </c>
      <c r="B10" s="243" t="n">
        <v>2</v>
      </c>
      <c r="C10" s="244">
        <f>SUMPRODUCT(Stories!$W$4:$W$103,--(Stories!$J$4:$J$103=$A10))</f>
        <v/>
      </c>
      <c r="D10" s="245" t="n">
        <v>3</v>
      </c>
      <c r="E10" s="243" t="n">
        <v>0</v>
      </c>
      <c r="F10" s="251" t="inlineStr">
        <is>
          <t>Sustainability &amp; the Energy Transition</t>
        </is>
      </c>
      <c r="G10" s="243" t="n">
        <v>1</v>
      </c>
      <c r="H10" s="171" t="inlineStr"/>
      <c r="I10" s="247" t="n">
        <v>46319</v>
      </c>
    </row>
    <row r="11" ht="15.5" customHeight="1">
      <c r="A11" s="231" t="inlineStr">
        <is>
          <t>生物通</t>
        </is>
      </c>
      <c r="B11" s="243" t="n">
        <v>2</v>
      </c>
      <c r="C11" s="244">
        <f>SUMPRODUCT(Stories!$W$4:$W$103,--(Stories!$J$4:$J$103=$A11))</f>
        <v/>
      </c>
      <c r="D11" s="245" t="n">
        <v>4.5</v>
      </c>
      <c r="E11" s="243" t="n">
        <v>2</v>
      </c>
      <c r="F11" s="252" t="inlineStr">
        <is>
          <t>Digital Geotechnics</t>
        </is>
      </c>
      <c r="G11" s="243" t="n">
        <v>2</v>
      </c>
      <c r="H11" s="171" t="inlineStr">
        <is>
          <t>China</t>
        </is>
      </c>
      <c r="I11" s="247" t="n">
        <v>46319</v>
      </c>
    </row>
    <row r="12" ht="15.5" customHeight="1">
      <c r="A12" s="231" t="inlineStr">
        <is>
          <t>:: Foro Coatza ::</t>
        </is>
      </c>
      <c r="B12" s="243" t="n">
        <v>1</v>
      </c>
      <c r="C12" s="244">
        <f>SUMPRODUCT(Stories!$W$4:$W$103,--(Stories!$J$4:$J$103=$A12))</f>
        <v/>
      </c>
      <c r="D12" s="245" t="n">
        <v>3</v>
      </c>
      <c r="E12" s="243" t="n">
        <v>0</v>
      </c>
      <c r="F12" s="248" t="inlineStr">
        <is>
          <t>Offshore, Coasts &amp; Water</t>
        </is>
      </c>
      <c r="G12" s="243" t="n">
        <v>1</v>
      </c>
      <c r="H12" s="171" t="inlineStr">
        <is>
          <t>Argentina</t>
        </is>
      </c>
      <c r="I12" s="247" t="n">
        <v>46319</v>
      </c>
    </row>
    <row r="13" ht="28" customHeight="1">
      <c r="A13" s="231" t="inlineStr">
        <is>
          <t>ABC27</t>
        </is>
      </c>
      <c r="B13" s="243" t="n">
        <v>1</v>
      </c>
      <c r="C13" s="244">
        <f>SUMPRODUCT(Stories!$W$4:$W$103,--(Stories!$J$4:$J$103=$A13))</f>
        <v/>
      </c>
      <c r="D13" s="245" t="n">
        <v>3</v>
      </c>
      <c r="E13" s="243" t="n">
        <v>0</v>
      </c>
      <c r="F13" s="250" t="inlineStr">
        <is>
          <t>Infrastructure &amp; the Underground City</t>
        </is>
      </c>
      <c r="G13" s="243" t="n">
        <v>1</v>
      </c>
      <c r="H13" s="171" t="inlineStr">
        <is>
          <t>United Kingdom</t>
        </is>
      </c>
      <c r="I13" s="247" t="n">
        <v>46320</v>
      </c>
    </row>
    <row r="14" ht="15.5" customHeight="1">
      <c r="A14" s="231" t="inlineStr">
        <is>
          <t>agenzia giornalistica opinione</t>
        </is>
      </c>
      <c r="B14" s="243" t="n">
        <v>1</v>
      </c>
      <c r="C14" s="244">
        <f>SUMPRODUCT(Stories!$W$4:$W$103,--(Stories!$J$4:$J$103=$A14))</f>
        <v/>
      </c>
      <c r="D14" s="245" t="n">
        <v>4</v>
      </c>
      <c r="E14" s="243" t="n">
        <v>1</v>
      </c>
      <c r="F14" s="246" t="inlineStr">
        <is>
          <t>Hazards &amp; Resilience</t>
        </is>
      </c>
      <c r="G14" s="243" t="n">
        <v>1</v>
      </c>
      <c r="H14" s="171" t="inlineStr">
        <is>
          <t>Italy</t>
        </is>
      </c>
      <c r="I14" s="247" t="n">
        <v>46319</v>
      </c>
    </row>
    <row r="15" ht="15.5" customHeight="1">
      <c r="A15" s="231" t="inlineStr">
        <is>
          <t>Baolangson.vn</t>
        </is>
      </c>
      <c r="B15" s="243" t="n">
        <v>1</v>
      </c>
      <c r="C15" s="244">
        <f>SUMPRODUCT(Stories!$W$4:$W$103,--(Stories!$J$4:$J$103=$A15))</f>
        <v/>
      </c>
      <c r="D15" s="245" t="n">
        <v>4</v>
      </c>
      <c r="E15" s="243" t="n">
        <v>1</v>
      </c>
      <c r="F15" s="246" t="inlineStr">
        <is>
          <t>Hazards &amp; Resilience</t>
        </is>
      </c>
      <c r="G15" s="243" t="n">
        <v>1</v>
      </c>
      <c r="H15" s="171" t="inlineStr">
        <is>
          <t>Vietnam</t>
        </is>
      </c>
      <c r="I15" s="247" t="n">
        <v>46319</v>
      </c>
    </row>
    <row r="16" ht="28" customHeight="1">
      <c r="A16" s="231" t="inlineStr">
        <is>
          <t>BioBioChile</t>
        </is>
      </c>
      <c r="B16" s="243" t="n">
        <v>1</v>
      </c>
      <c r="C16" s="244">
        <f>SUMPRODUCT(Stories!$W$4:$W$103,--(Stories!$J$4:$J$103=$A16))</f>
        <v/>
      </c>
      <c r="D16" s="245" t="n">
        <v>4</v>
      </c>
      <c r="E16" s="243" t="n">
        <v>1</v>
      </c>
      <c r="F16" s="250" t="inlineStr">
        <is>
          <t>Infrastructure &amp; the Underground City</t>
        </is>
      </c>
      <c r="G16" s="243" t="n">
        <v>1</v>
      </c>
      <c r="H16" s="171" t="inlineStr">
        <is>
          <t>Colombia</t>
        </is>
      </c>
      <c r="I16" s="247" t="n">
        <v>46319</v>
      </c>
    </row>
    <row r="17" ht="15.5" customHeight="1">
      <c r="A17" s="231" t="inlineStr">
        <is>
          <t>Boyacá 7 Días</t>
        </is>
      </c>
      <c r="B17" s="243" t="n">
        <v>1</v>
      </c>
      <c r="C17" s="244">
        <f>SUMPRODUCT(Stories!$W$4:$W$103,--(Stories!$J$4:$J$103=$A17))</f>
        <v/>
      </c>
      <c r="D17" s="245" t="n">
        <v>3</v>
      </c>
      <c r="E17" s="243" t="n">
        <v>0</v>
      </c>
      <c r="F17" s="253" t="inlineStr">
        <is>
          <t>Geotechnics &amp; Society</t>
        </is>
      </c>
      <c r="G17" s="243" t="n">
        <v>1</v>
      </c>
      <c r="H17" s="171" t="inlineStr">
        <is>
          <t>Colombia</t>
        </is>
      </c>
      <c r="I17" s="247" t="n">
        <v>46319</v>
      </c>
    </row>
    <row r="18" ht="15.5" customHeight="1">
      <c r="A18" s="231" t="inlineStr">
        <is>
          <t>Báo Nhân Dân điện tử</t>
        </is>
      </c>
      <c r="B18" s="243" t="n">
        <v>1</v>
      </c>
      <c r="C18" s="244">
        <f>SUMPRODUCT(Stories!$W$4:$W$103,--(Stories!$J$4:$J$103=$A18))</f>
        <v/>
      </c>
      <c r="D18" s="245" t="n">
        <v>4</v>
      </c>
      <c r="E18" s="243" t="n">
        <v>1</v>
      </c>
      <c r="F18" s="248" t="inlineStr">
        <is>
          <t>Offshore, Coasts &amp; Water</t>
        </is>
      </c>
      <c r="G18" s="243" t="n">
        <v>1</v>
      </c>
      <c r="H18" s="171" t="inlineStr">
        <is>
          <t>Vietnam</t>
        </is>
      </c>
      <c r="I18" s="247" t="n">
        <v>46320</v>
      </c>
    </row>
    <row r="19" ht="15.5" customHeight="1">
      <c r="A19" s="231" t="inlineStr">
        <is>
          <t>Báo Thanh Niên</t>
        </is>
      </c>
      <c r="B19" s="243" t="n">
        <v>1</v>
      </c>
      <c r="C19" s="244">
        <f>SUMPRODUCT(Stories!$W$4:$W$103,--(Stories!$J$4:$J$103=$A19))</f>
        <v/>
      </c>
      <c r="D19" s="245" t="n">
        <v>4</v>
      </c>
      <c r="E19" s="243" t="n">
        <v>1</v>
      </c>
      <c r="F19" s="246" t="inlineStr">
        <is>
          <t>Hazards &amp; Resilience</t>
        </is>
      </c>
      <c r="G19" s="243" t="n">
        <v>1</v>
      </c>
      <c r="H19" s="171" t="inlineStr">
        <is>
          <t>Vietnam</t>
        </is>
      </c>
      <c r="I19" s="247" t="n">
        <v>46319</v>
      </c>
    </row>
    <row r="20" ht="28" customHeight="1">
      <c r="A20" s="231" t="inlineStr">
        <is>
          <t>Báo và phát thanh, truyền hình Đồng Tháp</t>
        </is>
      </c>
      <c r="B20" s="243" t="n">
        <v>1</v>
      </c>
      <c r="C20" s="244">
        <f>SUMPRODUCT(Stories!$W$4:$W$103,--(Stories!$J$4:$J$103=$A20))</f>
        <v/>
      </c>
      <c r="D20" s="245" t="n">
        <v>4</v>
      </c>
      <c r="E20" s="243" t="n">
        <v>1</v>
      </c>
      <c r="F20" s="246" t="inlineStr">
        <is>
          <t>Hazards &amp; Resilience</t>
        </is>
      </c>
      <c r="G20" s="243" t="n">
        <v>1</v>
      </c>
      <c r="H20" s="171" t="inlineStr">
        <is>
          <t>Vietnam</t>
        </is>
      </c>
      <c r="I20" s="247" t="n">
        <v>46319</v>
      </c>
    </row>
    <row r="21" ht="28" customHeight="1">
      <c r="A21" s="231" t="inlineStr">
        <is>
          <t>Debate</t>
        </is>
      </c>
      <c r="B21" s="243" t="n">
        <v>1</v>
      </c>
      <c r="C21" s="244">
        <f>SUMPRODUCT(Stories!$W$4:$W$103,--(Stories!$J$4:$J$103=$A21))</f>
        <v/>
      </c>
      <c r="D21" s="245" t="n">
        <v>4</v>
      </c>
      <c r="E21" s="243" t="n">
        <v>1</v>
      </c>
      <c r="F21" s="250"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SUMPRODUCT(Stories!$W$4:$W$103,--(Stories!$J$4:$J$103=$A22))</f>
        <v/>
      </c>
      <c r="D22" s="245" t="n">
        <v>3</v>
      </c>
      <c r="E22" s="243" t="n">
        <v>0</v>
      </c>
      <c r="F22" s="250" t="inlineStr">
        <is>
          <t>Infrastructure &amp; the Underground City</t>
        </is>
      </c>
      <c r="G22" s="243" t="n">
        <v>1</v>
      </c>
      <c r="H22" s="171" t="inlineStr">
        <is>
          <t>Colombia</t>
        </is>
      </c>
      <c r="I22" s="247" t="n">
        <v>46319</v>
      </c>
    </row>
    <row r="23" ht="15.5" customHeight="1">
      <c r="A23" s="231" t="inlineStr">
        <is>
          <t>Diario 13 San Juan</t>
        </is>
      </c>
      <c r="B23" s="243" t="n">
        <v>1</v>
      </c>
      <c r="C23" s="244">
        <f>SUMPRODUCT(Stories!$W$4:$W$103,--(Stories!$J$4:$J$103=$A23))</f>
        <v/>
      </c>
      <c r="D23" s="245" t="n">
        <v>4</v>
      </c>
      <c r="E23" s="243" t="n">
        <v>1</v>
      </c>
      <c r="F23" s="246" t="inlineStr">
        <is>
          <t>Hazards &amp; Resilience</t>
        </is>
      </c>
      <c r="G23" s="243" t="n">
        <v>1</v>
      </c>
      <c r="H23" s="171" t="inlineStr">
        <is>
          <t>Chile</t>
        </is>
      </c>
      <c r="I23" s="247" t="n">
        <v>46320</v>
      </c>
    </row>
    <row r="24" ht="15.5" customHeight="1">
      <c r="A24" s="231" t="inlineStr">
        <is>
          <t>Diario 1588</t>
        </is>
      </c>
      <c r="B24" s="243" t="n">
        <v>1</v>
      </c>
      <c r="C24" s="244">
        <f>SUMPRODUCT(Stories!$W$4:$W$103,--(Stories!$J$4:$J$103=$A24))</f>
        <v/>
      </c>
      <c r="D24" s="245" t="n">
        <v>3</v>
      </c>
      <c r="E24" s="243" t="n">
        <v>0</v>
      </c>
      <c r="F24" s="248" t="inlineStr">
        <is>
          <t>Offshore, Coasts &amp; Water</t>
        </is>
      </c>
      <c r="G24" s="243" t="n">
        <v>1</v>
      </c>
      <c r="H24" s="171" t="inlineStr">
        <is>
          <t>Argentina</t>
        </is>
      </c>
      <c r="I24" s="247" t="n">
        <v>46320</v>
      </c>
    </row>
    <row r="25" ht="28" customHeight="1">
      <c r="A25" s="231" t="inlineStr">
        <is>
          <t>Diario 7 lagos</t>
        </is>
      </c>
      <c r="B25" s="243" t="n">
        <v>1</v>
      </c>
      <c r="C25" s="244">
        <f>SUMPRODUCT(Stories!$W$4:$W$103,--(Stories!$J$4:$J$103=$A25))</f>
        <v/>
      </c>
      <c r="D25" s="245" t="n">
        <v>3</v>
      </c>
      <c r="E25" s="243" t="n">
        <v>0</v>
      </c>
      <c r="F25" s="250" t="inlineStr">
        <is>
          <t>Infrastructure &amp; the Underground City</t>
        </is>
      </c>
      <c r="G25" s="243" t="n">
        <v>1</v>
      </c>
      <c r="H25" s="171" t="inlineStr">
        <is>
          <t>Colombia</t>
        </is>
      </c>
      <c r="I25" s="247" t="n">
        <v>46320</v>
      </c>
    </row>
    <row r="26" ht="15.5" customHeight="1">
      <c r="A26" s="231" t="inlineStr">
        <is>
          <t>Diário do Sudoeste</t>
        </is>
      </c>
      <c r="B26" s="243" t="n">
        <v>1</v>
      </c>
      <c r="C26" s="244">
        <f>SUMPRODUCT(Stories!$W$4:$W$103,--(Stories!$J$4:$J$103=$A26))</f>
        <v/>
      </c>
      <c r="D26" s="245" t="n">
        <v>4</v>
      </c>
      <c r="E26" s="243" t="n">
        <v>1</v>
      </c>
      <c r="F26" s="246" t="inlineStr">
        <is>
          <t>Hazards &amp; Resilience</t>
        </is>
      </c>
      <c r="G26" s="243" t="n">
        <v>1</v>
      </c>
      <c r="H26" s="171" t="inlineStr">
        <is>
          <t>Brazil</t>
        </is>
      </c>
      <c r="I26" s="247" t="n">
        <v>46320</v>
      </c>
    </row>
    <row r="27" ht="15.5" customHeight="1">
      <c r="A27" s="231" t="inlineStr">
        <is>
          <t>DTiNews</t>
        </is>
      </c>
      <c r="B27" s="243" t="n">
        <v>1</v>
      </c>
      <c r="C27" s="244">
        <f>SUMPRODUCT(Stories!$W$4:$W$103,--(Stories!$J$4:$J$103=$A27))</f>
        <v/>
      </c>
      <c r="D27" s="245" t="n">
        <v>3</v>
      </c>
      <c r="E27" s="243" t="n">
        <v>0</v>
      </c>
      <c r="F27" s="249" t="inlineStr">
        <is>
          <t>Characterisation &amp; Modelling</t>
        </is>
      </c>
      <c r="G27" s="243" t="n">
        <v>1</v>
      </c>
      <c r="H27" s="171" t="inlineStr">
        <is>
          <t>United Kingdom</t>
        </is>
      </c>
      <c r="I27" s="247" t="n">
        <v>46320</v>
      </c>
    </row>
    <row r="28" ht="28" customHeight="1">
      <c r="A28" s="231" t="inlineStr">
        <is>
          <t>El Litoral | Novedades de Corrientes</t>
        </is>
      </c>
      <c r="B28" s="243" t="n">
        <v>1</v>
      </c>
      <c r="C28" s="244">
        <f>SUMPRODUCT(Stories!$W$4:$W$103,--(Stories!$J$4:$J$103=$A28))</f>
        <v/>
      </c>
      <c r="D28" s="245" t="n">
        <v>3</v>
      </c>
      <c r="E28" s="243" t="n">
        <v>0</v>
      </c>
      <c r="F28" s="248" t="inlineStr">
        <is>
          <t>Offshore, Coasts &amp; Water</t>
        </is>
      </c>
      <c r="G28" s="243" t="n">
        <v>1</v>
      </c>
      <c r="H28" s="171" t="inlineStr">
        <is>
          <t>Argentina</t>
        </is>
      </c>
      <c r="I28" s="247" t="n">
        <v>46319</v>
      </c>
    </row>
    <row r="29" ht="28" customHeight="1">
      <c r="A29" s="231" t="inlineStr">
        <is>
          <t>El Siglo de Torreón</t>
        </is>
      </c>
      <c r="B29" s="243" t="n">
        <v>1</v>
      </c>
      <c r="C29" s="244">
        <f>SUMPRODUCT(Stories!$W$4:$W$103,--(Stories!$J$4:$J$103=$A29))</f>
        <v/>
      </c>
      <c r="D29" s="245" t="n">
        <v>3</v>
      </c>
      <c r="E29" s="243" t="n">
        <v>0</v>
      </c>
      <c r="F29" s="250"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SUMPRODUCT(Stories!$W$4:$W$103,--(Stories!$J$4:$J$103=$A30))</f>
        <v/>
      </c>
      <c r="D30" s="245" t="n">
        <v>3</v>
      </c>
      <c r="E30" s="243" t="n">
        <v>0</v>
      </c>
      <c r="F30" s="250"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SUMPRODUCT(Stories!$W$4:$W$103,--(Stories!$J$4:$J$103=$A31))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SUMPRODUCT(Stories!$W$4:$W$103,--(Stories!$J$4:$J$103=$A32))</f>
        <v/>
      </c>
      <c r="D32" s="245" t="n">
        <v>4</v>
      </c>
      <c r="E32" s="243" t="n">
        <v>1</v>
      </c>
      <c r="F32" s="250"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SUMPRODUCT(Stories!$W$4:$W$103,--(Stories!$J$4:$J$103=$A33))</f>
        <v/>
      </c>
      <c r="D33" s="245" t="n">
        <v>3</v>
      </c>
      <c r="E33" s="243" t="n">
        <v>0</v>
      </c>
      <c r="F33" s="250"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SUMPRODUCT(Stories!$W$4:$W$103,--(Stories!$J$4:$J$103=$A34))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SUMPRODUCT(Stories!$W$4:$W$103,--(Stories!$J$4:$J$103=$A35))</f>
        <v/>
      </c>
      <c r="D35" s="245" t="n">
        <v>5</v>
      </c>
      <c r="E35" s="243" t="n">
        <v>1</v>
      </c>
      <c r="F35" s="254" t="inlineStr">
        <is>
          <t>Ground Improvement &amp; Innovation</t>
        </is>
      </c>
      <c r="G35" s="243" t="n">
        <v>1</v>
      </c>
      <c r="H35" s="171" t="inlineStr">
        <is>
          <t>United States</t>
        </is>
      </c>
      <c r="I35" s="247" t="n">
        <v>46319</v>
      </c>
    </row>
    <row r="36" ht="15.5" customHeight="1">
      <c r="A36" s="231" t="inlineStr">
        <is>
          <t>Il Giornale dei Castelli Romani</t>
        </is>
      </c>
      <c r="B36" s="243" t="n">
        <v>1</v>
      </c>
      <c r="C36" s="244">
        <f>SUMPRODUCT(Stories!$W$4:$W$103,--(Stories!$J$4:$J$103=$A36))</f>
        <v/>
      </c>
      <c r="D36" s="245" t="n">
        <v>4</v>
      </c>
      <c r="E36" s="243" t="n">
        <v>1</v>
      </c>
      <c r="F36" s="246" t="inlineStr">
        <is>
          <t>Hazards &amp; Resilience</t>
        </is>
      </c>
      <c r="G36" s="243" t="n">
        <v>1</v>
      </c>
      <c r="H36" s="171" t="inlineStr">
        <is>
          <t>Italy</t>
        </is>
      </c>
      <c r="I36" s="247" t="n">
        <v>46319</v>
      </c>
    </row>
    <row r="37" ht="15.5" customHeight="1">
      <c r="A37" s="231" t="inlineStr">
        <is>
          <t>Kenh14.vn</t>
        </is>
      </c>
      <c r="B37" s="243" t="n">
        <v>1</v>
      </c>
      <c r="C37" s="244">
        <f>SUMPRODUCT(Stories!$W$4:$W$103,--(Stories!$J$4:$J$103=$A37))</f>
        <v/>
      </c>
      <c r="D37" s="245" t="n">
        <v>4</v>
      </c>
      <c r="E37" s="243" t="n">
        <v>1</v>
      </c>
      <c r="F37" s="246" t="inlineStr">
        <is>
          <t>Hazards &amp; Resilience</t>
        </is>
      </c>
      <c r="G37" s="243" t="n">
        <v>1</v>
      </c>
      <c r="H37" s="171" t="inlineStr">
        <is>
          <t>Vietnam</t>
        </is>
      </c>
      <c r="I37" s="247" t="n">
        <v>46319</v>
      </c>
    </row>
    <row r="38" ht="15.5" customHeight="1">
      <c r="A38" s="231" t="inlineStr">
        <is>
          <t>La FM</t>
        </is>
      </c>
      <c r="B38" s="243" t="n">
        <v>1</v>
      </c>
      <c r="C38" s="244">
        <f>SUMPRODUCT(Stories!$W$4:$W$103,--(Stories!$J$4:$J$103=$A38))</f>
        <v/>
      </c>
      <c r="D38" s="245" t="n">
        <v>4</v>
      </c>
      <c r="E38" s="243" t="n">
        <v>1</v>
      </c>
      <c r="F38" s="246" t="inlineStr">
        <is>
          <t>Hazards &amp; Resilience</t>
        </is>
      </c>
      <c r="G38" s="243" t="n">
        <v>1</v>
      </c>
      <c r="H38" s="171" t="inlineStr">
        <is>
          <t>Spain</t>
        </is>
      </c>
      <c r="I38" s="247" t="n">
        <v>46320</v>
      </c>
    </row>
    <row r="39" ht="28" customHeight="1">
      <c r="A39" s="231" t="inlineStr">
        <is>
          <t>MarketScreener España</t>
        </is>
      </c>
      <c r="B39" s="243" t="n">
        <v>1</v>
      </c>
      <c r="C39" s="244">
        <f>SUMPRODUCT(Stories!$W$4:$W$103,--(Stories!$J$4:$J$103=$A39))</f>
        <v/>
      </c>
      <c r="D39" s="245" t="n">
        <v>4</v>
      </c>
      <c r="E39" s="243" t="n">
        <v>1</v>
      </c>
      <c r="F39" s="250" t="inlineStr">
        <is>
          <t>Infrastructure &amp; the Underground City</t>
        </is>
      </c>
      <c r="G39" s="243" t="n">
        <v>1</v>
      </c>
      <c r="H39" s="171" t="inlineStr">
        <is>
          <t>Argentina</t>
        </is>
      </c>
      <c r="I39" s="247" t="n">
        <v>46320</v>
      </c>
    </row>
    <row r="40" ht="15.5" customHeight="1">
      <c r="A40" s="231" t="inlineStr">
        <is>
          <t>Meganoticias</t>
        </is>
      </c>
      <c r="B40" s="243" t="n">
        <v>1</v>
      </c>
      <c r="C40" s="244">
        <f>SUMPRODUCT(Stories!$W$4:$W$103,--(Stories!$J$4:$J$103=$A40))</f>
        <v/>
      </c>
      <c r="D40" s="245" t="n">
        <v>4</v>
      </c>
      <c r="E40" s="243" t="n">
        <v>1</v>
      </c>
      <c r="F40" s="246" t="inlineStr">
        <is>
          <t>Hazards &amp; Resilience</t>
        </is>
      </c>
      <c r="G40" s="243" t="n">
        <v>1</v>
      </c>
      <c r="H40" s="171" t="inlineStr">
        <is>
          <t>Chile</t>
        </is>
      </c>
      <c r="I40" s="247" t="n">
        <v>46319</v>
      </c>
    </row>
    <row r="41" ht="28" customHeight="1">
      <c r="A41" s="231" t="inlineStr">
        <is>
          <t>Naver Blog</t>
        </is>
      </c>
      <c r="B41" s="243" t="n">
        <v>1</v>
      </c>
      <c r="C41" s="244">
        <f>SUMPRODUCT(Stories!$W$4:$W$103,--(Stories!$J$4:$J$103=$A41))</f>
        <v/>
      </c>
      <c r="D41" s="245" t="n">
        <v>4</v>
      </c>
      <c r="E41" s="243" t="n">
        <v>1</v>
      </c>
      <c r="F41" s="250" t="inlineStr">
        <is>
          <t>Infrastructure &amp; the Underground City</t>
        </is>
      </c>
      <c r="G41" s="243" t="n">
        <v>1</v>
      </c>
      <c r="H41" s="171" t="inlineStr">
        <is>
          <t>South Korea</t>
        </is>
      </c>
      <c r="I41" s="247" t="n">
        <v>46319</v>
      </c>
    </row>
    <row r="42" ht="28" customHeight="1">
      <c r="A42" s="231" t="inlineStr">
        <is>
          <t>NDT Noticias de Tijuana</t>
        </is>
      </c>
      <c r="B42" s="243" t="n">
        <v>1</v>
      </c>
      <c r="C42" s="244">
        <f>SUMPRODUCT(Stories!$W$4:$W$103,--(Stories!$J$4:$J$103=$A42))</f>
        <v/>
      </c>
      <c r="D42" s="245" t="n">
        <v>4</v>
      </c>
      <c r="E42" s="243" t="n">
        <v>1</v>
      </c>
      <c r="F42" s="250" t="inlineStr">
        <is>
          <t>Infrastructure &amp; the Underground City</t>
        </is>
      </c>
      <c r="G42" s="243" t="n">
        <v>1</v>
      </c>
      <c r="H42" s="171" t="inlineStr">
        <is>
          <t>Colombia</t>
        </is>
      </c>
      <c r="I42" s="247" t="n">
        <v>46320</v>
      </c>
    </row>
    <row r="43" ht="15.5" customHeight="1">
      <c r="A43" s="231" t="inlineStr">
        <is>
          <t>Người Đưa Tin</t>
        </is>
      </c>
      <c r="B43" s="243" t="n">
        <v>1</v>
      </c>
      <c r="C43" s="244">
        <f>SUMPRODUCT(Stories!$W$4:$W$103,--(Stories!$J$4:$J$103=$A43))</f>
        <v/>
      </c>
      <c r="D43" s="245" t="n">
        <v>4</v>
      </c>
      <c r="E43" s="243" t="n">
        <v>1</v>
      </c>
      <c r="F43" s="248" t="inlineStr">
        <is>
          <t>Offshore, Coasts &amp; Water</t>
        </is>
      </c>
      <c r="G43" s="243" t="n">
        <v>1</v>
      </c>
      <c r="H43" s="171" t="inlineStr">
        <is>
          <t>Vietnam</t>
        </is>
      </c>
      <c r="I43" s="247" t="n">
        <v>46319</v>
      </c>
    </row>
    <row r="44" ht="15.5" customHeight="1">
      <c r="A44" s="231" t="inlineStr">
        <is>
          <t>Onmanorama</t>
        </is>
      </c>
      <c r="B44" s="243" t="n">
        <v>1</v>
      </c>
      <c r="C44" s="244">
        <f>SUMPRODUCT(Stories!$W$4:$W$103,--(Stories!$J$4:$J$103=$A44))</f>
        <v/>
      </c>
      <c r="D44" s="245" t="n">
        <v>5</v>
      </c>
      <c r="E44" s="243" t="n">
        <v>1</v>
      </c>
      <c r="F44" s="246" t="inlineStr">
        <is>
          <t>Hazards &amp; Resilience</t>
        </is>
      </c>
      <c r="G44" s="243" t="n">
        <v>1</v>
      </c>
      <c r="H44" s="171" t="inlineStr">
        <is>
          <t>South Africa</t>
        </is>
      </c>
      <c r="I44" s="247" t="n">
        <v>46320</v>
      </c>
    </row>
    <row r="45" ht="15.5" customHeight="1">
      <c r="A45" s="231" t="inlineStr">
        <is>
          <t>Publimicro</t>
        </is>
      </c>
      <c r="B45" s="243" t="n">
        <v>1</v>
      </c>
      <c r="C45" s="244">
        <f>SUMPRODUCT(Stories!$W$4:$W$103,--(Stories!$J$4:$J$103=$A45))</f>
        <v/>
      </c>
      <c r="D45" s="245" t="n">
        <v>5</v>
      </c>
      <c r="E45" s="243" t="n">
        <v>1</v>
      </c>
      <c r="F45" s="246" t="inlineStr">
        <is>
          <t>Hazards &amp; Resilience</t>
        </is>
      </c>
      <c r="G45" s="243" t="n">
        <v>1</v>
      </c>
      <c r="H45" s="171" t="inlineStr">
        <is>
          <t>Colombia</t>
        </is>
      </c>
      <c r="I45" s="247" t="n">
        <v>46320</v>
      </c>
    </row>
    <row r="46" ht="28" customHeight="1">
      <c r="A46" s="231" t="inlineStr">
        <is>
          <t>Quintana Roo Hoy</t>
        </is>
      </c>
      <c r="B46" s="243" t="n">
        <v>1</v>
      </c>
      <c r="C46" s="244">
        <f>SUMPRODUCT(Stories!$W$4:$W$103,--(Stories!$J$4:$J$103=$A46))</f>
        <v/>
      </c>
      <c r="D46" s="245" t="n">
        <v>4</v>
      </c>
      <c r="E46" s="243" t="n">
        <v>1</v>
      </c>
      <c r="F46" s="250" t="inlineStr">
        <is>
          <t>Infrastructure &amp; the Underground City</t>
        </is>
      </c>
      <c r="G46" s="243" t="n">
        <v>1</v>
      </c>
      <c r="H46" s="171" t="inlineStr">
        <is>
          <t>Colombia</t>
        </is>
      </c>
      <c r="I46" s="247" t="n">
        <v>46320</v>
      </c>
    </row>
    <row r="47" ht="15.5" customHeight="1">
      <c r="A47" s="231" t="inlineStr">
        <is>
          <t>Radio-Canada</t>
        </is>
      </c>
      <c r="B47" s="243" t="n">
        <v>1</v>
      </c>
      <c r="C47" s="244">
        <f>SUMPRODUCT(Stories!$W$4:$W$103,--(Stories!$J$4:$J$103=$A47))</f>
        <v/>
      </c>
      <c r="D47" s="245" t="n">
        <v>4</v>
      </c>
      <c r="E47" s="243" t="n">
        <v>1</v>
      </c>
      <c r="F47" s="246" t="inlineStr">
        <is>
          <t>Hazards &amp; Resilience</t>
        </is>
      </c>
      <c r="G47" s="243" t="n">
        <v>1</v>
      </c>
      <c r="H47" s="171" t="inlineStr">
        <is>
          <t>France</t>
        </is>
      </c>
      <c r="I47" s="247" t="n">
        <v>46320</v>
      </c>
    </row>
    <row r="48" ht="28" customHeight="1">
      <c r="A48" s="231" t="inlineStr">
        <is>
          <t>Realidad Sanmartinense</t>
        </is>
      </c>
      <c r="B48" s="243" t="n">
        <v>1</v>
      </c>
      <c r="C48" s="244">
        <f>SUMPRODUCT(Stories!$W$4:$W$103,--(Stories!$J$4:$J$103=$A48))</f>
        <v/>
      </c>
      <c r="D48" s="245" t="n">
        <v>3</v>
      </c>
      <c r="E48" s="243" t="n">
        <v>0</v>
      </c>
      <c r="F48" s="250" t="inlineStr">
        <is>
          <t>Infrastructure &amp; the Underground City</t>
        </is>
      </c>
      <c r="G48" s="243" t="n">
        <v>1</v>
      </c>
      <c r="H48" s="171" t="inlineStr">
        <is>
          <t>Colombia</t>
        </is>
      </c>
      <c r="I48" s="247" t="n">
        <v>46319</v>
      </c>
    </row>
    <row r="49" ht="15.5" customHeight="1">
      <c r="A49" s="231" t="inlineStr">
        <is>
          <t>Revista Digital Minera REDIMIN</t>
        </is>
      </c>
      <c r="B49" s="243" t="n">
        <v>1</v>
      </c>
      <c r="C49" s="244">
        <f>SUMPRODUCT(Stories!$W$4:$W$103,--(Stories!$J$4:$J$103=$A49))</f>
        <v/>
      </c>
      <c r="D49" s="245" t="n">
        <v>5</v>
      </c>
      <c r="E49" s="243" t="n">
        <v>1</v>
      </c>
      <c r="F49" s="246" t="inlineStr">
        <is>
          <t>Hazards &amp; Resilience</t>
        </is>
      </c>
      <c r="G49" s="243" t="n">
        <v>1</v>
      </c>
      <c r="H49" s="171" t="inlineStr">
        <is>
          <t>Argentina</t>
        </is>
      </c>
      <c r="I49" s="247" t="n">
        <v>46320</v>
      </c>
    </row>
    <row r="50" ht="15.5" customHeight="1">
      <c r="A50" s="231" t="inlineStr">
        <is>
          <t>RRI.co.id</t>
        </is>
      </c>
      <c r="B50" s="243" t="n">
        <v>1</v>
      </c>
      <c r="C50" s="244">
        <f>SUMPRODUCT(Stories!$W$4:$W$103,--(Stories!$J$4:$J$103=$A50))</f>
        <v/>
      </c>
      <c r="D50" s="245" t="n">
        <v>4</v>
      </c>
      <c r="E50" s="243" t="n">
        <v>1</v>
      </c>
      <c r="F50" s="246" t="inlineStr">
        <is>
          <t>Hazards &amp; Resilience</t>
        </is>
      </c>
      <c r="G50" s="243" t="n">
        <v>1</v>
      </c>
      <c r="H50" s="171" t="inlineStr">
        <is>
          <t>Indonesia</t>
        </is>
      </c>
      <c r="I50" s="247" t="n">
        <v>46319</v>
      </c>
    </row>
    <row r="51" ht="15.5" customHeight="1">
      <c r="A51" s="231" t="inlineStr">
        <is>
          <t>Sciencepost</t>
        </is>
      </c>
      <c r="B51" s="243" t="n">
        <v>1</v>
      </c>
      <c r="C51" s="244">
        <f>SUMPRODUCT(Stories!$W$4:$W$103,--(Stories!$J$4:$J$103=$A51))</f>
        <v/>
      </c>
      <c r="D51" s="245" t="n">
        <v>5</v>
      </c>
      <c r="E51" s="243" t="n">
        <v>1</v>
      </c>
      <c r="F51" s="254" t="inlineStr">
        <is>
          <t>Ground Improvement &amp; Innovation</t>
        </is>
      </c>
      <c r="G51" s="243" t="n">
        <v>1</v>
      </c>
      <c r="H51" s="171" t="inlineStr">
        <is>
          <t>Senegal</t>
        </is>
      </c>
      <c r="I51" s="247" t="n">
        <v>46319</v>
      </c>
    </row>
    <row r="52" ht="15.5" customHeight="1">
      <c r="A52" s="231" t="inlineStr">
        <is>
          <t>StabiaChannel.it</t>
        </is>
      </c>
      <c r="B52" s="243" t="n">
        <v>1</v>
      </c>
      <c r="C52" s="244">
        <f>SUMPRODUCT(Stories!$W$4:$W$103,--(Stories!$J$4:$J$103=$A52))</f>
        <v/>
      </c>
      <c r="D52" s="245" t="n">
        <v>4</v>
      </c>
      <c r="E52" s="243" t="n">
        <v>1</v>
      </c>
      <c r="F52" s="246" t="inlineStr">
        <is>
          <t>Hazards &amp; Resilience</t>
        </is>
      </c>
      <c r="G52" s="243" t="n">
        <v>1</v>
      </c>
      <c r="H52" s="171" t="inlineStr">
        <is>
          <t>Italy</t>
        </is>
      </c>
      <c r="I52" s="247" t="n">
        <v>46320</v>
      </c>
    </row>
    <row r="53" ht="28" customHeight="1">
      <c r="A53" s="231" t="inlineStr">
        <is>
          <t>Tabasco HOY</t>
        </is>
      </c>
      <c r="B53" s="243" t="n">
        <v>1</v>
      </c>
      <c r="C53" s="244">
        <f>SUMPRODUCT(Stories!$W$4:$W$103,--(Stories!$J$4:$J$103=$A53))</f>
        <v/>
      </c>
      <c r="D53" s="245" t="n">
        <v>3</v>
      </c>
      <c r="E53" s="243" t="n">
        <v>0</v>
      </c>
      <c r="F53" s="250" t="inlineStr">
        <is>
          <t>Infrastructure &amp; the Underground City</t>
        </is>
      </c>
      <c r="G53" s="243" t="n">
        <v>1</v>
      </c>
      <c r="H53" s="171" t="inlineStr">
        <is>
          <t>Colombia</t>
        </is>
      </c>
      <c r="I53" s="247" t="n">
        <v>46319</v>
      </c>
    </row>
    <row r="54" ht="28" customHeight="1">
      <c r="A54" s="231" t="inlineStr">
        <is>
          <t>The Hindu</t>
        </is>
      </c>
      <c r="B54" s="243" t="n">
        <v>1</v>
      </c>
      <c r="C54" s="244">
        <f>SUMPRODUCT(Stories!$W$4:$W$103,--(Stories!$J$4:$J$103=$A54))</f>
        <v/>
      </c>
      <c r="D54" s="245" t="n">
        <v>3</v>
      </c>
      <c r="E54" s="243" t="n">
        <v>0</v>
      </c>
      <c r="F54" s="250" t="inlineStr">
        <is>
          <t>Infrastructure &amp; the Underground City</t>
        </is>
      </c>
      <c r="G54" s="243" t="n">
        <v>1</v>
      </c>
      <c r="H54" s="171" t="inlineStr">
        <is>
          <t>United Kingdom</t>
        </is>
      </c>
      <c r="I54" s="247" t="n">
        <v>46320</v>
      </c>
    </row>
    <row r="55" ht="15.5" customHeight="1">
      <c r="A55" s="231" t="inlineStr">
        <is>
          <t>The Star</t>
        </is>
      </c>
      <c r="B55" s="243" t="n">
        <v>1</v>
      </c>
      <c r="C55" s="244">
        <f>SUMPRODUCT(Stories!$W$4:$W$103,--(Stories!$J$4:$J$103=$A55))</f>
        <v/>
      </c>
      <c r="D55" s="245" t="n">
        <v>4</v>
      </c>
      <c r="E55" s="243" t="n">
        <v>1</v>
      </c>
      <c r="F55" s="246" t="inlineStr">
        <is>
          <t>Hazards &amp; Resilience</t>
        </is>
      </c>
      <c r="G55" s="243" t="n">
        <v>1</v>
      </c>
      <c r="H55" s="171" t="inlineStr">
        <is>
          <t>United Kingdom</t>
        </is>
      </c>
      <c r="I55" s="247" t="n">
        <v>46320</v>
      </c>
    </row>
    <row r="56" ht="15.5" customHeight="1">
      <c r="A56" s="231" t="inlineStr">
        <is>
          <t>The Weekend Leader</t>
        </is>
      </c>
      <c r="B56" s="243" t="n">
        <v>1</v>
      </c>
      <c r="C56" s="244">
        <f>SUMPRODUCT(Stories!$W$4:$W$103,--(Stories!$J$4:$J$103=$A56))</f>
        <v/>
      </c>
      <c r="D56" s="245" t="n">
        <v>4</v>
      </c>
      <c r="E56" s="243" t="n">
        <v>1</v>
      </c>
      <c r="F56" s="246" t="inlineStr">
        <is>
          <t>Hazards &amp; Resilience</t>
        </is>
      </c>
      <c r="G56" s="243" t="n">
        <v>1</v>
      </c>
      <c r="H56" s="171" t="inlineStr">
        <is>
          <t>South Africa</t>
        </is>
      </c>
      <c r="I56" s="247" t="n">
        <v>46320</v>
      </c>
    </row>
    <row r="57" ht="15.5" customHeight="1">
      <c r="A57" s="231" t="inlineStr">
        <is>
          <t>tin.skydoor.net</t>
        </is>
      </c>
      <c r="B57" s="243" t="n">
        <v>1</v>
      </c>
      <c r="C57" s="244">
        <f>SUMPRODUCT(Stories!$W$4:$W$103,--(Stories!$J$4:$J$103=$A57))</f>
        <v/>
      </c>
      <c r="D57" s="245" t="n">
        <v>4</v>
      </c>
      <c r="E57" s="243" t="n">
        <v>1</v>
      </c>
      <c r="F57" s="248" t="inlineStr">
        <is>
          <t>Offshore, Coasts &amp; Water</t>
        </is>
      </c>
      <c r="G57" s="243" t="n">
        <v>1</v>
      </c>
      <c r="H57" s="171" t="inlineStr">
        <is>
          <t>Vietnam</t>
        </is>
      </c>
      <c r="I57" s="247" t="n">
        <v>46320</v>
      </c>
    </row>
    <row r="58" ht="15.5" customHeight="1">
      <c r="A58" s="231" t="inlineStr">
        <is>
          <t>Trade-news.cl</t>
        </is>
      </c>
      <c r="B58" s="243" t="n">
        <v>1</v>
      </c>
      <c r="C58" s="244">
        <f>SUMPRODUCT(Stories!$W$4:$W$103,--(Stories!$J$4:$J$103=$A58))</f>
        <v/>
      </c>
      <c r="D58" s="245" t="n">
        <v>3</v>
      </c>
      <c r="E58" s="243" t="n">
        <v>0</v>
      </c>
      <c r="F58" s="249" t="inlineStr">
        <is>
          <t>Characterisation &amp; Modelling</t>
        </is>
      </c>
      <c r="G58" s="243" t="n">
        <v>1</v>
      </c>
      <c r="H58" s="171" t="inlineStr">
        <is>
          <t>Peru</t>
        </is>
      </c>
      <c r="I58" s="247" t="n">
        <v>46319</v>
      </c>
    </row>
    <row r="59" ht="15.5" customHeight="1">
      <c r="A59" s="231" t="inlineStr">
        <is>
          <t>Trigno.net</t>
        </is>
      </c>
      <c r="B59" s="243" t="n">
        <v>1</v>
      </c>
      <c r="C59" s="244">
        <f>SUMPRODUCT(Stories!$W$4:$W$103,--(Stories!$J$4:$J$103=$A59))</f>
        <v/>
      </c>
      <c r="D59" s="245" t="n">
        <v>3</v>
      </c>
      <c r="E59" s="243" t="n">
        <v>0</v>
      </c>
      <c r="F59" s="253" t="inlineStr">
        <is>
          <t>Geotechnics &amp; Society</t>
        </is>
      </c>
      <c r="G59" s="243" t="n">
        <v>1</v>
      </c>
      <c r="H59" s="171" t="inlineStr">
        <is>
          <t>Italy</t>
        </is>
      </c>
      <c r="I59" s="247" t="n">
        <v>46320</v>
      </c>
    </row>
    <row r="60" ht="15.5" customHeight="1">
      <c r="A60" s="231" t="inlineStr">
        <is>
          <t>Tv7 Benevento</t>
        </is>
      </c>
      <c r="B60" s="243" t="n">
        <v>1</v>
      </c>
      <c r="C60" s="244">
        <f>SUMPRODUCT(Stories!$W$4:$W$103,--(Stories!$J$4:$J$103=$A60))</f>
        <v/>
      </c>
      <c r="D60" s="245" t="n">
        <v>4</v>
      </c>
      <c r="E60" s="243" t="n">
        <v>1</v>
      </c>
      <c r="F60" s="246" t="inlineStr">
        <is>
          <t>Hazards &amp; Resilience</t>
        </is>
      </c>
      <c r="G60" s="243" t="n">
        <v>1</v>
      </c>
      <c r="H60" s="171" t="inlineStr">
        <is>
          <t>Italy</t>
        </is>
      </c>
      <c r="I60" s="247" t="n">
        <v>46319</v>
      </c>
    </row>
    <row r="61" ht="15.5" customHeight="1">
      <c r="A61" s="231" t="inlineStr">
        <is>
          <t>VnExpress International</t>
        </is>
      </c>
      <c r="B61" s="243" t="n">
        <v>1</v>
      </c>
      <c r="C61" s="244">
        <f>SUMPRODUCT(Stories!$W$4:$W$103,--(Stories!$J$4:$J$103=$A61))</f>
        <v/>
      </c>
      <c r="D61" s="245" t="n">
        <v>4</v>
      </c>
      <c r="E61" s="243" t="n">
        <v>1</v>
      </c>
      <c r="F61" s="249" t="inlineStr">
        <is>
          <t>Characterisation &amp; Modelling</t>
        </is>
      </c>
      <c r="G61" s="243" t="n">
        <v>1</v>
      </c>
      <c r="H61" s="171" t="inlineStr">
        <is>
          <t>United Kingdom</t>
        </is>
      </c>
      <c r="I61" s="247" t="n">
        <v>46319</v>
      </c>
    </row>
    <row r="62" ht="28" customHeight="1">
      <c r="A62" s="231" t="inlineStr">
        <is>
          <t>VOH</t>
        </is>
      </c>
      <c r="B62" s="243" t="n">
        <v>1</v>
      </c>
      <c r="C62" s="244">
        <f>SUMPRODUCT(Stories!$W$4:$W$103,--(Stories!$J$4:$J$103=$A62))</f>
        <v/>
      </c>
      <c r="D62" s="245" t="n">
        <v>4</v>
      </c>
      <c r="E62" s="243" t="n">
        <v>1</v>
      </c>
      <c r="F62" s="250" t="inlineStr">
        <is>
          <t>Infrastructure &amp; the Underground City</t>
        </is>
      </c>
      <c r="G62" s="243" t="n">
        <v>1</v>
      </c>
      <c r="H62" s="171" t="inlineStr">
        <is>
          <t>Vietnam</t>
        </is>
      </c>
      <c r="I62" s="247" t="n">
        <v>46319</v>
      </c>
    </row>
    <row r="63" ht="15.5" customHeight="1">
      <c r="A63" s="231" t="inlineStr">
        <is>
          <t>VTV.vn</t>
        </is>
      </c>
      <c r="B63" s="243" t="n">
        <v>1</v>
      </c>
      <c r="C63" s="244">
        <f>SUMPRODUCT(Stories!$W$4:$W$103,--(Stories!$J$4:$J$103=$A63))</f>
        <v/>
      </c>
      <c r="D63" s="245" t="n">
        <v>4</v>
      </c>
      <c r="E63" s="243" t="n">
        <v>1</v>
      </c>
      <c r="F63" s="248" t="inlineStr">
        <is>
          <t>Offshore, Coasts &amp; Water</t>
        </is>
      </c>
      <c r="G63" s="243" t="n">
        <v>1</v>
      </c>
      <c r="H63" s="171" t="inlineStr">
        <is>
          <t>Vietnam</t>
        </is>
      </c>
      <c r="I63" s="247" t="n">
        <v>46319</v>
      </c>
    </row>
    <row r="64" ht="15.5" customHeight="1">
      <c r="A64" s="231" t="inlineStr">
        <is>
          <t>www.noroeste.com.mx</t>
        </is>
      </c>
      <c r="B64" s="243" t="n">
        <v>1</v>
      </c>
      <c r="C64" s="244">
        <f>SUMPRODUCT(Stories!$W$4:$W$103,--(Stories!$J$4:$J$103=$A64))</f>
        <v/>
      </c>
      <c r="D64" s="245" t="n">
        <v>4</v>
      </c>
      <c r="E64" s="243" t="n">
        <v>1</v>
      </c>
      <c r="F64" s="253" t="inlineStr">
        <is>
          <t>Geotechnics &amp; Society</t>
        </is>
      </c>
      <c r="G64" s="243" t="n">
        <v>1</v>
      </c>
      <c r="H64" s="171" t="inlineStr">
        <is>
          <t>Colombia</t>
        </is>
      </c>
      <c r="I64" s="247" t="n">
        <v>46319</v>
      </c>
    </row>
    <row r="65" ht="15.5" customHeight="1">
      <c r="A65" s="231" t="inlineStr">
        <is>
          <t>Zazoom Social News</t>
        </is>
      </c>
      <c r="B65" s="243" t="n">
        <v>1</v>
      </c>
      <c r="C65" s="244">
        <f>SUMPRODUCT(Stories!$W$4:$W$103,--(Stories!$J$4:$J$103=$A65))</f>
        <v/>
      </c>
      <c r="D65" s="245" t="n">
        <v>4</v>
      </c>
      <c r="E65" s="243" t="n">
        <v>1</v>
      </c>
      <c r="F65" s="246" t="inlineStr">
        <is>
          <t>Hazards &amp; Resilience</t>
        </is>
      </c>
      <c r="G65" s="243" t="n">
        <v>1</v>
      </c>
      <c r="H65" s="171" t="inlineStr">
        <is>
          <t>Italy</t>
        </is>
      </c>
      <c r="I65" s="247" t="n">
        <v>46319</v>
      </c>
    </row>
    <row r="66" ht="28" customHeight="1">
      <c r="A66" s="231" t="inlineStr">
        <is>
          <t>Крыминформ</t>
        </is>
      </c>
      <c r="B66" s="243" t="n">
        <v>1</v>
      </c>
      <c r="C66" s="244">
        <f>SUMPRODUCT(Stories!$W$4:$W$103,--(Stories!$J$4:$J$103=$A66))</f>
        <v/>
      </c>
      <c r="D66" s="245" t="n">
        <v>4</v>
      </c>
      <c r="E66" s="243" t="n">
        <v>1</v>
      </c>
      <c r="F66" s="250" t="inlineStr">
        <is>
          <t>Infrastructure &amp; the Underground City</t>
        </is>
      </c>
      <c r="G66" s="243" t="n">
        <v>1</v>
      </c>
      <c r="H66" s="171" t="inlineStr">
        <is>
          <t>Russia</t>
        </is>
      </c>
      <c r="I66" s="247" t="n">
        <v>46319</v>
      </c>
    </row>
    <row r="67" ht="28" customHeight="1">
      <c r="A67" s="231" t="inlineStr">
        <is>
          <t>Самарская газета</t>
        </is>
      </c>
      <c r="B67" s="243" t="n">
        <v>1</v>
      </c>
      <c r="C67" s="244">
        <f>SUMPRODUCT(Stories!$W$4:$W$103,--(Stories!$J$4:$J$103=$A67))</f>
        <v/>
      </c>
      <c r="D67" s="245" t="n">
        <v>3</v>
      </c>
      <c r="E67" s="243" t="n">
        <v>0</v>
      </c>
      <c r="F67" s="250" t="inlineStr">
        <is>
          <t>Infrastructure &amp; the Underground City</t>
        </is>
      </c>
      <c r="G67" s="243" t="n">
        <v>1</v>
      </c>
      <c r="H67" s="171" t="inlineStr">
        <is>
          <t>Russia</t>
        </is>
      </c>
      <c r="I67" s="247" t="n">
        <v>46319</v>
      </c>
    </row>
    <row r="68" ht="15.5" customHeight="1">
      <c r="A68" s="231" t="inlineStr">
        <is>
          <t>千葉日報オンライン</t>
        </is>
      </c>
      <c r="B68" s="243" t="n">
        <v>1</v>
      </c>
      <c r="C68" s="244">
        <f>SUMPRODUCT(Stories!$W$4:$W$103,--(Stories!$J$4:$J$103=$A68))</f>
        <v/>
      </c>
      <c r="D68" s="245" t="n">
        <v>4</v>
      </c>
      <c r="E68" s="243" t="n">
        <v>1</v>
      </c>
      <c r="F68" s="246" t="inlineStr">
        <is>
          <t>Hazards &amp; Resilience</t>
        </is>
      </c>
      <c r="G68" s="243" t="n">
        <v>1</v>
      </c>
      <c r="H68" s="171" t="inlineStr">
        <is>
          <t>Japan</t>
        </is>
      </c>
      <c r="I68" s="247" t="n">
        <v>46320</v>
      </c>
    </row>
    <row r="69" ht="15.5" customHeight="1">
      <c r="A69" s="231" t="inlineStr">
        <is>
          <t>山陽新聞</t>
        </is>
      </c>
      <c r="B69" s="243" t="n">
        <v>1</v>
      </c>
      <c r="C69" s="244">
        <f>SUMPRODUCT(Stories!$W$4:$W$103,--(Stories!$J$4:$J$103=$A69))</f>
        <v/>
      </c>
      <c r="D69" s="245" t="n">
        <v>5</v>
      </c>
      <c r="E69" s="243" t="n">
        <v>1</v>
      </c>
      <c r="F69" s="246" t="inlineStr">
        <is>
          <t>Hazards &amp; Resilience</t>
        </is>
      </c>
      <c r="G69" s="243" t="n">
        <v>1</v>
      </c>
      <c r="H69" s="171" t="inlineStr">
        <is>
          <t>Japan</t>
        </is>
      </c>
      <c r="I69" s="247" t="n">
        <v>46320</v>
      </c>
    </row>
    <row r="70" ht="28" customHeight="1">
      <c r="A70" s="231" t="inlineStr">
        <is>
          <t>아시아경제</t>
        </is>
      </c>
      <c r="B70" s="243" t="n">
        <v>1</v>
      </c>
      <c r="C70" s="244">
        <f>SUMPRODUCT(Stories!$W$4:$W$103,--(Stories!$J$4:$J$103=$A70))</f>
        <v/>
      </c>
      <c r="D70" s="245" t="n">
        <v>4</v>
      </c>
      <c r="E70" s="243" t="n">
        <v>1</v>
      </c>
      <c r="F70" s="250" t="inlineStr">
        <is>
          <t>Infrastructure &amp; the Underground City</t>
        </is>
      </c>
      <c r="G70" s="243" t="n">
        <v>1</v>
      </c>
      <c r="H70" s="171" t="inlineStr">
        <is>
          <t>United Kingdom</t>
        </is>
      </c>
      <c r="I70" s="247" t="n">
        <v>46319</v>
      </c>
    </row>
    <row r="71" ht="28" customHeight="1">
      <c r="A71" s="231" t="inlineStr">
        <is>
          <t>아주경제</t>
        </is>
      </c>
      <c r="B71" s="243" t="n">
        <v>1</v>
      </c>
      <c r="C71" s="244">
        <f>SUMPRODUCT(Stories!$W$4:$W$103,--(Stories!$J$4:$J$103=$A71))</f>
        <v/>
      </c>
      <c r="D71" s="245" t="n">
        <v>4</v>
      </c>
      <c r="E71" s="243" t="n">
        <v>1</v>
      </c>
      <c r="F71" s="250" t="inlineStr">
        <is>
          <t>Infrastructure &amp; the Underground City</t>
        </is>
      </c>
      <c r="G71" s="243" t="n">
        <v>1</v>
      </c>
      <c r="H71" s="171" t="inlineStr">
        <is>
          <t>South Korea</t>
        </is>
      </c>
      <c r="I71" s="247" t="n">
        <v>46319</v>
      </c>
    </row>
    <row r="72" ht="28" customHeight="1">
      <c r="A72" s="231" t="inlineStr">
        <is>
          <t>충청신문</t>
        </is>
      </c>
      <c r="B72" s="243" t="n">
        <v>1</v>
      </c>
      <c r="C72" s="244">
        <f>SUMPRODUCT(Stories!$W$4:$W$103,--(Stories!$J$4:$J$103=$A72))</f>
        <v/>
      </c>
      <c r="D72" s="245" t="n">
        <v>5</v>
      </c>
      <c r="E72" s="243" t="n">
        <v>1</v>
      </c>
      <c r="F72" s="250" t="inlineStr">
        <is>
          <t>Infrastructure &amp; the Underground City</t>
        </is>
      </c>
      <c r="G72" s="243" t="n">
        <v>1</v>
      </c>
      <c r="H72" s="171" t="inlineStr">
        <is>
          <t>South Korea</t>
        </is>
      </c>
      <c r="I72" s="247"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COUNTIFS(Stories!$W$4:$W$103,1,Stories!$K$4:$K$103,J2)</f>
        <v/>
      </c>
      <c r="M2" s="256" t="n">
        <v>1</v>
      </c>
      <c r="N2" s="258">
        <f>IFERROR(LARGE(Stories!$X$4:$X$103,M2),"")</f>
        <v/>
      </c>
      <c r="O2" s="256">
        <f>IF(N2="","",MATCH(N2,Stories!$X$4:$X$103,0))</f>
        <v/>
      </c>
      <c r="P2" s="256">
        <f>IF(O2="","",INDEX(Stories!$V$4:$V$103,O2)&amp;"")</f>
        <v/>
      </c>
      <c r="Q2" s="256">
        <f>IF(O2="","",IF(LEN(INDEX(Stories!$B$4:$B$103,O2))&gt;120,LEFT(INDEX(Stories!$B$4:$B$103,O2),118)&amp;"…",INDEX(Stories!$B$4:$B$103,O2)&amp;""))</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COUNTIFS(Stories!$W$4:$W$103,1,Stories!$K$4:$K$103,J3)</f>
        <v/>
      </c>
      <c r="M3" s="256" t="n">
        <v>2</v>
      </c>
      <c r="N3" s="258">
        <f>IFERROR(LARGE(Stories!$X$4:$X$103,M3),"")</f>
        <v/>
      </c>
      <c r="O3" s="256">
        <f>IF(N3="","",MATCH(N3,Stories!$X$4:$X$103,0))</f>
        <v/>
      </c>
      <c r="P3" s="256">
        <f>IF(O3="","",INDEX(Stories!$V$4:$V$103,O3)&amp;"")</f>
        <v/>
      </c>
      <c r="Q3" s="256">
        <f>IF(O3="","",IF(LEN(INDEX(Stories!$B$4:$B$103,O3))&gt;120,LEFT(INDEX(Stories!$B$4:$B$103,O3),118)&amp;"…",INDEX(Stories!$B$4:$B$103,O3)&amp;""))</f>
        <v/>
      </c>
    </row>
    <row r="4">
      <c r="A4" s="256" t="inlineStr">
        <is>
          <t>Digital Geotechnics</t>
        </is>
      </c>
      <c r="B4" s="256" t="inlineStr">
        <is>
          <t>News brief</t>
        </is>
      </c>
      <c r="C4" s="256" t="n">
        <v>4</v>
      </c>
      <c r="E4" s="256" t="inlineStr">
        <is>
          <t>Commissioned</t>
        </is>
      </c>
      <c r="G4" s="256" t="inlineStr">
        <is>
          <t>Stories in this workbook</t>
        </is>
      </c>
      <c r="H4" s="256" t="n">
        <v>100</v>
      </c>
      <c r="M4" s="256" t="n">
        <v>3</v>
      </c>
      <c r="N4" s="258">
        <f>IFERROR(LARGE(Stories!$X$4:$X$103,M4),"")</f>
        <v/>
      </c>
      <c r="O4" s="256">
        <f>IF(N4="","",MATCH(N4,Stories!$X$4:$X$103,0))</f>
        <v/>
      </c>
      <c r="P4" s="256">
        <f>IF(O4="","",INDEX(Stories!$V$4:$V$103,O4)&amp;"")</f>
        <v/>
      </c>
      <c r="Q4" s="256">
        <f>IF(O4="","",IF(LEN(INDEX(Stories!$B$4:$B$103,O4))&gt;120,LEFT(INDEX(Stories!$B$4:$B$103,O4),118)&amp;"…",INDEX(Stories!$B$4:$B$103,O4)&amp;""))</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IFERROR(LARGE(Stories!$X$4:$X$103,M5),"")</f>
        <v/>
      </c>
      <c r="O5" s="256">
        <f>IF(N5="","",MATCH(N5,Stories!$X$4:$X$103,0))</f>
        <v/>
      </c>
      <c r="P5" s="256">
        <f>IF(O5="","",INDEX(Stories!$V$4:$V$103,O5)&amp;"")</f>
        <v/>
      </c>
      <c r="Q5" s="256">
        <f>IF(O5="","",IF(LEN(INDEX(Stories!$B$4:$B$103,O5))&gt;120,LEFT(INDEX(Stories!$B$4:$B$103,O5),118)&amp;"…",INDEX(Stories!$B$4:$B$103,O5)&amp;""))</f>
        <v/>
      </c>
    </row>
    <row r="6">
      <c r="A6" s="256" t="inlineStr">
        <is>
          <t>Ground Improvement &amp; Innovation</t>
        </is>
      </c>
      <c r="B6" s="256" t="inlineStr">
        <is>
          <t>Regional insight</t>
        </is>
      </c>
      <c r="E6" s="256" t="inlineStr">
        <is>
          <t>Not used</t>
        </is>
      </c>
      <c r="G6" s="256" t="inlineStr">
        <is>
          <t>Stories in the selection</t>
        </is>
      </c>
      <c r="H6" s="256">
        <f>COUNTIF(Stories!$W$4:$W$103,1)</f>
        <v/>
      </c>
      <c r="M6" s="256" t="n">
        <v>5</v>
      </c>
      <c r="N6" s="258">
        <f>IFERROR(LARGE(Stories!$X$4:$X$103,M6),"")</f>
        <v/>
      </c>
      <c r="O6" s="256">
        <f>IF(N6="","",MATCH(N6,Stories!$X$4:$X$103,0))</f>
        <v/>
      </c>
      <c r="P6" s="256">
        <f>IF(O6="","",INDEX(Stories!$V$4:$V$103,O6)&amp;"")</f>
        <v/>
      </c>
      <c r="Q6" s="256">
        <f>IF(O6="","",IF(LEN(INDEX(Stories!$B$4:$B$103,O6))&gt;120,LEFT(INDEX(Stories!$B$4:$B$103,O6),118)&amp;"…",INDEX(Stories!$B$4:$B$103,O6)&amp;""))</f>
        <v/>
      </c>
    </row>
    <row r="7">
      <c r="A7" s="256" t="inlineStr">
        <is>
          <t>Infrastructure &amp; the Underground City</t>
        </is>
      </c>
      <c r="B7" s="256" t="inlineStr">
        <is>
          <t>Watch only</t>
        </is>
      </c>
      <c r="M7" s="256" t="n">
        <v>6</v>
      </c>
      <c r="N7" s="258">
        <f>IFERROR(LARGE(Stories!$X$4:$X$103,M7),"")</f>
        <v/>
      </c>
      <c r="O7" s="256">
        <f>IF(N7="","",MATCH(N7,Stories!$X$4:$X$103,0))</f>
        <v/>
      </c>
      <c r="P7" s="256">
        <f>IF(O7="","",INDEX(Stories!$V$4:$V$103,O7)&amp;"")</f>
        <v/>
      </c>
      <c r="Q7" s="256">
        <f>IF(O7="","",IF(LEN(INDEX(Stories!$B$4:$B$103,O7))&gt;120,LEFT(INDEX(Stories!$B$4:$B$103,O7),118)&amp;"…",INDEX(Stories!$B$4:$B$103,O7)&amp;""))</f>
        <v/>
      </c>
    </row>
    <row r="8">
      <c r="A8" s="256" t="inlineStr">
        <is>
          <t>Offshore, Coasts &amp; Water</t>
        </is>
      </c>
      <c r="M8" s="256" t="n">
        <v>7</v>
      </c>
      <c r="N8" s="258">
        <f>IFERROR(LARGE(Stories!$X$4:$X$103,M8),"")</f>
        <v/>
      </c>
      <c r="O8" s="256">
        <f>IF(N8="","",MATCH(N8,Stories!$X$4:$X$103,0))</f>
        <v/>
      </c>
      <c r="P8" s="256">
        <f>IF(O8="","",INDEX(Stories!$V$4:$V$103,O8)&amp;"")</f>
        <v/>
      </c>
      <c r="Q8" s="256">
        <f>IF(O8="","",IF(LEN(INDEX(Stories!$B$4:$B$103,O8))&gt;120,LEFT(INDEX(Stories!$B$4:$B$103,O8),118)&amp;"…",INDEX(Stories!$B$4:$B$103,O8)&amp;""))</f>
        <v/>
      </c>
    </row>
    <row r="9">
      <c r="A9" s="256" t="inlineStr">
        <is>
          <t>Characterisation &amp; Modelling</t>
        </is>
      </c>
      <c r="M9" s="256" t="n">
        <v>8</v>
      </c>
      <c r="N9" s="258">
        <f>IFERROR(LARGE(Stories!$X$4:$X$103,M9),"")</f>
        <v/>
      </c>
      <c r="O9" s="256">
        <f>IF(N9="","",MATCH(N9,Stories!$X$4:$X$103,0))</f>
        <v/>
      </c>
      <c r="P9" s="256">
        <f>IF(O9="","",INDEX(Stories!$V$4:$V$103,O9)&amp;"")</f>
        <v/>
      </c>
      <c r="Q9" s="256">
        <f>IF(O9="","",IF(LEN(INDEX(Stories!$B$4:$B$103,O9))&gt;120,LEFT(INDEX(Stories!$B$4:$B$103,O9),118)&amp;"…",INDEX(Stories!$B$4:$B$103,O9)&amp;""))</f>
        <v/>
      </c>
    </row>
    <row r="10">
      <c r="A10" s="256" t="inlineStr">
        <is>
          <t>Geotechnics &amp; Society</t>
        </is>
      </c>
      <c r="M10" s="256" t="n">
        <v>9</v>
      </c>
      <c r="N10" s="258">
        <f>IFERROR(LARGE(Stories!$X$4:$X$103,M10),"")</f>
        <v/>
      </c>
      <c r="O10" s="256">
        <f>IF(N10="","",MATCH(N10,Stories!$X$4:$X$103,0))</f>
        <v/>
      </c>
      <c r="P10" s="256">
        <f>IF(O10="","",INDEX(Stories!$V$4:$V$103,O10)&amp;"")</f>
        <v/>
      </c>
      <c r="Q10" s="256">
        <f>IF(O10="","",IF(LEN(INDEX(Stories!$B$4:$B$103,O10))&gt;120,LEFT(INDEX(Stories!$B$4:$B$103,O10),118)&amp;"…",INDEX(Stories!$B$4:$B$103,O10)&amp;""))</f>
        <v/>
      </c>
    </row>
    <row r="11">
      <c r="A11" s="256" t="inlineStr">
        <is>
          <t>General</t>
        </is>
      </c>
      <c r="M11" s="256" t="n">
        <v>10</v>
      </c>
      <c r="N11" s="258">
        <f>IFERROR(LARGE(Stories!$X$4:$X$103,M11),"")</f>
        <v/>
      </c>
      <c r="O11" s="256">
        <f>IF(N11="","",MATCH(N11,Stories!$X$4:$X$103,0))</f>
        <v/>
      </c>
      <c r="P11" s="256">
        <f>IF(O11="","",INDEX(Stories!$V$4:$V$103,O11)&amp;"")</f>
        <v/>
      </c>
      <c r="Q11" s="256">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2026-10-25T05:59:23Z</dcterms:created>
  <dcterms:modified xmlns:dcterms="http://purl.org/dc/terms/" xmlns:xsi="http://www.w3.org/2001/XMLSchema-instance" xsi:type="dcterms:W3CDTF">2026-10-25T05:59:24Z</dcterms:modified>
</cp:coreProperties>
</file>