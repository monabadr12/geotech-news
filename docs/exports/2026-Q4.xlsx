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Stories" sheetId="2" state="visible" r:id="rId2"/>
    <sheet xmlns:r="http://schemas.openxmlformats.org/officeDocument/2006/relationships" name="Sources" sheetId="3" state="visible" r:id="rId3"/>
  </sheets>
  <definedNames>
    <definedName name="_xlnm.Print_Titles" localSheetId="1">'Stories'!$1:$1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 mmm yyyy"/>
    <numFmt numFmtId="166" formatCode="0.0"/>
  </numFmts>
  <fonts count="18">
    <font>
      <name val="Calibri"/>
      <family val="2"/>
      <color theme="1"/>
      <sz val="11"/>
      <scheme val="minor"/>
    </font>
    <font>
      <b val="1"/>
      <color rgb="00FFFFFF"/>
      <sz val="20"/>
    </font>
    <font>
      <i val="1"/>
      <color rgb="00FFFFFF"/>
    </font>
    <font>
      <b val="1"/>
      <color rgb="00FFFFFF"/>
      <sz val="22"/>
    </font>
    <font>
      <b val="1"/>
      <color rgb="0016324F"/>
      <sz val="9"/>
    </font>
    <font>
      <b val="1"/>
      <color rgb="00D38B00"/>
      <sz val="9"/>
    </font>
    <font>
      <b val="1"/>
      <color rgb="001E7B4F"/>
      <sz val="9"/>
    </font>
    <font>
      <b val="1"/>
      <color rgb="006B4FD6"/>
      <sz val="9"/>
    </font>
    <font>
      <b val="1"/>
      <color rgb="000B97A5"/>
      <sz val="9"/>
    </font>
    <font>
      <b val="1"/>
      <color rgb="0016324F"/>
      <sz val="12"/>
    </font>
    <font>
      <b val="1"/>
      <color rgb="00FFFFFF"/>
    </font>
    <font>
      <b val="1"/>
      <color rgb="00E04F2C"/>
    </font>
    <font>
      <b val="1"/>
    </font>
    <font>
      <b val="1"/>
      <color rgb="00B8C0CA"/>
    </font>
    <font>
      <b val="1"/>
      <color rgb="001E7B4F"/>
    </font>
    <font>
      <b val="1"/>
      <color rgb="004DA06E"/>
    </font>
    <font>
      <b val="1"/>
      <color rgb="00D9A21B"/>
    </font>
    <font>
      <color rgb="001D5A8A"/>
      <u val="single"/>
    </font>
  </fonts>
  <fills count="15">
    <fill>
      <patternFill/>
    </fill>
    <fill>
      <patternFill patternType="gray125"/>
    </fill>
    <fill>
      <patternFill patternType="solid">
        <fgColor rgb="0016324F"/>
        <bgColor rgb="0016324F"/>
      </patternFill>
    </fill>
    <fill>
      <patternFill patternType="solid">
        <fgColor rgb="0023466B"/>
        <bgColor rgb="0023466B"/>
      </patternFill>
    </fill>
    <fill>
      <patternFill patternType="solid">
        <fgColor rgb="00C9A227"/>
        <bgColor rgb="00C9A227"/>
      </patternFill>
    </fill>
    <fill>
      <patternFill patternType="solid">
        <fgColor rgb="00DCE0E5"/>
        <bgColor rgb="00DCE0E5"/>
      </patternFill>
    </fill>
    <fill>
      <patternFill patternType="solid">
        <fgColor rgb="00D38B00"/>
        <bgColor rgb="00D38B00"/>
      </patternFill>
    </fill>
    <fill>
      <patternFill patternType="solid">
        <fgColor rgb="00F8EED9"/>
        <bgColor rgb="00F8EED9"/>
      </patternFill>
    </fill>
    <fill>
      <patternFill patternType="solid">
        <fgColor rgb="001E7B4F"/>
        <bgColor rgb="001E7B4F"/>
      </patternFill>
    </fill>
    <fill>
      <patternFill patternType="solid">
        <fgColor rgb="00DDEBE5"/>
        <bgColor rgb="00DDEBE5"/>
      </patternFill>
    </fill>
    <fill>
      <patternFill patternType="solid">
        <fgColor rgb="006B4FD6"/>
        <bgColor rgb="006B4FD6"/>
      </patternFill>
    </fill>
    <fill>
      <patternFill patternType="solid">
        <fgColor rgb="00E9E5F9"/>
        <bgColor rgb="00E9E5F9"/>
      </patternFill>
    </fill>
    <fill>
      <patternFill patternType="solid">
        <fgColor rgb="000B97A5"/>
        <bgColor rgb="000B97A5"/>
      </patternFill>
    </fill>
    <fill>
      <patternFill patternType="solid">
        <fgColor rgb="00DAEFF2"/>
        <bgColor rgb="00DAEFF2"/>
      </patternFill>
    </fill>
    <fill>
      <patternFill patternType="solid">
        <fgColor rgb="00F9DFD9"/>
        <bgColor rgb="00F9DFD9"/>
      </patternFill>
    </fill>
  </fills>
  <borders count="4">
    <border>
      <left/>
      <right/>
      <top/>
      <bottom/>
      <diagonal/>
    </border>
    <border>
      <bottom style="medium">
        <color rgb="00C9A227"/>
      </bottom>
    </border>
    <border>
      <bottom style="thin">
        <color rgb="00D9DEE3"/>
      </bottom>
    </border>
    <border>
      <left style="thick">
        <color rgb="00E04F2C"/>
      </left>
      <bottom style="thin">
        <color rgb="00D9DEE3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0" fillId="4" borderId="0" pivotButton="0" quotePrefix="0" xfId="0"/>
    <xf numFmtId="0" fontId="3" fillId="2" borderId="0" applyAlignment="1" pivotButton="0" quotePrefix="0" xfId="0">
      <alignment horizontal="center" vertical="center"/>
    </xf>
    <xf numFmtId="0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4" fillId="5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6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7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8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9" fillId="0" borderId="1" pivotButton="0" quotePrefix="0" xfId="0"/>
    <xf numFmtId="0" fontId="0" fillId="0" borderId="1" pivotButton="0" quotePrefix="0" xfId="0"/>
    <xf numFmtId="0" fontId="10" fillId="2" borderId="0" applyAlignment="1" pivotButton="0" quotePrefix="0" xfId="0">
      <alignment horizontal="left" vertical="center" wrapText="1"/>
    </xf>
    <xf numFmtId="0" fontId="10" fillId="2" borderId="0" applyAlignment="1" pivotButton="0" quotePrefix="0" xfId="0">
      <alignment horizontal="center" vertical="center" wrapText="1"/>
    </xf>
    <xf numFmtId="0" fontId="11" fillId="14" borderId="3" applyAlignment="1" pivotButton="0" quotePrefix="0" xfId="0">
      <alignment horizontal="left" vertical="center"/>
    </xf>
    <xf numFmtId="0" fontId="12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13" fillId="0" borderId="2" applyAlignment="1" pivotButton="0" quotePrefix="0" xfId="0">
      <alignment horizontal="left" vertical="center"/>
    </xf>
    <xf numFmtId="9" fontId="0" fillId="0" borderId="2" applyAlignment="1" pivotButton="0" quotePrefix="0" xfId="0">
      <alignment horizontal="center" vertical="center"/>
    </xf>
    <xf numFmtId="0" fontId="14" fillId="0" borderId="2" applyAlignment="1" pivotButton="0" quotePrefix="0" xfId="0">
      <alignment horizontal="center" vertical="center"/>
    </xf>
    <xf numFmtId="0" fontId="15" fillId="0" borderId="2" applyAlignment="1" pivotButton="0" quotePrefix="0" xfId="0">
      <alignment horizontal="center" vertical="center"/>
    </xf>
    <xf numFmtId="0" fontId="16" fillId="0" borderId="2" applyAlignment="1" pivotButton="0" quotePrefix="0" xfId="0">
      <alignment horizontal="center" vertical="center"/>
    </xf>
    <xf numFmtId="0" fontId="13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left" vertical="center"/>
    </xf>
    <xf numFmtId="0" fontId="11" fillId="0" borderId="2" applyAlignment="1" pivotButton="0" quotePrefix="0" xfId="0">
      <alignment horizontal="left" vertical="center"/>
    </xf>
    <xf numFmtId="0" fontId="10" fillId="2" borderId="0" applyAlignment="1" pivotButton="0" quotePrefix="0" xfId="0">
      <alignment vertical="center" wrapText="1"/>
    </xf>
    <xf numFmtId="165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11" fillId="14" borderId="0" applyAlignment="1" pivotButton="0" quotePrefix="0" xfId="0">
      <alignment vertical="top"/>
    </xf>
    <xf numFmtId="0" fontId="0" fillId="0" borderId="0" applyAlignment="1" pivotButton="0" quotePrefix="0" xfId="0">
      <alignment horizontal="center" vertical="top"/>
    </xf>
    <xf numFmtId="0" fontId="13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17" fillId="0" borderId="0" applyAlignment="1" pivotButton="0" quotePrefix="0" xfId="0">
      <alignment vertical="top"/>
    </xf>
    <xf numFmtId="0" fontId="12" fillId="0" borderId="2" applyAlignment="1" pivotButton="0" quotePrefix="0" xfId="0">
      <alignment horizontal="left" vertical="center"/>
    </xf>
    <xf numFmtId="166" fontId="0" fillId="0" borderId="2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b val="1"/>
        <color rgb="00FFFFFF"/>
      </font>
      <fill>
        <patternFill patternType="solid">
          <fgColor rgb="001E7B4F"/>
          <bgColor rgb="001E7B4F"/>
        </patternFill>
      </fill>
    </dxf>
    <dxf>
      <font>
        <b val="1"/>
        <color rgb="00FFFFFF"/>
      </font>
      <fill>
        <patternFill patternType="solid">
          <fgColor rgb="004DA06E"/>
          <bgColor rgb="004DA06E"/>
        </patternFill>
      </fill>
    </dxf>
    <dxf>
      <font>
        <b val="1"/>
        <color rgb="00FFFFFF"/>
      </font>
      <fill>
        <patternFill patternType="solid">
          <fgColor rgb="00D9A21B"/>
          <bgColor rgb="00D9A21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Stories by theme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'Dashboard'!B10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E04F2C"/>
              </a:solidFill>
              <a:ln xmlns:a="http://schemas.openxmlformats.org/drawingml/2006/main">
                <a:solidFill>
                  <a:srgbClr val="E04F2C"/>
                </a:solidFill>
                <a:prstDash val="solid"/>
              </a:ln>
            </spPr>
          </dPt>
          <cat>
            <numRef>
              <f>'Dashboard'!$A$11</f>
            </numRef>
          </cat>
          <val>
            <numRef>
              <f>'Dashboard'!$B$11</f>
            </numRef>
          </val>
        </ser>
        <dLbls>
          <showLegendKey val="0"/>
          <showVal val="1"/>
          <showCatName val="0"/>
          <showSerName val="0"/>
          <showPercent val="0"/>
          <showLeaderLines val="0"/>
        </dLbls>
        <gapWidth val="15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Suggested use</a:t>
            </a:r>
          </a:p>
        </rich>
      </tx>
    </title>
    <plotArea>
      <pieChart>
        <varyColors val="1"/>
        <ser>
          <idx val="0"/>
          <order val="0"/>
          <tx>
            <strRef>
              <f>'Dashboard'!B29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B8C0CA"/>
              </a:solidFill>
              <a:ln xmlns:a="http://schemas.openxmlformats.org/drawingml/2006/main">
                <a:solidFill>
                  <a:srgbClr val="B8C0CA"/>
                </a:solidFill>
                <a:prstDash val="solid"/>
              </a:ln>
            </spPr>
          </dPt>
          <cat>
            <numRef>
              <f>'Dashboard'!$A$30</f>
            </numRef>
          </cat>
          <val>
            <numRef>
              <f>'Dashboard'!$B$30</f>
            </numRef>
          </val>
        </ser>
        <dLbls>
          <showLegendKey val="0"/>
          <showVal val="0"/>
          <showCatName val="0"/>
          <showSerName val="0"/>
          <showPercent val="1"/>
          <showLeaderLines val="0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Geotechnical relevance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'Dashboard'!F29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E7B4F"/>
              </a:solidFill>
              <a:ln xmlns:a="http://schemas.openxmlformats.org/drawingml/2006/main">
                <a:solidFill>
                  <a:srgbClr val="1E7B4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4DA06E"/>
              </a:solidFill>
              <a:ln xmlns:a="http://schemas.openxmlformats.org/drawingml/2006/main">
                <a:solidFill>
                  <a:srgbClr val="4DA06E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9A21B"/>
              </a:solidFill>
              <a:ln xmlns:a="http://schemas.openxmlformats.org/drawingml/2006/main">
                <a:solidFill>
                  <a:srgbClr val="D9A21B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B8C0CA"/>
              </a:solidFill>
              <a:ln xmlns:a="http://schemas.openxmlformats.org/drawingml/2006/main">
                <a:solidFill>
                  <a:srgbClr val="B8C0CA"/>
                </a:solidFill>
                <a:prstDash val="solid"/>
              </a:ln>
            </spPr>
          </dPt>
          <cat>
            <numRef>
              <f>'Dashboard'!$E$30:$E$33</f>
            </numRef>
          </cat>
          <val>
            <numRef>
              <f>'Dashboard'!$F$30:$F$33</f>
            </numRef>
          </val>
        </ser>
        <dLbls>
          <showLegendKey val="0"/>
          <showVal val="1"/>
          <showCatName val="0"/>
          <showSerName val="0"/>
          <showPercent val="0"/>
          <showLeaderLines val="0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Stories per daily digest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'Dashboard'!B46</f>
            </strRef>
          </tx>
          <spPr>
            <a:solidFill xmlns:a="http://schemas.openxmlformats.org/drawingml/2006/main">
              <a:srgbClr val="C9A227"/>
            </a:solidFill>
            <a:ln xmlns:a="http://schemas.openxmlformats.org/drawingml/2006/main" w="28000">
              <a:solidFill>
                <a:srgbClr val="C9A227"/>
              </a:solidFill>
              <a:prstDash val="solid"/>
            </a:ln>
          </spPr>
          <cat>
            <numRef>
              <f>'Dashboard'!$A$47</f>
            </numRef>
          </cat>
          <val>
            <numRef>
              <f>'Dashboard'!$B$47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6</col>
      <colOff>0</colOff>
      <row>8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27</row>
      <rowOff>0</rowOff>
    </from>
    <ext cx="324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11</col>
      <colOff>0</colOff>
      <row>27</row>
      <rowOff>0</rowOff>
    </from>
    <ext cx="3060000" cy="27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6</col>
      <colOff>0</colOff>
      <row>44</row>
      <rowOff>0</rowOff>
    </from>
    <ext cx="6120000" cy="27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tories" displayName="Stories" ref="A1:M61" headerRowCount="1">
  <autoFilter ref="A1:M61"/>
  <tableColumns count="13">
    <tableColumn id="1" name="Digest date"/>
    <tableColumn id="2" name="Issue window"/>
    <tableColumn id="3" name="Theme"/>
    <tableColumn id="4" name="Relevance"/>
    <tableColumn id="5" name="Suggested use"/>
    <tableColumn id="6" name="Headline (English)"/>
    <tableColumn id="7" name="Original headline"/>
    <tableColumn id="8" name="Magazine angle"/>
    <tableColumn id="9" name="Source"/>
    <tableColumn id="10" name="Google News edition"/>
    <tableColumn id="11" name="Published"/>
    <tableColumn id="12" name="Keywords"/>
    <tableColumn id="13" name="Link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news.google.com/rss/articles/CBMiQkFVX3lxTFAyQTNsMkJmZUFDemNxVGhKTEo5YU1OZU16LS1PVzhUa2RjTmFOYjVnZ29UaEozVFFLX2ZkOTZmN05YUdIBQkFVX3lxTFAyQTNsMkJmZUFDemNxVGhKTEo5YU1OZU16LS1PVzhUa2RjTmFOYjVnZ29UaEozVFFLX2ZkOTZmN05YUQ?oc=5" TargetMode="External" Id="rId1"/><Relationship Type="http://schemas.openxmlformats.org/officeDocument/2006/relationships/hyperlink" Target="https://news.google.com/rss/articles/CBMitwFBVV95cUxPWG9zSHZhZERRajB5NFYxSVpFSEo5b0EzcEg2LXRGRXJPWEJNYTlTcTdLQmNIaS1WbW1jWkc2b2hLZk1JcjhReHFNWU12aHRBYmNvWk9LZ0FCa0lyTnM1SXN5YnRKV2VsVjlOTF9VZTJyd0NlNHNXRnp2Rk13UG1JT1NCZFVNZnN0SU5yeW5MQi1hZ21vMnE0MEl2Q0FVZHh4aGlNWllVLXp4YmFXaW1hQVc3Z0pwQVU?oc=5" TargetMode="External" Id="rId2"/><Relationship Type="http://schemas.openxmlformats.org/officeDocument/2006/relationships/hyperlink" Target="https://news.google.com/rss/articles/CBMigAFBVV95cUxQX3QyVW1QWWNtWHNsaC1nanRyMHE4b2NLbkhIR1NmUzl2Wk12S1pacjlNVmlmazUxczdwYjc2ek1vai1iUWcxcFhLbDZuMW04SmwteGxGcDRiTWVNbUUzWlRTTkllT0ZTdEQ5dEJuRjYyMXM0YmItVk1UZ09IZ2dmVQ?oc=5" TargetMode="External" Id="rId3"/><Relationship Type="http://schemas.openxmlformats.org/officeDocument/2006/relationships/hyperlink" Target="https://news.google.com/rss/articles/CBMitwFBVV95cUxPTWtvRlFSc2tIaG11OUlKTWU5bUdLbjI4VmtFMTA5UkRnNm5OeF9Tb2VSVGd0Y3NUTUZWdllhZWZlQ0xaZ3Ewak1VcVkwZlhpeEJIMG1nWHdXa010TGpON1haTXFXeWdKYnhmd0dVOHBFdVNQTkx6U1BFM3VGTTZ0UER5eEpFWW5XczJ4VUJqbUVRSTJKVTI4WmlyRGRZZEJDOW1VSkRoRVItcF9vTFNkcGZIbE5UNGc?oc=5" TargetMode="External" Id="rId4"/><Relationship Type="http://schemas.openxmlformats.org/officeDocument/2006/relationships/hyperlink" Target="https://news.google.com/rss/articles/CBMilgFBVV95cUxQcEw3TFJVODJSaWpMTzkwNXhUdE95Ny1UemRuaURsZmZXRXMzRE5nLUE2Z2J5bHE1WVE4NU1EQ25mWUgyVGdYLW80VXloODdCTnBKNzh3QVZwNVhOdFhoci03N1Q4TXRTVjQtdERrRzFWbHlVbHBmSzNTcGlFTW1uYWN1TEhHblY0cXlRTzRQeWlEbEhndGfSAZsBQVVfeXFMTzVHVkQ5TUktNjZvOUdJdHUwQm9tVUVadkRvN040ZXNfdHhGeGJQM01lM1ZqbmhWdmNUcVByLWZycU54V0JpMl90OWY1SHNYeUw2NVd5UmRzLUhmenR0ZHBXelFnRDFMTTJpS1B5dTN6NURfNXNHN0tpeHVXVWlZSDlHQXVLVHJfQTNaTFFTTHFXeXlwSmE4cHBobnM?oc=5" TargetMode="External" Id="rId5"/><Relationship Type="http://schemas.openxmlformats.org/officeDocument/2006/relationships/hyperlink" Target="https://news.google.com/rss/articles/CBMid0FVX3lxTFBLNjZlckVEZW14ak1SVlkwVFNyMkpDRy1fNWlXT3puVTRWMHE4b0Q0OUhDMjdCTnFGTkZiOF9zMl9ZSURvZ19XdnRILUtwVFNNVk9xMi1KbFJibzJha0V0TEJ5TE9xeDFVNkRzQ3R1YlI0eEhJaFkw?oc=5" TargetMode="External" Id="rId6"/><Relationship Type="http://schemas.openxmlformats.org/officeDocument/2006/relationships/hyperlink" Target="https://news.google.com/rss/articles/CBMilwFBVV95cUxPZzhiUkFXYWtNQ1d0SkVyNVhJZXR2cVJIX3FGaVMtRFQ4YUc4SmZ2UFpJM2E4ek92UGdPSXk1STJwRy1fV055NUtEUVNwdFVmeXNKdEZGTG9CWVNIZ3NPcktpNkVLc3pBbERiWV81MDJoRVVSVW8ySklaVTlCZjRLaUR4ZVNOb3F1MjFMOWl3cHBkLTdsWWJN?oc=5" TargetMode="External" Id="rId7"/><Relationship Type="http://schemas.openxmlformats.org/officeDocument/2006/relationships/hyperlink" Target="https://news.google.com/rss/articles/CBMipwFBVV95cUxPTFVpNnNJNFN4WmE4Qjk5UWI2MDZJZUxaVlZJWVhGUGtWT3FTMmtFMENLNFBQSXd1Wlltc1BjOEFJOVc3QWN1aTZhT1p4TzRaZEg4V05lSnE5RUhCcnRIX0FROEp2TzVoS0d5Y1RvVXd5LWhWdUJEbEVKMEY0YUUzN3gxYUl3azMwcmVndWxRdzh6OUJ2ekZNcmQyZWp6bk9pbm5RMnRUZw?oc=5" TargetMode="External" Id="rId8"/><Relationship Type="http://schemas.openxmlformats.org/officeDocument/2006/relationships/hyperlink" Target="https://news.google.com/rss/articles/CBMi5gFBVV95cUxNZ3ZaZ3FwR0Rlb3NiS181OU15SS04TFBMMlR3M3I1WWpQcFNSNGt0Z29CeUlFb09JV0UzUmZhMk56NFotQTIybVFVQU8xQl9vWTRlR0NoSVpqVzZoSlRWZUV3ejhSWjgtWVFZWVRWWExtdmxTbF9jSU01V0J2ZUQ3TVJEZnBIVVB6bjltaWp6aXQ4clZQZHVWUHpDbExpcXJaTENqaHhrTjVYQ1BGX19CeFFadk5OQS1IbU5xNk9ZRlB3Z21LU2RyOXJxaExOU3liSEZsMkdJX2gweTJjUDNMVnc5NGkxQQ?oc=5" TargetMode="External" Id="rId9"/><Relationship Type="http://schemas.openxmlformats.org/officeDocument/2006/relationships/hyperlink" Target="https://news.google.com/rss/articles/CBMizwFBVV95cUxNYnlOXzIwQXZHbHBLZzNGZFh0ejN1c05mRnVBUFYwTUUtTk5jM1BsNkw3NmRQTUNtSkQ5Y1BWYWxPT1VMUWxVX2xhY0REdDg4bjgxbFQySTNXYkczOURqdnptQVVuYXlvSmlnMk4waUROR2cyMHYzX3h6OHJoaVJLSFZVX3NCTHp0dzNkOWlTUVdnam5YWVZvLTdJV2kxcjJuR1Z5S3lxZ002Wlp6QXczR1V5blc0dWxjMHUzYUtfUkhLZ3BBZjRBci1zTGFhOVk?oc=5" TargetMode="External" Id="rId10"/><Relationship Type="http://schemas.openxmlformats.org/officeDocument/2006/relationships/hyperlink" Target="https://news.google.com/rss/articles/CBMihAFBVV95cUxQUFZscGhhODY1T1RZQTFGVkFENTNOUkhjeVlQUkNWNHFYUWVnT0I3RUd0WVNEa3gyTG1hVGpLNHl0TUJWUnhoc2JPNFY5X1l0VldjV2wxUVdZNzB5THF1TktuR0ZvMS1KRWNHbEpzYkV0Y2hJQ1p5Q182eW5RazVJdmdRY3g?oc=5" TargetMode="External" Id="rId11"/><Relationship Type="http://schemas.openxmlformats.org/officeDocument/2006/relationships/hyperlink" Target="https://news.google.com/rss/articles/CBMilgFBVV95cUxNM3FIOHc3U3lWZHdqZE9hMG02Zk1yZEYyeUs3Mi1WT3B3c1FOM1AtSzBKWnJGVzRTNUtOb0p3X2E5YWJ3MkREZ0s0SUFHUHJtdmc5bHUtSmhhQ1Vkb2hhNUpPd3R1UkdvX0d1NzRHQ092NjN0Z3hiSmhPdHFHYXF5cnZEamJxVC00M281SGtRWW1yRnU4Znc?oc=5" TargetMode="External" Id="rId12"/><Relationship Type="http://schemas.openxmlformats.org/officeDocument/2006/relationships/hyperlink" Target="https://news.google.com/rss/articles/CBMinwJBVV95cUxPX3lQVHBLMUViU1JwZEdBTGZ4b2RwZFJtWVBqLVFacWk1d3kzMkdab0Z5aGFNWkxXbXc5dC13ZUFHMmU1c1Z4VmwyRnhDT0twdkctVmwzWjV0cVpTZXJvajZ3X2RzN0xZZzJELXotX0xLdUVvRkg0bzNMaTlzbUVWdzVTSXlrRlF0emlnYjZJMDFuTVZfd1ZKMU42SXRISlhUbE1vb2ZvaXVLNHhJbFVkOVVySWY2aHpEWGxVd2x4YllYZ1pOWjQ4Q0dLVUUxX0xWd1NjQlhPZ0Zyel9jS2tNUlF6d0dMZFh5OXBWcFRaOV9fdEZJOXFlcFNUX09sTE1INnEyek1icWFBX2dlOVRibzFDWEl2NUNKRmxSWkUxONIBpAJBVV95cUxQTk91YnRDbnk2YmpBeUp2TXZLbzRMU1FvY2dyTXdWSFJTNDFFQlcwSUpjN0ZiRDdqN0ZZVEtZbmtuRGRKQzJMMk5PZ1hieG9aS2VCM1kzdjlIWTM3YThVWmgyVzJ6UUFlcGhXTVdUNmVYa2wxb2FBd1RMQnlVNjJXOXBHM2hhekJOLVJBRERmSkltRW05YzVPbmFYZ2I4c3VYMzhBenlfRmxnYXI1VjQwSndqcWt2bGxsSk13R2VNQ2laS3JkSFVzX0JKZkt1TWJ1aTVIUnNVb0pzeWZMcWd3elBhMHc1WjNJVllFbS02bkFxUmZIVzBZQTF6eVh3bDNpaUw3Yk9xLXpfUkRMWXBJOWxGNVZYdUF3X3NUWlZldjd0NXhh?oc=5" TargetMode="External" Id="rId13"/><Relationship Type="http://schemas.openxmlformats.org/officeDocument/2006/relationships/hyperlink" Target="https://news.google.com/rss/articles/CBMifkFVX3lxTE9PZ2UwV3Q1SnlmZEJyTnRHWnFyc0tWMHBhbEY2WXBhc05vMHNyRXNiWjFSMlV0LXZEaXdWNlc3VG83V0dXMXpVTjFaeHZVWFM5Y2s4eTZnNWJ2RG1IbkFvTi1oQk5ER1F0Q2JPbThHSXZqMHMyTWExZnVVRkw4Z9IBfkFVX3lxTE9PZ2UwV3Q1SnlmZEJyTnRHWnFyc0tWMHBhbEY2WXBhc05vMHNyRXNiWjFSMlV0LXZEaXdWNlc3VG83V0dXMXpVTjFaeHZVWFM5Y2s4eTZnNWJ2RG1IbkFvTi1oQk5ER1F0Q2JPbThHSXZqMHMyTWExZnVVRkw4Zw?oc=5" TargetMode="External" Id="rId14"/><Relationship Type="http://schemas.openxmlformats.org/officeDocument/2006/relationships/hyperlink" Target="https://news.google.com/rss/articles/CBMijgJBVV95cUxOdGtoZWM0dkdoaVMwS25CaUVxbTZ1WklkQWFxUXU0eHJQdHhVOHM3a1NmVzZMU2hoUWlsaVY4cmk1cllGMHFFcUlrclhSaXpaeVZNbGY1WWRtNEpNTG9pdnE3T01oWWtKbzJBYlN2cWhyYjdYUEhjY0h0ckhYWGI5anNHWXU0dEI1clQ1ejJNSVhPcGtLYm9zVEVyUTBnVUhidlZOaHBIOExsMlVyMGh5Zk0xbU5DLUNZd1RqTWdKNGgtWS1CbW1NTjd5Smc0R19qQWlaOXNwZDhfUVBCZWttRjdYMTYwNTNCTFRCc3l1NUtGTUxBaG9LWXR2SE5hS19CMi1ZZ3M4REtGNUdHVEE?oc=5" TargetMode="External" Id="rId15"/><Relationship Type="http://schemas.openxmlformats.org/officeDocument/2006/relationships/hyperlink" Target="https://news.google.com/rss/articles/CBMirAFBVV95cUxQYkM5ZEZsOFowbTAybnk0RnpRa3E0TmRxLUt4dE9GTTloS0FyS3pZa0ZUcTE3OUo5WGJKbDVvVHZsa1RmMjZnZUhaMDhWYlpuMUxoUkJCUm1rWmVzNkJ0YW5jNGlVdmYxVnNHZU9tZ2FMcDJoaGF0T2lHbVZXMF9pc3FtSHVWTW5qRXFNT1luLWt6dmRfZnA5ZHlScEoyT0RidTZWWklDM1lRU0lv?oc=5" TargetMode="External" Id="rId16"/><Relationship Type="http://schemas.openxmlformats.org/officeDocument/2006/relationships/hyperlink" Target="https://news.google.com/rss/articles/CBMi9wFBVV95cUxPZ19CRFJUR05acTdyRVhjMTAtUlJ3bDY1X09jUVNTUFdXMjhPOTZhcF90RE11R0VOYVpPTWZFMmp4d3AzYWpvdHRBWm9jN3owV1BDSmljV1l0ZURQQm1vYTdkN0hBRGwxMlNHMko3UmEwY0lMZjNSazBVc0oxX2pTcm14QkNiU2ZwNnhVZ2laT05hellWcm8zQ3Q2UHpmNi1fN1VRd1diSnhUSTN5V0tfeHktQ21TQ1ZYMG5TbFJsalVJb1E0d0haMEUwX2NmU1FlR01yM2FsRDljRjdPektLckloQXN2TVozT1E2SnVSM2IzUVNtZXlN0gH_AUFVX3lxTE9JNEE1eVdwQVRFUm9uM3BnWVBjSzhiTzdPZnZkTlBzZXJkdUVSRmJkWVFaWUNHRWlIdW5ldnFpTUZCRnZaWVo3M2xLTjhSQTNEcklrblFyZUJpZC1HSjlvRExmUXVDaEN0aU50WTlla1Azem90b25namhwY2pPbXNTMlV5Nk1HTFhBSjZKMzlGWHdmSllkcjVsYko2akx5WEExcjVqVXFTX2dtckMzcktjdjhRTkVpWnZoQTVGV0Rsb0ZIYWJMZXNSM3Y1cWczeW0zZEQtWjJSRFJjV3pyRkZuV2pjOXB5dzczdFpBQ0RmYjZPNklFcU9keFBYSmJlUQ?oc=5" TargetMode="External" Id="rId17"/><Relationship Type="http://schemas.openxmlformats.org/officeDocument/2006/relationships/hyperlink" Target="https://news.google.com/rss/articles/CBMirgFBVV95cUxNcTJWVDBJWHYtOGZ2LTRaUFR3WGhPc1ZjTzBQTnpNYkpQdkpJd3FFU0NKMzN0M3lHU0tlY0tkc2F1bERnM1Y1d1J5MzRGV2dJd29YeVpyU0djMkdkWHN1a0JEQXJGWjBvU1VtTzBJZUYzMk9DQnJTWm5sM0dUckxjUjYtaEpOdlRtZUl4UG5lMU0yY3F4SXN0aTBKYVM4a19ySWg2dHBoSy1yOHRfMlE?oc=5" TargetMode="External" Id="rId18"/><Relationship Type="http://schemas.openxmlformats.org/officeDocument/2006/relationships/hyperlink" Target="https://news.google.com/rss/articles/CBMi7AFBVV95cUxPaWFyQUxfLXVOWW1sazd2VTdDQzYyMUdaTnh5cHZqYU14dnZIZ21kbXh3aUdMeEwxOHlLWGZoSXg0RmdDMkc5T0FzdnlJSkg2SmczOVdURGVyYWpOYmZmdmpHc1ppb0hLdHF3Yl9kTXp4X2JKV25BOV9PdWJiaG1PaldtUkJSb04tYllUanBlV1VVSHFHVmx4T09wLUNUZUxlODQ0dFlINjMyMjFadDhfajJBTVA5aGNFYkk5dVc2WjN4akJvbGhWOE4yLTRldzZmSjdKRzZubDlPRWxweDBmTVpIbTRnMHkzYWhjTNIBgAJBVV95cUxQbWttQlRxTzBqSEdIelBMLXBoemZZcmFpR21Pbk1LcjVmQllMYU9oSUFLM1o5dDRTLXpBUVlPdEFSSUlKc1dlQUt6aUstRzZSaHlmMExKVGxHbEw2NkZVR3ZSNE5uV2ZWcVJ6NHZJVEt1UnFQaTcteGdmbHdjMHlSNGRiVXBRbG9oTEtpeWl1TzhXdEFESk9VRzlRdks4Zk96M29mdXh6RVFNejQ0UmsxNmtJY0szZkxLdjJ4MmlvNi1ZMTVyVEl0a0VmRElRMTlXM1l6QWFlUC1NeTVIR2hzeExaZnZwbWFiQlJNVDVXOUJfOW8tVlhNVEpjT21XQTRT?oc=5" TargetMode="External" Id="rId19"/><Relationship Type="http://schemas.openxmlformats.org/officeDocument/2006/relationships/hyperlink" Target="https://news.google.com/rss/articles/CBMizAFBVV95cUxPdTNKNy0tLWFOYXdDUVFUbklCdUNWVjNhb0RFRzFuek5HV1ZyaE9fd3dwY2Eycy1hZGFnQ2hSS0NHVUJ3WTF4OWxjWUkxRlNxc2ZYYmJ2VGNNMnF5eTJBUTUxbmxYNnJmZ1V4a1dlSjRmMVBxTEdZQldVSUY5NmduNzJfMmY4UFVEWHBFdVJ2cU9XRFVJQUpucXlCRW5KRU5mcUVUNVlBTFhMdmZ1Wml5SE5qWW1BSGdWNVV4WHRaenpnVzFwNUQ0SkNBZzg?oc=5" TargetMode="External" Id="rId20"/><Relationship Type="http://schemas.openxmlformats.org/officeDocument/2006/relationships/hyperlink" Target="https://news.google.com/rss/articles/CBMiuwFBVV95cUxNeDBZNjFrd2kwRlRDM3NvdnJmSV9zRTdneXEtQUlfQ05nWlcwTU1naUhnS3l3NHJJak5XMlFDUWlCUXhBbkZTcEo3UVFxNHdDeFl0ZHFLNk41ZXNmVWdEVGdUS2szQUFTMUxCYmNaVExYUUg1WFB4MjlTbkRhc01ndklGZjNEbFJvWThRcS1LNjc1SFVDTGp4TC1ISlFCMFliMGMzd0hfc0dtY05pTWFNNFIwNTFxUDZ5T2tz?oc=5" TargetMode="External" Id="rId21"/><Relationship Type="http://schemas.openxmlformats.org/officeDocument/2006/relationships/hyperlink" Target="https://news.google.com/rss/articles/CBMikAFBVV95cUxOUGdtdmlkOF9SQmJPaE5jQmxqRjhfYTZRWlNqMUZtTThZTWVhNGJIVzNzZm5CUFBqOTVIZThWNlNCcHl0SHNwMkwxTXViZnliUkNQY0U0dTVpQnJIaTB6NnVraXhmaEQyNEJoeGFPdUJ4OHdMWlNORWw3OTVZWThaRUJuQ2lscXNVSFkwaXdmcmXSAZgBQVVfeXFMT2JzSzhLckpmSW40ckFUcC1Tb1dkNzVPdEF0VXloZGpXU0doeTdlX1E0TTdwbXlxdDBZVW4wTXRVMmRGTWo0aXB6RUZ1Y1ZSOVc0SWk5QXB2WE05SUtRMzJNWmpUZVVBTW9fUGZiRFU4aVBQN1NFNW5iNHRKR0FNVkU1TGUxcHZESGV5SXhnWHBxamQ2RWwyd1c?oc=5" TargetMode="External" Id="rId22"/><Relationship Type="http://schemas.openxmlformats.org/officeDocument/2006/relationships/hyperlink" Target="https://news.google.com/rss/articles/CBMidkFVX3lxTE84VVFFQlV0aUphcXdiWV9ialR6R1QxbUZJNVotZUxQemZET2Zud0pVYnBJTkg1aV84bnBpTlp2UWEtUWd1SmVvZ2hzQi1oT1pMT3ZLc1VRYUZDTURjMW4tekk5VWg0NlNNMW43d0xON0FzX1NIVUE?oc=5" TargetMode="External" Id="rId23"/><Relationship Type="http://schemas.openxmlformats.org/officeDocument/2006/relationships/hyperlink" Target="https://news.google.com/rss/articles/CBMilwFBVV95cUxNbnBkT0tac1d6MU00YWMxZnUtTnFyOUh0NnBKMURqMkxHZ1ROTjZacTBMZnBiWjFmSTl1ekpLRzFJSG5lY2xfbERlbmRZZV9EUzNHcVZ2Z2x4dFFXTkF2RHJwOU5UZ21aWEtORGJIVDdzUzFiYlRPZWkzS0RSZjZzaml1TWZBWWpXeC1kNUpSMEw4MlNmSnhj?oc=5" TargetMode="External" Id="rId24"/><Relationship Type="http://schemas.openxmlformats.org/officeDocument/2006/relationships/hyperlink" Target="https://news.google.com/rss/articles/CBMi5gFBVV95cUxQdDRlYXR4WTBZbjFpSENzMjJnUzU4WERsRWg3cnJzMWFxamxJYUwybnowcENaMWhLX3F6bmo3dzhEbjZIdmx6RVZFNW5WNDlNeld3SWVRRlhCcWpTRTE0eUE4SHQ1Z1VOMWJUcHJQNnNmUnI1VTVEbENGZUhjVWRwNmJOT3ZlMDB2SlhsTnhHbmctTU5HcGlqaDIzNjV5NlZqVkpYcTZ3Wkk0ZmtoRGU3SFQ4UThta1BEdGRHd0Z5aF9Ga2JqdFlPUHNubS05Ykx1bW5pMTladmE5OTZfeEZkYlBKU0Zvdw?oc=5" TargetMode="External" Id="rId25"/><Relationship Type="http://schemas.openxmlformats.org/officeDocument/2006/relationships/hyperlink" Target="https://news.google.com/rss/articles/CBMiqAFBVV95cUxOUHAtQTA2Tm9wZXF1bHI0X3kycmhmenlBM09ncDJmakFtNTAwR0JZMlV1aVlCSVV1M1RtYmFfbjE5eE5BZkk2bHh2cEh1eGRlbkhvZEZZOE5mUkxsc2RLYkdRd3NqUUlaX0RaREpOSUEzQWJDbFBBQ3oxUk5MVXd3eVBjbjZiWVY3OE5fclVjMC1sMkZrOUpwZ3JrOW9JRXpmQnAwbm5SZUU?oc=5" TargetMode="External" Id="rId26"/><Relationship Type="http://schemas.openxmlformats.org/officeDocument/2006/relationships/hyperlink" Target="https://news.google.com/rss/articles/CBMiygFBVV95cUxObV9ubG94UzcyYnhVVnF0MTk1WTktVlU4aTQtWVR1eVhDVHdJU2hlWjNudmx3cGZLYzF2ekp0Rjh2NTdUaEx5cEttQk8wem9qd3ZUZFoyc0lyMGtpVDc0NFdnWV9CMGhWRGV1THVyWnBVUVlxb2pNbElueHVjc2doV2xITDJObjExa3MtYmE5eVFQWVliX0VuVFByOHZvRHBNZW45YWVUaHVwS3Z1VzAtVWVOamo1UFF2M25rdHR0dW5vWXZVbmM5eDhB?oc=5" TargetMode="External" Id="rId27"/><Relationship Type="http://schemas.openxmlformats.org/officeDocument/2006/relationships/hyperlink" Target="https://news.google.com/rss/articles/CBMimAFBVV95cUxPRFQtX3h0cGFSQzBKaXdIWm1BTVhQaWVCdUdOYU5JazZfZ0RaU2xOTnJ4ZFZGY216NkVGcjJGNGkwMlR3LW9yN2ZDZllFd25zT1EwRGFqZzhIcTk5c1lvX1lpczN6ZVRsWHlHbXhEd3hBdWl5eVhod2wzcC1KS1hSbktvZDkzWEVkbVlxV3E2UXJ3TUFiTkM4Uw?oc=5" TargetMode="External" Id="rId28"/><Relationship Type="http://schemas.openxmlformats.org/officeDocument/2006/relationships/hyperlink" Target="https://news.google.com/rss/articles/CBMia0FVX3lxTFBhQnpoWXBvOW5TR2Y5UlgyaXhiVmxlTDFDYVN1b1VfMzRhQkRJVjl3ZzcxMEJNOF9yOTBFT1VIaXJFaGdudzJHb2JTUnpXZzJvX2hjY2VYdUUzLUZvbzF3ekpBOS16b3U2aU53?oc=5" TargetMode="External" Id="rId29"/><Relationship Type="http://schemas.openxmlformats.org/officeDocument/2006/relationships/hyperlink" Target="https://news.google.com/rss/articles/CBMi3wFBVV95cUxOQk5FSDljLUZBbXpjS0hJWEtKd2VGTHhWNmY2LXpkaWhIQVdGT0tfVDJEWG9TZHM5d3RKVmdaaV9zcU5FNWU4MHNsV0FfMDlCNDdQMi1EQzlCTEw2N1pjWG9MeTI2WExkYUpqdy01X3I1S3FodXk3cUViWXlSZDF5LTE4Y3R1UC1KNkk1OEV6cl9RSnh1V3ZPcG1pMjJyaXlQb3Q5QTFGNzV3MVZMTmJ6cTI2dW5LZlZ6U2drQjJoVUJIWTRxVFM5R1BsZTVBMXdWQVQ4Y3FzZm1xNWROc0RR?oc=5" TargetMode="External" Id="rId30"/><Relationship Type="http://schemas.openxmlformats.org/officeDocument/2006/relationships/hyperlink" Target="https://news.google.com/rss/articles/CBMivgFBVV95cUxOdzlvMm5nX1FSY0FlM0NtTkIxZjBHZF9yQUtvclVucE5pRElTNkVMNlJsOGZaNnRGU0p6cUJEMUtHXzU0bkgyNmdGOFdQNEV0NmNuQXhiSGlhMGdkM0taTVMxX0FPdDhjMXhPajdHeFFzQXVrNTJNR3RPM2JfVFgxRER5QWhKME1BS3VQVEZyN0hnRXhvUG1faDFRenJkQm1MbGhydEt5XzJkU1FwMVM1dXloMVdWTjNrVlFKN29n?oc=5" TargetMode="External" Id="rId31"/><Relationship Type="http://schemas.openxmlformats.org/officeDocument/2006/relationships/hyperlink" Target="https://news.google.com/rss/articles/CBMixgFBVV95cUxPZ0JEREFGVGxFZGhQekc5U0FDM3VYLVg5T0FGeVFfY0VxNFFoRHZzZnI3dFBIUktFU25oNFozYlhMVEQ4VEdBb3Y0TFctZGhVM1owOG85cW1UNW1jaE92d3l2dWxDRWVlZ3NhRDJ4Z2U1aXl3MTdhNXMzZmJQRFd2UTE2SGpVaGl0eFhEN29rSmxHTVRRZWlycW14MjNDVk5TLTFHTnBJaVp0cG14TGRFZlJmSFhHbUVDU0FVdEEtWDNyZ3RCRkE?oc=5" TargetMode="External" Id="rId32"/><Relationship Type="http://schemas.openxmlformats.org/officeDocument/2006/relationships/hyperlink" Target="https://news.google.com/rss/articles/CBMid0FVX3lxTE1KNGgxOW9WUG94TlRNX1lnMzVoZ3VXTGRDQVY5WU41YVdQNGJBUHBGWGplM0FtLWFENWFwVkp6cmJwdTdZOEJhTFd4RmxxSllTWDE0aWpYczZPZXpsaEp4UkZqMmVVMHU1U2hoeDZwMkVmal9iVUtn?oc=5" TargetMode="External" Id="rId33"/><Relationship Type="http://schemas.openxmlformats.org/officeDocument/2006/relationships/hyperlink" Target="https://news.google.com/rss/articles/CBMiywFBVV95cUxPUmZCanV3VzRtclZtWDM2VGNuaHZqWkNzdGFNS1JaUXBLbG9vR2tmWUN5X3lpbnVJS21KdUIyeTJpa2ZUblVwRE82Q0FOTy1vZ1JjYXV6MC14bm9aZjY0bUoycWFFLUh4OFpuaGk2aUpheDMySXBrUVMtc1h4Rm0wdlJLNlpmdjJ0cWZ0cFFjNm1wXzF6WVBqQWdXOVBkdW1XOHJEejRBM2hCZ0lsNU1TNDlDamVZTmlNT2lpOUxlNGFabTdsQ1BYNWl4UdIB3wFBVV95cUxNeTBvQ0VJajNGaGV6MHdjdDBrcFhtQllJVlp3aWpIUHplcmJDOTVGMmZtT1ZVRGhwVldPZ2VkbkREVTliN0k0dXdnYUdEV2txWl9OMjFtRzVBekIzUTB1NjVXcHd2OE9yMjY4bkJjd3JkbE9xZ1FpUXZLZlE2cEJTbU00bHh2cmNCLXFndV93WTlIU0pKMWxDRmp3cXd4TDNSWmhEbzlBY2VUdlJTSkV6QTZoc3p4OWVNRzRpZUFEd3JTNFVSdkdWNkU3eFZISGhMMmF1b24yb3hrX19yQndN?oc=5" TargetMode="External" Id="rId34"/><Relationship Type="http://schemas.openxmlformats.org/officeDocument/2006/relationships/hyperlink" Target="https://news.google.com/rss/articles/CBMi4gFBVV95cUxQbVJiVTBudGV6YTJlUnFVRXZoZGV1TWFJeURjVTBKcWtGVG5HU1hWUWVLSnNMYUtSS05SR0xZdTBieWg3d1dKNk4zeGVuNFNmM2VPdDk5QVc0NUc5OW5uY0hSczQ1eWlFYTc5UzdsWG9vNnFqWERlTEw5ZGFlLV9md0IwMmR0NXNUMFpncVlxSUNaOVBJbnMyazl3R3BVUHFXbUtIT3RtTi1heHpKTWdFRHBpRHpZUHZ3cV9qZi1XME5UUEdMN1JaUWhXMTRTaUlQQ0FkQjd0SVVXcGM2aXRWc3F3?oc=5" TargetMode="External" Id="rId35"/><Relationship Type="http://schemas.openxmlformats.org/officeDocument/2006/relationships/hyperlink" Target="https://news.google.com/rss/articles/CBMiowFBVV95cUxOZnBSVVdjcDN4alAwMTd5MEhqQjhBaDBWcDI3MFA0NlBReVJ5WDI5TnA0RkhOZ0VuUXhZaEhobE1relhqZWUwMTRjZnBEMW1aWFZ0YU5RMGhlVld0VzVZS1d0ODRSdGo0TkQtMnBmSnp3bmh6TjF6aVNVelRNQk5wZXZMeUQ3Ty1FcWotNGJTVmlLYTJzcVpXUGVCZGczY0NoM053?oc=5" TargetMode="External" Id="rId36"/><Relationship Type="http://schemas.openxmlformats.org/officeDocument/2006/relationships/hyperlink" Target="https://news.google.com/rss/articles/CBMizAFBVV95cUxPc0NjMTVLVFhibkdncnRxTDlQemhIUWV1OUdwTHZBTzhXNGlEcHE0N3BqcHJJT2JMRzBCcGRsMW9uWEtKeXJxZFhIa2tkNmlWc2J6dHhDc1pLZEhydzRRRDVWNFJVXzlFRjFJQ0FDUnVqWFFOVFV5dURpbTJ2VXpUOE5Gd2tjd1g5YV9FSWhVZTVwYjNkOWRqN25DRzZ5bUJsY29VVDdOOGMxTFlqbWVqbXBNMjM5RkE0Vjg0cnQtaExZb0dnYVBGSUtYSng?oc=5" TargetMode="External" Id="rId37"/><Relationship Type="http://schemas.openxmlformats.org/officeDocument/2006/relationships/hyperlink" Target="https://news.google.com/rss/articles/CBMirwFBVV95cUxOcmlmWGdKVFRPLUR6RHUtdlR4alBrN1A4bVNldXhGUDNaam5NTDlzWUo1d2pNaWYwZnVRdnNETGJsMTRWb2p2ZF9IeThIXzVHMkEzRXNZdVo0THpJaWwwOEFGUkZmSEtldjZaOHZDQzA4OVp4Q3BwTWJqYWJZUkJNaDJyMTJzT0dvTk5aS0FrcmRodWYxMXJkQ3ZGYzBsb3RZVVM3ZUx1aUhHMEFQNkxn0gG0AUFVX3lxTE12VWx4ODVDSGVTWFpuZ0JXNXlqaVdXcDFFLUZOM3NUZ3Izd1h4TGxOUE5mcVhLX201X1gzdGRYS2ZvTVBHeGZMYlFtSDRuQnoxbnA5UHpENS1xUmtsWkFFay1KTE81WGh3cjFVTWNIY0tQUXhzZ21YaEduWlZZbnpWWjFMdm8xaF9uTC00YjFhVVJhZEdxWWpEUnZfOTVNRGw1Y0UwaUlLTXkyZHFnMWJoMWZuTQ?oc=5" TargetMode="External" Id="rId38"/><Relationship Type="http://schemas.openxmlformats.org/officeDocument/2006/relationships/hyperlink" Target="https://news.google.com/rss/articles/CBMi0wFBVV95cUxPYXlIUXRFbzJKNEtFSW9pZ1otZEpSRlVRT05zZVdhYTl4dG1kNlJheThvZjBkN1V5Q2k3Vk50UlhYUy1MVjVsWkI2VmhUVDRFemVZN0dMaFQzR24tMTBFVDRMd3UyQzI0Z1YwRWxjVG9QcnBiS0lMNHdDVkw0dG1GOHJrMGN1YjdhUlFXYWlkOTgxblFSSnh0STFVZEZ2endlUEQwcllDWVYyc1dnZWExNWdDS1dVOWhXMGh3MlAtMXNMeGlqQlQyM0hWdGNEZThWRDUw0gHTAUFVX3lxTE9heUhRdEVvMko0S0VJb2lnWi1kSlJGVVFPTnNlV2FhOXh0bWQ2UmF5OG9mMGQ3VXlDaTdWTnRSWFhTLUxWNWxaQjZWaFRUNEV6ZVk3R0xoVDNHbi0xMEVUNEx3dTJDMjRnVjBFbGNUb1BycGJLSUw0d0NWTDR0bUY4cmswY3ViN2FSUVdhaWQ5ODFuUVJKeHRJMVVkRnZ6d2VQRDByWUNZVjJzV2dlYTE1Z0NLV1U5aFcwaHcyUC0xc0x4aWpCVDIzSFZ0Y0RlOFZENTA?oc=5" TargetMode="External" Id="rId39"/><Relationship Type="http://schemas.openxmlformats.org/officeDocument/2006/relationships/hyperlink" Target="https://news.google.com/rss/articles/CBMilwFBVV95cUxPQWFuTXFnVHpVV0FSWU44Z3FhYkFPNkdKamxDWV9Cdy1RUTZJME15dnJGbTY4OW04bzRPQ3U0aThuWjBVQ2dxSG52UVpZZGRZWG5XNDNkenhIZldzdGpnd05GM3BLc3hISFdBT0VHX01JdjQwQzE5QnhjclpkWjN6U241cDNFLWdnenRKNnQzMWFzMlJucHdN?oc=5" TargetMode="External" Id="rId40"/><Relationship Type="http://schemas.openxmlformats.org/officeDocument/2006/relationships/hyperlink" Target="https://news.google.com/rss/articles/CBMimwFBVV95cUxPNmVYY0tIZHZ2S24tV3hydnBoR2RUYVJlSmdDTUlyN19XSDFTOHQ2SFpWYTUybm1GRHZ1TzdYVkZZcEhadldBaXVvRlhFN3gxSWdhNmVNLThxUjl3WWJ0SjhMQWFRLXlNMlp4dkJHV1BrUFpBRnAtQ1pqbUNWUnduRjFiV2hKNU15QVlYSnQySFZvS0d1ay14SmMyYw?oc=5" TargetMode="External" Id="rId41"/><Relationship Type="http://schemas.openxmlformats.org/officeDocument/2006/relationships/hyperlink" Target="https://news.google.com/rss/articles/CBMimAFBVV95cUxQaWVWR2YzU2tHaVhRd1VFWFRncF81Y3ltNGlIN0EwaTl1RUhQRzdOcHJyQUxfcXNIYkNBQ24xN1ZKakh1MEFsdHd5NGJYd3VCSzVyaFk3Vkc5VXNaQkY4cU5YUS1xcDRFcENJM1Y0VUUtZWwzNjJNLUV2ZkY4bmRVNDFpTi1PTmFSeFU3YWZaRTJQdDJTSk1Fbg?oc=5" TargetMode="External" Id="rId42"/><Relationship Type="http://schemas.openxmlformats.org/officeDocument/2006/relationships/hyperlink" Target="https://news.google.com/rss/articles/CBMi2gFBVV95cUxQa1JwWVJBVnI1Y0RxZXFnVm5HTmplczd6dlJON29FZC1xdzY1TEVHQU1ERlBwR1lqRmdxUWhDNi04REdpY05DVGNjaHdxdG9LQTBsS29zZzdCQUo4djBDaHFtdUM4SVpUeGh1bWJZSTdVcnowbndzbXhTa1dUNy0weHBWdFY3dEtoYldicENJSnFPdGpRQTRLQWhTc2NycVRvdE9hOUlEV3o3NHF5czhuUV9YWHFmYVZSUnFiOTZxS1JGTHJncC1PODZWRHByclUxOXBubDF2a1RNd9IB3wFBVV95cUxOVGplZ05aVnFjckMzNEJnTVZlOU5fR2dTRjNVb1VacnhlXzFFbHpvaE1qa1pqV0Z2azVXS2VzOTdfUEY0ZjEzVm9URUpJczZZSkxGN1BjbE1aLVprUU9UWThRWnR1NGQ3ekdhUDNFNlc2QmxrZ29qclhZdXVhQXVIQ2JjeUcxUnEtak54RU14QmxWTDdFRWNhMmJ3TkI4UHVTc2c0SXZIay0xcHNEeTQyUnZFSzBTZm9vTEZEcV9TRGw5azdONUhwN3l5VTVNSWdGZHlqbjFjRXZaamNoM2lv?oc=5" TargetMode="External" Id="rId43"/><Relationship Type="http://schemas.openxmlformats.org/officeDocument/2006/relationships/hyperlink" Target="https://news.google.com/rss/articles/CBMivAFBVV95cUxPTjVxaFJROEoyMFVrdlJFR1JUSkNUNTRGQ0tUNG9nWXJMZ3V6WFhZYjZndnFXN1dDRXJSNmF0RVJaaC1Gc0M5MzREazRjSEZjdHhsZHdPUHQ1dDVPUmhOOUl1WW9GM19TV1B4Vm5sZHYwOVFVeVNfaWJva1RRSlJLeFYtazJBV0piRmdEOThLV092ME1VcTAwSlRGbm9ZQndfY3kxc3pkQjRDX2VqN19tZzBwdW9HM3htNjBJX9IBwgFBVV95cUxPOVRvSHg1dUpHa0tZZlpCOWRJLW1nUmtxblJKamxtZnBhaUJRTlZwVkQ0am5QLVFLWTBYS1dLMHlxMWlGeUpfRXlCdUo4MF96YkxsaVpISWl3elJfQU5kOGNzRC1pejJ2Rk1UV1lvd0xIRWhOMXJEMDExQkpqRktVTEtoZmVXMF9vR1ZWd2xud2FTZW1kZ2sxemdzUHFfb1Fmd3RjUkh1SkY4RGItVG9VakZKc0o0VllOd05BX0ZNSktyQQ?oc=5" TargetMode="External" Id="rId44"/><Relationship Type="http://schemas.openxmlformats.org/officeDocument/2006/relationships/hyperlink" Target="https://news.google.com/rss/articles/CBMiqwFBVV95cUxPUnNFRkJJUDc4NXVtc1FrTVZ1YjQ1VG9HeU5NNVNfMXRyMVlTU0daZ1YzVUlLQUNyZWJ6dWhwc0tCZENDa2w2NzdTc3NkbXA3N1E3a09NcnkxRmR2UkUtU19LRGpWSlhuU053dkh6eUZpTUxHeG9YZzMtRVFvenpCN2VyNTNQRjVwTF9ka2NNcWVHRUxJLXVjYmw3SGlNdTNqMjNTSmRVbmV2N00?oc=5" TargetMode="External" Id="rId45"/><Relationship Type="http://schemas.openxmlformats.org/officeDocument/2006/relationships/hyperlink" Target="https://news.google.com/rss/articles/CBMixwFBVV95cUxNM3lVald0SG5DeXNwSDJidmRLTUY0X1RCNmJnLXVZSm5lazBSa2dzZUxFRTNVUUhuOEl4eGE0elM0UmZCa19SRXE2U09xLXF5OWJsMVNuNjhScTQwX29laUhfM0prU2hvb1JzQnR1UWx4Vk94YkplS2tCWW0xRGd6dEthQUpsRGk4V25nVnZzaTh6b25IMUp1ZW9janlPRUJmY3hfMnVFdlVvS01EcjBwd2JULXBkOXRJSHc5OTZ6V215djNHd3FB?oc=5" TargetMode="External" Id="rId46"/><Relationship Type="http://schemas.openxmlformats.org/officeDocument/2006/relationships/hyperlink" Target="https://news.google.com/rss/articles/CBMizAFBVV95cUxQVHVrTktsMUh3V1JDNFJ6RE93YXR1bnBvR0Z5VF94RzdZY0ZkeW5mdlcyb0xGZnNPTEtDaExyRU1JaWhVMU05eXI1WEJ3eUdGbHpkQm56SWk1Qkk5eTZpcHhIWldtZnFFNUUtNUNZRGxOTVlNbzBzWDAtM00yOUk1eW5Ga3VjMGczT241bzMxbG1ucnpyZlVSSkNBWVdUUHI1WmxNMmx4RUFScG9UYW9HM0lHTzEwcHFaQXM0U0ZLdUh6dEFDYm1iRWYtQUE?oc=5" TargetMode="External" Id="rId47"/><Relationship Type="http://schemas.openxmlformats.org/officeDocument/2006/relationships/hyperlink" Target="https://news.google.com/rss/articles/CBMivAFBVV95cUxQOVVhUGEta2IzNklyZk4zNVdlYUpwSzJNaTNnOEhacU85OG1HUWkwalpRejdISlpGS0tRX3pNS2tScGR2ZEozbm9XcGRJV2VsS2dncm16QmxHUmhRNmpQcndDcjBoNThOUXZrT1gwdVRxZWM3ODgzc3dZT29PQzVuWDBITElRMnFJNnMwc1JSc1V3NXRONW01bzBRVjN0ZDZjb19yNE5weFAtbEVwVldGVVZQenBncjFvTUZycQ?oc=5" TargetMode="External" Id="rId48"/><Relationship Type="http://schemas.openxmlformats.org/officeDocument/2006/relationships/hyperlink" Target="https://news.google.com/rss/articles/CBMiywFBVV95cUxOT3FzSVVLOHdJbzRvOUY1M3l3SXBPNUcwQnNHS2ZPYk5tOFpjN0xwNW5FSk9BQzBjYUpCcmNwMHVKZDB6VUpVS0JRYkpIUS1lUkpIcWV6cmJucjdBVUpGcmZUYlg0WDEydDJmYmxtcURxMjFUMHIzeHhqQTQydUttNTJ5eDBScFNmek81VUJuNllRYmpnbThIWkNOTFlYMDdYUUJ4dVJpTWYzQlhDaFpvNnNvOXJpWlNJSkYzdW5NTTUwSVl1ZkNLSUE4cw?oc=5" TargetMode="External" Id="rId49"/><Relationship Type="http://schemas.openxmlformats.org/officeDocument/2006/relationships/hyperlink" Target="https://news.google.com/rss/articles/CBMihgFBVV95cUxOVE9CbG5OOXVCZjBWLVJPeVZUWXVXazlDN3ZBNnNfVUNGWC02Ym9IZGRhS0RReDVDZFhNTnFyaXBzYUNxS01PYnB5MHQtWkRJMEdERUdndGNPTG1IUEZSMHhRQWpPREhPUDRQS1dhRkVQU0prdFJoZDY1ZFg5YTNmdjQxTlE0Zw?oc=5" TargetMode="External" Id="rId50"/><Relationship Type="http://schemas.openxmlformats.org/officeDocument/2006/relationships/hyperlink" Target="https://news.google.com/rss/articles/CBMi9AFBVV95cUxPeVhnRHc0ZnVJdUFVYkxjcjlDWERuY0N6OEd2QmJpTXkwbWZiY0o1VEx6bjVxYnk0bnU4WlA0ZHlTOFF4UXdsQk9ZakdzZjlxVEhSenBKNzUtRFJjV1o2bFNNeUJKcDVhU2pmNHhDbFRTMHh5TFhCNUNyVGgzeFJaQ2VlaW1qZjZ5SHcwOE11a1BXRndFZTdVXy1PZmlDTEdUUzZfT3ktVWdsSDQ4MDFEVTdaV0FVMzRadTNyb28wM05qR3VkMGdHZEFHeFlCUV9icUl1V0E3Y0Vyekoyd0lRMW0tNmxqSGFxRU9MZ1ZKcTJoLUUw0gGPAkFVX3lxTE5kWjVQcGhUeTNMdkpfWGJ2amE2S0xUbGxrcEhMZlIyWC1nMXg2LXNkakNJYk5WMnRHbVhnSkxJNEt0dEJGdWZNTTdwQTEzdkNkZXpIb1FKZWt4VXhiRHE5SXpYUGRKZ2xVOWp1ZGdjMkxhOEZfSEpnMy1PcDBKQjY2c0RHMUgzdGpQZ3FGcXBYc09qTHpNdzlTbThvdGd0Z1dZYl9MaU1MMVRyM1ZYa2FnXzhyQ2NMNjlMTXVCbTE5LTJpS0FSTEdjNEpWaVJwWS0teFhUU0dwamxGN2tORHY1UVgwQUZlcVExY2ZYMUppUFJHajlGUnQyNkJ5dmQ5OFdjNU1TUWo4ZDlNd3ZNUDQ?oc=5" TargetMode="External" Id="rId51"/><Relationship Type="http://schemas.openxmlformats.org/officeDocument/2006/relationships/hyperlink" Target="https://news.google.com/rss/articles/CBMi0gFBVV95cUxOcmp0T1BUQWhUTVJpTGJoa3ByQVJvRXB0YjFaSmZZTlJYWlZEellxaUY5am9RZGgzUjM2dTJWazk0d3ByVWFEbzVWcF9XNWtGMGotT2lCOG9zSC0tV0JObHFhRzFNeUM1OUhqQ2YyWHVkUzhJcHZZcTVKbjlZNTRITW9jU0VSX1ExQlhabmw1bHI3Q2hxLXFEVDlfUmpMNDBQdEY3QnZZemxsQkpZT0RWeHpsNTZ6NXhKNHZwc3UxVDdGTXdoRlktQmRVakVnd3ZSY2fSAdIBQVVfeXFMTnJqdE9QVEFoVE1SaUxiaGtwckFSb0VwdGIxWkpmWU5SWFpWRHpZcWlGOWpvUWRoM1IzNnUyVms5NHdwclVhRG81VnBfVzVrRjBqLU9pQjhvc0gtLVdCTmxxYUcxTXlDNTlIakNmMlh1ZFM4SXB2WXE1Sm45WTU0SE1vY1NFUl9RMUJYWm5sNWxyN0NocS1xRFQ5X1JqTDQwUHRGN0J2WXpsbEJKWU9EVnh6bDU2ejV4SjR2cHN1MVQ3Rk13aEZZLUJkVWpFZ3d2UmNn?oc=5" TargetMode="External" Id="rId52"/><Relationship Type="http://schemas.openxmlformats.org/officeDocument/2006/relationships/hyperlink" Target="https://news.google.com/rss/articles/CBMitgFBVV95cUxNUmFqOWQ2NF9vLVV3bkxFX1Z4a1dsN3NGcHJuVnc5RTRuSVIyWjBneXZ5NGF2UEJHMTdhMkR2aU0yY2pBWVQwYmFaNmViUlhkWkpIV3lsMHhnWTdmVDlmLTZYYzJ3Vmk2QnNlaFpkYkx4bTYxZmRtMHE1Ymx4eU1TUVpzaEs3aGlEdTVsYV9nRC1mRllBVVh4WUVra25uVnlZZzFIOTg3M09keHBJUjQ5bGlvblc4UdIBuwFBVV95cUxOX0lFQ3ppNWRMZU5PT0JqWDN6UUhyVnUyVl9JMzNodFlOemsxS3ZmajhQbG54cHQtczRqdTZnaDlvSFYwT3pZMUNkSEd2aGVvZXB2bGpyQjlaamdlT1N1d3dOUkFCV1JGOXlzRU55LV90NjRxV2JzUXp0M1lQLWhNeXJPa1JlQ1lBTTRtQW5XUXYtTlhZV08tQ2FIUWYtZzYwd25sRFlYQ0lCUENySXp4dFd2UjI2NmIzekhV?oc=5" TargetMode="External" Id="rId53"/><Relationship Type="http://schemas.openxmlformats.org/officeDocument/2006/relationships/hyperlink" Target="https://news.google.com/rss/articles/CBMipwFBVV95cUxPVUVYMjYxc2dmbThWa21fczB0ay0xWjRoNVljZDlpT0JtYnBNME5lanJHLXlLanI5UGRvRWtSek5PNmxkUEc3T0xleENXOHdsaDRKZGlNbG1XcWsyclFjYlpIeWpBZDhXeVZNdUNBMF9nOTVMdmhwQ2JzZ285czBqRmVNaUJha09XYzUzQ291eE42N1ZBUWhpRy03VEpldkY4NmFIcGxvUQ?oc=5" TargetMode="External" Id="rId54"/><Relationship Type="http://schemas.openxmlformats.org/officeDocument/2006/relationships/hyperlink" Target="https://news.google.com/rss/articles/CBMijwFBVV95cUxOQmtEZEdrMWhmZUEwa1hSMndKN3o1aHpSZVdNY2FJdTJjWUNvOVBoU05DeDRVSzVKaml3V1lVdkpaR2NGMDdWLWh1TjdXTHZ2QmNWTjBmcmsySW83MnRxU1A1Q3ZfV2NjRXZGSzc4dTdQMUpfTXdGSGhaajJjMlp5dXpYSVlEM19aVllYenIxWQ?oc=5" TargetMode="External" Id="rId55"/><Relationship Type="http://schemas.openxmlformats.org/officeDocument/2006/relationships/hyperlink" Target="https://news.google.com/rss/articles/CBMipAFBVV95cUxOVVZDWEFISTZlS3JXeHdGRjhwT3BaYkl2VDhuQ2djQ1dEVXR5WVlxem84YmRxSGVRbk9tMHU1eWdJYWJtR00zdFk4QmctSXdBTFV2RmxqMXlhRjM2NGJ5OHlDaUlxS1VEMW9Nam1rS0VCeDN2U0thcVo2TFA0NkNPTGk0TkUwNmphSTZNemowZjllNjlhbUttY19KdG1VUEtORkZUZg?oc=5" TargetMode="External" Id="rId56"/><Relationship Type="http://schemas.openxmlformats.org/officeDocument/2006/relationships/hyperlink" Target="https://news.google.com/rss/articles/CBMia0FVX3lxTE5tc2Q1eWZWbEpoMElrMXZsaVZ1Vk9kZmpFbjNpam0wTEtYbklkbkxMV0N2OGxxSVdyQy1mczZrTUZ6LThoM3FUc0lpRlE4U2o3ajBWTklFaE4yRmVZeWlVbnVDWUpBQW1kZDd3?oc=5" TargetMode="External" Id="rId57"/><Relationship Type="http://schemas.openxmlformats.org/officeDocument/2006/relationships/hyperlink" Target="https://news.google.com/rss/articles/CBMihwFBVV95cUxNWXlvSFo3bWQtUU5UOWNzSFBmc0d4OXZnaDhOT2FvWktoZlhwNl93bHRxS212OE1IUmhzenhkalRrY2E2bjJWSU1lU0RUQkZqUF9kUGtkVTIzR0xFdkN6bU1xaGJBNW9uZGRCSlFVejgwaTI5ZFZIYi1uSzA2SUVwalVxM1NrcUk?oc=5" TargetMode="External" Id="rId58"/><Relationship Type="http://schemas.openxmlformats.org/officeDocument/2006/relationships/hyperlink" Target="https://news.google.com/rss/articles/CBMilwFBVV95cUxQNFdPY1VZVlJkdU4wSTF5QkNkRktENnRtS3lrNW5zQlZyZ0x3V0F2Q05nbUtZelZ3c1pBQW5uU25YRU9BZndwMDRoWDc2eU5nS0x2ME1RLXNSMUhlTGNxbHE1VVpRZjVXQUZ2SHBtaE10NzhncXdXZTQwV2tQWmxOcW1pSHF2c2xnSF9qcGZ6NXFqcXZkYTlB?oc=5" TargetMode="External" Id="rId59"/><Relationship Type="http://schemas.openxmlformats.org/officeDocument/2006/relationships/hyperlink" Target="https://news.google.com/rss/articles/CBMiqAFBVV95cUxPTUpGZUZicmp1Q2NmelZSMjlGeHpueVV0TF9fZVl5OHc4UG1GYjRGRG83LTd2Z0IzbGNBeVE5TGNwYmVmTFQyZzJsNFFGTHpoUXZMSlhDYUZUaHBVeGN1Rlo5NEU3ZWY4RUVfeGl4ZkQ1UGlZS3lRZkNlUXFRYTV2ZG1nMncxbUNTZjhnUzBvakx1Q0Y4UmpORFN6bWg0bXpKUk9OekpyeXA?oc=5" TargetMode="External" Id="rId60"/><Relationship Type="http://schemas.openxmlformats.org/officeDocument/2006/relationships/table" Target="/xl/tables/table1.xml" Id="rId6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6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40" customHeight="1">
      <c r="A1" s="1" t="inlineStr">
        <is>
          <t>Geotechnical News · Q4 2026</t>
        </is>
      </c>
    </row>
    <row r="2" ht="22" customHeight="1">
      <c r="A2" s="2" t="inlineStr">
        <is>
          <t>Issue window Oct – Dec 2026 · generated 24 Oct 2026</t>
        </is>
      </c>
    </row>
    <row r="3" ht="4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5" ht="36" customHeight="1">
      <c r="A5" s="4" t="n">
        <v>60</v>
      </c>
      <c r="B5" s="5" t="n">
        <v>1</v>
      </c>
      <c r="C5" s="6" t="n"/>
      <c r="D5" s="7" t="n">
        <v>0</v>
      </c>
      <c r="E5" s="8" t="n"/>
      <c r="F5" s="9" t="n">
        <v>0</v>
      </c>
      <c r="G5" s="10" t="n"/>
      <c r="H5" s="11" t="n">
        <v>40</v>
      </c>
      <c r="I5" s="12" t="n"/>
    </row>
    <row r="6">
      <c r="A6" s="13" t="inlineStr">
        <is>
          <t>STORIES</t>
        </is>
      </c>
      <c r="B6" s="14" t="inlineStr">
        <is>
          <t>DAILY DIGESTS</t>
        </is>
      </c>
      <c r="C6" s="15" t="n"/>
      <c r="D6" s="16" t="inlineStr">
        <is>
          <t>RATED 5 / 5</t>
        </is>
      </c>
      <c r="E6" s="17" t="n"/>
      <c r="F6" s="18" t="inlineStr">
        <is>
          <t>FEATURE LEADS</t>
        </is>
      </c>
      <c r="G6" s="19" t="n"/>
      <c r="H6" s="20" t="inlineStr">
        <is>
          <t>SOURCES</t>
        </is>
      </c>
      <c r="I6" s="21" t="n"/>
    </row>
    <row r="9">
      <c r="A9" s="22" t="inlineStr">
        <is>
          <t>Stories by theme</t>
        </is>
      </c>
      <c r="B9" s="23" t="n"/>
      <c r="C9" s="23" t="n"/>
      <c r="D9" s="23" t="n"/>
      <c r="E9" s="23" t="n"/>
    </row>
    <row r="10">
      <c r="A10" s="24" t="inlineStr">
        <is>
          <t>Theme</t>
        </is>
      </c>
      <c r="B10" s="25" t="inlineStr">
        <is>
          <t>Stories</t>
        </is>
      </c>
      <c r="C10" s="25" t="inlineStr">
        <is>
          <t>Rated 5</t>
        </is>
      </c>
      <c r="D10" s="25" t="inlineStr">
        <is>
          <t>Rated 4</t>
        </is>
      </c>
      <c r="E10" s="25" t="inlineStr">
        <is>
          <t>Feature leads</t>
        </is>
      </c>
    </row>
    <row r="11">
      <c r="A11" s="26" t="inlineStr">
        <is>
          <t>Hazards &amp; Resilience</t>
        </is>
      </c>
      <c r="B11" s="27" t="n">
        <v>60</v>
      </c>
      <c r="C11" s="28" t="n">
        <v>0</v>
      </c>
      <c r="D11" s="28" t="n">
        <v>0</v>
      </c>
      <c r="E11" s="28" t="n">
        <v>0</v>
      </c>
    </row>
    <row r="28">
      <c r="A28" s="22" t="inlineStr">
        <is>
          <t>Suggested editorial use</t>
        </is>
      </c>
      <c r="B28" s="23" t="n"/>
      <c r="C28" s="23" t="n"/>
    </row>
    <row r="29">
      <c r="A29" s="24" t="inlineStr">
        <is>
          <t>Use</t>
        </is>
      </c>
      <c r="B29" s="25" t="inlineStr">
        <is>
          <t>Stories</t>
        </is>
      </c>
      <c r="C29" s="25" t="inlineStr">
        <is>
          <t>Share</t>
        </is>
      </c>
      <c r="E29" s="24" t="inlineStr">
        <is>
          <t>Relevance</t>
        </is>
      </c>
      <c r="F29" s="25" t="inlineStr">
        <is>
          <t>Stories</t>
        </is>
      </c>
    </row>
    <row r="30">
      <c r="A30" s="29" t="inlineStr">
        <is>
          <t>Not rated</t>
        </is>
      </c>
      <c r="B30" s="28" t="n">
        <v>60</v>
      </c>
      <c r="C30" s="30" t="n">
        <v>1</v>
      </c>
      <c r="E30" s="31" t="inlineStr">
        <is>
          <t>5 / 5</t>
        </is>
      </c>
      <c r="F30" s="28" t="n">
        <v>0</v>
      </c>
    </row>
    <row r="31">
      <c r="E31" s="32" t="inlineStr">
        <is>
          <t>4 / 5</t>
        </is>
      </c>
      <c r="F31" s="28" t="n">
        <v>0</v>
      </c>
    </row>
    <row r="32">
      <c r="E32" s="33" t="inlineStr">
        <is>
          <t>3 / 5</t>
        </is>
      </c>
      <c r="F32" s="28" t="n">
        <v>0</v>
      </c>
    </row>
    <row r="33">
      <c r="E33" s="34" t="inlineStr">
        <is>
          <t>Keyword-ranked</t>
        </is>
      </c>
      <c r="F33" s="28" t="n">
        <v>60</v>
      </c>
    </row>
    <row r="45">
      <c r="A45" s="22" t="inlineStr">
        <is>
          <t>Stories per daily digest</t>
        </is>
      </c>
      <c r="B45" s="23" t="n"/>
    </row>
    <row r="46">
      <c r="A46" s="24" t="inlineStr">
        <is>
          <t>Daily digest</t>
        </is>
      </c>
      <c r="B46" s="25" t="inlineStr">
        <is>
          <t>Stories</t>
        </is>
      </c>
    </row>
    <row r="47">
      <c r="A47" s="35" t="inlineStr">
        <is>
          <t>24 Oct 2026</t>
        </is>
      </c>
      <c r="B47" s="28" t="n">
        <v>60</v>
      </c>
    </row>
    <row r="63">
      <c r="A63" s="22" t="inlineStr">
        <is>
          <t>Theme × suggested use (heat map)</t>
        </is>
      </c>
      <c r="B63" s="23" t="n"/>
      <c r="C63" s="23" t="n"/>
      <c r="D63" s="23" t="n"/>
      <c r="E63" s="23" t="n"/>
      <c r="F63" s="23" t="n"/>
      <c r="G63" s="23" t="n"/>
    </row>
    <row r="64" ht="32" customHeight="1">
      <c r="A64" s="24" t="inlineStr">
        <is>
          <t>Theme</t>
        </is>
      </c>
      <c r="B64" s="25" t="inlineStr">
        <is>
          <t>Feature lead</t>
        </is>
      </c>
      <c r="C64" s="25" t="inlineStr">
        <is>
          <t>News brief</t>
        </is>
      </c>
      <c r="D64" s="25" t="inlineStr">
        <is>
          <t>Academia-to-Industry topic</t>
        </is>
      </c>
      <c r="E64" s="25" t="inlineStr">
        <is>
          <t>Regional insight</t>
        </is>
      </c>
      <c r="F64" s="25" t="inlineStr">
        <is>
          <t>Watch only</t>
        </is>
      </c>
      <c r="G64" s="25" t="inlineStr">
        <is>
          <t>Not rated</t>
        </is>
      </c>
    </row>
    <row r="65">
      <c r="A65" s="36" t="inlineStr">
        <is>
          <t>Hazards &amp; Resilience</t>
        </is>
      </c>
      <c r="B65" s="28" t="n">
        <v>0</v>
      </c>
      <c r="C65" s="28" t="n">
        <v>0</v>
      </c>
      <c r="D65" s="28" t="n">
        <v>0</v>
      </c>
      <c r="E65" s="28" t="n">
        <v>0</v>
      </c>
      <c r="F65" s="28" t="n">
        <v>0</v>
      </c>
      <c r="G65" s="28" t="n">
        <v>60</v>
      </c>
    </row>
  </sheetData>
  <mergeCells count="10">
    <mergeCell ref="D6:E6"/>
    <mergeCell ref="B6:C6"/>
    <mergeCell ref="H6:I6"/>
    <mergeCell ref="B5:C5"/>
    <mergeCell ref="A2:N2"/>
    <mergeCell ref="D5:E5"/>
    <mergeCell ref="F5:G5"/>
    <mergeCell ref="F6:G6"/>
    <mergeCell ref="H5:I5"/>
    <mergeCell ref="A1:N1"/>
  </mergeCells>
  <conditionalFormatting sqref="B65:G65">
    <cfRule type="colorScale" priority="1">
      <colorScale>
        <cfvo type="min"/>
        <cfvo type="percentile" val="50"/>
        <cfvo type="max"/>
        <color rgb="00FFFFFF"/>
        <color rgb="00F6E3A6"/>
        <color rgb="00D38B00"/>
      </colorScale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6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26" customWidth="1" min="3" max="3"/>
    <col width="10" customWidth="1" min="4" max="4"/>
    <col width="18" customWidth="1" min="5" max="5"/>
    <col width="52" customWidth="1" min="6" max="6"/>
    <col width="36" customWidth="1" min="7" max="7"/>
    <col width="52" customWidth="1" min="8" max="8"/>
    <col width="22" customWidth="1" min="9" max="9"/>
    <col width="16" customWidth="1" min="10" max="10"/>
    <col width="12" customWidth="1" min="11" max="11"/>
    <col width="28" customWidth="1" min="12" max="12"/>
    <col width="14" customWidth="1" min="13" max="13"/>
  </cols>
  <sheetData>
    <row r="1" ht="30" customHeight="1">
      <c r="A1" s="37" t="inlineStr">
        <is>
          <t>Digest date</t>
        </is>
      </c>
      <c r="B1" s="37" t="inlineStr">
        <is>
          <t>Issue window</t>
        </is>
      </c>
      <c r="C1" s="37" t="inlineStr">
        <is>
          <t>Theme</t>
        </is>
      </c>
      <c r="D1" s="37" t="inlineStr">
        <is>
          <t>Relevance</t>
        </is>
      </c>
      <c r="E1" s="37" t="inlineStr">
        <is>
          <t>Suggested use</t>
        </is>
      </c>
      <c r="F1" s="37" t="inlineStr">
        <is>
          <t>Headline (English)</t>
        </is>
      </c>
      <c r="G1" s="37" t="inlineStr">
        <is>
          <t>Original headline</t>
        </is>
      </c>
      <c r="H1" s="37" t="inlineStr">
        <is>
          <t>Magazine angle</t>
        </is>
      </c>
      <c r="I1" s="37" t="inlineStr">
        <is>
          <t>Source</t>
        </is>
      </c>
      <c r="J1" s="37" t="inlineStr">
        <is>
          <t>Google News edition</t>
        </is>
      </c>
      <c r="K1" s="37" t="inlineStr">
        <is>
          <t>Published</t>
        </is>
      </c>
      <c r="L1" s="37" t="inlineStr">
        <is>
          <t>Keywords</t>
        </is>
      </c>
      <c r="M1" s="37" t="inlineStr">
        <is>
          <t>Link</t>
        </is>
      </c>
    </row>
    <row r="2" ht="48" customHeight="1">
      <c r="A2" s="38" t="n">
        <v>46319</v>
      </c>
      <c r="B2" s="39" t="inlineStr">
        <is>
          <t>2026-Q4</t>
        </is>
      </c>
      <c r="C2" s="40" t="inlineStr">
        <is>
          <t>Hazards &amp; Resilience</t>
        </is>
      </c>
      <c r="D2" s="41" t="n"/>
      <c r="E2" s="42" t="inlineStr"/>
      <c r="F2" s="43" t="inlineStr">
        <is>
          <t>PTPP traite 31 points de glissement de terrain dans le nord de Sumatra, le projet de Lampaui est en cours Indonesian: PTPP Tangani 31 Titik Longsor di Sumut, Progres Proyek Lampaui Target</t>
        </is>
      </c>
      <c r="G2" s="43" t="inlineStr"/>
      <c r="H2" s="43" t="inlineStr"/>
      <c r="I2" s="39" t="inlineStr">
        <is>
          <t>VOI.ID</t>
        </is>
      </c>
      <c r="J2" s="39" t="inlineStr">
        <is>
          <t>France</t>
        </is>
      </c>
      <c r="K2" s="38" t="n">
        <v>46318</v>
      </c>
      <c r="L2" s="43" t="inlineStr">
        <is>
          <t>landslide</t>
        </is>
      </c>
      <c r="M2" s="44" t="inlineStr">
        <is>
          <t>Open article</t>
        </is>
      </c>
    </row>
    <row r="3" ht="30" customHeight="1">
      <c r="A3" s="38" t="n">
        <v>46319</v>
      </c>
      <c r="B3" s="39" t="inlineStr">
        <is>
          <t>2026-Q4</t>
        </is>
      </c>
      <c r="C3" s="40" t="inlineStr">
        <is>
          <t>Hazards &amp; Resilience</t>
        </is>
      </c>
      <c r="D3" s="41" t="n"/>
      <c r="E3" s="42" t="inlineStr"/>
      <c r="F3" s="43" t="inlineStr">
        <is>
          <t>Tak Lagi Takut Tanah Longsor, Warga Desa Mengulak Lega Talud Dibangun Kokoh</t>
        </is>
      </c>
      <c r="G3" s="43" t="inlineStr"/>
      <c r="H3" s="43" t="inlineStr"/>
      <c r="I3" s="39" t="inlineStr">
        <is>
          <t>https://investigasi.news/</t>
        </is>
      </c>
      <c r="J3" s="39" t="inlineStr">
        <is>
          <t>Indonesia</t>
        </is>
      </c>
      <c r="K3" s="38" t="n">
        <v>46318</v>
      </c>
      <c r="L3" s="43" t="inlineStr">
        <is>
          <t>landslide, retaining wall</t>
        </is>
      </c>
      <c r="M3" s="44" t="inlineStr">
        <is>
          <t>Open article</t>
        </is>
      </c>
    </row>
    <row r="4" ht="48" customHeight="1">
      <c r="A4" s="38" t="n">
        <v>46319</v>
      </c>
      <c r="B4" s="39" t="inlineStr">
        <is>
          <t>2026-Q4</t>
        </is>
      </c>
      <c r="C4" s="40" t="inlineStr">
        <is>
          <t>Hazards &amp; Resilience</t>
        </is>
      </c>
      <c r="D4" s="41" t="n"/>
      <c r="E4" s="42" t="inlineStr"/>
      <c r="F4" s="43" t="inlineStr">
        <is>
          <t>Antisipasi Longsor Jelang Musim Hujan, Satgas TMMD Kejar Penyelesaian Talud di Kalebarembeng</t>
        </is>
      </c>
      <c r="G4" s="43" t="inlineStr"/>
      <c r="H4" s="43" t="inlineStr"/>
      <c r="I4" s="39" t="inlineStr">
        <is>
          <t>XPOSE TV</t>
        </is>
      </c>
      <c r="J4" s="39" t="inlineStr">
        <is>
          <t>Indonesia</t>
        </is>
      </c>
      <c r="K4" s="38" t="n">
        <v>46318</v>
      </c>
      <c r="L4" s="43" t="inlineStr">
        <is>
          <t>landslide, retaining wall</t>
        </is>
      </c>
      <c r="M4" s="44" t="inlineStr">
        <is>
          <t>Open article</t>
        </is>
      </c>
    </row>
    <row r="5" ht="30" customHeight="1">
      <c r="A5" s="38" t="n">
        <v>46319</v>
      </c>
      <c r="B5" s="39" t="inlineStr">
        <is>
          <t>2026-Q4</t>
        </is>
      </c>
      <c r="C5" s="40" t="inlineStr">
        <is>
          <t>Hazards &amp; Resilience</t>
        </is>
      </c>
      <c r="D5" s="41" t="n"/>
      <c r="E5" s="42" t="inlineStr"/>
      <c r="F5" s="43" t="inlineStr">
        <is>
          <t>Gard : un nouveau glissement de terrain bloque un boulevard à Villeneuve-lès-Avignon</t>
        </is>
      </c>
      <c r="G5" s="43" t="inlineStr"/>
      <c r="H5" s="43" t="inlineStr"/>
      <c r="I5" s="39" t="inlineStr">
        <is>
          <t>Seven Radio</t>
        </is>
      </c>
      <c r="J5" s="39" t="inlineStr">
        <is>
          <t>France</t>
        </is>
      </c>
      <c r="K5" s="38" t="n">
        <v>46317</v>
      </c>
      <c r="L5" s="43" t="inlineStr">
        <is>
          <t>landslide</t>
        </is>
      </c>
      <c r="M5" s="44" t="inlineStr">
        <is>
          <t>Open article</t>
        </is>
      </c>
    </row>
    <row r="6" ht="30" customHeight="1">
      <c r="A6" s="38" t="n">
        <v>46319</v>
      </c>
      <c r="B6" s="39" t="inlineStr">
        <is>
          <t>2026-Q4</t>
        </is>
      </c>
      <c r="C6" s="40" t="inlineStr">
        <is>
          <t>Hazards &amp; Resilience</t>
        </is>
      </c>
      <c r="D6" s="41" t="n"/>
      <c r="E6" s="42" t="inlineStr"/>
      <c r="F6" s="43" t="inlineStr">
        <is>
          <t>Fr glissement de terrain : mesures d'urgence à Bonea</t>
        </is>
      </c>
      <c r="G6" s="43" t="inlineStr"/>
      <c r="H6" s="43" t="inlineStr"/>
      <c r="I6" s="39" t="inlineStr">
        <is>
          <t>Il Mattino</t>
        </is>
      </c>
      <c r="J6" s="39" t="inlineStr">
        <is>
          <t>France</t>
        </is>
      </c>
      <c r="K6" s="38" t="n">
        <v>46318</v>
      </c>
      <c r="L6" s="43" t="inlineStr">
        <is>
          <t>landslide</t>
        </is>
      </c>
      <c r="M6" s="44" t="inlineStr">
        <is>
          <t>Open article</t>
        </is>
      </c>
    </row>
    <row r="7" ht="30" customHeight="1">
      <c r="A7" s="38" t="n">
        <v>46319</v>
      </c>
      <c r="B7" s="39" t="inlineStr">
        <is>
          <t>2026-Q4</t>
        </is>
      </c>
      <c r="C7" s="40" t="inlineStr">
        <is>
          <t>Hazards &amp; Resilience</t>
        </is>
      </c>
      <c r="D7" s="41" t="n"/>
      <c r="E7" s="42" t="inlineStr"/>
      <c r="F7" s="43" t="inlineStr">
        <is>
          <t>Grave glissement de terrain dans le sud de Chiayi</t>
        </is>
      </c>
      <c r="G7" s="43" t="inlineStr"/>
      <c r="H7" s="43" t="inlineStr"/>
      <c r="I7" s="39" t="inlineStr">
        <is>
          <t>Vietnam.vn</t>
        </is>
      </c>
      <c r="J7" s="39" t="inlineStr">
        <is>
          <t>France</t>
        </is>
      </c>
      <c r="K7" s="38" t="n">
        <v>46318</v>
      </c>
      <c r="L7" s="43" t="inlineStr">
        <is>
          <t>landslide</t>
        </is>
      </c>
      <c r="M7" s="44" t="inlineStr">
        <is>
          <t>Open article</t>
        </is>
      </c>
    </row>
    <row r="8" ht="48" customHeight="1">
      <c r="A8" s="38" t="n">
        <v>46319</v>
      </c>
      <c r="B8" s="39" t="inlineStr">
        <is>
          <t>2026-Q4</t>
        </is>
      </c>
      <c r="C8" s="40" t="inlineStr">
        <is>
          <t>Hazards &amp; Resilience</t>
        </is>
      </c>
      <c r="D8" s="41" t="n"/>
      <c r="E8" s="42" t="inlineStr"/>
      <c r="F8" s="43" t="inlineStr">
        <is>
          <t>Nghe An : Il est urgent d'agir face au glissement de terrain sur le talus le long de la route côtière.</t>
        </is>
      </c>
      <c r="G8" s="43" t="inlineStr"/>
      <c r="H8" s="43" t="inlineStr"/>
      <c r="I8" s="39" t="inlineStr">
        <is>
          <t>Vietnam.vn</t>
        </is>
      </c>
      <c r="J8" s="39" t="inlineStr">
        <is>
          <t>France</t>
        </is>
      </c>
      <c r="K8" s="38" t="n">
        <v>46318</v>
      </c>
      <c r="L8" s="43" t="inlineStr">
        <is>
          <t>landslide, slope</t>
        </is>
      </c>
      <c r="M8" s="44" t="inlineStr">
        <is>
          <t>Open article</t>
        </is>
      </c>
    </row>
    <row r="9" ht="48" customHeight="1">
      <c r="A9" s="38" t="n">
        <v>46319</v>
      </c>
      <c r="B9" s="39" t="inlineStr">
        <is>
          <t>2026-Q4</t>
        </is>
      </c>
      <c r="C9" s="40" t="inlineStr">
        <is>
          <t>Hazards &amp; Resilience</t>
        </is>
      </c>
      <c r="D9" s="41" t="n"/>
      <c r="E9" s="42" t="inlineStr"/>
      <c r="F9" s="43" t="inlineStr">
        <is>
          <t>Evalúan estabilización de laderas y subsidios para familias ante deslizamiento de tierra en Lota</t>
        </is>
      </c>
      <c r="G9" s="43" t="inlineStr"/>
      <c r="H9" s="43" t="inlineStr"/>
      <c r="I9" s="39" t="inlineStr">
        <is>
          <t>Diario Concepción</t>
        </is>
      </c>
      <c r="J9" s="39" t="inlineStr">
        <is>
          <t>Spain</t>
        </is>
      </c>
      <c r="K9" s="38" t="n">
        <v>46318</v>
      </c>
      <c r="L9" s="43" t="inlineStr">
        <is>
          <t>landslide, slope</t>
        </is>
      </c>
      <c r="M9" s="44" t="inlineStr">
        <is>
          <t>Open article</t>
        </is>
      </c>
    </row>
    <row r="10" ht="30" customHeight="1">
      <c r="A10" s="38" t="n">
        <v>46319</v>
      </c>
      <c r="B10" s="39" t="inlineStr">
        <is>
          <t>2026-Q4</t>
        </is>
      </c>
      <c r="C10" s="40" t="inlineStr">
        <is>
          <t>Hazards &amp; Resilience</t>
        </is>
      </c>
      <c r="D10" s="41" t="n"/>
      <c r="E10" s="42" t="inlineStr"/>
      <c r="F10" s="43" t="inlineStr">
        <is>
          <t>Concepción: trabajos de despeje avanzan tras deslizamiento de tierra en Juan Riquelme</t>
        </is>
      </c>
      <c r="G10" s="43" t="inlineStr"/>
      <c r="H10" s="43" t="inlineStr"/>
      <c r="I10" s="39" t="inlineStr">
        <is>
          <t>Canal 9 Bío Bío Televisión</t>
        </is>
      </c>
      <c r="J10" s="39" t="inlineStr">
        <is>
          <t>Spain</t>
        </is>
      </c>
      <c r="K10" s="38" t="n">
        <v>46318</v>
      </c>
      <c r="L10" s="43" t="inlineStr">
        <is>
          <t>landslide</t>
        </is>
      </c>
      <c r="M10" s="44" t="inlineStr">
        <is>
          <t>Open article</t>
        </is>
      </c>
    </row>
    <row r="11" ht="30" customHeight="1">
      <c r="A11" s="38" t="n">
        <v>46319</v>
      </c>
      <c r="B11" s="39" t="inlineStr">
        <is>
          <t>2026-Q4</t>
        </is>
      </c>
      <c r="C11" s="40" t="inlineStr">
        <is>
          <t>Hazards &amp; Resilience</t>
        </is>
      </c>
      <c r="D11" s="41" t="n"/>
      <c r="E11" s="42" t="inlineStr"/>
      <c r="F11" s="43" t="inlineStr">
        <is>
          <t>Viviendas Colapsan por Deslizamiento de Tierra en Lomas Conjunto Residencial, Tijuana</t>
        </is>
      </c>
      <c r="G11" s="43" t="inlineStr"/>
      <c r="H11" s="43" t="inlineStr"/>
      <c r="I11" s="39" t="inlineStr">
        <is>
          <t>N+</t>
        </is>
      </c>
      <c r="J11" s="39" t="inlineStr">
        <is>
          <t>Spain</t>
        </is>
      </c>
      <c r="K11" s="38" t="n">
        <v>46318</v>
      </c>
      <c r="L11" s="43" t="inlineStr">
        <is>
          <t>landslide</t>
        </is>
      </c>
      <c r="M11" s="44" t="inlineStr">
        <is>
          <t>Open article</t>
        </is>
      </c>
    </row>
    <row r="12" ht="48" customHeight="1">
      <c r="A12" s="38" t="n">
        <v>46319</v>
      </c>
      <c r="B12" s="39" t="inlineStr">
        <is>
          <t>2026-Q4</t>
        </is>
      </c>
      <c r="C12" s="40" t="inlineStr">
        <is>
          <t>Hazards &amp; Resilience</t>
        </is>
      </c>
      <c r="D12" s="41" t="n"/>
      <c r="E12" s="42" t="inlineStr"/>
      <c r="F12" s="43" t="inlineStr">
        <is>
          <t>La atención se centra en la reparación de los deslizamientos de tierra en la Carretera Nacional 15C.</t>
        </is>
      </c>
      <c r="G12" s="43" t="inlineStr"/>
      <c r="H12" s="43" t="inlineStr"/>
      <c r="I12" s="39" t="inlineStr">
        <is>
          <t>Vietnam.vn</t>
        </is>
      </c>
      <c r="J12" s="39" t="inlineStr">
        <is>
          <t>Spain</t>
        </is>
      </c>
      <c r="K12" s="38" t="n">
        <v>46318</v>
      </c>
      <c r="L12" s="43" t="inlineStr">
        <is>
          <t>landslide</t>
        </is>
      </c>
      <c r="M12" s="44" t="inlineStr">
        <is>
          <t>Open article</t>
        </is>
      </c>
    </row>
    <row r="13" ht="30" customHeight="1">
      <c r="A13" s="38" t="n">
        <v>46319</v>
      </c>
      <c r="B13" s="39" t="inlineStr">
        <is>
          <t>2026-Q4</t>
        </is>
      </c>
      <c r="C13" s="40" t="inlineStr">
        <is>
          <t>Hazards &amp; Resilience</t>
        </is>
      </c>
      <c r="D13" s="41" t="n"/>
      <c r="E13" s="42" t="inlineStr"/>
      <c r="F13" s="43" t="inlineStr">
        <is>
          <t>Limpieza tras deslizamiento habilitó la vía Riobamba–Cebadas</t>
        </is>
      </c>
      <c r="G13" s="43" t="inlineStr"/>
      <c r="H13" s="43" t="inlineStr"/>
      <c r="I13" s="39" t="inlineStr">
        <is>
          <t>diariolosandes.com.ec</t>
        </is>
      </c>
      <c r="J13" s="39" t="inlineStr">
        <is>
          <t>Spain</t>
        </is>
      </c>
      <c r="K13" s="38" t="n">
        <v>46319</v>
      </c>
      <c r="L13" s="43" t="inlineStr">
        <is>
          <t>landslide</t>
        </is>
      </c>
      <c r="M13" s="44" t="inlineStr">
        <is>
          <t>Open article</t>
        </is>
      </c>
    </row>
    <row r="14" ht="48" customHeight="1">
      <c r="A14" s="38" t="n">
        <v>46319</v>
      </c>
      <c r="B14" s="39" t="inlineStr">
        <is>
          <t>2026-Q4</t>
        </is>
      </c>
      <c r="C14" s="40" t="inlineStr">
        <is>
          <t>Hazards &amp; Resilience</t>
        </is>
      </c>
      <c r="D14" s="41" t="n"/>
      <c r="E14" s="42" t="inlineStr"/>
      <c r="F14" s="43" t="inlineStr">
        <is>
          <t>Emergencia en Moniquirá, Boyacá, por deslizamiento de tierra en la vereda de Pajales tras fuertes lluvias: se reportan tres casas afectadas</t>
        </is>
      </c>
      <c r="G14" s="43" t="inlineStr"/>
      <c r="H14" s="43" t="inlineStr"/>
      <c r="I14" s="39" t="inlineStr">
        <is>
          <t>El Tiempo</t>
        </is>
      </c>
      <c r="J14" s="39" t="inlineStr">
        <is>
          <t>Spain</t>
        </is>
      </c>
      <c r="K14" s="38" t="n">
        <v>46318</v>
      </c>
      <c r="L14" s="43" t="inlineStr">
        <is>
          <t>landslide</t>
        </is>
      </c>
      <c r="M14" s="44" t="inlineStr">
        <is>
          <t>Open article</t>
        </is>
      </c>
    </row>
    <row r="15" ht="30" customHeight="1">
      <c r="A15" s="38" t="n">
        <v>46319</v>
      </c>
      <c r="B15" s="39" t="inlineStr">
        <is>
          <t>2026-Q4</t>
        </is>
      </c>
      <c r="C15" s="40" t="inlineStr">
        <is>
          <t>Hazards &amp; Resilience</t>
        </is>
      </c>
      <c r="D15" s="41" t="n"/>
      <c r="E15" s="42" t="inlineStr"/>
      <c r="F15" s="43" t="inlineStr">
        <is>
          <t>Deslizamiento de tierra en Pahuatlán</t>
        </is>
      </c>
      <c r="G15" s="43" t="inlineStr"/>
      <c r="H15" s="43" t="inlineStr"/>
      <c r="I15" s="39" t="inlineStr">
        <is>
          <t>Diario sin Secretos</t>
        </is>
      </c>
      <c r="J15" s="39" t="inlineStr">
        <is>
          <t>Spain</t>
        </is>
      </c>
      <c r="K15" s="38" t="n">
        <v>46319</v>
      </c>
      <c r="L15" s="43" t="inlineStr">
        <is>
          <t>landslide</t>
        </is>
      </c>
      <c r="M15" s="44" t="inlineStr">
        <is>
          <t>Open article</t>
        </is>
      </c>
    </row>
    <row r="16" ht="48" customHeight="1">
      <c r="A16" s="38" t="n">
        <v>46319</v>
      </c>
      <c r="B16" s="39" t="inlineStr">
        <is>
          <t>2026-Q4</t>
        </is>
      </c>
      <c r="C16" s="40" t="inlineStr">
        <is>
          <t>Hazards &amp; Resilience</t>
        </is>
      </c>
      <c r="D16" s="41" t="n"/>
      <c r="E16" s="42" t="inlineStr"/>
      <c r="F16" s="43" t="inlineStr">
        <is>
          <t>Calle intransitable por el barro: deslizamiento de tierra afecta a sector Juan Riquelme de Concepción</t>
        </is>
      </c>
      <c r="G16" s="43" t="inlineStr"/>
      <c r="H16" s="43" t="inlineStr"/>
      <c r="I16" s="39" t="inlineStr">
        <is>
          <t>BioBioChile</t>
        </is>
      </c>
      <c r="J16" s="39" t="inlineStr">
        <is>
          <t>Spain</t>
        </is>
      </c>
      <c r="K16" s="38" t="n">
        <v>46317</v>
      </c>
      <c r="L16" s="43" t="inlineStr">
        <is>
          <t>landslide</t>
        </is>
      </c>
      <c r="M16" s="44" t="inlineStr">
        <is>
          <t>Open article</t>
        </is>
      </c>
    </row>
    <row r="17" ht="30" customHeight="1">
      <c r="A17" s="38" t="n">
        <v>46319</v>
      </c>
      <c r="B17" s="39" t="inlineStr">
        <is>
          <t>2026-Q4</t>
        </is>
      </c>
      <c r="C17" s="40" t="inlineStr">
        <is>
          <t>Hazards &amp; Resilience</t>
        </is>
      </c>
      <c r="D17" s="41" t="n"/>
      <c r="E17" s="42" t="inlineStr"/>
      <c r="F17" s="43" t="inlineStr">
        <is>
          <t>Deslizamiento de Tierra Obliga al Cierre Total en Bonea</t>
        </is>
      </c>
      <c r="G17" s="43" t="inlineStr"/>
      <c r="H17" s="43" t="inlineStr"/>
      <c r="I17" s="39" t="inlineStr">
        <is>
          <t>Il Mattino</t>
        </is>
      </c>
      <c r="J17" s="39" t="inlineStr">
        <is>
          <t>Spain</t>
        </is>
      </c>
      <c r="K17" s="38" t="n">
        <v>46318</v>
      </c>
      <c r="L17" s="43" t="inlineStr">
        <is>
          <t>landslide</t>
        </is>
      </c>
      <c r="M17" s="44" t="inlineStr">
        <is>
          <t>Open article</t>
        </is>
      </c>
    </row>
    <row r="18" ht="48" customHeight="1">
      <c r="A18" s="38" t="n">
        <v>46319</v>
      </c>
      <c r="B18" s="39" t="inlineStr">
        <is>
          <t>2026-Q4</t>
        </is>
      </c>
      <c r="C18" s="40" t="inlineStr">
        <is>
          <t>Hazards &amp; Resilience</t>
        </is>
      </c>
      <c r="D18" s="41" t="n"/>
      <c r="E18" s="42" t="inlineStr"/>
      <c r="F18" s="43" t="inlineStr">
        <is>
          <t>Evalúan riesgos por deslizamiento de tierra en Lota y analizan apoyo habitacional para familias afectadas</t>
        </is>
      </c>
      <c r="G18" s="43" t="inlineStr"/>
      <c r="H18" s="43" t="inlineStr"/>
      <c r="I18" s="39" t="inlineStr">
        <is>
          <t>La Tribuna</t>
        </is>
      </c>
      <c r="J18" s="39" t="inlineStr">
        <is>
          <t>Spain</t>
        </is>
      </c>
      <c r="K18" s="38" t="n">
        <v>46318</v>
      </c>
      <c r="L18" s="43" t="inlineStr">
        <is>
          <t>landslide</t>
        </is>
      </c>
      <c r="M18" s="44" t="inlineStr">
        <is>
          <t>Open article</t>
        </is>
      </c>
    </row>
    <row r="19" ht="30" customHeight="1">
      <c r="A19" s="38" t="n">
        <v>46319</v>
      </c>
      <c r="B19" s="39" t="inlineStr">
        <is>
          <t>2026-Q4</t>
        </is>
      </c>
      <c r="C19" s="40" t="inlineStr">
        <is>
          <t>Hazards &amp; Resilience</t>
        </is>
      </c>
      <c r="D19" s="41" t="n"/>
      <c r="E19" s="42" t="inlineStr"/>
      <c r="F19" s="43" t="inlineStr">
        <is>
          <t>Deslizamiento de tierra cierra la vía Alóag–Santo Domingo en ambos sentidos</t>
        </is>
      </c>
      <c r="G19" s="43" t="inlineStr"/>
      <c r="H19" s="43" t="inlineStr"/>
      <c r="I19" s="39" t="inlineStr">
        <is>
          <t>Teleamazonas</t>
        </is>
      </c>
      <c r="J19" s="39" t="inlineStr">
        <is>
          <t>Spain</t>
        </is>
      </c>
      <c r="K19" s="38" t="n">
        <v>46318</v>
      </c>
      <c r="L19" s="43" t="inlineStr">
        <is>
          <t>landslide</t>
        </is>
      </c>
      <c r="M19" s="44" t="inlineStr">
        <is>
          <t>Open article</t>
        </is>
      </c>
    </row>
    <row r="20" ht="48" customHeight="1">
      <c r="A20" s="38" t="n">
        <v>46319</v>
      </c>
      <c r="B20" s="39" t="inlineStr">
        <is>
          <t>2026-Q4</t>
        </is>
      </c>
      <c r="C20" s="40" t="inlineStr">
        <is>
          <t>Hazards &amp; Resilience</t>
        </is>
      </c>
      <c r="D20" s="41" t="n"/>
      <c r="E20" s="42" t="inlineStr"/>
      <c r="F20" s="43" t="inlineStr">
        <is>
          <t>Deslizamiento de tierra en la vía Salinas-Lita moviliza maquinaria para habilitar el tránsito en Imbabura</t>
        </is>
      </c>
      <c r="G20" s="43" t="inlineStr"/>
      <c r="H20" s="43" t="inlineStr"/>
      <c r="I20" s="39" t="inlineStr">
        <is>
          <t>El Universo</t>
        </is>
      </c>
      <c r="J20" s="39" t="inlineStr">
        <is>
          <t>Spain</t>
        </is>
      </c>
      <c r="K20" s="38" t="n">
        <v>46317</v>
      </c>
      <c r="L20" s="43" t="inlineStr">
        <is>
          <t>landslide</t>
        </is>
      </c>
      <c r="M20" s="44" t="inlineStr">
        <is>
          <t>Open article</t>
        </is>
      </c>
    </row>
    <row r="21" ht="48" customHeight="1">
      <c r="A21" s="38" t="n">
        <v>46319</v>
      </c>
      <c r="B21" s="39" t="inlineStr">
        <is>
          <t>2026-Q4</t>
        </is>
      </c>
      <c r="C21" s="40" t="inlineStr">
        <is>
          <t>Hazards &amp; Resilience</t>
        </is>
      </c>
      <c r="D21" s="41" t="n"/>
      <c r="E21" s="42" t="inlineStr"/>
      <c r="F21" s="43" t="inlineStr">
        <is>
          <t>Ministerio de Salud mantiene vigilancia tras deslizamiento de tierra en zona minera de Remance</t>
        </is>
      </c>
      <c r="G21" s="43" t="inlineStr"/>
      <c r="H21" s="43" t="inlineStr"/>
      <c r="I21" s="39" t="inlineStr">
        <is>
          <t>Destino Panamá</t>
        </is>
      </c>
      <c r="J21" s="39" t="inlineStr">
        <is>
          <t>Spain</t>
        </is>
      </c>
      <c r="K21" s="38" t="n">
        <v>46319</v>
      </c>
      <c r="L21" s="43" t="inlineStr">
        <is>
          <t>landslide</t>
        </is>
      </c>
      <c r="M21" s="44" t="inlineStr">
        <is>
          <t>Open article</t>
        </is>
      </c>
    </row>
    <row r="22" ht="48" customHeight="1">
      <c r="A22" s="38" t="n">
        <v>46319</v>
      </c>
      <c r="B22" s="39" t="inlineStr">
        <is>
          <t>2026-Q4</t>
        </is>
      </c>
      <c r="C22" s="40" t="inlineStr">
        <is>
          <t>Hazards &amp; Resilience</t>
        </is>
      </c>
      <c r="D22" s="41" t="n"/>
      <c r="E22" s="42" t="inlineStr"/>
      <c r="F22" s="43" t="inlineStr">
        <is>
          <t>El 24 de octubre de 2026 se emitió una alerta por alto riesgo de inundaciones repentinas y deslizamientos de tierra en muchas zonas de Tuyen Quang.</t>
        </is>
      </c>
      <c r="G22" s="43" t="inlineStr"/>
      <c r="H22" s="43" t="inlineStr"/>
      <c r="I22" s="39" t="inlineStr">
        <is>
          <t>Vietnam.vn</t>
        </is>
      </c>
      <c r="J22" s="39" t="inlineStr">
        <is>
          <t>Spain</t>
        </is>
      </c>
      <c r="K22" s="38" t="n">
        <v>46318</v>
      </c>
      <c r="L22" s="43" t="inlineStr">
        <is>
          <t>landslide</t>
        </is>
      </c>
      <c r="M22" s="44" t="inlineStr">
        <is>
          <t>Open article</t>
        </is>
      </c>
    </row>
    <row r="23" ht="30" customHeight="1">
      <c r="A23" s="38" t="n">
        <v>46319</v>
      </c>
      <c r="B23" s="39" t="inlineStr">
        <is>
          <t>2026-Q4</t>
        </is>
      </c>
      <c r="C23" s="40" t="inlineStr">
        <is>
          <t>Hazards &amp; Resilience</t>
        </is>
      </c>
      <c r="D23" s="41" t="n"/>
      <c r="E23" s="42" t="inlineStr"/>
      <c r="F23" s="43" t="inlineStr">
        <is>
          <t>Concepción: lluvias activan aluvión y deslizamiento de tierra en Juan Riquelme</t>
        </is>
      </c>
      <c r="G23" s="43" t="inlineStr"/>
      <c r="H23" s="43" t="inlineStr"/>
      <c r="I23" s="39" t="inlineStr">
        <is>
          <t>Diario Concepción</t>
        </is>
      </c>
      <c r="J23" s="39" t="inlineStr">
        <is>
          <t>Spain</t>
        </is>
      </c>
      <c r="K23" s="38" t="n">
        <v>46317</v>
      </c>
      <c r="L23" s="43" t="inlineStr">
        <is>
          <t>landslide</t>
        </is>
      </c>
      <c r="M23" s="44" t="inlineStr">
        <is>
          <t>Open article</t>
        </is>
      </c>
    </row>
    <row r="24" ht="30" customHeight="1">
      <c r="A24" s="38" t="n">
        <v>46319</v>
      </c>
      <c r="B24" s="39" t="inlineStr">
        <is>
          <t>2026-Q4</t>
        </is>
      </c>
      <c r="C24" s="40" t="inlineStr">
        <is>
          <t>Hazards &amp; Resilience</t>
        </is>
      </c>
      <c r="D24" s="41" t="n"/>
      <c r="E24" s="42" t="inlineStr"/>
      <c r="F24" s="43" t="inlineStr">
        <is>
          <t>Dos casas se derrumbaron debido a deslizamientos de tierra a lo largo del río Tien.</t>
        </is>
      </c>
      <c r="G24" s="43" t="inlineStr"/>
      <c r="H24" s="43" t="inlineStr"/>
      <c r="I24" s="39" t="inlineStr">
        <is>
          <t>Vietnam.vn</t>
        </is>
      </c>
      <c r="J24" s="39" t="inlineStr">
        <is>
          <t>Spain</t>
        </is>
      </c>
      <c r="K24" s="38" t="n">
        <v>46318</v>
      </c>
      <c r="L24" s="43" t="inlineStr">
        <is>
          <t>landslide</t>
        </is>
      </c>
      <c r="M24" s="44" t="inlineStr">
        <is>
          <t>Open article</t>
        </is>
      </c>
    </row>
    <row r="25" ht="48" customHeight="1">
      <c r="A25" s="38" t="n">
        <v>46319</v>
      </c>
      <c r="B25" s="39" t="inlineStr">
        <is>
          <t>2026-Q4</t>
        </is>
      </c>
      <c r="C25" s="40" t="inlineStr">
        <is>
          <t>Hazards &amp; Resilience</t>
        </is>
      </c>
      <c r="D25" s="41" t="n"/>
      <c r="E25" s="42" t="inlineStr"/>
      <c r="F25" s="43" t="inlineStr">
        <is>
          <t>Nghe An: Se necesitan medidas urgentes para solucionar el deslizamiento de tierra en el terraplén a lo largo de la carretera costera.</t>
        </is>
      </c>
      <c r="G25" s="43" t="inlineStr"/>
      <c r="H25" s="43" t="inlineStr"/>
      <c r="I25" s="39" t="inlineStr">
        <is>
          <t>Vietnam.vn</t>
        </is>
      </c>
      <c r="J25" s="39" t="inlineStr">
        <is>
          <t>Spain</t>
        </is>
      </c>
      <c r="K25" s="38" t="n">
        <v>46318</v>
      </c>
      <c r="L25" s="43" t="inlineStr">
        <is>
          <t>landslide, embankment</t>
        </is>
      </c>
      <c r="M25" s="44" t="inlineStr">
        <is>
          <t>Open article</t>
        </is>
      </c>
    </row>
    <row r="26" ht="48" customHeight="1">
      <c r="A26" s="38" t="n">
        <v>46319</v>
      </c>
      <c r="B26" s="39" t="inlineStr">
        <is>
          <t>2026-Q4</t>
        </is>
      </c>
      <c r="C26" s="40" t="inlineStr">
        <is>
          <t>Hazards &amp; Resilience</t>
        </is>
      </c>
      <c r="D26" s="41" t="n"/>
      <c r="E26" s="42" t="inlineStr"/>
      <c r="F26" s="43" t="inlineStr">
        <is>
          <t>Concepción: deslizamiento de tierra afecta 2 viviendas y bloquea calle en Juan Riquelme por el barro</t>
        </is>
      </c>
      <c r="G26" s="43" t="inlineStr"/>
      <c r="H26" s="43" t="inlineStr"/>
      <c r="I26" s="39" t="inlineStr">
        <is>
          <t>Canal 9 Bío Bío Televisión</t>
        </is>
      </c>
      <c r="J26" s="39" t="inlineStr">
        <is>
          <t>Spain</t>
        </is>
      </c>
      <c r="K26" s="38" t="n">
        <v>46318</v>
      </c>
      <c r="L26" s="43" t="inlineStr">
        <is>
          <t>landslide</t>
        </is>
      </c>
      <c r="M26" s="44" t="inlineStr">
        <is>
          <t>Open article</t>
        </is>
      </c>
    </row>
    <row r="27" ht="30" customHeight="1">
      <c r="A27" s="38" t="n">
        <v>46319</v>
      </c>
      <c r="B27" s="39" t="inlineStr">
        <is>
          <t>2026-Q4</t>
        </is>
      </c>
      <c r="C27" s="40" t="inlineStr">
        <is>
          <t>Hazards &amp; Resilience</t>
        </is>
      </c>
      <c r="D27" s="41" t="n"/>
      <c r="E27" s="42" t="inlineStr"/>
      <c r="F27" s="43" t="inlineStr">
        <is>
          <t>Arcata comprará el parcela del barranco y comenzará la reparación de deslizamientos</t>
        </is>
      </c>
      <c r="G27" s="43" t="inlineStr"/>
      <c r="H27" s="43" t="inlineStr"/>
      <c r="I27" s="39" t="inlineStr">
        <is>
          <t>Lost Coast Outpost</t>
        </is>
      </c>
      <c r="J27" s="39" t="inlineStr">
        <is>
          <t>Spain</t>
        </is>
      </c>
      <c r="K27" s="38" t="n">
        <v>46317</v>
      </c>
      <c r="L27" s="43" t="inlineStr">
        <is>
          <t>landslide</t>
        </is>
      </c>
      <c r="M27" s="44" t="inlineStr">
        <is>
          <t>Open article</t>
        </is>
      </c>
    </row>
    <row r="28" ht="30" customHeight="1">
      <c r="A28" s="38" t="n">
        <v>46319</v>
      </c>
      <c r="B28" s="39" t="inlineStr">
        <is>
          <t>2026-Q4</t>
        </is>
      </c>
      <c r="C28" s="40" t="inlineStr">
        <is>
          <t>Hazards &amp; Resilience</t>
        </is>
      </c>
      <c r="D28" s="41" t="n"/>
      <c r="E28" s="42" t="inlineStr"/>
      <c r="F28" s="43" t="inlineStr">
        <is>
          <t>Auto y viviendas afectadas tras deslizamiento de tierra en Concepción</t>
        </is>
      </c>
      <c r="G28" s="43" t="inlineStr"/>
      <c r="H28" s="43" t="inlineStr"/>
      <c r="I28" s="39" t="inlineStr">
        <is>
          <t>Meganoticias</t>
        </is>
      </c>
      <c r="J28" s="39" t="inlineStr">
        <is>
          <t>Spain</t>
        </is>
      </c>
      <c r="K28" s="38" t="n">
        <v>46317</v>
      </c>
      <c r="L28" s="43" t="inlineStr">
        <is>
          <t>landslide</t>
        </is>
      </c>
      <c r="M28" s="44" t="inlineStr">
        <is>
          <t>Open article</t>
        </is>
      </c>
    </row>
    <row r="29" ht="30" customHeight="1">
      <c r="A29" s="38" t="n">
        <v>46319</v>
      </c>
      <c r="B29" s="39" t="inlineStr">
        <is>
          <t>2026-Q4</t>
        </is>
      </c>
      <c r="C29" s="40" t="inlineStr">
        <is>
          <t>Hazards &amp; Resilience</t>
        </is>
      </c>
      <c r="D29" s="41" t="n"/>
      <c r="E29" s="42" t="inlineStr"/>
      <c r="F29" s="43" t="inlineStr">
        <is>
          <t>En peligro vecinos del bulevar Felipe J. Mery por deslizamiento de tierra</t>
        </is>
      </c>
      <c r="G29" s="43" t="inlineStr"/>
      <c r="H29" s="43" t="inlineStr"/>
      <c r="I29" s="39" t="inlineStr">
        <is>
          <t>RCG Media</t>
        </is>
      </c>
      <c r="J29" s="39" t="inlineStr">
        <is>
          <t>Spain</t>
        </is>
      </c>
      <c r="K29" s="38" t="n">
        <v>46317</v>
      </c>
      <c r="L29" s="43" t="inlineStr">
        <is>
          <t>landslide</t>
        </is>
      </c>
      <c r="M29" s="44" t="inlineStr">
        <is>
          <t>Open article</t>
        </is>
      </c>
    </row>
    <row r="30" ht="30" customHeight="1">
      <c r="A30" s="38" t="n">
        <v>46319</v>
      </c>
      <c r="B30" s="39" t="inlineStr">
        <is>
          <t>2026-Q4</t>
        </is>
      </c>
      <c r="C30" s="40" t="inlineStr">
        <is>
          <t>Hazards &amp; Resilience</t>
        </is>
      </c>
      <c r="D30" s="41" t="n"/>
      <c r="E30" s="42" t="inlineStr"/>
      <c r="F30" s="43" t="inlineStr">
        <is>
          <t>Un terraplén de prevención de deslizamientos de tierra "amenaza" una zona residencial.</t>
        </is>
      </c>
      <c r="G30" s="43" t="inlineStr"/>
      <c r="H30" s="43" t="inlineStr"/>
      <c r="I30" s="39" t="inlineStr">
        <is>
          <t>Vietnam.vn</t>
        </is>
      </c>
      <c r="J30" s="39" t="inlineStr">
        <is>
          <t>Spain</t>
        </is>
      </c>
      <c r="K30" s="38" t="n">
        <v>46318</v>
      </c>
      <c r="L30" s="43" t="inlineStr">
        <is>
          <t>landslide, embankment</t>
        </is>
      </c>
      <c r="M30" s="44" t="inlineStr">
        <is>
          <t>Open article</t>
        </is>
      </c>
    </row>
    <row r="31" ht="48" customHeight="1">
      <c r="A31" s="38" t="n">
        <v>46319</v>
      </c>
      <c r="B31" s="39" t="inlineStr">
        <is>
          <t>2026-Q4</t>
        </is>
      </c>
      <c r="C31" s="40" t="inlineStr">
        <is>
          <t>Hazards &amp; Resilience</t>
        </is>
      </c>
      <c r="D31" s="41" t="n"/>
      <c r="E31" s="42" t="inlineStr"/>
      <c r="F31" s="43" t="inlineStr">
        <is>
          <t>Fuertes lluvias provocan deslizamientos en Moniquirá: en la vereda Pajales la tierra se abrió en dos</t>
        </is>
      </c>
      <c r="G31" s="43" t="inlineStr"/>
      <c r="H31" s="43" t="inlineStr"/>
      <c r="I31" s="39" t="inlineStr">
        <is>
          <t>Revista Semana</t>
        </is>
      </c>
      <c r="J31" s="39" t="inlineStr">
        <is>
          <t>Spain</t>
        </is>
      </c>
      <c r="K31" s="38" t="n">
        <v>46318</v>
      </c>
      <c r="L31" s="43" t="inlineStr">
        <is>
          <t>landslide</t>
        </is>
      </c>
      <c r="M31" s="44" t="inlineStr">
        <is>
          <t>Open article</t>
        </is>
      </c>
    </row>
    <row r="32" ht="48" customHeight="1">
      <c r="A32" s="38" t="n">
        <v>46319</v>
      </c>
      <c r="B32" s="39" t="inlineStr">
        <is>
          <t>2026-Q4</t>
        </is>
      </c>
      <c r="C32" s="40" t="inlineStr">
        <is>
          <t>Hazards &amp; Resilience</t>
        </is>
      </c>
      <c r="D32" s="41" t="n"/>
      <c r="E32" s="42" t="inlineStr"/>
      <c r="F32" s="43" t="inlineStr">
        <is>
          <t>Alcaldía de Villavicencio adecua paso peatonal provisional tras deslizamiento en Buenavista</t>
        </is>
      </c>
      <c r="G32" s="43" t="inlineStr"/>
      <c r="H32" s="43" t="inlineStr"/>
      <c r="I32" s="39" t="inlineStr">
        <is>
          <t>Periódico del Meta</t>
        </is>
      </c>
      <c r="J32" s="39" t="inlineStr">
        <is>
          <t>Spain</t>
        </is>
      </c>
      <c r="K32" s="38" t="n">
        <v>46318</v>
      </c>
      <c r="L32" s="43" t="inlineStr">
        <is>
          <t>landslide</t>
        </is>
      </c>
      <c r="M32" s="44" t="inlineStr">
        <is>
          <t>Open article</t>
        </is>
      </c>
    </row>
    <row r="33" ht="30" customHeight="1">
      <c r="A33" s="38" t="n">
        <v>46319</v>
      </c>
      <c r="B33" s="39" t="inlineStr">
        <is>
          <t>2026-Q4</t>
        </is>
      </c>
      <c r="C33" s="40" t="inlineStr">
        <is>
          <t>Hazards &amp; Resilience</t>
        </is>
      </c>
      <c r="D33" s="41" t="n"/>
      <c r="E33" s="42" t="inlineStr"/>
      <c r="F33" s="43" t="inlineStr">
        <is>
          <t>Advierten por Posible Deslizamiento en el Bulevar Mar de Cortés en Tijuana, BC</t>
        </is>
      </c>
      <c r="G33" s="43" t="inlineStr"/>
      <c r="H33" s="43" t="inlineStr"/>
      <c r="I33" s="39" t="inlineStr">
        <is>
          <t>N+</t>
        </is>
      </c>
      <c r="J33" s="39" t="inlineStr">
        <is>
          <t>Spain</t>
        </is>
      </c>
      <c r="K33" s="38" t="n">
        <v>46318</v>
      </c>
      <c r="L33" s="43" t="inlineStr">
        <is>
          <t>landslide</t>
        </is>
      </c>
      <c r="M33" s="44" t="inlineStr">
        <is>
          <t>Open article</t>
        </is>
      </c>
    </row>
    <row r="34" ht="30" customHeight="1">
      <c r="A34" s="38" t="n">
        <v>46319</v>
      </c>
      <c r="B34" s="39" t="inlineStr">
        <is>
          <t>2026-Q4</t>
        </is>
      </c>
      <c r="C34" s="40" t="inlineStr">
        <is>
          <t>Hazards &amp; Resilience</t>
        </is>
      </c>
      <c r="D34" s="41" t="n"/>
      <c r="E34" s="42" t="inlineStr"/>
      <c r="F34" s="43" t="inlineStr">
        <is>
          <t>Grave deslizamiento de tierra en el sur de Chiayi.</t>
        </is>
      </c>
      <c r="G34" s="43" t="inlineStr"/>
      <c r="H34" s="43" t="inlineStr"/>
      <c r="I34" s="39" t="inlineStr">
        <is>
          <t>Vietnam.vn</t>
        </is>
      </c>
      <c r="J34" s="39" t="inlineStr">
        <is>
          <t>Spain</t>
        </is>
      </c>
      <c r="K34" s="38" t="n">
        <v>46317</v>
      </c>
      <c r="L34" s="43" t="inlineStr">
        <is>
          <t>landslide</t>
        </is>
      </c>
      <c r="M34" s="44" t="inlineStr">
        <is>
          <t>Open article</t>
        </is>
      </c>
    </row>
    <row r="35" ht="48" customHeight="1">
      <c r="A35" s="38" t="n">
        <v>46319</v>
      </c>
      <c r="B35" s="39" t="inlineStr">
        <is>
          <t>2026-Q4</t>
        </is>
      </c>
      <c r="C35" s="40" t="inlineStr">
        <is>
          <t>Hazards &amp; Resilience</t>
        </is>
      </c>
      <c r="D35" s="41" t="n"/>
      <c r="E35" s="42" t="inlineStr"/>
      <c r="F35" s="43" t="inlineStr">
        <is>
          <t>Deslizamiento en Muzo afecta colegio y deja sin clases a 120 estudiantes por las fuertes lluvias</t>
        </is>
      </c>
      <c r="G35" s="43" t="inlineStr"/>
      <c r="H35" s="43" t="inlineStr"/>
      <c r="I35" s="39" t="inlineStr">
        <is>
          <t>Caracol Radio</t>
        </is>
      </c>
      <c r="J35" s="39" t="inlineStr">
        <is>
          <t>Spain</t>
        </is>
      </c>
      <c r="K35" s="38" t="n">
        <v>46318</v>
      </c>
      <c r="L35" s="43" t="inlineStr">
        <is>
          <t>landslide</t>
        </is>
      </c>
      <c r="M35" s="44" t="inlineStr">
        <is>
          <t>Open article</t>
        </is>
      </c>
    </row>
    <row r="36" ht="48" customHeight="1">
      <c r="A36" s="38" t="n">
        <v>46319</v>
      </c>
      <c r="B36" s="39" t="inlineStr">
        <is>
          <t>2026-Q4</t>
        </is>
      </c>
      <c r="C36" s="40" t="inlineStr">
        <is>
          <t>Hazards &amp; Resilience</t>
        </is>
      </c>
      <c r="D36" s="41" t="n"/>
      <c r="E36" s="42" t="inlineStr"/>
      <c r="F36" s="43" t="inlineStr">
        <is>
          <t>Organismos de emergencia atendieron ayer varios deslizamientos en Manizales por las lluvias. 🔗 Encuentre el link de la noticia en el primer comentario 🗞️</t>
        </is>
      </c>
      <c r="G36" s="43" t="inlineStr"/>
      <c r="H36" s="43" t="inlineStr"/>
      <c r="I36" s="39" t="inlineStr">
        <is>
          <t>Facebook</t>
        </is>
      </c>
      <c r="J36" s="39" t="inlineStr">
        <is>
          <t>Spain</t>
        </is>
      </c>
      <c r="K36" s="38" t="n">
        <v>46317</v>
      </c>
      <c r="L36" s="43" t="inlineStr">
        <is>
          <t>landslide</t>
        </is>
      </c>
      <c r="M36" s="44" t="inlineStr">
        <is>
          <t>Open article</t>
        </is>
      </c>
    </row>
    <row r="37" ht="30" customHeight="1">
      <c r="A37" s="38" t="n">
        <v>46319</v>
      </c>
      <c r="B37" s="39" t="inlineStr">
        <is>
          <t>2026-Q4</t>
        </is>
      </c>
      <c r="C37" s="40" t="inlineStr">
        <is>
          <t>Hazards &amp; Resilience</t>
        </is>
      </c>
      <c r="D37" s="41" t="n"/>
      <c r="E37" s="42" t="inlineStr"/>
      <c r="F37" s="43" t="inlineStr">
        <is>
          <t>Fuertes lluvias provocan deslizamientos en Moniquirá, Boyacá</t>
        </is>
      </c>
      <c r="G37" s="43" t="inlineStr"/>
      <c r="H37" s="43" t="inlineStr"/>
      <c r="I37" s="39" t="inlineStr">
        <is>
          <t>Agencia de Periodismo Investigativo</t>
        </is>
      </c>
      <c r="J37" s="39" t="inlineStr">
        <is>
          <t>Spain</t>
        </is>
      </c>
      <c r="K37" s="38" t="n">
        <v>46318</v>
      </c>
      <c r="L37" s="43" t="inlineStr">
        <is>
          <t>landslide</t>
        </is>
      </c>
      <c r="M37" s="44" t="inlineStr">
        <is>
          <t>Open article</t>
        </is>
      </c>
    </row>
    <row r="38" ht="48" customHeight="1">
      <c r="A38" s="38" t="n">
        <v>46319</v>
      </c>
      <c r="B38" s="39" t="inlineStr">
        <is>
          <t>2026-Q4</t>
        </is>
      </c>
      <c r="C38" s="40" t="inlineStr">
        <is>
          <t>Hazards &amp; Resilience</t>
        </is>
      </c>
      <c r="D38" s="41" t="n"/>
      <c r="E38" s="42" t="inlineStr"/>
      <c r="F38" s="43" t="inlineStr">
        <is>
          <t>Deslizamiento de tierra mantiene totalmente suspendido el tránsito en la Ruta 5 Norte en Canela</t>
        </is>
      </c>
      <c r="G38" s="43" t="inlineStr"/>
      <c r="H38" s="43" t="inlineStr"/>
      <c r="I38" s="39" t="inlineStr">
        <is>
          <t>Mi Radio</t>
        </is>
      </c>
      <c r="J38" s="39" t="inlineStr">
        <is>
          <t>Spain</t>
        </is>
      </c>
      <c r="K38" s="38" t="n">
        <v>46317</v>
      </c>
      <c r="L38" s="43" t="inlineStr">
        <is>
          <t>landslide</t>
        </is>
      </c>
      <c r="M38" s="44" t="inlineStr">
        <is>
          <t>Open article</t>
        </is>
      </c>
    </row>
    <row r="39" ht="30" customHeight="1">
      <c r="A39" s="38" t="n">
        <v>46319</v>
      </c>
      <c r="B39" s="39" t="inlineStr">
        <is>
          <t>2026-Q4</t>
        </is>
      </c>
      <c r="C39" s="40" t="inlineStr">
        <is>
          <t>Hazards &amp; Resilience</t>
        </is>
      </c>
      <c r="D39" s="41" t="n"/>
      <c r="E39" s="42" t="inlineStr"/>
      <c r="F39" s="43" t="inlineStr">
        <is>
          <t>Rabren vía Las Tablas–Tonosí tras deslizamiento de tierra por fuertes lluvias</t>
        </is>
      </c>
      <c r="G39" s="43" t="inlineStr"/>
      <c r="H39" s="43" t="inlineStr"/>
      <c r="I39" s="39" t="inlineStr">
        <is>
          <t>Telemetro</t>
        </is>
      </c>
      <c r="J39" s="39" t="inlineStr">
        <is>
          <t>Spain</t>
        </is>
      </c>
      <c r="K39" s="38" t="n">
        <v>46317</v>
      </c>
      <c r="L39" s="43" t="inlineStr">
        <is>
          <t>landslide</t>
        </is>
      </c>
      <c r="M39" s="44" t="inlineStr">
        <is>
          <t>Open article</t>
        </is>
      </c>
    </row>
    <row r="40" ht="30" customHeight="1">
      <c r="A40" s="38" t="n">
        <v>46319</v>
      </c>
      <c r="B40" s="39" t="inlineStr">
        <is>
          <t>2026-Q4</t>
        </is>
      </c>
      <c r="C40" s="40" t="inlineStr">
        <is>
          <t>Hazards &amp; Resilience</t>
        </is>
      </c>
      <c r="D40" s="41" t="n"/>
      <c r="E40" s="42" t="inlineStr"/>
      <c r="F40" s="43" t="inlineStr">
        <is>
          <t>Deslizamiento destruyó cuatro viviendas y mantiene en riesgo a familias en el Moniquirá</t>
        </is>
      </c>
      <c r="G40" s="43" t="inlineStr"/>
      <c r="H40" s="43" t="inlineStr"/>
      <c r="I40" s="39" t="inlineStr">
        <is>
          <t>Caracol Radio</t>
        </is>
      </c>
      <c r="J40" s="39" t="inlineStr">
        <is>
          <t>Spain</t>
        </is>
      </c>
      <c r="K40" s="38" t="n">
        <v>46317</v>
      </c>
      <c r="L40" s="43" t="inlineStr">
        <is>
          <t>landslide</t>
        </is>
      </c>
      <c r="M40" s="44" t="inlineStr">
        <is>
          <t>Open article</t>
        </is>
      </c>
    </row>
    <row r="41" ht="48" customHeight="1">
      <c r="A41" s="38" t="n">
        <v>46319</v>
      </c>
      <c r="B41" s="39" t="inlineStr">
        <is>
          <t>2026-Q4</t>
        </is>
      </c>
      <c r="C41" s="40" t="inlineStr">
        <is>
          <t>Hazards &amp; Resilience</t>
        </is>
      </c>
      <c r="D41" s="41" t="n"/>
      <c r="E41" s="42" t="inlineStr"/>
      <c r="F41" s="43" t="inlineStr">
        <is>
          <t>La provincia de Dong Thap destina 330 mil millones de VND para hacer frente a las zonas afectadas por graves deslizamientos de tierra.</t>
        </is>
      </c>
      <c r="G41" s="43" t="inlineStr"/>
      <c r="H41" s="43" t="inlineStr"/>
      <c r="I41" s="39" t="inlineStr">
        <is>
          <t>Vietnam.vn</t>
        </is>
      </c>
      <c r="J41" s="39" t="inlineStr">
        <is>
          <t>Spain</t>
        </is>
      </c>
      <c r="K41" s="38" t="n">
        <v>46318</v>
      </c>
      <c r="L41" s="43" t="inlineStr">
        <is>
          <t>landslide</t>
        </is>
      </c>
      <c r="M41" s="44" t="inlineStr">
        <is>
          <t>Open article</t>
        </is>
      </c>
    </row>
    <row r="42" ht="48" customHeight="1">
      <c r="A42" s="38" t="n">
        <v>46319</v>
      </c>
      <c r="B42" s="39" t="inlineStr">
        <is>
          <t>2026-Q4</t>
        </is>
      </c>
      <c r="C42" s="40" t="inlineStr">
        <is>
          <t>Hazards &amp; Resilience</t>
        </is>
      </c>
      <c r="D42" s="41" t="n"/>
      <c r="E42" s="42" t="inlineStr"/>
      <c r="F42" s="43" t="inlineStr">
        <is>
          <t>Vista de cerca de 500 metros de calle en la provincia de Lam Dong, gravemente afectada por hundimientos y deslizamientos de tierra.</t>
        </is>
      </c>
      <c r="G42" s="43" t="inlineStr"/>
      <c r="H42" s="43" t="inlineStr"/>
      <c r="I42" s="39" t="inlineStr">
        <is>
          <t>Vietnam.vn</t>
        </is>
      </c>
      <c r="J42" s="39" t="inlineStr">
        <is>
          <t>Spain</t>
        </is>
      </c>
      <c r="K42" s="38" t="n">
        <v>46317</v>
      </c>
      <c r="L42" s="43" t="inlineStr">
        <is>
          <t>landslide, subsidence</t>
        </is>
      </c>
      <c r="M42" s="44" t="inlineStr">
        <is>
          <t>Open article</t>
        </is>
      </c>
    </row>
    <row r="43" ht="48" customHeight="1">
      <c r="A43" s="38" t="n">
        <v>46319</v>
      </c>
      <c r="B43" s="39" t="inlineStr">
        <is>
          <t>2026-Q4</t>
        </is>
      </c>
      <c r="C43" s="40" t="inlineStr">
        <is>
          <t>Hazards &amp; Resilience</t>
        </is>
      </c>
      <c r="D43" s="41" t="n"/>
      <c r="E43" s="42" t="inlineStr"/>
      <c r="F43" s="43" t="inlineStr">
        <is>
          <t>Lam Dong: La carretera en Nam Gia Nghia sufre graves hundimientos y deslizamientos de tierra.</t>
        </is>
      </c>
      <c r="G43" s="43" t="inlineStr"/>
      <c r="H43" s="43" t="inlineStr"/>
      <c r="I43" s="39" t="inlineStr">
        <is>
          <t>Vietnam.vn</t>
        </is>
      </c>
      <c r="J43" s="39" t="inlineStr">
        <is>
          <t>Spain</t>
        </is>
      </c>
      <c r="K43" s="38" t="n">
        <v>46317</v>
      </c>
      <c r="L43" s="43" t="inlineStr">
        <is>
          <t>landslide, subsidence</t>
        </is>
      </c>
      <c r="M43" s="44" t="inlineStr">
        <is>
          <t>Open article</t>
        </is>
      </c>
    </row>
    <row r="44" ht="48" customHeight="1">
      <c r="A44" s="38" t="n">
        <v>46319</v>
      </c>
      <c r="B44" s="39" t="inlineStr">
        <is>
          <t>2026-Q4</t>
        </is>
      </c>
      <c r="C44" s="40" t="inlineStr">
        <is>
          <t>Hazards &amp; Resilience</t>
        </is>
      </c>
      <c r="D44" s="41" t="n"/>
      <c r="E44" s="42" t="inlineStr"/>
      <c r="F44" s="43" t="inlineStr">
        <is>
          <t>Reabren parcialmente la vía a Buenaventura tras deslizamiento en Dagua: hay paso a un carril</t>
        </is>
      </c>
      <c r="G44" s="43" t="inlineStr"/>
      <c r="H44" s="43" t="inlineStr"/>
      <c r="I44" s="39" t="inlineStr">
        <is>
          <t>El País</t>
        </is>
      </c>
      <c r="J44" s="39" t="inlineStr">
        <is>
          <t>Spain</t>
        </is>
      </c>
      <c r="K44" s="38" t="n">
        <v>46317</v>
      </c>
      <c r="L44" s="43" t="inlineStr">
        <is>
          <t>landslide</t>
        </is>
      </c>
      <c r="M44" s="44" t="inlineStr">
        <is>
          <t>Open article</t>
        </is>
      </c>
    </row>
    <row r="45" ht="30" customHeight="1">
      <c r="A45" s="38" t="n">
        <v>46319</v>
      </c>
      <c r="B45" s="39" t="inlineStr">
        <is>
          <t>2026-Q4</t>
        </is>
      </c>
      <c r="C45" s="40" t="inlineStr">
        <is>
          <t>Hazards &amp; Resilience</t>
        </is>
      </c>
      <c r="D45" s="41" t="n"/>
      <c r="E45" s="42" t="inlineStr"/>
      <c r="F45" s="43" t="inlineStr">
        <is>
          <t>Detectan coliformes en muestras de agua tras deslizamiento en mina El Remance</t>
        </is>
      </c>
      <c r="G45" s="43" t="inlineStr"/>
      <c r="H45" s="43" t="inlineStr"/>
      <c r="I45" s="39" t="inlineStr">
        <is>
          <t>CRÍTICA</t>
        </is>
      </c>
      <c r="J45" s="39" t="inlineStr">
        <is>
          <t>Spain</t>
        </is>
      </c>
      <c r="K45" s="38" t="n">
        <v>46319</v>
      </c>
      <c r="L45" s="43" t="inlineStr">
        <is>
          <t>landslide</t>
        </is>
      </c>
      <c r="M45" s="44" t="inlineStr">
        <is>
          <t>Open article</t>
        </is>
      </c>
    </row>
    <row r="46" ht="30" customHeight="1">
      <c r="A46" s="38" t="n">
        <v>46319</v>
      </c>
      <c r="B46" s="39" t="inlineStr">
        <is>
          <t>2026-Q4</t>
        </is>
      </c>
      <c r="C46" s="40" t="inlineStr">
        <is>
          <t>Hazards &amp; Resilience</t>
        </is>
      </c>
      <c r="D46" s="41" t="n"/>
      <c r="E46" s="42" t="inlineStr"/>
      <c r="F46" s="43" t="inlineStr">
        <is>
          <t>IMÁGENES SENSIBLES | Deslizamiento en mina deja 14 personas fallecidas</t>
        </is>
      </c>
      <c r="G46" s="43" t="inlineStr"/>
      <c r="H46" s="43" t="inlineStr"/>
      <c r="I46" s="39" t="inlineStr">
        <is>
          <t>Azteca Bajío</t>
        </is>
      </c>
      <c r="J46" s="39" t="inlineStr">
        <is>
          <t>Spain</t>
        </is>
      </c>
      <c r="K46" s="38" t="n">
        <v>46317</v>
      </c>
      <c r="L46" s="43" t="inlineStr">
        <is>
          <t>landslide</t>
        </is>
      </c>
      <c r="M46" s="44" t="inlineStr">
        <is>
          <t>Open article</t>
        </is>
      </c>
    </row>
    <row r="47" ht="30" customHeight="1">
      <c r="A47" s="38" t="n">
        <v>46319</v>
      </c>
      <c r="B47" s="39" t="inlineStr">
        <is>
          <t>2026-Q4</t>
        </is>
      </c>
      <c r="C47" s="40" t="inlineStr">
        <is>
          <t>Hazards &amp; Resilience</t>
        </is>
      </c>
      <c r="D47" s="41" t="n"/>
      <c r="E47" s="42" t="inlineStr"/>
      <c r="F47" s="43" t="inlineStr">
        <is>
          <t>¡Emergencia en Italia! Fuertes lluvias provocan aludes y deslizamientos de tierra</t>
        </is>
      </c>
      <c r="G47" s="43" t="inlineStr"/>
      <c r="H47" s="43" t="inlineStr"/>
      <c r="I47" s="39" t="inlineStr">
        <is>
          <t>TV Azteca Baja California</t>
        </is>
      </c>
      <c r="J47" s="39" t="inlineStr">
        <is>
          <t>Spain</t>
        </is>
      </c>
      <c r="K47" s="38" t="n">
        <v>46317</v>
      </c>
      <c r="L47" s="43" t="inlineStr">
        <is>
          <t>landslide</t>
        </is>
      </c>
      <c r="M47" s="44" t="inlineStr">
        <is>
          <t>Open article</t>
        </is>
      </c>
    </row>
    <row r="48" ht="48" customHeight="1">
      <c r="A48" s="38" t="n">
        <v>46319</v>
      </c>
      <c r="B48" s="39" t="inlineStr">
        <is>
          <t>2026-Q4</t>
        </is>
      </c>
      <c r="C48" s="40" t="inlineStr">
        <is>
          <t>Hazards &amp; Resilience</t>
        </is>
      </c>
      <c r="D48" s="41" t="n"/>
      <c r="E48" s="42" t="inlineStr"/>
      <c r="F48" s="43" t="inlineStr">
        <is>
          <t>¡La tierra se movió en Moniquirá! Deslizamiento dejó cuatro casas destruidas y otras cinco en riesgo</t>
        </is>
      </c>
      <c r="G48" s="43" t="inlineStr"/>
      <c r="H48" s="43" t="inlineStr"/>
      <c r="I48" s="39" t="inlineStr">
        <is>
          <t>Minuto30</t>
        </is>
      </c>
      <c r="J48" s="39" t="inlineStr">
        <is>
          <t>Spain</t>
        </is>
      </c>
      <c r="K48" s="38" t="n">
        <v>46317</v>
      </c>
      <c r="L48" s="43" t="inlineStr">
        <is>
          <t>landslide</t>
        </is>
      </c>
      <c r="M48" s="44" t="inlineStr">
        <is>
          <t>Open article</t>
        </is>
      </c>
    </row>
    <row r="49" ht="30" customHeight="1">
      <c r="A49" s="38" t="n">
        <v>46319</v>
      </c>
      <c r="B49" s="39" t="inlineStr">
        <is>
          <t>2026-Q4</t>
        </is>
      </c>
      <c r="C49" s="40" t="inlineStr">
        <is>
          <t>Hazards &amp; Resilience</t>
        </is>
      </c>
      <c r="D49" s="41" t="n"/>
      <c r="E49" s="42" t="inlineStr"/>
      <c r="F49" s="43" t="inlineStr">
        <is>
          <t>Deslizamiento destruyó cuatro viviendas en Moniquirá, Boyacá, y dejó a varias familias</t>
        </is>
      </c>
      <c r="G49" s="43" t="inlineStr"/>
      <c r="H49" s="43" t="inlineStr"/>
      <c r="I49" s="39" t="inlineStr">
        <is>
          <t>Diario del Sur</t>
        </is>
      </c>
      <c r="J49" s="39" t="inlineStr">
        <is>
          <t>Spain</t>
        </is>
      </c>
      <c r="K49" s="38" t="n">
        <v>46318</v>
      </c>
      <c r="L49" s="43" t="inlineStr">
        <is>
          <t>landslide</t>
        </is>
      </c>
      <c r="M49" s="44" t="inlineStr">
        <is>
          <t>Open article</t>
        </is>
      </c>
    </row>
    <row r="50" ht="30" customHeight="1">
      <c r="A50" s="38" t="n">
        <v>46319</v>
      </c>
      <c r="B50" s="39" t="inlineStr">
        <is>
          <t>2026-Q4</t>
        </is>
      </c>
      <c r="C50" s="40" t="inlineStr">
        <is>
          <t>Hazards &amp; Resilience</t>
        </is>
      </c>
      <c r="D50" s="41" t="n"/>
      <c r="E50" s="42" t="inlineStr"/>
      <c r="F50" s="43" t="inlineStr">
        <is>
          <t>Por tercera vez, un deslizamiento afecta al Pedregal de Santa Julia en Tijuana</t>
        </is>
      </c>
      <c r="G50" s="43" t="inlineStr"/>
      <c r="H50" s="43" t="inlineStr"/>
      <c r="I50" s="39" t="inlineStr">
        <is>
          <t>TV Azteca Baja California</t>
        </is>
      </c>
      <c r="J50" s="39" t="inlineStr">
        <is>
          <t>Spain</t>
        </is>
      </c>
      <c r="K50" s="38" t="n">
        <v>46318</v>
      </c>
      <c r="L50" s="43" t="inlineStr">
        <is>
          <t>landslide</t>
        </is>
      </c>
      <c r="M50" s="44" t="inlineStr">
        <is>
          <t>Open article</t>
        </is>
      </c>
    </row>
    <row r="51" ht="30" customHeight="1">
      <c r="A51" s="38" t="n">
        <v>46319</v>
      </c>
      <c r="B51" s="39" t="inlineStr">
        <is>
          <t>2026-Q4</t>
        </is>
      </c>
      <c r="C51" s="40" t="inlineStr">
        <is>
          <t>Hazards &amp; Resilience</t>
        </is>
      </c>
      <c r="D51" s="41" t="n"/>
      <c r="E51" s="42" t="inlineStr"/>
      <c r="F51" s="43" t="inlineStr">
        <is>
          <t>Deslizamiento en Moniquirá, Boyacá: 3 casas destruidas por lluvias</t>
        </is>
      </c>
      <c r="G51" s="43" t="inlineStr"/>
      <c r="H51" s="43" t="inlineStr"/>
      <c r="I51" s="39" t="inlineStr">
        <is>
          <t>Estrella Digital Colombia</t>
        </is>
      </c>
      <c r="J51" s="39" t="inlineStr">
        <is>
          <t>Spain</t>
        </is>
      </c>
      <c r="K51" s="38" t="n">
        <v>46318</v>
      </c>
      <c r="L51" s="43" t="inlineStr">
        <is>
          <t>landslide</t>
        </is>
      </c>
      <c r="M51" s="44" t="inlineStr">
        <is>
          <t>Open article</t>
        </is>
      </c>
    </row>
    <row r="52" ht="48" customHeight="1">
      <c r="A52" s="38" t="n">
        <v>46319</v>
      </c>
      <c r="B52" s="39" t="inlineStr">
        <is>
          <t>2026-Q4</t>
        </is>
      </c>
      <c r="C52" s="40" t="inlineStr">
        <is>
          <t>Hazards &amp; Resilience</t>
        </is>
      </c>
      <c r="D52" s="41" t="n"/>
      <c r="E52" s="42" t="inlineStr"/>
      <c r="F52" s="43" t="inlineStr">
        <is>
          <t>Obrero permaneció sepultado por casi cuatro horas tras colapso de muro de contención en Ventanilla: fue rescatado con vida</t>
        </is>
      </c>
      <c r="G52" s="43" t="inlineStr"/>
      <c r="H52" s="43" t="inlineStr"/>
      <c r="I52" s="39" t="inlineStr">
        <is>
          <t>Infobae</t>
        </is>
      </c>
      <c r="J52" s="39" t="inlineStr">
        <is>
          <t>Mexico</t>
        </is>
      </c>
      <c r="K52" s="38" t="n">
        <v>46318</v>
      </c>
      <c r="L52" s="43" t="inlineStr">
        <is>
          <t>retaining wall, collapse</t>
        </is>
      </c>
      <c r="M52" s="44" t="inlineStr">
        <is>
          <t>Open article</t>
        </is>
      </c>
    </row>
    <row r="53" ht="30" customHeight="1">
      <c r="A53" s="38" t="n">
        <v>46319</v>
      </c>
      <c r="B53" s="39" t="inlineStr">
        <is>
          <t>2026-Q4</t>
        </is>
      </c>
      <c r="C53" s="40" t="inlineStr">
        <is>
          <t>Hazards &amp; Resilience</t>
        </is>
      </c>
      <c r="D53" s="41" t="n"/>
      <c r="E53" s="42" t="inlineStr"/>
      <c r="F53" s="43" t="inlineStr">
        <is>
          <t>Tres viviendas quedaron destruidas tras deslizamiento en zona rural de Moniquirá</t>
        </is>
      </c>
      <c r="G53" s="43" t="inlineStr"/>
      <c r="H53" s="43" t="inlineStr"/>
      <c r="I53" s="39" t="inlineStr">
        <is>
          <t>Noticias Caracol</t>
        </is>
      </c>
      <c r="J53" s="39" t="inlineStr">
        <is>
          <t>Mexico</t>
        </is>
      </c>
      <c r="K53" s="38" t="n">
        <v>46318</v>
      </c>
      <c r="L53" s="43" t="inlineStr">
        <is>
          <t>landslide</t>
        </is>
      </c>
      <c r="M53" s="44" t="inlineStr">
        <is>
          <t>Open article</t>
        </is>
      </c>
    </row>
    <row r="54" ht="30" customHeight="1">
      <c r="A54" s="38" t="n">
        <v>46319</v>
      </c>
      <c r="B54" s="39" t="inlineStr">
        <is>
          <t>2026-Q4</t>
        </is>
      </c>
      <c r="C54" s="40" t="inlineStr">
        <is>
          <t>Hazards &amp; Resilience</t>
        </is>
      </c>
      <c r="D54" s="41" t="n"/>
      <c r="E54" s="42" t="inlineStr"/>
      <c r="F54" s="43" t="inlineStr">
        <is>
          <t>Quito bajo la lluvia: 321 barrios están expuestos a inundaciones y deslizamientos</t>
        </is>
      </c>
      <c r="G54" s="43" t="inlineStr"/>
      <c r="H54" s="43" t="inlineStr"/>
      <c r="I54" s="39" t="inlineStr">
        <is>
          <t>Diario Extra</t>
        </is>
      </c>
      <c r="J54" s="39" t="inlineStr">
        <is>
          <t>Mexico</t>
        </is>
      </c>
      <c r="K54" s="38" t="n">
        <v>46318</v>
      </c>
      <c r="L54" s="43" t="inlineStr">
        <is>
          <t>landslide</t>
        </is>
      </c>
      <c r="M54" s="44" t="inlineStr">
        <is>
          <t>Open article</t>
        </is>
      </c>
    </row>
    <row r="55" ht="30" customHeight="1">
      <c r="A55" s="38" t="n">
        <v>46319</v>
      </c>
      <c r="B55" s="39" t="inlineStr">
        <is>
          <t>2026-Q4</t>
        </is>
      </c>
      <c r="C55" s="40" t="inlineStr">
        <is>
          <t>Hazards &amp; Resilience</t>
        </is>
      </c>
      <c r="D55" s="41" t="n"/>
      <c r="E55" s="42" t="inlineStr"/>
      <c r="F55" s="43" t="inlineStr">
        <is>
          <t>Deslizamento de terra em mina de ouro ilegal na Colômbia deixa nove mortos</t>
        </is>
      </c>
      <c r="G55" s="43" t="inlineStr"/>
      <c r="H55" s="43" t="inlineStr"/>
      <c r="I55" s="39" t="inlineStr">
        <is>
          <t>Estadão</t>
        </is>
      </c>
      <c r="J55" s="39" t="inlineStr">
        <is>
          <t>Brazil</t>
        </is>
      </c>
      <c r="K55" s="38" t="n">
        <v>46319</v>
      </c>
      <c r="L55" s="43" t="inlineStr">
        <is>
          <t>landslide</t>
        </is>
      </c>
      <c r="M55" s="44" t="inlineStr">
        <is>
          <t>Open article</t>
        </is>
      </c>
    </row>
    <row r="56" ht="30" customHeight="1">
      <c r="A56" s="38" t="n">
        <v>46319</v>
      </c>
      <c r="B56" s="39" t="inlineStr">
        <is>
          <t>2026-Q4</t>
        </is>
      </c>
      <c r="C56" s="40" t="inlineStr">
        <is>
          <t>Hazards &amp; Resilience</t>
        </is>
      </c>
      <c r="D56" s="41" t="n"/>
      <c r="E56" s="42" t="inlineStr"/>
      <c r="F56" s="43" t="inlineStr">
        <is>
          <t>Deslizamento de terra interdita rua em Presidente Getúlio</t>
        </is>
      </c>
      <c r="G56" s="43" t="inlineStr"/>
      <c r="H56" s="43" t="inlineStr"/>
      <c r="I56" s="39" t="inlineStr">
        <is>
          <t>Rádio Mirador</t>
        </is>
      </c>
      <c r="J56" s="39" t="inlineStr">
        <is>
          <t>Brazil</t>
        </is>
      </c>
      <c r="K56" s="38" t="n">
        <v>46318</v>
      </c>
      <c r="L56" s="43" t="inlineStr">
        <is>
          <t>landslide</t>
        </is>
      </c>
      <c r="M56" s="44" t="inlineStr">
        <is>
          <t>Open article</t>
        </is>
      </c>
    </row>
    <row r="57" ht="30" customHeight="1">
      <c r="A57" s="38" t="n">
        <v>46319</v>
      </c>
      <c r="B57" s="39" t="inlineStr">
        <is>
          <t>2026-Q4</t>
        </is>
      </c>
      <c r="C57" s="40" t="inlineStr">
        <is>
          <t>Hazards &amp; Resilience</t>
        </is>
      </c>
      <c r="D57" s="41" t="n"/>
      <c r="E57" s="42" t="inlineStr"/>
      <c r="F57" s="43" t="inlineStr">
        <is>
          <t>Deslizamento e obras exigem atenção de motoristas na Serra Dona Francisca</t>
        </is>
      </c>
      <c r="G57" s="43" t="inlineStr"/>
      <c r="H57" s="43" t="inlineStr"/>
      <c r="I57" s="39" t="inlineStr">
        <is>
          <t>ND Mais</t>
        </is>
      </c>
      <c r="J57" s="39" t="inlineStr">
        <is>
          <t>Brazil</t>
        </is>
      </c>
      <c r="K57" s="38" t="n">
        <v>46318</v>
      </c>
      <c r="L57" s="43" t="inlineStr">
        <is>
          <t>landslide</t>
        </is>
      </c>
      <c r="M57" s="44" t="inlineStr">
        <is>
          <t>Open article</t>
        </is>
      </c>
    </row>
    <row r="58" ht="30" customHeight="1">
      <c r="A58" s="38" t="n">
        <v>46319</v>
      </c>
      <c r="B58" s="39" t="inlineStr">
        <is>
          <t>2026-Q4</t>
        </is>
      </c>
      <c r="C58" s="40" t="inlineStr">
        <is>
          <t>Hazards &amp; Resilience</t>
        </is>
      </c>
      <c r="D58" s="41" t="n"/>
      <c r="E58" s="42" t="inlineStr"/>
      <c r="F58" s="43" t="inlineStr">
        <is>
          <t>Barreira de contenção de deslizamentos de terra 'ameaça' área residencial.</t>
        </is>
      </c>
      <c r="G58" s="43" t="inlineStr"/>
      <c r="H58" s="43" t="inlineStr"/>
      <c r="I58" s="39" t="inlineStr">
        <is>
          <t>Vietnam.vn</t>
        </is>
      </c>
      <c r="J58" s="39" t="inlineStr">
        <is>
          <t>Brazil</t>
        </is>
      </c>
      <c r="K58" s="38" t="n">
        <v>46318</v>
      </c>
      <c r="L58" s="43" t="inlineStr">
        <is>
          <t>landslide</t>
        </is>
      </c>
      <c r="M58" s="44" t="inlineStr">
        <is>
          <t>Open article</t>
        </is>
      </c>
    </row>
    <row r="59" ht="48" customHeight="1">
      <c r="A59" s="38" t="n">
        <v>46319</v>
      </c>
      <c r="B59" s="39" t="inlineStr">
        <is>
          <t>2026-Q4</t>
        </is>
      </c>
      <c r="C59" s="40" t="inlineStr">
        <is>
          <t>Hazards &amp; Resilience</t>
        </is>
      </c>
      <c r="D59" s="41" t="n"/>
      <c r="E59" s="42" t="inlineStr"/>
      <c r="F59" s="43" t="inlineStr">
        <is>
          <t>O Passo de Khanh Le está parcialmente fechado para lidar com o risco de deslizamentos de rochas.</t>
        </is>
      </c>
      <c r="G59" s="43" t="inlineStr"/>
      <c r="H59" s="43" t="inlineStr"/>
      <c r="I59" s="39" t="inlineStr">
        <is>
          <t>Vietnam.vn</t>
        </is>
      </c>
      <c r="J59" s="39" t="inlineStr">
        <is>
          <t>Brazil</t>
        </is>
      </c>
      <c r="K59" s="38" t="n">
        <v>46317</v>
      </c>
      <c r="L59" s="43" t="inlineStr">
        <is>
          <t>landslide</t>
        </is>
      </c>
      <c r="M59" s="44" t="inlineStr">
        <is>
          <t>Open article</t>
        </is>
      </c>
    </row>
    <row r="60" ht="48" customHeight="1">
      <c r="A60" s="38" t="n">
        <v>46319</v>
      </c>
      <c r="B60" s="39" t="inlineStr">
        <is>
          <t>2026-Q4</t>
        </is>
      </c>
      <c r="C60" s="40" t="inlineStr">
        <is>
          <t>Hazards &amp; Resilience</t>
        </is>
      </c>
      <c r="D60" s="41" t="n"/>
      <c r="E60" s="42" t="inlineStr"/>
      <c r="F60" s="43" t="inlineStr">
        <is>
          <t>Nghe An: É necessária uma ação urgente para resolver o deslizamento de terra no aterro ao longo da estrada costeira.</t>
        </is>
      </c>
      <c r="G60" s="43" t="inlineStr"/>
      <c r="H60" s="43" t="inlineStr"/>
      <c r="I60" s="39" t="inlineStr">
        <is>
          <t>Vietnam.vn</t>
        </is>
      </c>
      <c r="J60" s="39" t="inlineStr">
        <is>
          <t>Brazil</t>
        </is>
      </c>
      <c r="K60" s="38" t="n">
        <v>46318</v>
      </c>
      <c r="L60" s="43" t="inlineStr">
        <is>
          <t>landslide, embankment</t>
        </is>
      </c>
      <c r="M60" s="44" t="inlineStr">
        <is>
          <t>Open article</t>
        </is>
      </c>
    </row>
    <row r="61" ht="48" customHeight="1">
      <c r="A61" s="38" t="n">
        <v>46319</v>
      </c>
      <c r="B61" s="39" t="inlineStr">
        <is>
          <t>2026-Q4</t>
        </is>
      </c>
      <c r="C61" s="40" t="inlineStr">
        <is>
          <t>Hazards &amp; Resilience</t>
        </is>
      </c>
      <c r="D61" s="41" t="n"/>
      <c r="E61" s="42" t="inlineStr"/>
      <c r="F61" s="43" t="inlineStr">
        <is>
          <t>Embora concordem em se mudar para evitar deslizamentos de terra, os moradores de Nui Mot estão preocupados com a indenização e o reassentamento.</t>
        </is>
      </c>
      <c r="G61" s="43" t="inlineStr"/>
      <c r="H61" s="43" t="inlineStr"/>
      <c r="I61" s="39" t="inlineStr">
        <is>
          <t>Vietnam.vn</t>
        </is>
      </c>
      <c r="J61" s="39" t="inlineStr">
        <is>
          <t>Brazil</t>
        </is>
      </c>
      <c r="K61" s="38" t="n">
        <v>46317</v>
      </c>
      <c r="L61" s="43" t="inlineStr">
        <is>
          <t>landslide</t>
        </is>
      </c>
      <c r="M61" s="44" t="inlineStr">
        <is>
          <t>Open article</t>
        </is>
      </c>
    </row>
  </sheetData>
  <conditionalFormatting sqref="D2:D61">
    <cfRule type="cellIs" priority="1" operator="equal" dxfId="0">
      <formula>5</formula>
    </cfRule>
    <cfRule type="cellIs" priority="2" operator="equal" dxfId="1">
      <formula>4</formula>
    </cfRule>
    <cfRule type="cellIs" priority="3" operator="equal" dxfId="2">
      <formula>3</formula>
    </cfRule>
  </conditionalFormatting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  <hyperlink xmlns:r="http://schemas.openxmlformats.org/officeDocument/2006/relationships" ref="M50" r:id="rId49"/>
    <hyperlink xmlns:r="http://schemas.openxmlformats.org/officeDocument/2006/relationships" ref="M51" r:id="rId50"/>
    <hyperlink xmlns:r="http://schemas.openxmlformats.org/officeDocument/2006/relationships" ref="M52" r:id="rId51"/>
    <hyperlink xmlns:r="http://schemas.openxmlformats.org/officeDocument/2006/relationships" ref="M53" r:id="rId52"/>
    <hyperlink xmlns:r="http://schemas.openxmlformats.org/officeDocument/2006/relationships" ref="M54" r:id="rId53"/>
    <hyperlink xmlns:r="http://schemas.openxmlformats.org/officeDocument/2006/relationships" ref="M55" r:id="rId54"/>
    <hyperlink xmlns:r="http://schemas.openxmlformats.org/officeDocument/2006/relationships" ref="M56" r:id="rId55"/>
    <hyperlink xmlns:r="http://schemas.openxmlformats.org/officeDocument/2006/relationships" ref="M57" r:id="rId56"/>
    <hyperlink xmlns:r="http://schemas.openxmlformats.org/officeDocument/2006/relationships" ref="M58" r:id="rId57"/>
    <hyperlink xmlns:r="http://schemas.openxmlformats.org/officeDocument/2006/relationships" ref="M59" r:id="rId58"/>
    <hyperlink xmlns:r="http://schemas.openxmlformats.org/officeDocument/2006/relationships" ref="M60" r:id="rId59"/>
    <hyperlink xmlns:r="http://schemas.openxmlformats.org/officeDocument/2006/relationships" ref="M61" r:id="rId60"/>
  </hyperlink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6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0" customWidth="1" min="2" max="2"/>
    <col width="16" customWidth="1" min="3" max="3"/>
    <col width="32" customWidth="1" min="4" max="4"/>
  </cols>
  <sheetData>
    <row r="1">
      <c r="A1" s="24" t="inlineStr">
        <is>
          <t>Source</t>
        </is>
      </c>
      <c r="B1" s="25" t="inlineStr">
        <is>
          <t>Stories</t>
        </is>
      </c>
      <c r="C1" s="25" t="inlineStr">
        <is>
          <t>Average relevance</t>
        </is>
      </c>
      <c r="D1" s="25" t="inlineStr">
        <is>
          <t>Most frequent theme</t>
        </is>
      </c>
    </row>
    <row r="2">
      <c r="A2" s="45" t="inlineStr">
        <is>
          <t>Vietnam.vn</t>
        </is>
      </c>
      <c r="B2" s="28" t="n">
        <v>15</v>
      </c>
      <c r="C2" s="46" t="n"/>
      <c r="D2" s="36" t="inlineStr">
        <is>
          <t>Hazards &amp; Resilience</t>
        </is>
      </c>
    </row>
    <row r="3">
      <c r="A3" s="45" t="inlineStr">
        <is>
          <t>Il Mattino</t>
        </is>
      </c>
      <c r="B3" s="28" t="n">
        <v>2</v>
      </c>
      <c r="C3" s="46" t="n"/>
      <c r="D3" s="36" t="inlineStr">
        <is>
          <t>Hazards &amp; Resilience</t>
        </is>
      </c>
    </row>
    <row r="4">
      <c r="A4" s="45" t="inlineStr">
        <is>
          <t>Diario Concepción</t>
        </is>
      </c>
      <c r="B4" s="28" t="n">
        <v>2</v>
      </c>
      <c r="C4" s="46" t="n"/>
      <c r="D4" s="36" t="inlineStr">
        <is>
          <t>Hazards &amp; Resilience</t>
        </is>
      </c>
    </row>
    <row r="5">
      <c r="A5" s="45" t="inlineStr">
        <is>
          <t>Canal 9 Bío Bío Televisión</t>
        </is>
      </c>
      <c r="B5" s="28" t="n">
        <v>2</v>
      </c>
      <c r="C5" s="46" t="n"/>
      <c r="D5" s="36" t="inlineStr">
        <is>
          <t>Hazards &amp; Resilience</t>
        </is>
      </c>
    </row>
    <row r="6">
      <c r="A6" s="45" t="inlineStr">
        <is>
          <t>N+</t>
        </is>
      </c>
      <c r="B6" s="28" t="n">
        <v>2</v>
      </c>
      <c r="C6" s="46" t="n"/>
      <c r="D6" s="36" t="inlineStr">
        <is>
          <t>Hazards &amp; Resilience</t>
        </is>
      </c>
    </row>
    <row r="7">
      <c r="A7" s="45" t="inlineStr">
        <is>
          <t>Caracol Radio</t>
        </is>
      </c>
      <c r="B7" s="28" t="n">
        <v>2</v>
      </c>
      <c r="C7" s="46" t="n"/>
      <c r="D7" s="36" t="inlineStr">
        <is>
          <t>Hazards &amp; Resilience</t>
        </is>
      </c>
    </row>
    <row r="8">
      <c r="A8" s="45" t="inlineStr">
        <is>
          <t>TV Azteca Baja California</t>
        </is>
      </c>
      <c r="B8" s="28" t="n">
        <v>2</v>
      </c>
      <c r="C8" s="46" t="n"/>
      <c r="D8" s="36" t="inlineStr">
        <is>
          <t>Hazards &amp; Resilience</t>
        </is>
      </c>
    </row>
    <row r="9">
      <c r="A9" s="45" t="inlineStr">
        <is>
          <t>VOI.ID</t>
        </is>
      </c>
      <c r="B9" s="28" t="n">
        <v>1</v>
      </c>
      <c r="C9" s="46" t="n"/>
      <c r="D9" s="36" t="inlineStr">
        <is>
          <t>Hazards &amp; Resilience</t>
        </is>
      </c>
    </row>
    <row r="10">
      <c r="A10" s="45" t="inlineStr">
        <is>
          <t>https://investigasi.news/</t>
        </is>
      </c>
      <c r="B10" s="28" t="n">
        <v>1</v>
      </c>
      <c r="C10" s="46" t="n"/>
      <c r="D10" s="36" t="inlineStr">
        <is>
          <t>Hazards &amp; Resilience</t>
        </is>
      </c>
    </row>
    <row r="11">
      <c r="A11" s="45" t="inlineStr">
        <is>
          <t>XPOSE TV</t>
        </is>
      </c>
      <c r="B11" s="28" t="n">
        <v>1</v>
      </c>
      <c r="C11" s="46" t="n"/>
      <c r="D11" s="36" t="inlineStr">
        <is>
          <t>Hazards &amp; Resilience</t>
        </is>
      </c>
    </row>
    <row r="12">
      <c r="A12" s="45" t="inlineStr">
        <is>
          <t>Seven Radio</t>
        </is>
      </c>
      <c r="B12" s="28" t="n">
        <v>1</v>
      </c>
      <c r="C12" s="46" t="n"/>
      <c r="D12" s="36" t="inlineStr">
        <is>
          <t>Hazards &amp; Resilience</t>
        </is>
      </c>
    </row>
    <row r="13">
      <c r="A13" s="45" t="inlineStr">
        <is>
          <t>diariolosandes.com.ec</t>
        </is>
      </c>
      <c r="B13" s="28" t="n">
        <v>1</v>
      </c>
      <c r="C13" s="46" t="n"/>
      <c r="D13" s="36" t="inlineStr">
        <is>
          <t>Hazards &amp; Resilience</t>
        </is>
      </c>
    </row>
    <row r="14">
      <c r="A14" s="45" t="inlineStr">
        <is>
          <t>El Tiempo</t>
        </is>
      </c>
      <c r="B14" s="28" t="n">
        <v>1</v>
      </c>
      <c r="C14" s="46" t="n"/>
      <c r="D14" s="36" t="inlineStr">
        <is>
          <t>Hazards &amp; Resilience</t>
        </is>
      </c>
    </row>
    <row r="15">
      <c r="A15" s="45" t="inlineStr">
        <is>
          <t>Diario sin Secretos</t>
        </is>
      </c>
      <c r="B15" s="28" t="n">
        <v>1</v>
      </c>
      <c r="C15" s="46" t="n"/>
      <c r="D15" s="36" t="inlineStr">
        <is>
          <t>Hazards &amp; Resilience</t>
        </is>
      </c>
    </row>
    <row r="16">
      <c r="A16" s="45" t="inlineStr">
        <is>
          <t>BioBioChile</t>
        </is>
      </c>
      <c r="B16" s="28" t="n">
        <v>1</v>
      </c>
      <c r="C16" s="46" t="n"/>
      <c r="D16" s="36" t="inlineStr">
        <is>
          <t>Hazards &amp; Resilience</t>
        </is>
      </c>
    </row>
    <row r="17">
      <c r="A17" s="45" t="inlineStr">
        <is>
          <t>La Tribuna</t>
        </is>
      </c>
      <c r="B17" s="28" t="n">
        <v>1</v>
      </c>
      <c r="C17" s="46" t="n"/>
      <c r="D17" s="36" t="inlineStr">
        <is>
          <t>Hazards &amp; Resilience</t>
        </is>
      </c>
    </row>
    <row r="18">
      <c r="A18" s="45" t="inlineStr">
        <is>
          <t>Teleamazonas</t>
        </is>
      </c>
      <c r="B18" s="28" t="n">
        <v>1</v>
      </c>
      <c r="C18" s="46" t="n"/>
      <c r="D18" s="36" t="inlineStr">
        <is>
          <t>Hazards &amp; Resilience</t>
        </is>
      </c>
    </row>
    <row r="19">
      <c r="A19" s="45" t="inlineStr">
        <is>
          <t>El Universo</t>
        </is>
      </c>
      <c r="B19" s="28" t="n">
        <v>1</v>
      </c>
      <c r="C19" s="46" t="n"/>
      <c r="D19" s="36" t="inlineStr">
        <is>
          <t>Hazards &amp; Resilience</t>
        </is>
      </c>
    </row>
    <row r="20">
      <c r="A20" s="45" t="inlineStr">
        <is>
          <t>Destino Panamá</t>
        </is>
      </c>
      <c r="B20" s="28" t="n">
        <v>1</v>
      </c>
      <c r="C20" s="46" t="n"/>
      <c r="D20" s="36" t="inlineStr">
        <is>
          <t>Hazards &amp; Resilience</t>
        </is>
      </c>
    </row>
    <row r="21">
      <c r="A21" s="45" t="inlineStr">
        <is>
          <t>Lost Coast Outpost</t>
        </is>
      </c>
      <c r="B21" s="28" t="n">
        <v>1</v>
      </c>
      <c r="C21" s="46" t="n"/>
      <c r="D21" s="36" t="inlineStr">
        <is>
          <t>Hazards &amp; Resilience</t>
        </is>
      </c>
    </row>
    <row r="22">
      <c r="A22" s="45" t="inlineStr">
        <is>
          <t>Meganoticias</t>
        </is>
      </c>
      <c r="B22" s="28" t="n">
        <v>1</v>
      </c>
      <c r="C22" s="46" t="n"/>
      <c r="D22" s="36" t="inlineStr">
        <is>
          <t>Hazards &amp; Resilience</t>
        </is>
      </c>
    </row>
    <row r="23">
      <c r="A23" s="45" t="inlineStr">
        <is>
          <t>RCG Media</t>
        </is>
      </c>
      <c r="B23" s="28" t="n">
        <v>1</v>
      </c>
      <c r="C23" s="46" t="n"/>
      <c r="D23" s="36" t="inlineStr">
        <is>
          <t>Hazards &amp; Resilience</t>
        </is>
      </c>
    </row>
    <row r="24">
      <c r="A24" s="45" t="inlineStr">
        <is>
          <t>Revista Semana</t>
        </is>
      </c>
      <c r="B24" s="28" t="n">
        <v>1</v>
      </c>
      <c r="C24" s="46" t="n"/>
      <c r="D24" s="36" t="inlineStr">
        <is>
          <t>Hazards &amp; Resilience</t>
        </is>
      </c>
    </row>
    <row r="25">
      <c r="A25" s="45" t="inlineStr">
        <is>
          <t>Periódico del Meta</t>
        </is>
      </c>
      <c r="B25" s="28" t="n">
        <v>1</v>
      </c>
      <c r="C25" s="46" t="n"/>
      <c r="D25" s="36" t="inlineStr">
        <is>
          <t>Hazards &amp; Resilience</t>
        </is>
      </c>
    </row>
    <row r="26">
      <c r="A26" s="45" t="inlineStr">
        <is>
          <t>Facebook</t>
        </is>
      </c>
      <c r="B26" s="28" t="n">
        <v>1</v>
      </c>
      <c r="C26" s="46" t="n"/>
      <c r="D26" s="36" t="inlineStr">
        <is>
          <t>Hazards &amp; Resilience</t>
        </is>
      </c>
    </row>
    <row r="27">
      <c r="A27" s="45" t="inlineStr">
        <is>
          <t>Agencia de Periodismo Investigativo</t>
        </is>
      </c>
      <c r="B27" s="28" t="n">
        <v>1</v>
      </c>
      <c r="C27" s="46" t="n"/>
      <c r="D27" s="36" t="inlineStr">
        <is>
          <t>Hazards &amp; Resilience</t>
        </is>
      </c>
    </row>
    <row r="28">
      <c r="A28" s="45" t="inlineStr">
        <is>
          <t>Mi Radio</t>
        </is>
      </c>
      <c r="B28" s="28" t="n">
        <v>1</v>
      </c>
      <c r="C28" s="46" t="n"/>
      <c r="D28" s="36" t="inlineStr">
        <is>
          <t>Hazards &amp; Resilience</t>
        </is>
      </c>
    </row>
    <row r="29">
      <c r="A29" s="45" t="inlineStr">
        <is>
          <t>Telemetro</t>
        </is>
      </c>
      <c r="B29" s="28" t="n">
        <v>1</v>
      </c>
      <c r="C29" s="46" t="n"/>
      <c r="D29" s="36" t="inlineStr">
        <is>
          <t>Hazards &amp; Resilience</t>
        </is>
      </c>
    </row>
    <row r="30">
      <c r="A30" s="45" t="inlineStr">
        <is>
          <t>El País</t>
        </is>
      </c>
      <c r="B30" s="28" t="n">
        <v>1</v>
      </c>
      <c r="C30" s="46" t="n"/>
      <c r="D30" s="36" t="inlineStr">
        <is>
          <t>Hazards &amp; Resilience</t>
        </is>
      </c>
    </row>
    <row r="31">
      <c r="A31" s="45" t="inlineStr">
        <is>
          <t>CRÍTICA</t>
        </is>
      </c>
      <c r="B31" s="28" t="n">
        <v>1</v>
      </c>
      <c r="C31" s="46" t="n"/>
      <c r="D31" s="36" t="inlineStr">
        <is>
          <t>Hazards &amp; Resilience</t>
        </is>
      </c>
    </row>
    <row r="32">
      <c r="A32" s="45" t="inlineStr">
        <is>
          <t>Azteca Bajío</t>
        </is>
      </c>
      <c r="B32" s="28" t="n">
        <v>1</v>
      </c>
      <c r="C32" s="46" t="n"/>
      <c r="D32" s="36" t="inlineStr">
        <is>
          <t>Hazards &amp; Resilience</t>
        </is>
      </c>
    </row>
    <row r="33">
      <c r="A33" s="45" t="inlineStr">
        <is>
          <t>Minuto30</t>
        </is>
      </c>
      <c r="B33" s="28" t="n">
        <v>1</v>
      </c>
      <c r="C33" s="46" t="n"/>
      <c r="D33" s="36" t="inlineStr">
        <is>
          <t>Hazards &amp; Resilience</t>
        </is>
      </c>
    </row>
    <row r="34">
      <c r="A34" s="45" t="inlineStr">
        <is>
          <t>Diario del Sur</t>
        </is>
      </c>
      <c r="B34" s="28" t="n">
        <v>1</v>
      </c>
      <c r="C34" s="46" t="n"/>
      <c r="D34" s="36" t="inlineStr">
        <is>
          <t>Hazards &amp; Resilience</t>
        </is>
      </c>
    </row>
    <row r="35">
      <c r="A35" s="45" t="inlineStr">
        <is>
          <t>Estrella Digital Colombia</t>
        </is>
      </c>
      <c r="B35" s="28" t="n">
        <v>1</v>
      </c>
      <c r="C35" s="46" t="n"/>
      <c r="D35" s="36" t="inlineStr">
        <is>
          <t>Hazards &amp; Resilience</t>
        </is>
      </c>
    </row>
    <row r="36">
      <c r="A36" s="45" t="inlineStr">
        <is>
          <t>Infobae</t>
        </is>
      </c>
      <c r="B36" s="28" t="n">
        <v>1</v>
      </c>
      <c r="C36" s="46" t="n"/>
      <c r="D36" s="36" t="inlineStr">
        <is>
          <t>Hazards &amp; Resilience</t>
        </is>
      </c>
    </row>
    <row r="37">
      <c r="A37" s="45" t="inlineStr">
        <is>
          <t>Noticias Caracol</t>
        </is>
      </c>
      <c r="B37" s="28" t="n">
        <v>1</v>
      </c>
      <c r="C37" s="46" t="n"/>
      <c r="D37" s="36" t="inlineStr">
        <is>
          <t>Hazards &amp; Resilience</t>
        </is>
      </c>
    </row>
    <row r="38">
      <c r="A38" s="45" t="inlineStr">
        <is>
          <t>Diario Extra</t>
        </is>
      </c>
      <c r="B38" s="28" t="n">
        <v>1</v>
      </c>
      <c r="C38" s="46" t="n"/>
      <c r="D38" s="36" t="inlineStr">
        <is>
          <t>Hazards &amp; Resilience</t>
        </is>
      </c>
    </row>
    <row r="39">
      <c r="A39" s="45" t="inlineStr">
        <is>
          <t>Estadão</t>
        </is>
      </c>
      <c r="B39" s="28" t="n">
        <v>1</v>
      </c>
      <c r="C39" s="46" t="n"/>
      <c r="D39" s="36" t="inlineStr">
        <is>
          <t>Hazards &amp; Resilience</t>
        </is>
      </c>
    </row>
    <row r="40">
      <c r="A40" s="45" t="inlineStr">
        <is>
          <t>Rádio Mirador</t>
        </is>
      </c>
      <c r="B40" s="28" t="n">
        <v>1</v>
      </c>
      <c r="C40" s="46" t="n"/>
      <c r="D40" s="36" t="inlineStr">
        <is>
          <t>Hazards &amp; Resilience</t>
        </is>
      </c>
    </row>
    <row r="41">
      <c r="A41" s="45" t="inlineStr">
        <is>
          <t>ND Mais</t>
        </is>
      </c>
      <c r="B41" s="28" t="n">
        <v>1</v>
      </c>
      <c r="C41" s="46" t="n"/>
      <c r="D41" s="36" t="inlineStr">
        <is>
          <t>Hazards &amp; Resilience</t>
        </is>
      </c>
    </row>
  </sheetData>
  <conditionalFormatting sqref="B2:B41">
    <cfRule type="colorScale" priority="1">
      <colorScale>
        <cfvo type="min"/>
        <cfvo type="max"/>
        <color rgb="00FFFFFF"/>
        <color rgb="007FB3E6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2026-10-24T11:56:23Z</dcterms:created>
  <dcterms:modified xmlns:dcterms="http://purl.org/dc/terms/" xmlns:xsi="http://www.w3.org/2001/XMLSchema-instance" xsi:type="dcterms:W3CDTF">2026-10-24T11:56:23Z</dcterms:modified>
</cp:coreProperties>
</file>