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'Stories'!$A$1:$K$357</definedName>
    <definedName name="_xlnm.Print_Titles" localSheetId="3">'By theme'!$1:$2</definedName>
    <definedName name="_xlnm.Print_Titles" localSheetId="4">'Research'!$3:$3</definedName>
    <definedName name="_xlnm.Print_Area" localSheetId="4">'Research'!$A$1:$K$115</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2563D6"/>
      <sz val="9"/>
    </font>
    <font>
      <name val="Arial"/>
      <b val="1"/>
      <color rgb="001F9D63"/>
      <sz val="9"/>
    </font>
    <font>
      <name val="Arial"/>
      <b val="1"/>
      <color rgb="008A94A3"/>
      <sz val="9"/>
    </font>
    <font>
      <name val="Arial"/>
      <b val="1"/>
      <color rgb="00C23D7B"/>
      <sz val="9"/>
    </font>
    <font>
      <name val="Arial"/>
      <b val="1"/>
      <color rgb="006B4FD6"/>
      <sz val="9"/>
    </font>
    <font>
      <name val="Arial"/>
      <b val="1"/>
      <color rgb="000B97A5"/>
      <sz val="9"/>
    </font>
    <font>
      <name val="Arial"/>
      <b val="1"/>
      <color rgb="008A5A2B"/>
      <sz val="9"/>
    </font>
    <font>
      <name val="Arial"/>
      <b val="1"/>
      <color rgb="00E04F2C"/>
      <sz val="10"/>
    </font>
    <font>
      <name val="Arial"/>
      <b val="1"/>
      <color rgb="002563D6"/>
      <sz val="10"/>
    </font>
    <font>
      <name val="Arial"/>
      <b val="1"/>
      <color rgb="00D38B00"/>
      <sz val="10"/>
    </font>
    <font>
      <name val="Arial"/>
      <b val="1"/>
      <color rgb="000B97A5"/>
      <sz val="10"/>
    </font>
    <font>
      <name val="Arial"/>
      <b val="1"/>
      <color rgb="006B4FD6"/>
      <sz val="10"/>
    </font>
    <font>
      <name val="Arial"/>
      <b val="1"/>
      <color rgb="00C23D7B"/>
      <sz val="10"/>
    </font>
    <font>
      <name val="Arial"/>
      <b val="1"/>
      <color rgb="008A5A2B"/>
      <sz val="10"/>
    </font>
    <font>
      <name val="Arial"/>
      <b val="1"/>
      <color rgb="001F9D63"/>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EE8F9"/>
        <bgColor rgb="00DEE8F9"/>
      </patternFill>
    </fill>
    <fill>
      <patternFill patternType="solid">
        <fgColor rgb="00DDF0E8"/>
        <bgColor rgb="00DDF0E8"/>
      </patternFill>
    </fill>
    <fill>
      <patternFill patternType="solid">
        <fgColor rgb="00F6E2EB"/>
        <bgColor rgb="00F6E2EB"/>
      </patternFill>
    </fill>
    <fill>
      <patternFill patternType="solid">
        <fgColor rgb="00E9E5F9"/>
        <bgColor rgb="00E9E5F9"/>
      </patternFill>
    </fill>
    <fill>
      <patternFill patternType="solid">
        <fgColor rgb="00F8EED9"/>
        <bgColor rgb="00F8EED9"/>
      </patternFill>
    </fill>
    <fill>
      <patternFill patternType="solid">
        <fgColor rgb="00DAEFF2"/>
        <bgColor rgb="00DAEFF2"/>
      </patternFill>
    </fill>
    <fill>
      <patternFill patternType="solid">
        <fgColor rgb="00EDE6DF"/>
        <bgColor rgb="00EDE6DF"/>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53" fillId="0"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9"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4" fillId="20" borderId="18" applyAlignment="1" pivotButton="0" quotePrefix="0" xfId="0">
      <alignment vertical="center" indent="1"/>
    </xf>
    <xf numFmtId="0" fontId="0" fillId="20" borderId="18" pivotButton="0" quotePrefix="0" xfId="0"/>
    <xf numFmtId="0" fontId="23" fillId="22" borderId="19" applyAlignment="1" pivotButton="0" quotePrefix="0" xfId="0">
      <alignment vertical="center" indent="1"/>
    </xf>
    <xf numFmtId="0" fontId="0" fillId="22" borderId="19" pivotButton="0" quotePrefix="0" xfId="0"/>
    <xf numFmtId="0" fontId="25" fillId="24" borderId="20" applyAlignment="1" pivotButton="0" quotePrefix="0" xfId="0">
      <alignment vertical="center" indent="1"/>
    </xf>
    <xf numFmtId="0" fontId="0" fillId="24" borderId="20" pivotButton="0" quotePrefix="0" xfId="0"/>
    <xf numFmtId="0" fontId="27"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4"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3"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9"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9"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4" fillId="0" borderId="18" applyAlignment="1" pivotButton="0" quotePrefix="0" xfId="0">
      <alignment vertical="center" indent="1"/>
    </xf>
    <xf numFmtId="0" fontId="0" fillId="0" borderId="18" pivotButton="0" quotePrefix="0" xfId="0"/>
    <xf numFmtId="0" fontId="23" fillId="0" borderId="19" applyAlignment="1" pivotButton="0" quotePrefix="0" xfId="0">
      <alignment vertical="center" indent="1"/>
    </xf>
    <xf numFmtId="0" fontId="0" fillId="0" borderId="19" pivotButton="0" quotePrefix="0" xfId="0"/>
    <xf numFmtId="0" fontId="25" fillId="0" borderId="20" applyAlignment="1" pivotButton="0" quotePrefix="0" xfId="0">
      <alignment vertical="center" indent="1"/>
    </xf>
    <xf numFmtId="0" fontId="0" fillId="0" borderId="20" pivotButton="0" quotePrefix="0" xfId="0"/>
    <xf numFmtId="0" fontId="27"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5" fillId="0" borderId="0" applyAlignment="1" pivotButton="0" quotePrefix="0" xfId="0">
      <alignment vertical="top" wrapText="1"/>
    </xf>
    <xf numFmtId="0" fontId="16" fillId="7" borderId="0" applyAlignment="1" pivotButton="0" quotePrefix="0" xfId="0">
      <alignment vertical="top" wrapText="1"/>
    </xf>
    <xf numFmtId="0" fontId="17" fillId="0"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19" fillId="0" borderId="0" applyAlignment="1" pivotButton="0" quotePrefix="0" xfId="0">
      <alignment vertical="top" wrapText="1"/>
    </xf>
    <xf numFmtId="0" fontId="16" fillId="0" borderId="0" applyAlignment="1" pivotButton="0" quotePrefix="0" xfId="0">
      <alignment vertical="top" wrapText="1"/>
    </xf>
    <xf numFmtId="0" fontId="10" fillId="10" borderId="0" applyAlignment="1" pivotButton="0" quotePrefix="0" xfId="0">
      <alignment vertical="top" wrapText="1"/>
    </xf>
    <xf numFmtId="0" fontId="20" fillId="11" borderId="0" applyAlignment="1" pivotButton="0" quotePrefix="0" xfId="0">
      <alignment vertical="top" wrapText="1"/>
    </xf>
    <xf numFmtId="0" fontId="21"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16" fillId="14" borderId="2" applyAlignment="1" pivotButton="0" quotePrefix="0" xfId="0">
      <alignment horizontal="center" vertical="center"/>
    </xf>
    <xf numFmtId="0" fontId="16"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0"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5" fillId="0" borderId="3" applyAlignment="1" pivotButton="0" quotePrefix="0" xfId="0">
      <alignment vertical="top" wrapText="1"/>
    </xf>
    <xf numFmtId="0" fontId="19"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7"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16"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5" fillId="22" borderId="7" applyAlignment="1" pivotButton="0" quotePrefix="0" xfId="0">
      <alignment horizontal="center" vertical="center"/>
    </xf>
    <xf numFmtId="0" fontId="15"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20" fillId="24" borderId="8" applyAlignment="1" pivotButton="0" quotePrefix="0" xfId="0">
      <alignment horizontal="center" vertical="center"/>
    </xf>
    <xf numFmtId="0" fontId="20"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Rating (AI triage)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'Dashboard'!$B$74:$B$81</f>
            </numRef>
          </cat>
          <val>
            <numRef>
              <f>'Dashboard'!$F$74:$F$81</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'Dashboard'!$B$74:$B$81</f>
            </numRef>
          </cat>
          <val>
            <numRef>
              <f>'Dashboard'!$G$74:$G$81</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357" headerRowCount="1">
  <autoFilter ref="A3:X357"/>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115" headerRowCount="1">
  <autoFilter ref="A3:M115"/>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241" headerRowCount="1">
  <autoFilter ref="A3:I241"/>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9gFBVV95cUxOSzRpVktuZnpnTFl6d1E0aWZYNXFtLXFPYThESXpRWTJ3b3pDOEEyT2NWb0dXeHZ0dGZmZ0NIbjhqWE1jeG5GeFZqN3Vza29zQ2NoQnlEQnN6QVdlbzlPdnBMdGJOTlUwY0huZWlrbWlCWFRjQ3RKQW5JR0Ryc21lYWxDZExNWnRBWTFlcWY3N2ZCMUpVRGFMX3V4ZGdDRGhhd3I0RHFuR2FLSXFpLWQ1UjYyaGJlT3VfcUlocjJjc0twMVpkTFp3M1dtUE5UUFZNcmY1djVWN19CT3ZWVnF6X1hIaTdzYzRxZ0x3MUVwLVQwZ2w5NkHSAfsBQVVfeXFMTjFxTlBDenl3anU3c3lDYkwwQjNESTJYTjQtSWlpbmdYdXZlT0xucTU3ODlWZVE4cW5sQ3lXa1RsZDAxTEZVU1pIbUNOemMzNHFhTTZ3RUtYNGVTNzF2Vl9UTlNHZ0t2d29JZUtZcUdTUHlmejBfSlQ2RTh0aTJ6YjB5RVVoZFdUY0xpd011MVJFQVZkRkZVNUxMalhhbjljWXAxTkRIMV8tRncxVG45aU5YNXpOak1QanhJLXVta1Y3cEhsNy1MTklYOXJ4RFd3VHBCRldJZEwzSW9TTmJnOGtZN3JsYkY1UEJCQnR3cVhpZ0hPdnhwaTJpYWc?oc=5" TargetMode="External" Id="rId1"/><Relationship Type="http://schemas.openxmlformats.org/officeDocument/2006/relationships/hyperlink" Target="https://news.google.com/rss/articles/CBMimAJBVV95cUxOb0szY3FfMXFHemQ5NVlWOG8tWDdfWXlfTHZlU3VwUF9aSjVyNzV6LTd4cnRJUFJSTHhrRXhRMi1YbUg3QXJWSkpseGJ1dElRbGdtUENZdXotSFV4UDdRTkFQcjdYOEFSc2xNNFo2cWhFLVBCSkI2TUlzY3JZWUNXc1Fva3NOWDc5RHBUOTFUQUFaQ3Q5WTVlSTlfRDdhTTlENXNOQWM0LVhUNUxKQzdvNm5uY2NKbDVhNFZOUExXcHJveG5VVHc2ZjZKSTAxTEZ2OHhxQmo0WmlJUTJnNGJ0eEhYQWFrYm92YjRhVEdOY2hsT20yLXllRUhVUkhvSUdVUXBqMjZSeUJYckJCZ3BxMDFOVUlVTF9S?oc=5" TargetMode="External" Id="rId2"/><Relationship Type="http://schemas.openxmlformats.org/officeDocument/2006/relationships/hyperlink" Target="https://tunnellingjournal.com/terratec-tbm-completes-5-85km-mumbai-sewer-tunnel/" TargetMode="External" Id="rId3"/><Relationship Type="http://schemas.openxmlformats.org/officeDocument/2006/relationships/hyperlink" Target="https://tunnellingjournal.com/mwaa-seeks-interest-for-dulles-airport-tunnel-expansion/" TargetMode="External" Id="rId4"/><Relationship Type="http://schemas.openxmlformats.org/officeDocument/2006/relationships/hyperlink" Target="https://news.google.com/rss/articles/CBMitAFBVV95cUxNV2FYNW84QjMwVmFPZTJaaDA0bHdlaWw3bFdaWUMzYkFGRzcwc0oxcnVzcFgxRkdmazdkRnJwR19KcVhubHhBWHpSbmFuVnVDdkZkcFpGb19hQXpaa3ZHWDlQOERIbFZ5dnZ0aHR1WTFYdG1ubUZKbFByZzBNVGYwYk8yclN1d004R19JWEwwMXN5UV9OS0t2VTZPMzlhc1QwTk1vajZVbFBWbXJ2aXQ2Ykt4djY?oc=5" TargetMode="External" Id="rId5"/><Relationship Type="http://schemas.openxmlformats.org/officeDocument/2006/relationships/hyperlink" Target="https://tunnellingjournal.com/borumba-exploratory-tunnelling-procurement-suspended/" TargetMode="External" Id="rId6"/><Relationship Type="http://schemas.openxmlformats.org/officeDocument/2006/relationships/hyperlink" Target="https://news.google.com/rss/articles/CBMi0gFBVV95cUxQZHd0aDBuR1d3UGdJQm92eVVMbGY0Q1EyUzExSnhwMVFIbktsekpqb2Y0cXVjNVRmWFFJVmlWeXUxdm13bjFIUnRRdkJJQ2prdTFtaXZQUjhXY05XOFp4TjFNNDBVQlFSaHdXRU4zSDY1eGpfallobGRrRURqOW43cGZXWDBuY0JNaEdjdDZFcUdIVWhoUUlwLUJ2bjZpUlBmc0VNTnpodFVyaWZoUWVPVDlzeXlmNklWdGVjRThoSnktZUpIZmdFeHZEVkJ4SnJwSHfSAeYBQVVfeXFMTzluMUFqeGFiREVqUGw2MFo2Q2VIcFlfTmFmLUdhM1VFeXRlcmFieDRJLS00QWw5TWFIZzVDZkdaSTlCNHRtRGRtMlNsRXQ1Ym1hOVA3a0NGZEg2ZzNfUGxSNVh1TG5NRS1mOXYxS3h3WjVHRlJyMlVtREdZWE1reVhObDlTVVlVSm91UWpyaUNlNEUwREIwb2M4NE16d3Q0UjNZZEVDUUF6cmVpU29EUThiM1oyRTdkYkMweW8tTFBIN1JJV3VNSjVYbWxnZkdQWlFTeWlOVGtwaE9pLVE5dTBOdGdhenc?oc=5" TargetMode="External" Id="rId7"/><Relationship Type="http://schemas.openxmlformats.org/officeDocument/2006/relationships/hyperlink" Target="https://news.google.com/rss/articles/CBMiygFBVV95cUxORTJtYTJ5SktwbXFqX1k1VEhwMEZXZ0JDQUxhdmotb2ZZLXN0RVVtUTd0VW8zMmRyMDBIazVZNmkzaDZYRWRaN2R5M29EcFNMbHJKaFktWHgyY0xQUjRMWVNGWS1oT3BrUjdXcGtKaWVLTFpCeVEtdS13QWd4anNlWldyV2ZqSmYzZjJ2VExTcjdlY2xGaG5PQ1JyQnhHelRzdFhFUG5JQmVRNlVONUVQVHpLN1lzbXFHeERiYXhmbUV1emgtTzB3eHlR0gHPAUFVX3lxTFBUcDQtLTRmbTZ3YnVZa1p0YUxZR3Z0cmRjVS1abHgwb2k5UmxWRmxoOFl3YUNnNHYxWF90bW9wWE9FQ19qaHJqXzY1T0tuWDBpUGlhOEtjenlvWTExWUxiQXZSTG1mLXEtRFUweEFtWmF3dDA0Q3lULXViWGFlc210MG1KbTZaZ1p4TWVDT1NYdDlUSlJKc04zeDZjQmstc1EwR3EzWi1ISE1pajRNblBSM3JnOHVHY0QzT0pQRVNxMW9VaEc0SEQwNXhfVWdUTQ?oc=5" TargetMode="External" Id="rId8"/><Relationship Type="http://schemas.openxmlformats.org/officeDocument/2006/relationships/hyperlink" Target="https://news.google.com/rss/articles/CBMirAFBVV95cUxQQ0I1MVNOQUo3dmZiTlBLNDdrbkFmbVF4TFoya1VhVXpSWGxrX1VKdm84aGhKVjNQbExrNTI4VW5BZEJrWmpqUGFfVjBWRzY1c3d6dWVvNFZwdHp1S3JxNWRmTlNmTC1sMWpBSEY1ak0zM2d4ckpORkVPY0V5Q09vOWNKcUFLTlJaZkt0NW5fZjBjbGJfWmtGNVk4cDNlekFkRmRrTkFYUGpiZ1pL?oc=5" TargetMode="External" Id="rId9"/><Relationship Type="http://schemas.openxmlformats.org/officeDocument/2006/relationships/hyperlink" Target="https://news.google.com/rss/articles/CBMilgFBVV95cUxQOE80WmRSelZkZnRtSERaSkRlMkctUEI1WU8wdzV2Zm43WU9HMURUcjNEQWNHTk5SdWt0SEtkcmhKOElhYmxrWTZCS1JUNWFWdlRDUWJRTkM2RUFLRkFUNFBaQlFlU3BFZGpLWEQzaDEtTUZTOFFia0h2YUp0VS14VzM1dUtIaUNBWFNBYThGdG9acGtYcGc?oc=5" TargetMode="External" Id="rId10"/><Relationship Type="http://schemas.openxmlformats.org/officeDocument/2006/relationships/hyperlink" Target="https://news.google.com/rss/articles/CBMinwJBVV95cUxNVGJvVnFHMnJxRS1YdU9BbS1sWHI4QVZ3YXhtQ2dSOFM2bERkRHd3WG1TYU94MFdxOThNTjVJVVNDWW0tVUtwUGdsUEc5M2xPQld4SjVNYXpPT3NjV28tRkRCSHVkaWdGRk85UGlxNWJEem8td2FIMEFRNjRUV3NRaFgtVUY1RzQ5SmxZdFVvb0l5ZGRBQkpWMUo2MGVIZ1RPdEJFM3ZEV3VlUTJNd3otWjNrZHlMdHJTVFR4VlcyRlllbXFOdFJ6aDN5cW0xMXdUN2hhc3hSYTZFanJpV3hzSnI1Y1lfLVVJb3gtSjR2ZG5JbUh2MVVoc3NpTFloT0JWeVp5RE83QWxscWJ0YlIwZE5SYjA2WjhpMUM2TUdCOA?oc=5" TargetMode="External" Id="rId11"/><Relationship Type="http://schemas.openxmlformats.org/officeDocument/2006/relationships/hyperlink" Target="https://news.google.com/rss/articles/CBMiwgFBVV95cUxQTkNERURlNHBha3oxaTk5a1NFMnVrcmZFVnVhbHhWNTV3UDFTVUlJbXFYR1RON0ExMUhyZ3dxbVRrekxlMjlIekZONlRTc0xfMk5iRC1DdEtIODlDemdwX3FVazJSNGp5cmEzTjI0TnE3WW91OFZWc2xfaGRiVkVjUkJaQzl1dnJtYjBzZ2s4c1NKUU0wYlFmbC1GektqcjFzR2VqdHVHa1Z2TGIzXzdOV0ZrOFlQUW1fNG9xOUZPTlpDQdIBtwFBVV95cUxPRDRRWlYzdTQwdjlPNXVGajFxanp6eF9SNU5IRkZxVjhLcnR3Z1M1X25aaUh6SVlsUm5Bd1NjRE1ScmR0YndSeDNySTZGWTdUbk12WUVQMVpUdmd2Rm9RQkxzc2I1Z0gtNTBUUXZUOEs3MDI2QWFSbUZVazdDcllvRHM2V2NFdXhLNjZtdXBMZjdVZlNyeXp4SFFKSXd6aHhjd1J5dlFfSTRIaDZyNXdxZTAwNGRKTHc?oc=5" TargetMode="External" Id="rId12"/><Relationship Type="http://schemas.openxmlformats.org/officeDocument/2006/relationships/hyperlink" Target="https://news.google.com/rss/articles/CBMifkFVX3lxTFBlakVoRU1IR0VrZzQxWTBiRWlRMHh3OFRqcFE5Y2VhMUdGamNadEQ2WjU5Sk5hNk5XbHN0YUNqcFVRUU9SVlNjak9uWFlEU3lnUnBxM1d3QWJ5R1RYbUxvazNmU1hQQTNtYjlTYU83d1drZzM1SzNkb1BtSThTdw?oc=5" TargetMode="External" Id="rId13"/><Relationship Type="http://schemas.openxmlformats.org/officeDocument/2006/relationships/hyperlink" Target="https://news.google.com/rss/articles/CBMikgFBVV95cUxPbmhtd2thc2pjMjFCYjNqSGVLVVMteEM3RktVTko2N1k1MEFHcnFheG1yekZydGR3dTFSVmltYnlZdXpxcTN6MldJelNUQXloTnRqMG1vWTF3Q2FJY1E1MnJ6Tlp6VGxoOVhGdmE3RVVrOGVTcm1sU0xXQl9kLWNMRFRKeGFKaVIxWkltWGFDdzh0UdIBpgFBVV95cUxPV0dEcU11MlZpVGpEQzMxa1E3Uk5NLXdodDEtUHpkYVIyQzZEWHZGTkRmOVBMcFFlamk2NnlFM1I2OW55SDJXMHpEdm1nbFM4a1ZBeUtIeVljOHlJNHBhNjJVUXp2azBkaXpkc0djNWpTUk92ZU1rbHdTVDlmM0RNdjc5ZHlDM2hvb3lLOVlWcjJxbjRKWWpneXhRdk5QcEVYemxNUjZB?oc=5" TargetMode="External" Id="rId14"/><Relationship Type="http://schemas.openxmlformats.org/officeDocument/2006/relationships/hyperlink" Target="https://news.google.com/rss/articles/CBMia0FVX3lxTE9Ja0o2M0xiZ19peGdDTW85OHgwWE5mSlFUbmVMWkdRbWI4SHJZRkpfUEpuR3pnMXBxMjU2VmNpb2RkYXJkRnJGenZibkNULTRNSnNNd2l1bXgxTzRVVjVMQnM5Unh2dVRUbDBB?oc=5" TargetMode="External" Id="rId15"/><Relationship Type="http://schemas.openxmlformats.org/officeDocument/2006/relationships/hyperlink" Target="https://news.google.com/rss/articles/CBMitwFBVV95cUxObThUYVNtRTlDWV9fdkZ3ZHhBLWlsdmJtVWxVT1R2Rm11bWZnRklpekpWaDE2STY3WjhZQVJ5SGl2aUo0bjk4RjRvQ1VlaWc5OU9VNmlTaFBaZ1hPSkVKaVpzNlBHT0Y5WlhPTG5fWGZhMzBjeElUaEpPUGpTcjBIUXpBRVJwLUJ2SDJjUWp4bERUVmlhVWJUam1TdFE4NzEzMktfU0tBZkY1TGFlcnl1MlNqZ3JyVkk?oc=5" TargetMode="External" Id="rId16"/><Relationship Type="http://schemas.openxmlformats.org/officeDocument/2006/relationships/hyperlink" Target="https://news.google.com/rss/articles/CBMi6wFBVV95cUxOOXBuaVFHcFhSZVFLNWp2NFhRdklISktmUGxPR1Faa0hlNEVqNThZMnRqa2NoVU5tTlF5SDc5UEY4UW13WGdCTWpLeWVtSFh2UWZ6dlc0dVprLUI5dUdzSjExUlFOcFlmWGwyTjZ3OThXWkdVcV9tWFQ3WXhZdFNfNFBhLTJRbl90Z1RfR2ZJRmVRQ0hpWUhTRWhMcVBwVTEtdGtrZzc0Q1QzYTQwbVE0ZmdPTjIxMlZuTFVmSUhvVS1FeGNISmJVTFNxUDRtQWF0YmhlejlROXJzSEVIc29iaHA5a0N4STFaN0pF?oc=5" TargetMode="External" Id="rId17"/><Relationship Type="http://schemas.openxmlformats.org/officeDocument/2006/relationships/hyperlink" Target="https://news.google.com/rss/articles/CBMijgFBVV95cUxQUllqMThjc2ZrUVlPcmd4YUNDLUZnUVpVanNtWVBZZWtaVUYyOGZUWl9KZ3hha1BsaUNBMXptSnNhM2VYUGVPa1NKMm5rb3l3N3ZaTHBKLV9fdFBEbG5zbk96UHlEYkZWUF9GakZUc0ZjT2ZmTUVCSUZWQUdFTVZsOWw5T2puZ1Z1aFhkc2Jn?oc=5" TargetMode="External" Id="rId18"/><Relationship Type="http://schemas.openxmlformats.org/officeDocument/2006/relationships/hyperlink" Target="https://news.google.com/rss/articles/CBMib0FVX3lxTE9HQTdiSnRKMzZmMUo2a29KOGN6bHNWXzQyNmtDV3o2RWtHRU1nX3RDdXdSV2YyODBQaFZLbnpJbzV5ZUplVTZrdDFPanRaaXV4UmJLUDlSX3IxX1BSWlQ4c0RIa3NnMHptbFdXajFKdw?oc=5" TargetMode="External" Id="rId19"/><Relationship Type="http://schemas.openxmlformats.org/officeDocument/2006/relationships/hyperlink" Target="https://news.google.com/rss/articles/CBMixwFBVV95cUxNV2lzR0w2TGNZNjlVUmhmMUU1YUREdTBLejJZY0tMb09kaE9oeGpSazJPYWhiSUtzNDN0SnVQbXo2TkRGNWVnVjVoOS1ISFZ6dk9GUF9jTTN3TE1jLVVjZ3ZBSXh5TVFBcUxraHQ2aHpkbkRUYW90QUUwOEdfeWI4YXFTNXloQlkxdThtR0ZvS05PVTEyZDJyd2pLN2dWalVMaGVpTklZY3NGWC1id1FkYS1tbDlHUGZLS1NDSjRrTjRtaFg4aVFr0gHMAUFVX3lxTE1oMDN4dEdYSmNVSHhvUGJFNElQSWZoNzlqT2Y4RGR2LXZJWmF1VnVUaldYbzBPVURmTnF1M0NYSDd3clpLb0FpUkJtb0ozX0tEeUN2dHVPWFoxQ3BtZ0U3T1BiVmZ6RUgtTVBkb296LXFvY1lfc29OcGdGeXV4VGJxZFdQSm1NLVlCTW5nTUFzS25WWHFIY2YzUmlNaklJMDYzamFWdTRya1FOVTlaYVZKLUdyRGJfSXFLV3JXNTRRa1ZYbHpUR3J6S0QzTA?oc=5" TargetMode="External" Id="rId20"/><Relationship Type="http://schemas.openxmlformats.org/officeDocument/2006/relationships/hyperlink" Target="https://news.google.com/rss/articles/CBMitgFBVV95cUxNSHVQSEpYSW5kM1I3QXNWbHNYU2FJOEJBRDNxZ0N6aHExTFUwU0dsbG9PNVBud2lCQlhwTTJXN2wxbmlObUoxUGhmb2tSd0tTNG5uZDBudXVCLXlBS2pKU2FidXVOeUV0TXFRUXliQ283RTZBNWx3MWk4WWdDajFjSDFDMHhEbXJQcWJkenBpTS1Ob3FsX0ZBSGpBUG5MQVdSSHJSaGtHaFFFQlpmSGV1M3UydDlnUQ?oc=5" TargetMode="External" Id="rId21"/><Relationship Type="http://schemas.openxmlformats.org/officeDocument/2006/relationships/hyperlink" Target="https://news.google.com/rss/articles/CBMilAFBVV95cUxORmY1enM0TzdIaDhHTzFUanZfOXJ3Ti1qWktvQk1uLV9IZHNpczNyT19HWUk4OWFKdllEZVJpV2hBdWFrUmpIeDdOMldKS0xJbXJoVzZFb2RnUzB1VXFrUEVwUGFPZDZHOXJqa2pqbGpURFJoUFMwOG5ldkxxVzVZb2xxN29QcXBJMkhZa210MmFwS0Q4?oc=5" TargetMode="External" Id="rId22"/><Relationship Type="http://schemas.openxmlformats.org/officeDocument/2006/relationships/hyperlink" Target="https://news.google.com/rss/articles/CBMipgFBVV95cUxNQXpteTdZeHN5Q19sa1VRS2I3V3ptWDBpYjNjYlBEUlMtMXd5UlBSVjZUOENET3p5d1g3OWpBTVdYd0JsQlZ0N2dQeWh1eE0xN2JPWEkyckc0Z3dMS0d0cXZjNnp6ZVNkUXltQXBNVUhnSFl1dVBySzdHUURLcGFRTjRVU3VaM1QzVzd4MHFRVmluWldpd0Y5RGtvTXpaWDlyU1dKTlBn0gGmAUFVX3lxTE1Bem15N1l4c3lDX2xrVVFLYjdXem1YMGliM2NiUERSUy0xd3lSUFJWNlQ4Q0RPenl3WDc5akFNV1h3QmxCVnQ3Z1B5aHV4TTE3Yk9YSTJyRzRnd0xLR3RxdmM2enplU2RReW1BcE1VSGdIWXV1UHJLN0dRREtwYVFONFVTdVozVDNXN3gwcVFWaW5aV2l3RjlEa29NelpYOXJTV0pOUGc?oc=5" TargetMode="External" Id="rId23"/><Relationship Type="http://schemas.openxmlformats.org/officeDocument/2006/relationships/hyperlink" Target="https://news.google.com/rss/articles/CBMiV0FVX3lxTE9aenZRbi15eE5YT0lsZlkzU2J6VHFnYlN2VzhUcnY5ZWNiVXhMTjNyRHJPUklTazJRVUswd2FYRjJKRHBRUFROVkdWUjlUM1FjMFdNeEpLdw?oc=5" TargetMode="External" Id="rId24"/><Relationship Type="http://schemas.openxmlformats.org/officeDocument/2006/relationships/hyperlink" Target="https://news.google.com/rss/articles/CBMidkFVX3lxTFBtMDJqTmdYUVgta2lwRFBRclFhWkhJcFRPM1VxamZoOHZwcnFUVGlxVVF5VmIyanRtU3M0cXM3QmR1U29zWkhyVGhMQmtMWEE0MklrRkZQdnpLNnBLdlZPR0Fvb0hBSl9BajIxQ1hqSkd3VDFlT2c?oc=5" TargetMode="External" Id="rId25"/><Relationship Type="http://schemas.openxmlformats.org/officeDocument/2006/relationships/hyperlink" Target="https://news.google.com/rss/articles/CBMipwFBVV95cUxOU0RCdkxHOVJYQkFnX1F4eVZPekFON0w3OUlEaDUzUFVBQXd1Mm00UHJIWVdwSjFOLTRwZnpRdlRvNUhCX0xDT0pEUHBOM3BOVFNxVExyT2RQUk5wQkU0SGhaMGxNTjRNZjdtRTV1WnRpZ3M4Y3hkN1o2bXBtYlo1ZmpYSC1XM05TQlZ4em85ZmN5VWdyeTl2cW93OE1pMXl3aWVEc1dzaw?oc=5" TargetMode="External" Id="rId26"/><Relationship Type="http://schemas.openxmlformats.org/officeDocument/2006/relationships/hyperlink" Target="https://news.google.com/rss/articles/CBMi0wFBVV95cUxNQndINE4wSzBNLUwzMWZxeHRNdExjMWRHREJtY2QwZ04tS25fc1JQdDJFZ0ZVaER6Tm5GRkhyOGZWbWEwYlFoTmhmSWZXbnpuS1dZeHRYbnBVUjhyMnJqU2VVWGRvT2Jna0IyeGV1QnYtVVRYaDAxQXNQdVJaZWJQMTVQMXFwTWMtODdSQWZNdE1ITDBFaWNVQi1yYXpUM0FoUDQwVTdzbS16cFB0S1lTMTd2d2RidE9UV2VhOGIwZ25YTFR4Z1E0OGRWNEpLS3ZJbC13?oc=5" TargetMode="External" Id="rId27"/><Relationship Type="http://schemas.openxmlformats.org/officeDocument/2006/relationships/hyperlink" Target="https://news.google.com/rss/articles/CBMihAFBVV95cUxPVFRkRThUMUpGNWdkNnBmLVVIeElfTEtNcURKY29yNDhRMDBRWjNxb2VqVVVmeXFEbWJGdVRmOVp6WWYxZkktaVRyWU53Q285NFlkVzc1WWV2OW8xR1BTOTNLLTlVU1YtTFNiamZKcGZDMFdDa25JQjNXNXhDQlpXTGpRaG4?oc=5" TargetMode="External" Id="rId28"/><Relationship Type="http://schemas.openxmlformats.org/officeDocument/2006/relationships/hyperlink" Target="https://news.google.com/rss/articles/CBMioAFBVV95cUxPNGNPNmdMckt0UUl6WDNrb2hwSnF6eWxEUy1yWUh4Q1hkX3NWNmQ2STdRaE95dWRPSFVybzg3NWNKYzN0WTh2SkRzZlEwWGl2aWYxZ2tpbDZrOUZhX3hHelZ1b0VlLXdsRnR4MGViZnBKd3hFYXpnNXB0ZGFpYTNrbUxOT2ZUQkZJdlEzb0xWU29xSVM5M1hqNkZ0azVwUmZ2?oc=5" TargetMode="External" Id="rId29"/><Relationship Type="http://schemas.openxmlformats.org/officeDocument/2006/relationships/hyperlink" Target="https://news.google.com/rss/articles/CBMihwFBVV95cUxPLW55RURvOGRySUpBQWYyZlJzWnE2V21IdHVTNE91SFVjUmZMY2dUSFQyMGVRbmo1c0k0aFE5VDZXeHppT3pXUm1OMDctSkdIVTFTZGNZM3owRW5GUUZ4MjdIRk1QaFZxWkFVVEtIaHhJWUUyQXNFLVBqOWxBaVZJdnpfeHJ4SjA?oc=5" TargetMode="External" Id="rId30"/><Relationship Type="http://schemas.openxmlformats.org/officeDocument/2006/relationships/hyperlink" Target="https://news.google.com/rss/articles/CBMipgFBVV95cUxNZDJ4azNYVjU5XzBlWHBFd3EwekJGQ29QOVdGM3JkTk1qcjVuS2gzZU9TaWJ3emx1MklFd3ZIOWRaUFNqVTdWbGlwTVBYSGVDOWpCMXAzZ0w3M3lxaVhmc2JpTno1Z3ZuUnpKWS1PNlY4WHBYa2RyZDlodWRlc1cxOUlrRllYZThFelhrQThEMFR5RmdQNmNKbG1XYW5td2tHVWRmTXZB?oc=5" TargetMode="External" Id="rId31"/><Relationship Type="http://schemas.openxmlformats.org/officeDocument/2006/relationships/hyperlink" Target="https://news.google.com/rss/articles/CBMiV0FVX3lxTFAwSnJrRktPbEwzbUlEWTJVNWRGYlpGM0Z6R3B0bUNrSXc0c00zZ3FXUm1nQjVYM2dJT2pPLWl1UENCTlBqZEFYdnhlc3VfRDY4Xy00ZnlSUQ?oc=5" TargetMode="External" Id="rId32"/><Relationship Type="http://schemas.openxmlformats.org/officeDocument/2006/relationships/hyperlink" Target="https://news.google.com/rss/articles/CBMisAFBVV95cUxQX3ZHQzFZSmtvcVQwYV9YSnJKWlRtMTlqNWVDZmhkZjN4YlFIeGRlVmVqLUNpYlRmb1RrMncwTjVzSERERW94ZVFlWmFfQWkwdkJfX2lSNnBqY3BvUnBqV2U3MFlCUnF3Z3A1VTRDNk9ZclpWemZValRlSWlTVllFaFgwcjRXR0ZpOTBwWjRvelRWLUt2UmhOdi1RWm5wZjFkSDFoaWxfVXl1VVh4cjFNeg?oc=5" TargetMode="External" Id="rId33"/><Relationship Type="http://schemas.openxmlformats.org/officeDocument/2006/relationships/hyperlink" Target="https://news.google.com/rss/articles/CBMinwFBVV95cUxNUUp0T1VCLTZEc2FGSDJ0NW5VLVdFYXQzeXdWNWkwcGZQRF9RaU5Yd2pVcnA3NXhud1FqcTBkYS1jcXlOTW5TMDJyNWZlaFZGSWJXeEt4cmJVN0Rab0xaQkZmMEg1Y05SczZJV1ZPcG5wbWs2VldfemRuQXYteHVqWEZvaXNpSnk3RTgxam9mY0VCWkJ2eldMdTNab0NGSTg?oc=5" TargetMode="External" Id="rId34"/><Relationship Type="http://schemas.openxmlformats.org/officeDocument/2006/relationships/hyperlink" Target="https://news.google.com/rss/articles/CBMijwFBVV95cUxOYS1kcm14VnRuR01sd0U3WVFqTDFCc2ZNMzlHelJSLWh3WldZeVdIRUNSRzNLRmU3N0h1QmR2OElKWWl0X2pMekJscnVkcXoxZE1xbUVuOUxBNTFob0I0LU5YUXM1TThSeWJTaDlJMUhfVWxuXzQtVnp3X3ZWaUZrWWxjbElHQUIybnhZMXV5aw?oc=5" TargetMode="External" Id="rId35"/><Relationship Type="http://schemas.openxmlformats.org/officeDocument/2006/relationships/hyperlink" Target="https://news.google.com/rss/articles/CBMiswFBVV95cUxOelp0b2ZmVGlMZUlMVWVxcGlDODhuUVdBbFVfNks3bkZrdENOemNhUXB0OWFhYzNVUmdXbjNIZEh0OERHTFFGTnJDc1l4QWhYMlJlTEcycExVdWVaNlNJVDNiazFmVTZQT3dhUWxpdjZXNEJZMkx3NlplTl9NeFg0aUtJRkwtTUZpUUgzTzRXRDdIOEtlVURjMzB3aDhiQW03V1NUd1NLM2xyNXFLb0NuYWJFUQ?oc=5" TargetMode="External" Id="rId36"/><Relationship Type="http://schemas.openxmlformats.org/officeDocument/2006/relationships/hyperlink" Target="https://news.google.com/rss/articles/CBMi0AFBVV95cUxNV0RRd2YxczlCenlkaG8wSU00M2diNXcyMEktUEx5cXlyY1k3MUZwb0JrZHhXSjExS2tJeWhSUTA4LUlnVU9qQi1veVVnbjM2STZ4RlV5M1hnV2ExSlpmMlNlSHduRmpNX0Y4cXA5WTZ1d3FEcnpvNW9VbFREQi1PN0ZIQmNiREgyM0VpTnlTY1lmbXJFel9xbF9uVXotVWpBR2l0NDVFYWItNlZsWnRrMFpHSXVwRy1HSVM2b21vOEJEbUhPWlFuV3Fqako4Sm5G?oc=5" TargetMode="External" Id="rId37"/><Relationship Type="http://schemas.openxmlformats.org/officeDocument/2006/relationships/hyperlink" Target="https://news.google.com/rss/articles/CBMi9AFBVV95cUxQN3NUTl80SzEyUDRSY3RXQzYwQzFmU0hJU2tjRVlNTWN2Q0VsU1YxRTNkVnY5aEdESENWdjZRV29wS2VFc1NnS1FTNVVpa19HMEYyWDI3UU1EcUwzamdrWWdJVGk4RkVEdDRQQXM5TUxLdDgzSWdNWXpNbkRLUDdnU2JoMTBvUzA3QXo4MHhGWnJaRGJzRWs2cTVjRUdYNFVKaV9HcUk1OXBYbWxGWE16U2tvdE9ULWxmTUFjMEUwX04tSDBOTGhRRXdtR1djZEFrQ1ZqbFlWamt4WjJrcWVfMW5Hd3M4ZkZsNzA1djlIbWtMLVhU?oc=5" TargetMode="External" Id="rId38"/><Relationship Type="http://schemas.openxmlformats.org/officeDocument/2006/relationships/hyperlink" Target="https://news.google.com/rss/articles/CBMiiAFBVV95cUxNVXdhS2x3OG5DNUYyTVROU0FUd1B6Q1JWRXZJMTR3S3lNRVZPWHVNRm1LZEdfdUdwM1VVbGRYWC12dXpkYmh6ekdiaHpJNUhUU0FEQlAyeTZST2NxSVRjXzBCaWFBR0l6d2JkZFJsX0FiYW5rQlQ5YWJtZU4xaUFleTc1elNCYVFW0gGIAUFVX3lxTE5OV25rT25ieExCbFNQT3RZcTZEYjFqSkxUYlNZVWk2QzBzblNzVUZJVVdoenoyN21LYllDTG5oS0JlVXZFSmgza3lYZldwWjdQaWVRQldaUXVYdGFyNkMzZEZVR1pfcmtfOS1yYU1WUTgtQnBkVXVlb3BIZ2pHZWxGZ08yS2Y5WjU?oc=5" TargetMode="External" Id="rId39"/><Relationship Type="http://schemas.openxmlformats.org/officeDocument/2006/relationships/hyperlink" Target="https://news.google.com/rss/articles/CBMipwFBVV95cUxNNzhreVRGNjg5NmVPZ1d0WlZuYzVPaVBwSTJoUTdvekM1X2Y0ME9EdDhwd2tSMkx1aXl5OGM2bURYU3VKOXdObWRfUmNNd1BCTnB0MXU4cnplV29RdmJ2RGZoZDdSQzB1LXlxRUNvZnFESk1SdHhrdXNqM0JLZnpwZG04MzNxVFhTc19UQk9GTFd6NWxnbnBmLTZyRFI0YmRVN1FxX0dDWQ?oc=5" TargetMode="External" Id="rId40"/><Relationship Type="http://schemas.openxmlformats.org/officeDocument/2006/relationships/hyperlink" Target="https://www.tunnelsandtunnelling.com/news/panama-canal-tunnel-drive-completed/" TargetMode="External" Id="rId41"/><Relationship Type="http://schemas.openxmlformats.org/officeDocument/2006/relationships/hyperlink" Target="https://www.geplus.co.uk/news/international-news/tbm-arrives-in-albrook-following-revitalisation-of-line-3-construction-in-panama-30-10-2026/" TargetMode="External" Id="rId42"/><Relationship Type="http://schemas.openxmlformats.org/officeDocument/2006/relationships/hyperlink" Target="https://www.geplus.co.uk/news/project-news/three-machines-now-tunnelling-on-melbournes-suburban-rail-loop-30-10-2026/" TargetMode="External" Id="rId43"/><Relationship Type="http://schemas.openxmlformats.org/officeDocument/2006/relationships/hyperlink" Target="https://tunnellingjournal.com/creg-slurry-tbm-enters-commissioning-for-shenzhen-road-tunnels/" TargetMode="External" Id="rId44"/><Relationship Type="http://schemas.openxmlformats.org/officeDocument/2006/relationships/hyperlink" Target="https://tunnellingjournal.com/second-14-42m-terratec-tbm-ready-for-mumbai-tunnel-drive/" TargetMode="External" Id="rId45"/><Relationship Type="http://schemas.openxmlformats.org/officeDocument/2006/relationships/hyperlink" Target="https://news.google.com/rss/articles/CBMiywFBVV95cUxOU25xVUxHQXRlS011cUdhNmtiWVlHT3V1UE9qZWtERTkxQkUtblpWTGtzYTgtSjY3NnFTdEE4NmlyVXVyeVFIeml5QkZvdG5kSHB6TzI5Z2prTk9MTlAtU2xkcTNjZmRvOUVVTERicy1KQ2NZWTFZWjdsUmtPSzR4MTUtYVZYVEZrbWNRbk5PamFYTjlEbUxjXzlERWZ5ZE5PZzVpdEplVDhyNENLckxUZTRGWlh3c3Axb0F5YlhYeWpsdzFVWGNhSF9wb9IB0AFBVV95cUxOZ0FlU2x4VFhfbHFJUWJpc3R0S0k4WVZaNGNfaWhvMi1HU1pjZUl1c01wenp3NWhCR1d6cWJfeEhFOWNmeUJlTGZ1TW5Ba2JSRXRQcFpQU3V2OEFaQ1dQLUNoWmlaMTdpSW9OdUdZejFQeFc5TloyNFQ3NTlOd1JFcUVlRGlYUndvaVRPMXNLZ2laZ2w1NXkyRGJNN0VlZnFGT2N5eFhZaHp6MjFqTUZuZG50RkJOR1VfclJBa0FJSWpUcDJDOTJQcWlnVEsxUUJz?oc=5" TargetMode="External" Id="rId46"/><Relationship Type="http://schemas.openxmlformats.org/officeDocument/2006/relationships/hyperlink" Target="https://www.tunnelsandtunnelling.com/news/north-east-link-tbms-removed-from-site/" TargetMode="External" Id="rId47"/><Relationship Type="http://schemas.openxmlformats.org/officeDocument/2006/relationships/hyperlink" Target="https://news.google.com/rss/articles/CBMiugFBVV95cUxPdmtPZkJqTlo1bUVFWVZzMEhjbnAwemhmWVJpTmNxU2xhZHltSXJjU2ZMN3NSeE80dFkxb3hRZzVaNnBTSllTd3M2dksxeF9kdDFYbHlLQ3FzeHdzYUgxQ3ZKeGozcGxzR0RRTjRUTUVaV0hNd2hVMElfWmtPQ1BNSzhnOGtBVWlteU13TkhfTWF1UEowNjFpNXJuOVZUSE5BRGYzU2lSS2pDZUJYVEQxT3ZLVFVhSG9JLUE?oc=5" TargetMode="External" Id="rId48"/><Relationship Type="http://schemas.openxmlformats.org/officeDocument/2006/relationships/hyperlink" Target="https://www.tunnelsandtunnelling.com/news/amey-rail-to-deliver-dlr-extension-early-works/" TargetMode="External" Id="rId49"/><Relationship Type="http://schemas.openxmlformats.org/officeDocument/2006/relationships/hyperlink" Target="https://phys.org/news/2026-10-machine-safer-cities.html" TargetMode="External" Id="rId50"/><Relationship Type="http://schemas.openxmlformats.org/officeDocument/2006/relationships/hyperlink" Target="https://news.google.com/rss/articles/CBMihwFBVV95cUxNcHdyWk5uYU92Zm5qM0I4b2hpek5HdDFncVBvN28xZ3lBRjVhU05FUFk0US1DcjN3ekxzdW1GYi1iTElKMmEtMnl3bTJhNTBHTWg3YVZ5dFFqUDVDY0VZelA3OVN2X1VJQ1ViRWhXME0wWWtiMUs4eDV3MS1uUGNKWjZ4M21FYTg?oc=5" TargetMode="External" Id="rId51"/><Relationship Type="http://schemas.openxmlformats.org/officeDocument/2006/relationships/hyperlink" Target="https://news.google.com/rss/articles/CBMipwFBVV95cUxNc1dyMVdCZ1ZqNG1FcVdvMTRUMWtjb3YweENXZTZZVTZIMG1iMG81RXZ4VEp6S0t6bENiaGQ3ZG1FTS15QkdHaHpKTnRiMFNMV0xKNGZ3T18wN1doMlo0dmw4cTFjLXhpb1k0VjZWdW01S3BzQlc0cEUzUUM3UHllVGtEa1Y2NUxXZndNTkFib2IwXzU1M0FDOEFiRVMwNl9QSDZuRWFWSdIBpwFBVV95cUxNc1dyMVdCZ1ZqNG1FcVdvMTRUMWtjb3YweENXZTZZVTZIMG1iMG81RXZ4VEp6S0t6bENiaGQ3ZG1FTS15QkdHaHpKTnRiMFNMV0xKNGZ3T18wN1doMlo0dmw4cTFjLXhpb1k0VjZWdW01S3BzQlc0cEUzUUM3UHllVGtEa1Y2NUxXZndNTkFib2IwXzU1M0FDOEFiRVMwNl9QSDZuRWFWSQ?oc=5" TargetMode="External" Id="rId52"/><Relationship Type="http://schemas.openxmlformats.org/officeDocument/2006/relationships/hyperlink" Target="https://news.google.com/rss/articles/CBMi7AFBVV95cUxObEtTMk1DOWpXM2JJQUFYTE45bF9IRXVuMDc1OXB4cDdKM0FWU3pIX2NxaFlRWk5RS0lVajZmUGF3djVsZW45TGY0d1hFSTVDRTEwVkR0ZGNTaXVuNFZJTkJaV3NuWkdaT3hRVjNfZ09waTJBMTFsRFBTWmVmc2JiT0tGSGF1bzRmNHdKRGU2T0owVDRBa3g0TDRiNVJIbFZzYjBIV3AyM3NZbWNvX3J1MlBNc2cxLW8wQkZJLUtYSUctOXVSRGl4R3B0REZaOWttbzRmSElVYVYwSmZfN0dFMWVTN0tVbUNjS053dg?oc=5" TargetMode="External" Id="rId53"/><Relationship Type="http://schemas.openxmlformats.org/officeDocument/2006/relationships/hyperlink" Target="https://news.google.com/rss/articles/CBMi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dIB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Q?oc=5" TargetMode="External" Id="rId54"/><Relationship Type="http://schemas.openxmlformats.org/officeDocument/2006/relationships/hyperlink" Target="https://news.google.com/rss/articles/CBMiWEFVX3lxTFBCeHNHdUQ3WDB5VFFIOHlmdm84aWM1TmVPMFVTaHl2cTZCZk1LYk1GSWFmSl9UejVHS3lVc2EtdGRMdU5hWFRiV2JHd092eVBTYmM1MFZzakE?oc=5" TargetMode="External" Id="rId55"/><Relationship Type="http://schemas.openxmlformats.org/officeDocument/2006/relationships/hyperlink" Target="https://news.google.com/rss/articles/CBMiowFBVV95cUxOcHBPNmxZdjdpbGxsbjZhSzdva1E2dFNHWXJqSllLTGhLMmhoNjVUREZaNXlacEJzTUMxTmtSOXVKdl8wT0tpQkpMWlZUTzVvWG5NcVA0a2h1WmdCOXpSVEQ5eVVpc0U3UlpVeXNMMUFHRjNKa1czOVlEdlN2UTl3Ml9XT3I3MjdlcmREWUhRaXRraGJKN1dBb1pXYy1tS2Q1cEZj?oc=5" TargetMode="External" Id="rId56"/><Relationship Type="http://schemas.openxmlformats.org/officeDocument/2006/relationships/hyperlink" Target="https://news.google.com/rss/articles/CBMitgJBVV95cUxNZFk2bjRVR2pZVEMzRzRITGFHT2tKYnloSkpBWm9SbkxYS09lZzBLNG5WcjNsR2JjNm56N3g4bHdGdnIwNlo4MDBZV1lSN1k5bW9SZlFZbVNlajJpYjVseENYU1oxWjFKeXQ3Y3Nsd3cxZ0NhRWFGekNELThRNFpUUllsaVVRZm0wdS1lZEtGQkhqaDVYYzVSdTNDXy12UHUzSGZoSnVNWkhaX2ptQnpUcFhFam9QbFNBV2hQdWh4WG9RbC1HbXN6NmI2NkZkSFlQQ09yMUNxLWpKOFJKVlZqcjlhbm5MajBGNFdYMXFyZEpqLS00N3VfVmhuclA2STYwb0pTT25JNk9iMzdpUjJGZ054Q0dWNVc2RTQwQjZ5M1ZDMjlQRkI3TGEycUpvNWVEU0RBUFp3?oc=5" TargetMode="External" Id="rId57"/><Relationship Type="http://schemas.openxmlformats.org/officeDocument/2006/relationships/hyperlink" Target="https://news.google.com/rss/articles/CBMisAFBVV95cUxNSGpDMkxmRW9iNVJ5N3R6NTlsb3ozZG9VWWRCVkZseGZIbHBtS0oyVHJOUG5LZ0F2RTVIdHM5d3EtV2dSTjUwazg1OEVUWTBEUmNSSmNpMVdhQjZDYmVGS21xakpvdlZWLUdsSzNDRWF5Z29JbHQ0emIyeUVOSF9KSGt1d0EwZWhOYWotZkVWWFVGV0tUcG5JY2VLOGJlVy1UeWZOUzFvWTVvRUZ2SFpqTg?oc=5" TargetMode="External" Id="rId58"/><Relationship Type="http://schemas.openxmlformats.org/officeDocument/2006/relationships/hyperlink" Target="https://news.google.com/rss/articles/CBMiygFBVV95cUxNQlVOODc4amxiMkMzZTlfeDlUNG5sdTlaMFltQ293MndDRF9YTXB3ZjJYc2RYX2xQOXRSZjBfd3dsU0VYTEJySzB1TlNzUlVsSVNmWVktaFJ6bWVzM3REN0M0ZU9WOThxS2NkRVZiNEdadlNxODFTM0NiMUJncVByR203cEsxS3RCeTk1RkJyNU1CeTRKSFBRTkJxSVdpQUt5Zkp4eDJPQ1BnSUtYODYwREk5ZlZuV3hYWXlfVnJzdEF1VnlaSHprVUhn?oc=5" TargetMode="External" Id="rId59"/><Relationship Type="http://schemas.openxmlformats.org/officeDocument/2006/relationships/hyperlink" Target="https://news.google.com/rss/articles/CBMiwAFBVV95cUxOSkx1S0lMU09CLXo0ZVRvd2hFWTA0d29MT1c2cWxLdDloeVNDMWtUNmxXazBqNDd4YWpFcmpyNmYzY1l1a1p3UGg2QVlpbUdiTi1pNG45LVVKVDVmMWZTT3FnUkpINXotQWM2WlNKd0tUQVV6TE1kWVV2MC1wNTExaGRVTHQ4U1ZKM3FHZDZmRFVPOVRaNnNQYzUweHY4Qll2Y19GZ2ZIVWl2SkRZMWlocXZZUmNZVFJCV0FqN01OMW0?oc=5" TargetMode="External" Id="rId60"/><Relationship Type="http://schemas.openxmlformats.org/officeDocument/2006/relationships/hyperlink" Target="https://news.google.com/rss/articles/CBMitwFBVV95cUxPVjMwNkFTY1NaZDI5bVUxOVBqUURhU2o4c3BJV0JyMDZsV2dBWThrekdkOVhoX3FhUGVhc0FjQklmMDN6Und3UEFVb1F2THI1OERieXM2N0lQeVZDM1FEUkJmSXBtd2hla2g3ODJ4bkViUkw3TzFkRkxONTJKWk1kTzJ6TWp0bjB6RmdkbVpxUHNEYTQ5SjlsM1NUYm9CcTFhcEJVYm1uZG5yWW5CMk1OTmF6Tno5N00?oc=5" TargetMode="External" Id="rId61"/><Relationship Type="http://schemas.openxmlformats.org/officeDocument/2006/relationships/hyperlink" Target="https://news.google.com/rss/articles/CBMi0wFBVV95cUxQajhWU2FXd3haanFsVEdDUFViU0dRSjcyenZJaXVucUJYNVllOTJxdEhLRl96SFY0cENGMF9sWkpWVVVkWnEwaXdJMnUxaFppakhTQllLYlJObFlZaDd6RlVNdjd6blA4U01qSFEyQkhFNG0wRnBHVWFjQXZYQnh4QlpTdS1wcTcxSDZsY19ndVVLXzVlbHlOQVc0Nml3aTBFcUF1dkV3TzdRcnFIZDh0a1VlT1FsM2g5cmZGdXlmZ1hrWE9Zb184dDNrOTZSSWoyR25B?oc=5" TargetMode="External" Id="rId62"/><Relationship Type="http://schemas.openxmlformats.org/officeDocument/2006/relationships/hyperlink" Target="https://news.google.com/rss/articles/CBMiyAFBVV95cUxORzhUeXZhcWJuNDVsYmJ4OERvdVIxV1NmM2hCeXRST3h6dDNLVS1YbjExbVpGRXNJdm00Y0ktTmNqU0FkSXJ3Ujg3c0ZfSm5NcEE1QlpmLXpUc0RORWpYQ0szaXpqUXpUbm1SeldydDBEckZINllmN0w5MEdWNHFKNzluZE5Yd181RjRFVVBrRDkwSmFiNWZ3UlNTdjVPR05YTVFnNF91T3YtX0x2NUQyaVVZQU5uY25ZT1YyanVHZ1JoT1NHXzQtTQ?oc=5" TargetMode="External" Id="rId63"/><Relationship Type="http://schemas.openxmlformats.org/officeDocument/2006/relationships/hyperlink" Target="https://news.google.com/rss/articles/CBMilwFBVV95cUxNcEg1VnBzNThJRzdsamVpcGlicEM4RjNDRzAxSVBmTGlEZGowMEVaa3pIV3QwRG15VmJoSkZBZUZDQzlTTU80MUx2TzZuRGNzVHJCWnNic0ROb05Tbkk4LXYwRmVWUHhpWDhFMU9kOEI2Z0NPaUF1ZzhhSkg4ZEFRd3lCMjMyWWFZZVRRd2NfT1BfYXFhRXJj?oc=5" TargetMode="External" Id="rId64"/><Relationship Type="http://schemas.openxmlformats.org/officeDocument/2006/relationships/hyperlink" Target="https://news.google.com/rss/articles/CBMimgFBVV95cUxNWXo1c0NxRnZsS0gxV0pEVkNRY1lDODd5ZmtkSUxMUlVFVkZ5aUNhWG8zcWU0REdOMXpTUjFpZ3pUZE5RdFdtR0pHTWM2XzlSN3I5S1N3VU11MUZ0bFBLQ2F0T3Y0UnVpX3h0ajN4OHJJeEotZk03NzduTmdTWHctU1VrTmJVZU9Nc3VhcU1fY1l3TlVpMnVrckl3?oc=5" TargetMode="External" Id="rId65"/><Relationship Type="http://schemas.openxmlformats.org/officeDocument/2006/relationships/hyperlink" Target="https://news.google.com/rss/articles/CBMiwAFBVV95cUxQd1J2MVdFWTkwRkNNdkZISlVLSFpqVV8zN0c5OXN0aGY1Yy1Fa1BQekNUWVMwaUJlb2dxNmV0blgzYlNibF84cXJLQ1lqNV9Cd2c3TlI1eDJicmtDR1o0bTdaLURlX1RxR1JDVFpuMk5pQU9rM1pOWWJobEpITk9XTU1OMV84aElPX3dYeEUxOW5YblE5SmczRm5tLTNLZjBWVTFDQ0JpVzFkVU12THA1d2tYTUk2YkZwOUVwX0NvaXE?oc=5" TargetMode="External" Id="rId66"/><Relationship Type="http://schemas.openxmlformats.org/officeDocument/2006/relationships/hyperlink" Target="https://news.google.com/rss/articles/CBMiugFBVV95cUxQdDVDQ0lfWG9Oa0EyVG55UGVoUHNxcmloS2pFbmRWZmpXWFFzMkx3WVdib3lWVEM3U19GN1d1eDhRM182TVViV1BSTHdheVBHVTY0ZVVBOU15T01ObTdUbzd3Wm4zdlNReEd6cU5XWGVEZ2lMMld2aUFzVWNueVZYcjEwTVVmZmtyU25XaFo3Q0ZkOTZvVlE5bllnT2pjUDNWcWhwVHU5WmVFRnl3cjdGa0FRVjNuM3BSOVE?oc=5" TargetMode="External" Id="rId67"/><Relationship Type="http://schemas.openxmlformats.org/officeDocument/2006/relationships/hyperlink" Target="https://news.google.com/rss/articles/CBMi6wNBVV95cUxNWXFCSXRtMzVPS0hrdGhIM1c4ZlZscHl1bHV3RFh6aWp1ZXV3SnBvWlFtWlhOZ19UdmNUbXlVYXpxNF9sZHVVNUc2S0dtdkVLN05oc25uX2d4dWxwMFZ2VkotYXF5bHZDTmFSbmJLYnV0X3hNS1FfRWM5S2ZvWUlUM3dCZVlxU0pvc2pBdEpvSlZVSHVuckl4Ym90X09GR1FvbFJ0X25HWUVlS3RRZjRGS25ya3lTbXlpODhXMDBydllCUFFLS01qajJMUi1WLU90R2M5LVBOSmU1WnRZWVVkZ3U5a3E5UkRLWEt5bWFwck9pSlgtZ2ctUmQwTmJRRXBLb1YxWjY4NTBNRG5uOHgtblFwT1JLaXVhLXB1Mm8tQ0xFZTJRSUR2RFhqckRjbEFGbVV2V09LZ0RfTU5sVTJva3ZvVWVobW02M2lXVFhMWUxwbnFHN1NNZ294V1J6SGdLYUFBdjJpSm5kMkg2alhDUm9aVzVNRFBYbWRCb3dkd3prdl9zUUc2WE5DWFpjRVpRdXE3OFZWajdZZHJlSVJKUVJ5enVKcEdFamFuQ2wwclZmLU40MGtjNkthSlBoQ3dJZDFMdzFFNFJaQ0JrX3hKdU55UXNlNHltaFhYbExzR21WQUh6eFJkTEwyb9IB8ANBVV95cUxNSW1uV09WNXh3MV9ENHpXX1d6MXR5VWdOM1lVa0hkOTlTWjN3b1U1VHRRU01aTWxVa1V6Rm5PWGRmZ25WTEZlZHhTaGJLOUdiSXAzeVpXM0NzS2toT3R6bGhjdEptWHFhZm1PTi1oUURsRk1qczl6MGdZMWFvTHlJT1l6N3RlZDh3bEQwbG5vRldFbHl6Y1N0Y1pXOGw5NElfRjZJb0FEYW9pSVpmMy01ZkhEaEFMUDNlRUZsVXVyREMyV3VhaC0xb0R6VklOVlRrVGV3N3hOTXZ3cjBWWUhTWEJtQzVtczBGTml0RnJTVDR0LW9kcFE0LXNhNXdEUUxaN3I3ZjFLUW9GdVhJUWVXcWxhdHUwRXowSTNtUXFZZFVQeVo3cG1pd3BJOFE0M1RTTW92VDFCRTRDQjJrR1pUMWNyYWJ5eHNUVEkxTnd6UEJSaDgtMTFGWDlWWS00Q0kxbzQ5ZXdCYmkxeENiSUg0OUNxeTl1LTF4UUFZcUk3X2g1ajFPZGRJWDhxUlZYMDd0eEtXU1JWeEtUZzVZdFA1VHpSRVdHU0ZkTXNCTEprTWtKV2g3elNOMHNWTDk0N2F2Tm9Ha09UUXRUTXY2VXlHZGFTX3VKTzJPdnJERzFCM0JzQUxpUkxQLVFtY3UwN2xm?oc=5" TargetMode="External" Id="rId68"/><Relationship Type="http://schemas.openxmlformats.org/officeDocument/2006/relationships/hyperlink" Target="https://news.google.com/rss/articles/CBMiwAFBVV95cUxOSzl3YkllaGZfTVJTdFR3cjN6d19lUzktSUQyLS1DeHFKZlYxSkxxSnM5RHFQMkNLWW5fSEMyRk81UU8teWhHd2J5Ujg4OXZVSWIxTndLUzl3T1BhNldlWkxDaTBZRnV2dkdjUXRNT1BwcFFNN0UwdWNjcjRiYmRYMEgyNTFSSWRKOUtHRlF0UG9NSnJoekVEeVEtak5nc1lVOWN1UUU1djNLOTZZUHJUXzY4T1dkcVhrVjJVbG5qS3U?oc=5" TargetMode="External" Id="rId69"/><Relationship Type="http://schemas.openxmlformats.org/officeDocument/2006/relationships/hyperlink" Target="https://news.google.com/rss/articles/CBMiogFBVV95cUxPaHpydDdLdElQQS1JLTVWOVRyeURKejNhamM0OXc3aDY4Y0RDeVdEemhGUTduemZXeXdlYXRQdWNGNDB3cGdYaTVKZWxIdnlDOWl0Ymlld3MwZmpDQ2Y1U0V2Z0ZQTmNBUVVSMm9hZDNVYkVOZ2luNzdNLXQwaHhFRGpvU0ZPb1JhSjdXUmx4STYzQThvZkNoX1E4VGpvTkxxNGc?oc=5" TargetMode="External" Id="rId70"/><Relationship Type="http://schemas.openxmlformats.org/officeDocument/2006/relationships/hyperlink" Target="https://globalhighways.com/highly-efficient-piling-with-liebherr/" TargetMode="External" Id="rId71"/><Relationship Type="http://schemas.openxmlformats.org/officeDocument/2006/relationships/hyperlink" Target="https://news.google.com/rss/articles/CBMi4AFBVV95cUxNTk9pTFBNSFZYbUVsSGRYVDQtbngyTmtBazdRaExVRDBJMUFtcERGTmJ2U1NuOGU4ZlBxN24tYTFYX0lIVmFfYVVNRm5ySTB5aW81Q1NOc3BUaUZpMmlXcF8tZ2RCYlAtOVFtSDU5RkVabEREX0dQRnp2V3pKMkU5TDEyWnVEenJ0VVlNdjlTeGhHVTZsUnFrbGswUlBBVFRiN2JMaTltWXNrQnAzcnpxNVlSc3EwZi1SX2ZJcGlhUHlMcjFkOWx4U3AyeUhTNER1VGpKXzVzd19aazNEeDFWdQ?oc=5" TargetMode="External" Id="rId72"/><Relationship Type="http://schemas.openxmlformats.org/officeDocument/2006/relationships/hyperlink" Target="https://news.google.com/rss/articles/CBMiqgFBVV95cUxORGl0ZnVjdEhJTEZzQjgxZm5OTUp6VUE0RlAzbVNyWTNobjU0N25zck5FMGtTSlFKQzhBYnhXV0RNT3RBdi1jbjhZdmQ5WVdtbUVJOXZSZTdMT2dJMlZQQlpHTVdoRWh2dldtVVZCdE85MzhzVWIwdkJkeUdqNlQyTVpiVGFhM1AtZGRtMVkzcVBfNWY3cWlSdXhjSExrMFd4ZTUtMmZLOUlTZw?oc=5" TargetMode="External" Id="rId73"/><Relationship Type="http://schemas.openxmlformats.org/officeDocument/2006/relationships/hyperlink" Target="https://news.google.com/rss/articles/CBMixAFBVV95cUxOMEhRWWV6c3kzZ2hrOFpfRnN2S241NE1IMjBGQmNSUW1WRms5aE1ibWlpb3JsRXl5MEVudUlJNGZORHZoaDEwUlF5V3EtQTlIRFNHS056djVrNlppVzdqM1ZtZ3JxNENOZzVOX1JCYXFNdDBkNEx2dlNCbjkzbnFSZFZjbzdXdzE0QzkxVllhZjlCWk8xcXJBaTZZV05DYVlYbzFkQ3pUNUxiMi1uQ0E2MllSM0IzbGFpbF84WFZ2dEZtZnZK?oc=5" TargetMode="External" Id="rId74"/><Relationship Type="http://schemas.openxmlformats.org/officeDocument/2006/relationships/hyperlink" Target="https://news.google.com/rss/articles/CBMimgFBVV95cUxNMUFpUXJmSVo4Y01USWtzaVdXOXQwT1RDa3RhQWpzdnkyQWlScXBkNmtDU0RnSmJGVmppZC1vRFMzdUZhWnZNU3N4UEwwWWRIbmVXMFBqb1ZPMmJ0aG0yLW04U0otbWpxdE42TkNBZ29rdmpZUWdZR0xncnBoWDRTcC1HOHdwbXlCZXIxT0JTSmZrU2dybGdUZkNn?oc=5" TargetMode="External" Id="rId75"/><Relationship Type="http://schemas.openxmlformats.org/officeDocument/2006/relationships/hyperlink" Target="https://news.google.com/rss/articles/CBMilwFBVV95cUxNdmwzd2xZMU5MdXZ1Zk1rX0RDVlk5RTg2STdoQm9hSTdOTkZ4NTVUcmtwaFFMbVJJb3lwVUM4VkRtalhXQ3pjZXEwMFA2LVo5dnA4dlJ6cmtacFVRS3F2U2RJQ2lPMHltb1MyS044OWdCQnFZdlFha3MxS2tlOTJwckxIRnZ2MUxsUkdOcWo2VFlZZGhqdWVj?oc=5" TargetMode="External" Id="rId76"/><Relationship Type="http://schemas.openxmlformats.org/officeDocument/2006/relationships/hyperlink" Target="https://news.google.com/rss/articles/CBMixgFBVV95cUxPRzBTaWFtQkRvWDFZS0k3aWF6TkZFVzMzbktCN1BUWVE2M2RUOGJMdjh3QTBJTFV6YUd4X19reVF2cG5ReTdtbmhoOHVBZ2hEcmE2cTFEZU5yX2dzeVJEUzlvLWt1OFIzOTJVMV8xWjY5eE1ISV9BdjJGUXNKZV9pX2R2Q3JMbW5TdEZkTXRyRjQwakw4MV80Q09OeS1XWDRlTUJ0YjRGNE0xVTJSNERzVEw0dzd0cFhQM0ZzVkRCdmdpNDBudWc?oc=5" TargetMode="External" Id="rId77"/><Relationship Type="http://schemas.openxmlformats.org/officeDocument/2006/relationships/hyperlink" Target="https://news.google.com/rss/articles/CBMizAFBVV95cUxPRmJ5YVRBaVZvS0xMY1hYSFR1c1BzOTZWMlVDb0NpS2gzSENXaHFmU2U0U3hiajh4N256MUF2ZGFtbkJ5NnY0YXJhdlo0NGItWE0wbHlUU2ltU0hnZlVxMW9zM291dmthZXpSM2JuVWpIdnRvWXBTNU0tOXcwazNiWnVFM1luc0RCdVFHd1lhSGZyVl9ILURISktDUFpiWDU2TmdWRmk3Z2ROTnJ2bFVaZkdNR0o5MkxkbHo0VDdTc2dqV2hMdGc0Rm5NQzM?oc=5" TargetMode="External" Id="rId78"/><Relationship Type="http://schemas.openxmlformats.org/officeDocument/2006/relationships/hyperlink" Target="https://news.google.com/rss/articles/CBMiU0FVX3lxTE9XY3g5UHRaSDBOczhYUFRVaHFfSHdBMEVoWnp4T1JCa1BzNHlKVVR1MGluYk5hU19PaFpNZ0xxVmZ0WFg4U1YwZHZwbmxGTFlGUjVR?oc=5" TargetMode="External" Id="rId79"/><Relationship Type="http://schemas.openxmlformats.org/officeDocument/2006/relationships/hyperlink" Target="https://news.google.com/rss/articles/CBMipwFBVV95cUxPR0tFYlBfMWYtbVhwaFRjWldGd1g4YWxTSHlkUlAycUZSa0JtelFmVWQ3ZVRReks2YUs1N0VybHhQVDFlZXA4NHc0a1RXRzZxeUo2Q29LTHZWQWdZaFVXWFBiSnk4a1U0SWF4bVFKZk9yX1VUR0NXT1hrSl9tVWc3a1VPb01Wc1dvMmo2T01rOGtENHo2YXNRQWlwYklRbHVmUlJ0MnNZbw?oc=5" TargetMode="External" Id="rId80"/><Relationship Type="http://schemas.openxmlformats.org/officeDocument/2006/relationships/hyperlink" Target="https://news.google.com/rss/articles/CBMiRkFVX3lxTE1yOEM5X19qcGxJa0VLVml2ZHpDNmxEdmtLcHZwY2ZJMTFUbFZ3MjFLa0sxTTNnMmxIREJ5WTJMallsaE5qRUE?oc=5" TargetMode="External" Id="rId81"/><Relationship Type="http://schemas.openxmlformats.org/officeDocument/2006/relationships/hyperlink" Target="https://tunnellingjournal.com/construction-begins-on-ohio-river-wastewater-tunnel/" TargetMode="External" Id="rId82"/><Relationship Type="http://schemas.openxmlformats.org/officeDocument/2006/relationships/hyperlink" Target="https://news.google.com/rss/articles/CBMidEFVX3lxTFBTeURGR3lYallhZzlGM0l1cmxzWUlvRkRMZnNZQVUwUW5LN2l4S0F6bmVHeVJGWDgyX3JDcG54anVoUWlUUkhOc01oSDZrV3lDbTJRRXdnT294czIyX3B1MlRyal9ZVFRqb0RiaTRPZUVHX3RZ?oc=5" TargetMode="External" Id="rId83"/><Relationship Type="http://schemas.openxmlformats.org/officeDocument/2006/relationships/hyperlink" Targe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 TargetMode="External" Id="rId84"/><Relationship Type="http://schemas.openxmlformats.org/officeDocument/2006/relationships/hyperlink" Target="https://news.google.com/rss/articles/CBMiW0FVX3lxTE9ydldBZWdDdE1qZ3VhclN1Q2E0c3JGdmZJSmU1REwtTzV2RVlQNGFONFFUbVlMUlFCUlh1SlM5NGlfdmNQYUdQSkg1T0dIZ3BtSXIxYmtzMUg3Z2c?oc=5" TargetMode="External" Id="rId85"/><Relationship Type="http://schemas.openxmlformats.org/officeDocument/2006/relationships/hyperlink" Target="https://news.google.com/rss/articles/CBMia0FVX3lxTFByd191ekQ3ZFIyQTR2aVNwVGFBWTNjb3dZLW1RaVZPeGRXU0paUG80a2VIbzhLYm9oZUphOHQ1LU45T2Y1WGNSMV80MDNsczFzTkdKTmxBMGNXUFRQdXptZkxyeUxLRGNRZ2VV?oc=5" TargetMode="External" Id="rId86"/><Relationship Type="http://schemas.openxmlformats.org/officeDocument/2006/relationships/hyperlink" Target="https://www.tunnelsandtunnelling.com/news/metroselskabet-shortlists-two-bidders-for-m5-line/" TargetMode="External" Id="rId87"/><Relationship Type="http://schemas.openxmlformats.org/officeDocument/2006/relationships/hyperlink" Target="https://news.google.com/rss/articles/CBMihwFBVV95cUxOZHRNaWVsOHcxNWVqM3JzRWhwWjh1dVhGc1JWRFhnYjNZVllSUXo3R2VqRnotNjdlLXJ5RkFBeF9mQU03c3laelB4OVNBRkp0TEpVek82MHgyQ0N1M254X1laNXoyTDdhSDlxZGp2dHZyZU1pOHIxcWcyeVlOMURBaGl0dnBLS0E?oc=5" TargetMode="External" Id="rId88"/><Relationship Type="http://schemas.openxmlformats.org/officeDocument/2006/relationships/hyperlink" Targe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 TargetMode="External" Id="rId89"/><Relationship Type="http://schemas.openxmlformats.org/officeDocument/2006/relationships/hyperlink" Targe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 TargetMode="External" Id="rId90"/><Relationship Type="http://schemas.openxmlformats.org/officeDocument/2006/relationships/hyperlink" Targe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 TargetMode="External" Id="rId91"/><Relationship Type="http://schemas.openxmlformats.org/officeDocument/2006/relationships/hyperlink" Targe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 TargetMode="External" Id="rId92"/><Relationship Type="http://schemas.openxmlformats.org/officeDocument/2006/relationships/hyperlink" Targe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 TargetMode="External" Id="rId93"/><Relationship Type="http://schemas.openxmlformats.org/officeDocument/2006/relationships/hyperlink" Target="https://news.google.com/rss/articles/CBMihwFBVV95cUxNV0xxZXdWMFNYTFdPUmNDcGdrcEE0Rzc1TnNfcEJzaDVtSGxKWUFVOUdLMThDOEJIZy11MElISFRZc0R1dk5obTd3aVhPZTRVS3ZvVFdod3phQUN4RDlEM2tLeHpoS3gxRlRBdzBfOTUyVW1iLWNiczYwRGhZemk5cWxkQ2xkQ2c?oc=5" TargetMode="External" Id="rId94"/><Relationship Type="http://schemas.openxmlformats.org/officeDocument/2006/relationships/hyperlink" Target="https://phys.org/news/2026-10-tibetan-plateau-frozen-ground-gaining.html" TargetMode="External" Id="rId95"/><Relationship Type="http://schemas.openxmlformats.org/officeDocument/2006/relationships/hyperlink" Targe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 TargetMode="External" Id="rId96"/><Relationship Type="http://schemas.openxmlformats.org/officeDocument/2006/relationships/hyperlink" Target="https://news.google.com/rss/articles/CBMiswFBVV95cUxQSU15MUxYYnZmTU1vdUJxZEFEeW5ub24zWGpkdFo4R21iZnduNjB0Sy1sSXVlbW1mQzd6Y0gydktNM2xnU1dlQ2x0UXNBNHdCVHJxMXFwMnd2bWF2blVzUG15REYwdkgwbi1DU1VoYkVtclpKX2pIRE5Xcnp0OEZDUEZDT3AwNDB6WDRjNWVTWXd4NmRNb3AtaWtzOTdUUW5vVkFqWnQ0VUVRQ3YwbHZhRmIyUQ?oc=5" TargetMode="External" Id="rId97"/><Relationship Type="http://schemas.openxmlformats.org/officeDocument/2006/relationships/hyperlink" Target="https://www.geplus.co.uk/technical-paper/technical-paper%e2%94%82steel-cased-driven-piles-in-cohesive-soils-28-10-2026/" TargetMode="External" Id="rId98"/><Relationship Type="http://schemas.openxmlformats.org/officeDocument/2006/relationships/hyperlink" Target="https://tunnellingjournal.com/autostrada-installs-new-herrenknecht-equipment-for-kyiv-metro-tbm/" TargetMode="External" Id="rId99"/><Relationship Type="http://schemas.openxmlformats.org/officeDocument/2006/relationships/hyperlink" Target="https://www.geplus.co.uk/opinion/talking-point-with-angela-hillman-unlocking-the-value-in-subsurface-data-29-10-2026/" TargetMode="External" Id="rId100"/><Relationship Type="http://schemas.openxmlformats.org/officeDocument/2006/relationships/hyperlink" Targe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 TargetMode="External" Id="rId101"/><Relationship Type="http://schemas.openxmlformats.org/officeDocument/2006/relationships/hyperlink" Targe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 TargetMode="External" Id="rId102"/><Relationship Type="http://schemas.openxmlformats.org/officeDocument/2006/relationships/hyperlink" Target="https://news.google.com/rss/articles/CBMinwFBVV95cUxNMURzUXhkQU9qSWhzS3diaWF5Vk5wUnR4Vk55eUMzWWR2aW1qaXpZamdUSHlOSWRVRFdHcE02UkMyc2tfV0pmWnFkRXFkMHNRNEJNdzBERUpOLUxncTFhb3BpcVZhWE5uU0wyRWs1WURzU3RTRmJTY01RWHhYWHQwUExJRVZRaEx6RXpJSkFoeWJsc1JjVkNobENzQkw1czA?oc=5" TargetMode="External" Id="rId103"/><Relationship Type="http://schemas.openxmlformats.org/officeDocument/2006/relationships/hyperlink" Target="https://news.google.com/rss/articles/CBMiekFVX3lxTFB0VTdiLVo5UUZfSF91bWdmSElTcHFDbVVBUFBNazdjMmtsaW5vYUtnOUN3akdGQm1KUzI5QUN2YXNIMG04SG52Z0hxZ3lqSDIwbkRkTGNhSEFyQ1dnU2JWalFORmpYLTlYTzdGS2J0czBxcHdIUDl0Y19n?oc=5" TargetMode="External" Id="rId104"/><Relationship Type="http://schemas.openxmlformats.org/officeDocument/2006/relationships/hyperlink" Target="https://news.google.com/rss/articles/CBMimgFBVV95cUxOeE5TMEtUUkk1RFpSY3ZoRDEwWkhlSlc4MGc5RlpSOGtZMWNtb2ZpQktVbmlwNlJDUHpGWUFYYmlIYThHdEs0Nk5ISkhCMWlXOUZfMG5mdmJudHVZWC1OVmlzVld3VG1fam5mMHBNazgxREQ3bzdyNk5QREtCZUVVbHZTVmowY09lTFg1MzV4M191YmFvT1VCSFFn?oc=5" TargetMode="External" Id="rId105"/><Relationship Type="http://schemas.openxmlformats.org/officeDocument/2006/relationships/hyperlink" Targe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 TargetMode="External" Id="rId106"/><Relationship Type="http://schemas.openxmlformats.org/officeDocument/2006/relationships/hyperlink" Target="https://www.geplus.co.uk/news/project-news/jones-bros-construction-milestone-at-sanquhar-ii-wind-farm-27-10-2026/" TargetMode="External" Id="rId107"/><Relationship Type="http://schemas.openxmlformats.org/officeDocument/2006/relationships/hyperlink" Target="https://news.google.com/rss/articles/CBMiXkFVX3lxTFBmV2hsZVdoU1hIS1BWTzNIRFpremRjRE9tWnpON3VjQTBJRWR1UVZFZzgwYjFPZU1RYmFmaUVLNzVzWXdUSnNXMVlrbVFUTWZTdzNGeWdMMmRuUXZsTmc?oc=5" TargetMode="External" Id="rId108"/><Relationship Type="http://schemas.openxmlformats.org/officeDocument/2006/relationships/hyperlink" Target="https://news.google.com/rss/articles/CBMipAFBVV95cUxQcVlLS0FhVm1JQTdRQVp6cG9tVEpyZ3RXeGo1WldLWXNiYS1yVXRDQ1VJN3Zha1pxV0ZzUTc2OV9pQ1BOUjUtbmpCb2dIU3E5OEU2ckJBZWU0TTJkVkM1SDhjSmNBQjNicndQTTBuVU9reHNtcXB3dG54NlN5ZEtMX0Q2R0oxSUs0NFRZeGZSM01SLTY2X0stMDhiUHQxdTVkME5JLQ?oc=5" TargetMode="External" Id="rId109"/><Relationship Type="http://schemas.openxmlformats.org/officeDocument/2006/relationships/hyperlink" Targe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110"/><Relationship Type="http://schemas.openxmlformats.org/officeDocument/2006/relationships/hyperlink" Targe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 TargetMode="External" Id="rId111"/><Relationship Type="http://schemas.openxmlformats.org/officeDocument/2006/relationships/hyperlink" Target="https://news.google.com/rss/articles/CBMiZEFVX3lxTE1CUmIydVdOaDEwMktSRzJkYk05aWxLQ3JuNW5iWUppdTgyZnJBcU9KZjhOTXoxRmpNb2lvdzluTmo5QTdycXIxX0VfNVpRT193aWw0TjlMWEhqWF9ySEpxZDhLOEw?oc=5" TargetMode="External" Id="rId112"/><Relationship Type="http://schemas.openxmlformats.org/officeDocument/2006/relationships/hyperlink" Targe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 TargetMode="External" Id="rId113"/><Relationship Type="http://schemas.openxmlformats.org/officeDocument/2006/relationships/hyperlink" Target="https://news.google.com/rss/articles/CBMiogFBVV95cUxQS0htSTlVTEs0RzN0Ri1BZVBCdFNyYy02eWJHa2hBdWxUTFZ2c1FPR1cyMm1aNTB4MFAtTEZUbEN4UnlhdGRlT3pJSThoTWlZdjlDLVJrRkRoODV4RTRQblI2U0FrdkplSTRDNDFhTU8xdjA4YzFpclZfN2FUemFIWkE1bEpRaXlSeWViTU9zU3BXWk5aWm9XNGswaXBfUWZZSHc?oc=5" TargetMode="External" Id="rId114"/><Relationship Type="http://schemas.openxmlformats.org/officeDocument/2006/relationships/hyperlink" Targe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 TargetMode="External" Id="rId115"/><Relationship Type="http://schemas.openxmlformats.org/officeDocument/2006/relationships/hyperlink" Targe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 TargetMode="External" Id="rId116"/><Relationship Type="http://schemas.openxmlformats.org/officeDocument/2006/relationships/hyperlink" Target="https://news.google.com/rss/articles/CBMihwFBVV95cUxObGszSGNGQ0dfcGR2cUx5TFZOY2hLWHBVX3h4bmZDQ08wVkJGaVdidzZQQVlwQVh4LWZQeEdHVjBMTTZFRGVfTHFfQ2QwX29oUnNXUVZ5OHV0ME5UU3JkVW1JbWtMY3lIV3VveXUzY0tQcmI5TktKUmtPTm1XZHdzWU8xUGNZWW8?oc=5" TargetMode="External" Id="rId117"/><Relationship Type="http://schemas.openxmlformats.org/officeDocument/2006/relationships/hyperlink" Target="https://news.google.com/rss/articles/CBMinwFBVV95cUxPZW1DOEVJblVuTzkzUDFyYW5ybTZlMzNTeEJNUnJmUGt3bjVKX0czQ0N0MTlsRE5nTnlzTy0ybTdIWUdrQ2RZWUM5RGdrdmZ5UGFjQWwwZzZnMmFDVTBEMkhfUHdqQ0tfbEN3WUJxZEFCTDBmNVBiWVlNTmVyU0tYcVFCTG9KYndWbld5dlBMeHIxRFhmUnk5R1NidGpjRUE?oc=5" TargetMode="External" Id="rId118"/><Relationship Type="http://schemas.openxmlformats.org/officeDocument/2006/relationships/hyperlink" Target="https://www.tunnelsandtunnelling.com/news/first-yonge-north-subway-extension-tbm-arrives/" TargetMode="External" Id="rId119"/><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120"/><Relationship Type="http://schemas.openxmlformats.org/officeDocument/2006/relationships/hyperlink" Target="https://tunnellingjournal.com/herrenknecht-tbm-completes-4-5km-panama-canal-tunnel-drive/" TargetMode="External" Id="rId121"/><Relationship Type="http://schemas.openxmlformats.org/officeDocument/2006/relationships/hyperlink" Target="https://tunnellingjournal.com/orascom-achieves-first-tbm-breakthrough-on-cairo-metro-line-4/" TargetMode="External" Id="rId122"/><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123"/><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124"/><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125"/><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126"/><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127"/><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128"/><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129"/><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130"/><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131"/><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132"/><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133"/><Relationship Type="http://schemas.openxmlformats.org/officeDocument/2006/relationships/hyperlink" Target="https://news.google.com/rss/articles/CBMiXEFVX3lxTFBlWUozdmRXR3htQzE2bXRDMk50ZjNZdUNOdXhOQVhaZmRLVkowMnNoWVRyTWNvWlMtY0NyYTFtTW5WdmFQRDcwQVVtekFXeFRld0RCN1RuanBVUUd4?oc=5" TargetMode="External" Id="rId134"/><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135"/><Relationship Type="http://schemas.openxmlformats.org/officeDocument/2006/relationships/hyperlink" Target="https://news.google.com/rss/articles/CBMiVEFVX3lxTE5KVW9FRHdOT0x1WTJvVUhhOEp3V05OQWJVZnIxcFpkZ2NLSDRlQTNfX2RicFRPOVdNMGIxQklrVkNKQjZmU0JKU0E4LWI0RkNpdnJKeA?oc=5" TargetMode="External" Id="rId136"/><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137"/><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138"/><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139"/><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140"/><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141"/><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142"/><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143"/><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144"/><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145"/><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146"/><Relationship Type="http://schemas.openxmlformats.org/officeDocument/2006/relationships/hyperlink" Target="https://news.google.com/rss/articles/CBMiUkFVX3lxTE90bTY5LUpITmh0ZjZOV01PU3NsWDRqdlpSVFIwUy1RQlA1MHR4U1h1NUMtY2RJX1A2UTFjaW5rTGg0UF91NG1wNjlpbTFFOHpGZ3c?oc=5" TargetMode="External" Id="rId147"/><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148"/><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149"/><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150"/><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151"/><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152"/><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153"/><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154"/><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155"/><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156"/><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157"/><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158"/><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159"/><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160"/><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161"/><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162"/><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163"/><Relationship Type="http://schemas.openxmlformats.org/officeDocument/2006/relationships/hyperlink" Target="https://tunnellingjournal.com/breakthrough-completes-12-18km-jinyang-highway-tunnel-in-china/" TargetMode="External" Id="rId164"/><Relationship Type="http://schemas.openxmlformats.org/officeDocument/2006/relationships/hyperlink" Target="https://www.tunnelsandtunnelling.com/news/tunnelling-set-to-start-on-bucharest-metro-north-section/" TargetMode="External" Id="rId165"/><Relationship Type="http://schemas.openxmlformats.org/officeDocument/2006/relationships/hyperlink" Target="https://www.tunnelsandtunnelling.com/news/three-tbms-now-tunnelling-on-srl/" TargetMode="External" Id="rId166"/><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167"/><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168"/><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169"/><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170"/><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171"/><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172"/><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173"/><Relationship Type="http://schemas.openxmlformats.org/officeDocument/2006/relationships/hyperlink" Target="https://www.tunnelsandtunnelling.com/news/breakthrough-made-on-lima-metros-line-4/" TargetMode="External" Id="rId174"/><Relationship Type="http://schemas.openxmlformats.org/officeDocument/2006/relationships/hyperlink" Target="https://www.tunnelsandtunnelling.com/news/ohio-river-tunnel-project-breaks-ground/" TargetMode="External" Id="rId175"/><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176"/><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177"/><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178"/><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179"/><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180"/><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181"/><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182"/><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183"/><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184"/><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185"/><Relationship Type="http://schemas.openxmlformats.org/officeDocument/2006/relationships/hyperlink" Target="https://globalhighways.com/new-high-speed-rail-viaduct-for-the-uk/" TargetMode="External" Id="rId186"/><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187"/><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188"/><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189"/><Relationship Type="http://schemas.openxmlformats.org/officeDocument/2006/relationships/hyperlink" Target="https://news.google.com/rss/articles/CBMiUEFVX3lxTE5RM0RVWHhhUFhCVEhXclY3YWpCOVF4R1FwejczdjdMcE5ic19hRDBuaGFDWnpzcmhvUE5nYjUyRkYwXy1YSndqNEhOWWswMHJX?oc=5" TargetMode="External" Id="rId190"/><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191"/><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192"/><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193"/><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194"/><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195"/><Relationship Type="http://schemas.openxmlformats.org/officeDocument/2006/relationships/hyperlink" Target="https://tunnellingjournal.com/united-utilities-seeks-design-partner-for-3-7bn-windermere-scheme/" TargetMode="External" Id="rId196"/><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197"/><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198"/><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199"/><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200"/><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201"/><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202"/><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203"/><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204"/><Relationship Type="http://schemas.openxmlformats.org/officeDocument/2006/relationships/hyperlink" Target="https://news.google.com/rss/articles/CBMiUEFVX3lxTE9sUlNwdEcwMURBRkNDb3dEd0NfVFIzaG9RTUMtYkQ0dnNpT3ByQjFVWFJPYkhjWDNqOFlXNkVrOFk3VzB6NHB1MGtjU1Bfa0d6?oc=5" TargetMode="External" Id="rId205"/><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206"/><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207"/><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208"/><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209"/><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210"/><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211"/><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212"/><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13"/><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214"/><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215"/><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216"/><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217"/><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218"/><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219"/><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220"/><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221"/><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222"/><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223"/><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224"/><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225"/><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226"/><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227"/><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228"/><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229"/><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230"/><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231"/><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232"/><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233"/><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234"/><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235"/><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236"/><Relationship Type="http://schemas.openxmlformats.org/officeDocument/2006/relationships/hyperlink" Target="https://news.google.com/rss/articles/CBMiWEFVX3lxTE40bjhiX3RGaTgxc0h6UU1ENDdRSGFlNkRMOTdvakVpalctY3B2bW4wYjNNcno2UHNrNVItVmJGZHB4aTdOX1ljNjNJUnJVbk5DV1ltRl8tN3o?oc=5" TargetMode="External" Id="rId237"/><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238"/><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239"/><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240"/><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241"/><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242"/><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243"/><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244"/><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245"/><Relationship Type="http://schemas.openxmlformats.org/officeDocument/2006/relationships/hyperlink" Target="https://news.google.com/rss/articles/CBMiR0FVX3lxTE94OUJCMW4zNWdhYkRhdHNyanpLUDRXZ0gtZERXYjNCdnM0X3Z0WnV3QlVaX09kem5CMko5Vy0wamJTUnZkWjRB?oc=5" TargetMode="External" Id="rId246"/><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247"/><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248"/><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49"/><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250"/><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251"/><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52"/><Relationship Type="http://schemas.openxmlformats.org/officeDocument/2006/relationships/hyperlink" Target="https://news.google.com/rss/articles/CBMiTkFVX3lxTE1uZEw5RnB3UEJsWjd6MFZFRXhhUkV0d0QwMURpMVNQVjhUR3BIdHNrRWZ4OFFJWS12Z3JIcEthQkFhOU9WeC1fVHdiM3hLQQ?oc=5" TargetMode="External" Id="rId253"/><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254"/><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255"/><Relationship Type="http://schemas.openxmlformats.org/officeDocument/2006/relationships/hyperlink" Target="https://news.google.com/rss/articles/CBMiWEFVX3lxTFBTQ25tOTZGZzZsUWdHamNXa3hxMGdGTG8ySno0dWhQSzl1SnVtZHBuSUtrM3d3VTJPekZvbFZXRDY0TWhFZ1NDWDllM3RSeDI5SUZkRWZtQzU?oc=5" TargetMode="External" Id="rId256"/><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257"/><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258"/><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259"/><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260"/><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26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26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263"/><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264"/><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265"/><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266"/><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67"/><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68"/><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69"/><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70"/><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71"/><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72"/><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73"/><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4"/><Relationship Type="http://schemas.openxmlformats.org/officeDocument/2006/relationships/hyperlink" Target="https://news.google.com/rss/articles/CBMiQEFVX3lxTE5xNDZoRUVLVUFyUVB6d3duejJIdUpLZjlKZ21qRXJtLWsycEZCU2RuWWtvblNOVHFJc1JpSW1HMkk?oc=5" TargetMode="External" Id="rId275"/><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76"/><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277"/><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278"/><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279"/><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8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281"/><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282"/><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283"/><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284"/><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285"/><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286"/><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287"/><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2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2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29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29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292"/><Relationship Type="http://schemas.openxmlformats.org/officeDocument/2006/relationships/hyperlink" Target="https://news.google.com/rss/articles/CBMiWEFVX3lxTE43cWdqNnRTM1lrNU1sbElSd09YdDFzdGJhdFBFdldKb3V6R2taUV9IbUtjM3ZUUm5jNkU0QnJvcGdMTUVfR3k4UVNGeTRER2oycE1fZEFGeXE?oc=5" TargetMode="External" Id="rId29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294"/><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95"/><Relationship Type="http://schemas.openxmlformats.org/officeDocument/2006/relationships/hyperlink" Target="https://www.geplus.co.uk/key-topics/sustainability/floating-wind-needs-grounded-solutions-23-10-2026/" TargetMode="External" Id="rId296"/><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97"/><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98"/><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99"/><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300"/><Relationship Type="http://schemas.openxmlformats.org/officeDocument/2006/relationships/hyperlink" Target="https://www.geplus.co.uk/news/project-news/m4-landslip-work-begins-as-part-of-wider-repair-programme-23-10-2026/" TargetMode="External" Id="rId30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30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0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0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30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30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30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08"/><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309"/><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310"/><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31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31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31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31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31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31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31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31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319"/><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320"/><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321"/><Relationship Type="http://schemas.openxmlformats.org/officeDocument/2006/relationships/hyperlink" Target="https://news.google.com/rss/articles/CBMiUkFVX3lxTFBBaDhzbmpCUVV6Y1lGN3hyYllJRGRHNkUta1M3SVpkamJ5MGktVWZHdDJqLWloWW40SmVzTldUSWc0UXliVXJOVWR2VmJoWUtGc0E?oc=5" TargetMode="External" Id="rId322"/><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323"/><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32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325"/><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26"/><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327"/><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32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32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3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3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32"/><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333"/><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33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33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33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337"/><Relationship Type="http://schemas.openxmlformats.org/officeDocument/2006/relationships/hyperlink" Target="https://www.tunnelsandtunnelling.com/news/snowy-2-0-cost-and-completion-date-revised/" TargetMode="External" Id="rId338"/><Relationship Type="http://schemas.openxmlformats.org/officeDocument/2006/relationships/hyperlink" Target="https://tunnellingjournal.com/mobile-shield-deployed-for-a14-vinci-tunnel-reconstruction/" TargetMode="External" Id="rId339"/><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340"/><Relationship Type="http://schemas.openxmlformats.org/officeDocument/2006/relationships/hyperlink" Target="https://www.tunnelsandtunnelling.com/news/abergeldie-awarded-patent-for-underground-hydrogen-storage-solution/" TargetMode="External" Id="rId341"/><Relationship Type="http://schemas.openxmlformats.org/officeDocument/2006/relationships/hyperlink" Target="https://tunnellingjournal.com/snowy-2-0-cost-rises-to-a22-2bn-as-tunnelling-reaches-65-completion/" TargetMode="External" Id="rId342"/><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343"/><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344"/><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345"/><Relationship Type="http://schemas.openxmlformats.org/officeDocument/2006/relationships/hyperlink" Target="https://news.google.com/rss/articles/CBMiREFVX3lxTE9KcGh5bWlxWEhKT3FXdU5qVjNOd3c3clQ1bGw1YWFmaHljV0U3ckZYcndLVTgtakJFSHZZQ3ViYXg2QnV4?oc=5" TargetMode="External" Id="rId34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34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34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34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350"/><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351"/><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52"/><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353"/><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354"/><Relationship Type="http://schemas.openxmlformats.org/officeDocument/2006/relationships/table" Target="/xl/tables/table1.xml" Id="rId355"/></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tunnellingjournal.com/borumba-exploratory-tunnelling-procurement-suspended/" TargetMode="External" Id="rId2"/><Relationship Type="http://schemas.openxmlformats.org/officeDocument/2006/relationships/hyperlink" Target="https://news.google.com/rss/articles/CBMia0FVX3lxTE9Ja0o2M0xiZ19peGdDTW85OHgwWE5mSlFUbmVMWkdRbWI4SHJZRkpfUEpuR3pnMXBxMjU2VmNpb2RkYXJkRnJGenZibkNULTRNSnNNd2l1bXgxTzRVVjVMQnM5Unh2dVRUbDBB?oc=5" TargetMode="External" Id="rId3"/><Relationship Type="http://schemas.openxmlformats.org/officeDocument/2006/relationships/hyperlink" Target="https://www.tunnelsandtunnelling.com/news/snowy-2-0-cost-and-completion-date-revised/" TargetMode="External" Id="rId4"/><Relationship Type="http://schemas.openxmlformats.org/officeDocument/2006/relationships/hyperlink" Target="https://www.geplus.co.uk/news/project-news/jones-bros-construction-milestone-at-sanquhar-ii-wind-farm-27-10-2026/" TargetMode="External" Id="rId5"/><Relationship Type="http://schemas.openxmlformats.org/officeDocument/2006/relationships/hyperlink" Target="https://www.tunnelsandtunnelling.com/news/abergeldie-awarded-patent-for-underground-hydrogen-storage-solution/" TargetMode="External" Id="rId6"/><Relationship Type="http://schemas.openxmlformats.org/officeDocument/2006/relationships/hyperlink" Target="https://tunnellingjournal.com/snowy-2-0-cost-rises-to-a22-2bn-as-tunnelling-reaches-65-completion/" TargetMode="External" Id="rId7"/><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8"/><Relationship Type="http://schemas.openxmlformats.org/officeDocument/2006/relationships/hyperlink" Target="https://phys.org/news/2026-10-machine-safer-cities.html" TargetMode="External" Id="rId9"/><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0"/><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11"/><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12"/><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13"/><Relationship Type="http://schemas.openxmlformats.org/officeDocument/2006/relationships/hyperlink" Target="https://www.geplus.co.uk/opinion/talking-point-with-angela-hillman-unlocking-the-value-in-subsurface-data-29-10-2026/" TargetMode="External" Id="rId14"/><Relationship Type="http://schemas.openxmlformats.org/officeDocument/2006/relationships/hyperlink" Target="https://news.google.com/rss/articles/CBMiwAFBVV95cUxQd1J2MVdFWTkwRkNNdkZISlVLSFpqVV8zN0c5OXN0aGY1Yy1Fa1BQekNUWVMwaUJlb2dxNmV0blgzYlNibF84cXJLQ1lqNV9Cd2c3TlI1eDJicmtDR1o0bTdaLURlX1RxR1JDVFpuMk5pQU9rM1pOWWJobEpITk9XTU1OMV84aElPX3dYeEUxOW5YblE5SmczRm5tLTNLZjBWVTFDQ0JpVzFkVU12THA1d2tYTUk2YkZwOUVwX0NvaXE?oc=5" TargetMode="External" Id="rId15"/><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16"/><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17"/><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18"/><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19"/><Relationship Type="http://schemas.openxmlformats.org/officeDocument/2006/relationships/hyperlink" Target="https://news.google.com/rss/articles/CBMiUEFVX3lxTE9sUlNwdEcwMURBRkNDb3dEd0NfVFIzaG9RTUMtYkQ0dnNpT3ByQjFVWFJPYkhjWDNqOFlXNkVrOFk3VzB6NHB1MGtjU1Bfa0d6?oc=5" TargetMode="External" Id="rId20"/><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21"/><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22"/><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23"/><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4"/><Relationship Type="http://schemas.openxmlformats.org/officeDocument/2006/relationships/hyperlink" Target="https://news.google.com/rss/articles/CBMi9gFBVV95cUxOSzRpVktuZnpnTFl6d1E0aWZYNXFtLXFPYThESXpRWTJ3b3pDOEEyT2NWb0dXeHZ0dGZmZ0NIbjhqWE1jeG5GeFZqN3Vza29zQ2NoQnlEQnN6QVdlbzlPdnBMdGJOTlUwY0huZWlrbWlCWFRjQ3RKQW5JR0Ryc21lYWxDZExNWnRBWTFlcWY3N2ZCMUpVRGFMX3V4ZGdDRGhhd3I0RHFuR2FLSXFpLWQ1UjYyaGJlT3VfcUlocjJjc0twMVpkTFp3M1dtUE5UUFZNcmY1djVWN19CT3ZWVnF6X1hIaTdzYzRxZ0x3MUVwLVQwZ2w5NkHSAfsBQVVfeXFMTjFxTlBDenl3anU3c3lDYkwwQjNESTJYTjQtSWlpbmdYdXZlT0xucTU3ODlWZVE4cW5sQ3lXa1RsZDAxTEZVU1pIbUNOemMzNHFhTTZ3RUtYNGVTNzF2Vl9UTlNHZ0t2d29JZUtZcUdTUHlmejBfSlQ2RTh0aTJ6YjB5RVVoZFdUY0xpd011MVJFQVZkRkZVNUxMalhhbjljWXAxTkRIMV8tRncxVG45aU5YNXpOak1QanhJLXVta1Y3cEhsNy1MTklYOXJ4RFd3VHBCRldJZEwzSW9TTmJnOGtZN3JsYkY1UEJCQnR3cVhpZ0hPdnhwaTJpYWc?oc=5" TargetMode="External" Id="rId25"/><Relationship Type="http://schemas.openxmlformats.org/officeDocument/2006/relationships/hyperlink" Target="https://news.google.com/rss/articles/CBMimAJBVV95cUxOb0szY3FfMXFHemQ5NVlWOG8tWDdfWXlfTHZlU3VwUF9aSjVyNzV6LTd4cnRJUFJSTHhrRXhRMi1YbUg3QXJWSkpseGJ1dElRbGdtUENZdXotSFV4UDdRTkFQcjdYOEFSc2xNNFo2cWhFLVBCSkI2TUlzY3JZWUNXc1Fva3NOWDc5RHBUOTFUQUFaQ3Q5WTVlSTlfRDdhTTlENXNOQWM0LVhUNUxKQzdvNm5uY2NKbDVhNFZOUExXcHJveG5VVHc2ZjZKSTAxTEZ2OHhxQmo0WmlJUTJnNGJ0eEhYQWFrYm92YjRhVEdOY2hsT20yLXllRUhVUkhvSUdVUXBqMjZSeUJYckJCZ3BxMDFOVUlVTF9S?oc=5" TargetMode="External" Id="rId26"/><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2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2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29"/><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30"/><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31"/><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32"/><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33"/><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34"/><Relationship Type="http://schemas.openxmlformats.org/officeDocument/2006/relationships/hyperlink" Target="https://www.geplus.co.uk/news/project-news/m4-landslip-work-begins-as-part-of-wider-repair-programme-23-10-2026/" TargetMode="External" Id="rId35"/><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36"/><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7"/><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38"/><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9"/><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40"/><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41"/><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42"/><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43"/><Relationship Type="http://schemas.openxmlformats.org/officeDocument/2006/relationships/hyperlink" Target="https://news.google.com/rss/articles/CBMiRkFVX3lxTE1yOEM5X19qcGxJa0VLVml2ZHpDNmxEdmtLcHZwY2ZJMTFUbFZ3MjFLa0sxTTNnMmxIREJ5WTJMallsaE5qRUE?oc=5" TargetMode="External" Id="rId44"/><Relationship Type="http://schemas.openxmlformats.org/officeDocument/2006/relationships/hyperlink" Target="https://news.google.com/rss/articles/CBMiywFBVV95cUxOU25xVUxHQXRlS011cUdhNmtiWVlHT3V1UE9qZWtERTkxQkUtblpWTGtzYTgtSjY3NnFTdEE4NmlyVXVyeVFIeml5QkZvdG5kSHB6TzI5Z2prTk9MTlAtU2xkcTNjZmRvOUVVTERicy1KQ2NZWTFZWjdsUmtPSzR4MTUtYVZYVEZrbWNRbk5PamFYTjlEbUxjXzlERWZ5ZE5PZzVpdEplVDhyNENLckxUZTRGWlh3c3Axb0F5YlhYeWpsdzFVWGNhSF9wb9IB0AFBVV95cUxOZ0FlU2x4VFhfbHFJUWJpc3R0S0k4WVZaNGNfaWhvMi1HU1pjZUl1c01wenp3NWhCR1d6cWJfeEhFOWNmeUJlTGZ1TW5Ba2JSRXRQcFpQU3V2OEFaQ1dQLUNoWmlaMTdpSW9OdUdZejFQeFc5TloyNFQ3NTlOd1JFcUVlRGlYUndvaVRPMXNLZ2laZ2w1NXkyRGJNN0VlZnFGT2N5eFhZaHp6MjFqTUZuZG50RkJOR1VfclJBa0FJSWpUcDJDOTJQcWlnVEsxUUJz?oc=5" TargetMode="External" Id="rId45"/><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46"/><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47"/><Relationship Type="http://schemas.openxmlformats.org/officeDocument/2006/relationships/hyperlink" Target="https://news.google.com/rss/articles/CBMiTkFVX3lxTE1uZEw5RnB3UEJsWjd6MFZFRXhhUkV0d0QwMURpMVNQVjhUR3BIdHNrRWZ4OFFJWS12Z3JIcEthQkFhOU9WeC1fVHdiM3hLQQ?oc=5" TargetMode="External" Id="rId48"/><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49"/><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50"/><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51"/><Relationship Type="http://schemas.openxmlformats.org/officeDocument/2006/relationships/hyperlink" Target="https://news.google.com/rss/articles/CBMitAFBVV95cUxNV2FYNW84QjMwVmFPZTJaaDA0bHdlaWw3bFdaWUMzYkFGRzcwc0oxcnVzcFgxRkdmazdkRnJwR19KcVhubHhBWHpSbmFuVnVDdkZkcFpGb19hQXpaa3ZHWDlQOERIbFZ5dnZ0aHR1WTFYdG1ubUZKbFByZzBNVGYwYk8yclN1d004R19JWEwwMXN5UV9OS0t2VTZPMzlhc1QwTk1vajZVbFBWbXJ2aXQ2Ykt4djY?oc=5" TargetMode="External" Id="rId52"/><Relationship Type="http://schemas.openxmlformats.org/officeDocument/2006/relationships/hyperlink" Target="https://news.google.com/rss/articles/CBMidEFVX3lxTFBTeURGR3lYallhZzlGM0l1cmxzWUlvRkRMZnNZQVUwUW5LN2l4S0F6bmVHeVJGWDgyX3JDcG54anVoUWlUUkhOc01oSDZrV3lDbTJRRXdnT294czIyX3B1MlRyal9ZVFRqb0RiaTRPZUVHX3RZ?oc=5" TargetMode="External" Id="rId53"/><Relationship Type="http://schemas.openxmlformats.org/officeDocument/2006/relationships/hyperlink" Targe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 TargetMode="External" Id="rId54"/><Relationship Type="http://schemas.openxmlformats.org/officeDocument/2006/relationships/hyperlink" Target="https://news.google.com/rss/articles/CBMiW0FVX3lxTE9ydldBZWdDdE1qZ3VhclN1Q2E0c3JGdmZJSmU1REwtTzV2RVlQNGFONFFUbVlMUlFCUlh1SlM5NGlfdmNQYUdQSkg1T0dIZ3BtSXIxYmtzMUg3Z2c?oc=5" TargetMode="External" Id="rId55"/><Relationship Type="http://schemas.openxmlformats.org/officeDocument/2006/relationships/hyperlink" Target="https://news.google.com/rss/articles/CBMia0FVX3lxTFByd191ekQ3ZFIyQTR2aVNwVGFBWTNjb3dZLW1RaVZPeGRXU0paUG80a2VIbzhLYm9oZUphOHQ1LU45T2Y1WGNSMV80MDNsczFzTkdKTmxBMGNXUFRQdXptZkxyeUxLRGNRZ2VV?oc=5" TargetMode="External" Id="rId56"/><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57"/><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58"/><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59"/><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60"/><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61"/><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62"/><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6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6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68"/><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69"/><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70"/><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71"/><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72"/><Relationship Type="http://schemas.openxmlformats.org/officeDocument/2006/relationships/hyperlink" Target="https://news.google.com/rss/articles/CBMiugFBVV95cUxPdmtPZkJqTlo1bUVFWVZzMEhjbnAwemhmWVJpTmNxU2xhZHltSXJjU2ZMN3NSeE80dFkxb3hRZzVaNnBTSllTd3M2dksxeF9kdDFYbHlLQ3FzeHdzYUgxQ3ZKeGozcGxzR0RRTjRUTUVaV0hNd2hVMElfWmtPQ1BNSzhnOGtBVWlteU13TkhfTWF1UEowNjFpNXJuOVZUSE5BRGYzU2lSS2pDZUJYVEQxT3ZLVFVhSG9JLUE?oc=5" TargetMode="External" Id="rId73"/><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74"/><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75"/><Relationship Type="http://schemas.openxmlformats.org/officeDocument/2006/relationships/hyperlink" Target="https://news.google.com/rss/articles/CBMiWEFVX3lxTFBTQ25tOTZGZzZsUWdHamNXa3hxMGdGTG8ySno0dWhQSzl1SnVtZHBuSUtrM3d3VTJPekZvbFZXRDY0TWhFZ1NDWDllM3RSeDI5SUZkRWZtQzU?oc=5" TargetMode="External" Id="rId76"/><Relationship Type="http://schemas.openxmlformats.org/officeDocument/2006/relationships/hyperlink" Target="https://news.google.com/rss/articles/CBMi0gFBVV95cUxQZHd0aDBuR1d3UGdJQm92eVVMbGY0Q1EyUzExSnhwMVFIbktsekpqb2Y0cXVjNVRmWFFJVmlWeXUxdm13bjFIUnRRdkJJQ2prdTFtaXZQUjhXY05XOFp4TjFNNDBVQlFSaHdXRU4zSDY1eGpfallobGRrRURqOW43cGZXWDBuY0JNaEdjdDZFcUdIVWhoUUlwLUJ2bjZpUlBmc0VNTnpodFVyaWZoUWVPVDlzeXlmNklWdGVjRThoSnktZUpIZmdFeHZEVkJ4SnJwSHfSAeYBQVVfeXFMTzluMUFqeGFiREVqUGw2MFo2Q2VIcFlfTmFmLUdhM1VFeXRlcmFieDRJLS00QWw5TWFIZzVDZkdaSTlCNHRtRGRtMlNsRXQ1Ym1hOVA3a0NGZEg2ZzNfUGxSNVh1TG5NRS1mOXYxS3h3WjVHRlJyMlVtREdZWE1reVhObDlTVVlVSm91UWpyaUNlNEUwREIwb2M4NE16d3Q0UjNZZEVDUUF6cmVpU29EUThiM1oyRTdkYkMweW8tTFBIN1JJV3VNSjVYbWxnZkdQWlFTeWlOVGtwaE9pLVE5dTBOdGdhenc?oc=5" TargetMode="External" Id="rId77"/><Relationship Type="http://schemas.openxmlformats.org/officeDocument/2006/relationships/hyperlink" Target="https://news.google.com/rss/articles/CBMiygFBVV95cUxORTJtYTJ5SktwbXFqX1k1VEhwMEZXZ0JDQUxhdmotb2ZZLXN0RVVtUTd0VW8zMmRyMDBIazVZNmkzaDZYRWRaN2R5M29EcFNMbHJKaFktWHgyY0xQUjRMWVNGWS1oT3BrUjdXcGtKaWVLTFpCeVEtdS13QWd4anNlWldyV2ZqSmYzZjJ2VExTcjdlY2xGaG5PQ1JyQnhHelRzdFhFUG5JQmVRNlVONUVQVHpLN1lzbXFHeERiYXhmbUV1emgtTzB3eHlR0gHPAUFVX3lxTFBUcDQtLTRmbTZ3YnVZa1p0YUxZR3Z0cmRjVS1abHgwb2k5UmxWRmxoOFl3YUNnNHYxWF90bW9wWE9FQ19qaHJqXzY1T0tuWDBpUGlhOEtjenlvWTExWUxiQXZSTG1mLXEtRFUweEFtWmF3dDA0Q3lULXViWGFlc210MG1KbTZaZ1p4TWVDT1NYdDlUSlJKc04zeDZjQmstc1EwR3EzWi1ISE1pajRNblBSM3JnOHVHY0QzT0pQRVNxMW9VaEc0SEQwNXhfVWdUTQ?oc=5" TargetMode="External" Id="rId78"/><Relationship Type="http://schemas.openxmlformats.org/officeDocument/2006/relationships/hyperlink" Target="https://news.google.com/rss/articles/CBMirAFBVV95cUxQQ0I1MVNOQUo3dmZiTlBLNDdrbkFmbVF4TFoya1VhVXpSWGxrX1VKdm84aGhKVjNQbExrNTI4VW5BZEJrWmpqUGFfVjBWRzY1c3d6dWVvNFZwdHp1S3JxNWRmTlNmTC1sMWpBSEY1ak0zM2d4ckpORkVPY0V5Q09vOWNKcUFLTlJaZkt0NW5fZjBjbGJfWmtGNVk4cDNlekFkRmRrTkFYUGpiZ1pL?oc=5" TargetMode="External" Id="rId79"/><Relationship Type="http://schemas.openxmlformats.org/officeDocument/2006/relationships/hyperlink" Target="https://news.google.com/rss/articles/CBMilgFBVV95cUxQOE80WmRSelZkZnRtSERaSkRlMkctUEI1WU8wdzV2Zm43WU9HMURUcjNEQWNHTk5SdWt0SEtkcmhKOElhYmxrWTZCS1JUNWFWdlRDUWJRTkM2RUFLRkFUNFBaQlFlU3BFZGpLWEQzaDEtTUZTOFFia0h2YUp0VS14VzM1dUtIaUNBWFNBYThGdG9acGtYcGc?oc=5" TargetMode="External" Id="rId80"/><Relationship Type="http://schemas.openxmlformats.org/officeDocument/2006/relationships/hyperlink" Target="https://news.google.com/rss/articles/CBMinwJBVV95cUxNVGJvVnFHMnJxRS1YdU9BbS1sWHI4QVZ3YXhtQ2dSOFM2bERkRHd3WG1TYU94MFdxOThNTjVJVVNDWW0tVUtwUGdsUEc5M2xPQld4SjVNYXpPT3NjV28tRkRCSHVkaWdGRk85UGlxNWJEem8td2FIMEFRNjRUV3NRaFgtVUY1RzQ5SmxZdFVvb0l5ZGRBQkpWMUo2MGVIZ1RPdEJFM3ZEV3VlUTJNd3otWjNrZHlMdHJTVFR4VlcyRlllbXFOdFJ6aDN5cW0xMXdUN2hhc3hSYTZFanJpV3hzSnI1Y1lfLVVJb3gtSjR2ZG5JbUh2MVVoc3NpTFloT0JWeVp5RE83QWxscWJ0YlIwZE5SYjA2WjhpMUM2TUdCOA?oc=5" TargetMode="External" Id="rId81"/><Relationship Type="http://schemas.openxmlformats.org/officeDocument/2006/relationships/hyperlink" Target="https://news.google.com/rss/articles/CBMiwgFBVV95cUxQTkNERURlNHBha3oxaTk5a1NFMnVrcmZFVnVhbHhWNTV3UDFTVUlJbXFYR1RON0ExMUhyZ3dxbVRrekxlMjlIekZONlRTc0xfMk5iRC1DdEtIODlDemdwX3FVazJSNGp5cmEzTjI0TnE3WW91OFZWc2xfaGRiVkVjUkJaQzl1dnJtYjBzZ2s4c1NKUU0wYlFmbC1GektqcjFzR2VqdHVHa1Z2TGIzXzdOV0ZrOFlQUW1fNG9xOUZPTlpDQdIBtwFBVV95cUxPRDRRWlYzdTQwdjlPNXVGajFxanp6eF9SNU5IRkZxVjhLcnR3Z1M1X25aaUh6SVlsUm5Bd1NjRE1ScmR0YndSeDNySTZGWTdUbk12WUVQMVpUdmd2Rm9RQkxzc2I1Z0gtNTBUUXZUOEs3MDI2QWFSbUZVazdDcllvRHM2V2NFdXhLNjZtdXBMZjdVZlNyeXp4SFFKSXd6aHhjd1J5dlFfSTRIaDZyNXdxZTAwNGRKTHc?oc=5" TargetMode="External" Id="rId82"/><Relationship Type="http://schemas.openxmlformats.org/officeDocument/2006/relationships/hyperlink" Target="https://news.google.com/rss/articles/CBMifkFVX3lxTFBlakVoRU1IR0VrZzQxWTBiRWlRMHh3OFRqcFE5Y2VhMUdGamNadEQ2WjU5Sk5hNk5XbHN0YUNqcFVRUU9SVlNjak9uWFlEU3lnUnBxM1d3QWJ5R1RYbUxvazNmU1hQQTNtYjlTYU83d1drZzM1SzNkb1BtSThTdw?oc=5" TargetMode="External" Id="rId83"/><Relationship Type="http://schemas.openxmlformats.org/officeDocument/2006/relationships/hyperlink" Target="https://news.google.com/rss/articles/CBMihwFBVV95cUxNcHdyWk5uYU92Zm5qM0I4b2hpek5HdDFncVBvN28xZ3lBRjVhU05FUFk0US1DcjN3ekxzdW1GYi1iTElKMmEtMnl3bTJhNTBHTWg3YVZ5dFFqUDVDY0VZelA3OVN2X1VJQ1ViRWhXME0wWWtiMUs4eDV3MS1uUGNKWjZ4M21FYTg?oc=5" TargetMode="External" Id="rId84"/><Relationship Type="http://schemas.openxmlformats.org/officeDocument/2006/relationships/hyperlink" Target="https://news.google.com/rss/articles/CBMipwFBVV95cUxNc1dyMVdCZ1ZqNG1FcVdvMTRUMWtjb3YweENXZTZZVTZIMG1iMG81RXZ4VEp6S0t6bENiaGQ3ZG1FTS15QkdHaHpKTnRiMFNMV0xKNGZ3T18wN1doMlo0dmw4cTFjLXhpb1k0VjZWdW01S3BzQlc0cEUzUUM3UHllVGtEa1Y2NUxXZndNTkFib2IwXzU1M0FDOEFiRVMwNl9QSDZuRWFWSdIBpwFBVV95cUxNc1dyMVdCZ1ZqNG1FcVdvMTRUMWtjb3YweENXZTZZVTZIMG1iMG81RXZ4VEp6S0t6bENiaGQ3ZG1FTS15QkdHaHpKTnRiMFNMV0xKNGZ3T18wN1doMlo0dmw4cTFjLXhpb1k0VjZWdW01S3BzQlc0cEUzUUM3UHllVGtEa1Y2NUxXZndNTkFib2IwXzU1M0FDOEFiRVMwNl9QSDZuRWFWSQ?oc=5" TargetMode="External" Id="rId85"/><Relationship Type="http://schemas.openxmlformats.org/officeDocument/2006/relationships/hyperlink" Target="https://news.google.com/rss/articles/CBMihwFBVV95cUxOZHRNaWVsOHcxNWVqM3JzRWhwWjh1dVhGc1JWRFhnYjNZVllSUXo3R2VqRnotNjdlLXJ5RkFBeF9mQU03c3laelB4OVNBRkp0TEpVek82MHgyQ0N1M254X1laNXoyTDdhSDlxZGp2dHZyZU1pOHIxcWcyeVlOMURBaGl0dnBLS0E?oc=5" TargetMode="External" Id="rId86"/><Relationship Type="http://schemas.openxmlformats.org/officeDocument/2006/relationships/hyperlink" Targe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 TargetMode="External" Id="rId87"/><Relationship Type="http://schemas.openxmlformats.org/officeDocument/2006/relationships/hyperlink" Targe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 TargetMode="External" Id="rId88"/><Relationship Type="http://schemas.openxmlformats.org/officeDocument/2006/relationships/hyperlink" Targe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 TargetMode="External" Id="rId89"/><Relationship Type="http://schemas.openxmlformats.org/officeDocument/2006/relationships/hyperlink" Targe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 TargetMode="External" Id="rId90"/><Relationship Type="http://schemas.openxmlformats.org/officeDocument/2006/relationships/hyperlink" Targe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 TargetMode="External" Id="rId91"/><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92"/><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93"/><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94"/><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95"/><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96"/><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97"/><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98"/><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99"/><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100"/><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101"/><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102"/><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103"/><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104"/><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105"/><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10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0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0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0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11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11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11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11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11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11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11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117"/><Relationship Type="http://schemas.openxmlformats.org/officeDocument/2006/relationships/hyperlink" Target="https://news.google.com/rss/articles/CBMi7AFBVV95cUxObEtTMk1DOWpXM2JJQUFYTE45bF9IRXVuMDc1OXB4cDdKM0FWU3pIX2NxaFlRWk5RS0lVajZmUGF3djVsZW45TGY0d1hFSTVDRTEwVkR0ZGNTaXVuNFZJTkJaV3NuWkdaT3hRVjNfZ09waTJBMTFsRFBTWmVmc2JiT0tGSGF1bzRmNHdKRGU2T0owVDRBa3g0TDRiNVJIbFZzYjBIV3AyM3NZbWNvX3J1MlBNc2cxLW8wQkZJLUtYSUctOXVSRGl4R3B0REZaOWttbzRmSElVYVYwSmZfN0dFMWVTN0tVbUNjS053dg?oc=5" TargetMode="External" Id="rId118"/><Relationship Type="http://schemas.openxmlformats.org/officeDocument/2006/relationships/hyperlink" Target="https://phys.org/news/2026-10-tibetan-plateau-frozen-ground-gaining.html" TargetMode="External" Id="rId119"/><Relationship Type="http://schemas.openxmlformats.org/officeDocument/2006/relationships/hyperlink" Target="https://news.google.com/rss/articles/CBMib0FVX3lxTE9HQTdiSnRKMzZmMUo2a29KOGN6bHNWXzQyNmtDV3o2RWtHRU1nX3RDdXdSV2YyODBQaFZLbnpJbzV5ZUplVTZrdDFPanRaaXV4UmJLUDlSX3IxX1BSWlQ4c0RIa3NnMHptbFdXajFKdw?oc=5" TargetMode="External" Id="rId120"/><Relationship Type="http://schemas.openxmlformats.org/officeDocument/2006/relationships/hyperlink" Target="https://news.google.com/rss/articles/CBMiswFBVV95cUxQSU15MUxYYnZmTU1vdUJxZEFEeW5ub24zWGpkdFo4R21iZnduNjB0Sy1sSXVlbW1mQzd6Y0gydktNM2xnU1dlQ2x0UXNBNHdCVHJxMXFwMnd2bWF2blVzUG15REYwdkgwbi1DU1VoYkVtclpKX2pIRE5Xcnp0OEZDUEZDT3AwNDB6WDRjNWVTWXd4NmRNb3AtaWtzOTdUUW5vVkFqWnQ0VUVRQ3YwbHZhRmIyUQ?oc=5" TargetMode="External" Id="rId121"/><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122"/><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123"/><Relationship Type="http://schemas.openxmlformats.org/officeDocument/2006/relationships/hyperlink" Target="https://news.google.com/rss/articles/CBMixwFBVV95cUxNV2lzR0w2TGNZNjlVUmhmMUU1YUREdTBLejJZY0tMb09kaE9oeGpSazJPYWhiSUtzNDN0SnVQbXo2TkRGNWVnVjVoOS1ISFZ6dk9GUF9jTTN3TE1jLVVjZ3ZBSXh5TVFBcUxraHQ2aHpkbkRUYW90QUUwOEdfeWI4YXFTNXloQlkxdThtR0ZvS05PVTEyZDJyd2pLN2dWalVMaGVpTklZY3NGWC1id1FkYS1tbDlHUGZLS1NDSjRrTjRtaFg4aVFr0gHMAUFVX3lxTE1oMDN4dEdYSmNVSHhvUGJFNElQSWZoNzlqT2Y4RGR2LXZJWmF1VnVUaldYbzBPVURmTnF1M0NYSDd3clpLb0FpUkJtb0ozX0tEeUN2dHVPWFoxQ3BtZ0U3T1BiVmZ6RUgtTVBkb296LXFvY1lfc29OcGdGeXV4VGJxZFdQSm1NLVlCTW5nTUFzS25WWHFIY2YzUmlNaklJMDYzamFWdTRya1FOVTlaYVZKLUdyRGJfSXFLV3JXNTRRa1ZYbHpUR3J6S0QzTA?oc=5" TargetMode="External" Id="rId124"/><Relationship Type="http://schemas.openxmlformats.org/officeDocument/2006/relationships/hyperlink" Target="https://news.google.com/rss/articles/CBMiWEFVX3lxTFBCeHNHdUQ3WDB5VFFIOHlmdm84aWM1TmVPMFVTaHl2cTZCZk1LYk1GSWFmSl9UejVHS3lVc2EtdGRMdU5hWFRiV2JHd092eVBTYmM1MFZzakE?oc=5" TargetMode="External" Id="rId125"/><Relationship Type="http://schemas.openxmlformats.org/officeDocument/2006/relationships/hyperlink" Target="https://news.google.com/rss/articles/CBMiXEFVX3lxTFBlWUozdmRXR3htQzE2bXRDMk50ZjNZdUNOdXhOQVhaZmRLVkowMnNoWVRyTWNvWlMtY0NyYTFtTW5WdmFQRDcwQVVtekFXeFRld0RCN1RuanBVUUd4?oc=5" TargetMode="External" Id="rId126"/><Relationship Type="http://schemas.openxmlformats.org/officeDocument/2006/relationships/hyperlink" Target="https://news.google.com/rss/articles/CBMitgFBVV95cUxNSHVQSEpYSW5kM1I3QXNWbHNYU2FJOEJBRDNxZ0N6aHExTFUwU0dsbG9PNVBud2lCQlhwTTJXN2wxbmlObUoxUGhmb2tSd0tTNG5uZDBudXVCLXlBS2pKU2FidXVOeUV0TXFRUXliQ283RTZBNWx3MWk4WWdDajFjSDFDMHhEbXJQcWJkenBpTS1Ob3FsX0ZBSGpBUG5MQVdSSHJSaGtHaFFFQlpmSGV1M3UydDlnUQ?oc=5" TargetMode="External" Id="rId127"/><Relationship Type="http://schemas.openxmlformats.org/officeDocument/2006/relationships/hyperlink" Target="https://news.google.com/rss/articles/CBMilAFBVV95cUxORmY1enM0TzdIaDhHTzFUanZfOXJ3Ti1qWktvQk1uLV9IZHNpczNyT19HWUk4OWFKdllEZVJpV2hBdWFrUmpIeDdOMldKS0xJbXJoVzZFb2RnUzB1VXFrUEVwUGFPZDZHOXJqa2pqbGpURFJoUFMwOG5ldkxxVzVZb2xxN29QcXBJMkhZa210MmFwS0Q4?oc=5" TargetMode="External" Id="rId128"/><Relationship Type="http://schemas.openxmlformats.org/officeDocument/2006/relationships/hyperlink" Target="https://news.google.com/rss/articles/CBMipgFBVV95cUxNQXpteTdZeHN5Q19sa1VRS2I3V3ptWDBpYjNjYlBEUlMtMXd5UlBSVjZUOENET3p5d1g3OWpBTVdYd0JsQlZ0N2dQeWh1eE0xN2JPWEkyckc0Z3dMS0d0cXZjNnp6ZVNkUXltQXBNVUhnSFl1dVBySzdHUURLcGFRTjRVU3VaM1QzVzd4MHFRVmluWldpd0Y5RGtvTXpaWDlyU1dKTlBn0gGmAUFVX3lxTE1Bem15N1l4c3lDX2xrVVFLYjdXem1YMGliM2NiUERSUy0xd3lSUFJWNlQ4Q0RPenl3WDc5akFNV1h3QmxCVnQ3Z1B5aHV4TTE3Yk9YSTJyRzRnd0xLR3RxdmM2enplU2RReW1BcE1VSGdIWXV1UHJLN0dRREtwYVFONFVTdVozVDNXN3gwcVFWaW5aV2l3RjlEa29NelpYOXJTV0pOUGc?oc=5" TargetMode="External" Id="rId129"/><Relationship Type="http://schemas.openxmlformats.org/officeDocument/2006/relationships/hyperlink" Target="https://news.google.com/rss/articles/CBMiowFBVV95cUxOcHBPNmxZdjdpbGxsbjZhSzdva1E2dFNHWXJqSllLTGhLMmhoNjVUREZaNXlacEJzTUMxTmtSOXVKdl8wT0tpQkpMWlZUTzVvWG5NcVA0a2h1WmdCOXpSVEQ5eVVpc0U3UlpVeXNMMUFHRjNKa1czOVlEdlN2UTl3Ml9XT3I3MjdlcmREWUhRaXRraGJKN1dBb1pXYy1tS2Q1cEZj?oc=5" TargetMode="External" Id="rId130"/><Relationship Type="http://schemas.openxmlformats.org/officeDocument/2006/relationships/hyperlink" Target="https://news.google.com/rss/articles/CBMitgJBVV95cUxNZFk2bjRVR2pZVEMzRzRITGFHT2tKYnloSkpBWm9SbkxYS09lZzBLNG5WcjNsR2JjNm56N3g4bHdGdnIwNlo4MDBZV1lSN1k5bW9SZlFZbVNlajJpYjVseENYU1oxWjFKeXQ3Y3Nsd3cxZ0NhRWFGekNELThRNFpUUllsaVVRZm0wdS1lZEtGQkhqaDVYYzVSdTNDXy12UHUzSGZoSnVNWkhaX2ptQnpUcFhFam9QbFNBV2hQdWh4WG9RbC1HbXN6NmI2NkZkSFlQQ09yMUNxLWpKOFJKVlZqcjlhbm5MajBGNFdYMXFyZEpqLS00N3VfVmhuclA2STYwb0pTT25JNk9iMzdpUjJGZ054Q0dWNVc2RTQwQjZ5M1ZDMjlQRkI3TGEycUpvNWVEU0RBUFp3?oc=5" TargetMode="External" Id="rId131"/><Relationship Type="http://schemas.openxmlformats.org/officeDocument/2006/relationships/hyperlink" Targe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 TargetMode="External" Id="rId132"/><Relationship Type="http://schemas.openxmlformats.org/officeDocument/2006/relationships/hyperlink" Target="https://news.google.com/rss/articles/CBMidkFVX3lxTFBtMDJqTmdYUVgta2lwRFBRclFhWkhJcFRPM1VxamZoOHZwcnFUVGlxVVF5VmIyanRtU3M0cXM3QmR1U29zWkhyVGhMQmtMWEE0MklrRkZQdnpLNnBLdlZPR0Fvb0hBSl9BajIxQ1hqSkd3VDFlT2c?oc=5" TargetMode="External" Id="rId133"/><Relationship Type="http://schemas.openxmlformats.org/officeDocument/2006/relationships/hyperlink" Target="https://news.google.com/rss/articles/CBMipwFBVV95cUxOU0RCdkxHOVJYQkFnX1F4eVZPekFON0w3OUlEaDUzUFVBQXd1Mm00UHJIWVdwSjFOLTRwZnpRdlRvNUhCX0xDT0pEUHBOM3BOVFNxVExyT2RQUk5wQkU0SGhaMGxNTjRNZjdtRTV1WnRpZ3M4Y3hkN1o2bXBtYlo1ZmpYSC1XM05TQlZ4em85ZmN5VWdyeTl2cW93OE1pMXl3aWVEc1dzaw?oc=5" TargetMode="External" Id="rId134"/><Relationship Type="http://schemas.openxmlformats.org/officeDocument/2006/relationships/hyperlink" Target="https://news.google.com/rss/articles/CBMi0wFBVV95cUxNQndINE4wSzBNLUwzMWZxeHRNdExjMWRHREJtY2QwZ04tS25fc1JQdDJFZ0ZVaER6Tm5GRkhyOGZWbWEwYlFoTmhmSWZXbnpuS1dZeHRYbnBVUjhyMnJqU2VVWGRvT2Jna0IyeGV1QnYtVVRYaDAxQXNQdVJaZWJQMTVQMXFwTWMtODdSQWZNdE1ITDBFaWNVQi1yYXpUM0FoUDQwVTdzbS16cFB0S1lTMTd2d2RidE9UV2VhOGIwZ25YTFR4Z1E0OGRWNEpLS3ZJbC13?oc=5" TargetMode="External" Id="rId135"/><Relationship Type="http://schemas.openxmlformats.org/officeDocument/2006/relationships/hyperlink" Target="https://news.google.com/rss/articles/CBMisAFBVV95cUxNSGpDMkxmRW9iNVJ5N3R6NTlsb3ozZG9VWWRCVkZseGZIbHBtS0oyVHJOUG5LZ0F2RTVIdHM5d3EtV2dSTjUwazg1OEVUWTBEUmNSSmNpMVdhQjZDYmVGS21xakpvdlZWLUdsSzNDRWF5Z29JbHQ0emIyeUVOSF9KSGt1d0EwZWhOYWotZkVWWFVGV0tUcG5JY2VLOGJlVy1UeWZOUzFvWTVvRUZ2SFpqTg?oc=5" TargetMode="External" Id="rId136"/><Relationship Type="http://schemas.openxmlformats.org/officeDocument/2006/relationships/hyperlink" Target="https://news.google.com/rss/articles/CBMiygFBVV95cUxNQlVOODc4amxiMkMzZTlfeDlUNG5sdTlaMFltQ293MndDRF9YTXB3ZjJYc2RYX2xQOXRSZjBfd3dsU0VYTEJySzB1TlNzUlVsSVNmWVktaFJ6bWVzM3REN0M0ZU9WOThxS2NkRVZiNEdadlNxODFTM0NiMUJncVByR203cEsxS3RCeTk1RkJyNU1CeTRKSFBRTkJxSVdpQUt5Zkp4eDJPQ1BnSUtYODYwREk5ZlZuV3hYWXlfVnJzdEF1VnlaSHprVUhn?oc=5" TargetMode="External" Id="rId137"/><Relationship Type="http://schemas.openxmlformats.org/officeDocument/2006/relationships/hyperlink" Targe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 TargetMode="External" Id="rId138"/><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139"/><Relationship Type="http://schemas.openxmlformats.org/officeDocument/2006/relationships/hyperlink" Target="https://news.google.com/rss/articles/CBMiVEFVX3lxTE5KVW9FRHdOT0x1WTJvVUhhOEp3V05OQWJVZnIxcFpkZ2NLSDRlQTNfX2RicFRPOVdNMGIxQklrVkNKQjZmU0JKU0E4LWI0RkNpdnJKeA?oc=5" TargetMode="External" Id="rId140"/><Relationship Type="http://schemas.openxmlformats.org/officeDocument/2006/relationships/hyperlink" Target="https://news.google.com/rss/articles/CBMitwFBVV95cUxPVjMwNkFTY1NaZDI5bVUxOVBqUURhU2o4c3BJV0JyMDZsV2dBWThrekdkOVhoX3FhUGVhc0FjQklmMDN6Und3UEFVb1F2THI1OERieXM2N0lQeVZDM1FEUkJmSXBtd2hla2g3ODJ4bkViUkw3TzFkRkxONTJKWk1kTzJ6TWp0bjB6RmdkbVpxUHNEYTQ5SjlsM1NUYm9CcTFhcEJVYm1uZG5yWW5CMk1OTmF6Tno5N00?oc=5" TargetMode="External" Id="rId141"/><Relationship Type="http://schemas.openxmlformats.org/officeDocument/2006/relationships/hyperlink" Target="https://news.google.com/rss/articles/CBMi0wFBVV95cUxQajhWU2FXd3haanFsVEdDUFViU0dRSjcyenZJaXVucUJYNVllOTJxdEhLRl96SFY0cENGMF9sWkpWVVVkWnEwaXdJMnUxaFppakhTQllLYlJObFlZaDd6RlVNdjd6blA4U01qSFEyQkhFNG0wRnBHVWFjQXZYQnh4QlpTdS1wcTcxSDZsY19ndVVLXzVlbHlOQVc0Nml3aTBFcUF1dkV3TzdRcnFIZDh0a1VlT1FsM2g5cmZGdXlmZ1hrWE9Zb184dDNrOTZSSWoyR25B?oc=5" TargetMode="External" Id="rId142"/><Relationship Type="http://schemas.openxmlformats.org/officeDocument/2006/relationships/hyperlink" Target="https://news.google.com/rss/articles/CBMiyAFBVV95cUxORzhUeXZhcWJuNDVsYmJ4OERvdVIxV1NmM2hCeXRST3h6dDNLVS1YbjExbVpGRXNJdm00Y0ktTmNqU0FkSXJ3Ujg3c0ZfSm5NcEE1QlpmLXpUc0RORWpYQ0szaXpqUXpUbm1SeldydDBEckZINllmN0w5MEdWNHFKNzluZE5Yd181RjRFVVBrRDkwSmFiNWZ3UlNTdjVPR05YTVFnNF91T3YtX0x2NUQyaVVZQU5uY25ZT1YyanVHZ1JoT1NHXzQtTQ?oc=5" TargetMode="External" Id="rId143"/><Relationship Type="http://schemas.openxmlformats.org/officeDocument/2006/relationships/hyperlink" Target="https://news.google.com/rss/articles/CBMilwFBVV95cUxNcEg1VnBzNThJRzdsamVpcGlicEM4RjNDRzAxSVBmTGlEZGowMEVaa3pIV3QwRG15VmJoSkZBZUZDQzlTTU80MUx2TzZuRGNzVHJCWnNic0ROb05Tbkk4LXYwRmVWUHhpWDhFMU9kOEI2Z0NPaUF1ZzhhSkg4ZEFRd3lCMjMyWWFZZVRRd2NfT1BfYXFhRXJj?oc=5" TargetMode="External" Id="rId144"/><Relationship Type="http://schemas.openxmlformats.org/officeDocument/2006/relationships/hyperlink" Target="https://news.google.com/rss/articles/CBMimgFBVV95cUxNWXo1c0NxRnZsS0gxV0pEVkNRY1lDODd5ZmtkSUxMUlVFVkZ5aUNhWG8zcWU0REdOMXpTUjFpZ3pUZE5RdFdtR0pHTWM2XzlSN3I5S1N3VU11MUZ0bFBLQ2F0T3Y0UnVpX3h0ajN4OHJJeEotZk03NzduTmdTWHctU1VrTmJVZU9Nc3VhcU1fY1l3TlVpMnVrckl3?oc=5" TargetMode="External" Id="rId145"/><Relationship Type="http://schemas.openxmlformats.org/officeDocument/2006/relationships/hyperlink" Target="https://news.google.com/rss/articles/CBMiekFVX3lxTFB0VTdiLVo5UUZfSF91bWdmSElTcHFDbVVBUFBNazdjMmtsaW5vYUtnOUN3akdGQm1KUzI5QUN2YXNIMG04SG52Z0hxZ3lqSDIwbkRkTGNhSEFyQ1dnU2JWalFORmpYLTlYTzdGS2J0czBxcHdIUDl0Y19n?oc=5" TargetMode="External" Id="rId146"/><Relationship Type="http://schemas.openxmlformats.org/officeDocument/2006/relationships/hyperlink" Target="https://news.google.com/rss/articles/CBMimgFBVV95cUxOeE5TMEtUUkk1RFpSY3ZoRDEwWkhlSlc4MGc5RlpSOGtZMWNtb2ZpQktVbmlwNlJDUHpGWUFYYmlIYThHdEs0Nk5ISkhCMWlXOUZfMG5mdmJudHVZWC1OVmlzVld3VG1fam5mMHBNazgxREQ3bzdyNk5QREtCZUVVbHZTVmowY09lTFg1MzV4M191YmFvT1VCSFFn?oc=5" TargetMode="External" Id="rId147"/><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148"/><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149"/><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150"/><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151"/><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152"/><Relationship Type="http://schemas.openxmlformats.org/officeDocument/2006/relationships/hyperlink" Target="https://news.google.com/rss/articles/CBMi6wNBVV95cUxNWXFCSXRtMzVPS0hrdGhIM1c4ZlZscHl1bHV3RFh6aWp1ZXV3SnBvWlFtWlhOZ19UdmNUbXlVYXpxNF9sZHVVNUc2S0dtdkVLN05oc25uX2d4dWxwMFZ2VkotYXF5bHZDTmFSbmJLYnV0X3hNS1FfRWM5S2ZvWUlUM3dCZVlxU0pvc2pBdEpvSlZVSHVuckl4Ym90X09GR1FvbFJ0X25HWUVlS3RRZjRGS25ya3lTbXlpODhXMDBydllCUFFLS01qajJMUi1WLU90R2M5LVBOSmU1WnRZWVVkZ3U5a3E5UkRLWEt5bWFwck9pSlgtZ2ctUmQwTmJRRXBLb1YxWjY4NTBNRG5uOHgtblFwT1JLaXVhLXB1Mm8tQ0xFZTJRSUR2RFhqckRjbEFGbVV2V09LZ0RfTU5sVTJva3ZvVWVobW02M2lXVFhMWUxwbnFHN1NNZ294V1J6SGdLYUFBdjJpSm5kMkg2alhDUm9aVzVNRFBYbWRCb3dkd3prdl9zUUc2WE5DWFpjRVpRdXE3OFZWajdZZHJlSVJKUVJ5enVKcEdFamFuQ2wwclZmLU40MGtjNkthSlBoQ3dJZDFMdzFFNFJaQ0JrX3hKdU55UXNlNHltaFhYbExzR21WQUh6eFJkTEwyb9IB8ANBVV95cUxNSW1uV09WNXh3MV9ENHpXX1d6MXR5VWdOM1lVa0hkOTlTWjN3b1U1VHRRU01aTWxVa1V6Rm5PWGRmZ25WTEZlZHhTaGJLOUdiSXAzeVpXM0NzS2toT3R6bGhjdEptWHFhZm1PTi1oUURsRk1qczl6MGdZMWFvTHlJT1l6N3RlZDh3bEQwbG5vRldFbHl6Y1N0Y1pXOGw5NElfRjZJb0FEYW9pSVpmMy01ZkhEaEFMUDNlRUZsVXVyREMyV3VhaC0xb0R6VklOVlRrVGV3N3hOTXZ3cjBWWUhTWEJtQzVtczBGTml0RnJTVDR0LW9kcFE0LXNhNXdEUUxaN3I3ZjFLUW9GdVhJUWVXcWxhdHUwRXowSTNtUXFZZFVQeVo3cG1pd3BJOFE0M1RTTW92VDFCRTRDQjJrR1pUMWNyYWJ5eHNUVEkxTnd6UEJSaDgtMTFGWDlWWS00Q0kxbzQ5ZXdCYmkxeENiSUg0OUNxeTl1LTF4UUFZcUk3X2g1ajFPZGRJWDhxUlZYMDd0eEtXU1JWeEtUZzVZdFA1VHpSRVdHU0ZkTXNCTEprTWtKV2g3elNOMHNWTDk0N2F2Tm9Ha09UUXRUTXY2VXlHZGFTX3VKTzJPdnJERzFCM0JzQUxpUkxQLVFtY3UwN2xm?oc=5" TargetMode="External" Id="rId153"/><Relationship Type="http://schemas.openxmlformats.org/officeDocument/2006/relationships/hyperlink" Target="https://news.google.com/rss/articles/CBMiwAFBVV95cUxOSzl3YkllaGZfTVJTdFR3cjN6d19lUzktSUQyLS1DeHFKZlYxSkxxSnM5RHFQMkNLWW5fSEMyRk81UU8teWhHd2J5Ujg4OXZVSWIxTndLUzl3T1BhNldlWkxDaTBZRnV2dkdjUXRNT1BwcFFNN0UwdWNjcjRiYmRYMEgyNTFSSWRKOUtHRlF0UG9NSnJoekVEeVEtak5nc1lVOWN1UUU1djNLOTZZUHJUXzY4T1dkcVhrVjJVbG5qS3U?oc=5" TargetMode="External" Id="rId154"/><Relationship Type="http://schemas.openxmlformats.org/officeDocument/2006/relationships/hyperlink" Target="https://news.google.com/rss/articles/CBMiogFBVV95cUxPaHpydDdLdElQQS1JLTVWOVRyeURKejNhamM0OXc3aDY4Y0RDeVdEemhGUTduemZXeXdlYXRQdWNGNDB3cGdYaTVKZWxIdnlDOWl0Ymlld3MwZmpDQ2Y1U0V2Z0ZQTmNBUVVSMm9hZDNVYkVOZ2luNzdNLXQwaHhFRGpvU0ZPb1JhSjdXUmx4STYzQThvZkNoX1E4VGpvTkxxNGc?oc=5" TargetMode="External" Id="rId155"/><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156"/><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157"/><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158"/><Relationship Type="http://schemas.openxmlformats.org/officeDocument/2006/relationships/hyperlink" Target="https://news.google.com/rss/articles/CBMiUkFVX3lxTE90bTY5LUpITmh0ZjZOV01PU3NsWDRqdlpSVFIwUy1RQlA1MHR4U1h1NUMtY2RJX1A2UTFjaW5rTGg0UF91NG1wNjlpbTFFOHpGZ3c?oc=5" TargetMode="External" Id="rId159"/><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16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6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162"/><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163"/><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164"/><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165"/><Relationship Type="http://schemas.openxmlformats.org/officeDocument/2006/relationships/hyperlink" Target="https://news.google.com/rss/articles/CBMinwFBVV95cUxNMURzUXhkQU9qSWhzS3diaWF5Vk5wUnR4Vk55eUMzWWR2aW1qaXpZamdUSHlOSWRVRFdHcE02UkMyc2tfV0pmWnFkRXFkMHNRNEJNdzBERUpOLUxncTFhb3BpcVZhWE5uU0wyRWs1WURzU3RTRmJTY01RWHhYWHQwUExJRVZRaEx6RXpJSkFoeWJsc1JjVkNobENzQkw1czA?oc=5" TargetMode="External" Id="rId166"/><Relationship Type="http://schemas.openxmlformats.org/officeDocument/2006/relationships/hyperlink" Target="https://globalhighways.com/highly-efficient-piling-with-liebherr/" TargetMode="External" Id="rId167"/><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168"/><Relationship Type="http://schemas.openxmlformats.org/officeDocument/2006/relationships/hyperlink" Target="https://www.tunnelsandtunnelling.com/news/panama-canal-tunnel-drive-completed/" TargetMode="External" Id="rId169"/><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170"/><Relationship Type="http://schemas.openxmlformats.org/officeDocument/2006/relationships/hyperlink" Target="https://tunnellingjournal.com/terratec-tbm-completes-5-85km-mumbai-sewer-tunnel/" TargetMode="External" Id="rId171"/><Relationship Type="http://schemas.openxmlformats.org/officeDocument/2006/relationships/hyperlink" Target="https://www.geplus.co.uk/news/international-news/tbm-arrives-in-albrook-following-revitalisation-of-line-3-construction-in-panama-30-10-2026/" TargetMode="External" Id="rId172"/><Relationship Type="http://schemas.openxmlformats.org/officeDocument/2006/relationships/hyperlink" Target="https://www.geplus.co.uk/news/project-news/three-machines-now-tunnelling-on-melbournes-suburban-rail-loop-30-10-2026/" TargetMode="External" Id="rId173"/><Relationship Type="http://schemas.openxmlformats.org/officeDocument/2006/relationships/hyperlink" Target="https://www.tunnelsandtunnelling.com/news/first-yonge-north-subway-extension-tbm-arrives/" TargetMode="External" Id="rId174"/><Relationship Type="http://schemas.openxmlformats.org/officeDocument/2006/relationships/hyperlink" Target="https://tunnellingjournal.com/creg-slurry-tbm-enters-commissioning-for-shenzhen-road-tunnels/" TargetMode="External" Id="rId175"/><Relationship Type="http://schemas.openxmlformats.org/officeDocument/2006/relationships/hyperlink" Target="https://tunnellingjournal.com/second-14-42m-terratec-tbm-ready-for-mumbai-tunnel-drive/" TargetMode="External" Id="rId176"/><Relationship Type="http://schemas.openxmlformats.org/officeDocument/2006/relationships/hyperlink" Target="https://tunnellingjournal.com/herrenknecht-tbm-completes-4-5km-panama-canal-tunnel-drive/" TargetMode="External" Id="rId177"/><Relationship Type="http://schemas.openxmlformats.org/officeDocument/2006/relationships/hyperlink" Target="https://tunnellingjournal.com/breakthrough-completes-12-18km-jinyang-highway-tunnel-in-china/" TargetMode="External" Id="rId178"/><Relationship Type="http://schemas.openxmlformats.org/officeDocument/2006/relationships/hyperlink" Target="https://www.tunnelsandtunnelling.com/news/north-east-link-tbms-removed-from-site/" TargetMode="External" Id="rId179"/><Relationship Type="http://schemas.openxmlformats.org/officeDocument/2006/relationships/hyperlink" Target="https://tunnellingjournal.com/orascom-achieves-first-tbm-breakthrough-on-cairo-metro-line-4/" TargetMode="External" Id="rId180"/><Relationship Type="http://schemas.openxmlformats.org/officeDocument/2006/relationships/hyperlink" Target="https://www.tunnelsandtunnelling.com/news/tunnelling-set-to-start-on-bucharest-metro-north-section/" TargetMode="External" Id="rId181"/><Relationship Type="http://schemas.openxmlformats.org/officeDocument/2006/relationships/hyperlink" Target="https://www.tunnelsandtunnelling.com/news/three-tbms-now-tunnelling-on-srl/" TargetMode="External" Id="rId182"/><Relationship Type="http://schemas.openxmlformats.org/officeDocument/2006/relationships/hyperlink" Target="https://tunnellingjournal.com/mwaa-seeks-interest-for-dulles-airport-tunnel-expansion/" TargetMode="External" Id="rId183"/><Relationship Type="http://schemas.openxmlformats.org/officeDocument/2006/relationships/hyperlink" Target="https://tunnellingjournal.com/construction-begins-on-ohio-river-wastewater-tunnel/" TargetMode="External" Id="rId184"/><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185"/><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186"/><Relationship Type="http://schemas.openxmlformats.org/officeDocument/2006/relationships/hyperlink" Target="https://www.tunnelsandtunnelling.com/news/amey-rail-to-deliver-dlr-extension-early-works/" TargetMode="External" Id="rId187"/><Relationship Type="http://schemas.openxmlformats.org/officeDocument/2006/relationships/hyperlink" Target="https://www.tunnelsandtunnelling.com/news/metroselskabet-shortlists-two-bidders-for-m5-line/" TargetMode="External" Id="rId188"/><Relationship Type="http://schemas.openxmlformats.org/officeDocument/2006/relationships/hyperlink" Target="https://www.tunnelsandtunnelling.com/news/breakthrough-made-on-lima-metros-line-4/" TargetMode="External" Id="rId189"/><Relationship Type="http://schemas.openxmlformats.org/officeDocument/2006/relationships/hyperlink" Target="https://www.tunnelsandtunnelling.com/news/ohio-river-tunnel-project-breaks-ground/" TargetMode="External" Id="rId190"/><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91"/><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92"/><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93"/><Relationship Type="http://schemas.openxmlformats.org/officeDocument/2006/relationships/hyperlink" Target="https://news.google.com/rss/articles/CBMiUkFVX3lxTFBBaDhzbmpCUVV6Y1lGN3hyYllJRGRHNkUta1M3SVpkamJ5MGktVWZHdDJqLWloWW40SmVzTldUSWc0UXliVXJOVWR2VmJoWUtGc0E?oc=5" TargetMode="External" Id="rId194"/><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95"/><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196"/><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97"/><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198"/><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99"/><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200"/><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01"/><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202"/><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203"/><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204"/><Relationship Type="http://schemas.openxmlformats.org/officeDocument/2006/relationships/hyperlink" Target="https://news.google.com/rss/articles/CBMi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dIB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Q?oc=5" TargetMode="External" Id="rId205"/><Relationship Type="http://schemas.openxmlformats.org/officeDocument/2006/relationships/hyperlink" Target="https://news.google.com/rss/articles/CBMihwFBVV95cUxNV0xxZXdWMFNYTFdPUmNDcGdrcEE0Rzc1TnNfcEJzaDVtSGxKWUFVOUdLMThDOEJIZy11MElISFRZc0R1dk5obTd3aVhPZTRVS3ZvVFdod3phQUN4RDlEM2tLeHpoS3gxRlRBdzBfOTUyVW1iLWNiczYwRGhZemk5cWxkQ2xkQ2c?oc=5" TargetMode="External" Id="rId206"/><Relationship Type="http://schemas.openxmlformats.org/officeDocument/2006/relationships/hyperlink" Target="https://globalhighways.com/new-high-speed-rail-viaduct-for-the-uk/" TargetMode="External" Id="rId207"/><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208"/><Relationship Type="http://schemas.openxmlformats.org/officeDocument/2006/relationships/hyperlink" Target="https://news.google.com/rss/articles/CBMitwFBVV95cUxObThUYVNtRTlDWV9fdkZ3ZHhBLWlsdmJtVWxVT1R2Rm11bWZnRklpekpWaDE2STY3WjhZQVJ5SGl2aUo0bjk4RjRvQ1VlaWc5OU9VNmlTaFBaZ1hPSkVKaVpzNlBHT0Y5WlhPTG5fWGZhMzBjeElUaEpPUGpTcjBIUXpBRVJwLUJ2SDJjUWp4bERUVmlhVWJUam1TdFE4NzEzMktfU0tBZkY1TGFlcnl1MlNqZ3JyVkk?oc=5" TargetMode="External" Id="rId209"/><Relationship Type="http://schemas.openxmlformats.org/officeDocument/2006/relationships/hyperlink" Target="https://news.google.com/rss/articles/CBMi6wFBVV95cUxOOXBuaVFHcFhSZVFLNWp2NFhRdklISktmUGxPR1Faa0hlNEVqNThZMnRqa2NoVU5tTlF5SDc5UEY4UW13WGdCTWpLeWVtSFh2UWZ6dlc0dVprLUI5dUdzSjExUlFOcFlmWGwyTjZ3OThXWkdVcV9tWFQ3WXhZdFNfNFBhLTJRbl90Z1RfR2ZJRmVRQ0hpWUhTRWhMcVBwVTEtdGtrZzc0Q1QzYTQwbVE0ZmdPTjIxMlZuTFVmSUhvVS1FeGNISmJVTFNxUDRtQWF0YmhlejlROXJzSEVIc29iaHA5a0N4STFaN0pF?oc=5" TargetMode="External" Id="rId210"/><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211"/><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212"/><Relationship Type="http://schemas.openxmlformats.org/officeDocument/2006/relationships/hyperlink" Target="https://news.google.com/rss/articles/CBMiUEFVX3lxTE5RM0RVWHhhUFhCVEhXclY3YWpCOVF4R1FwejczdjdMcE5ic19hRDBuaGFDWnpzcmhvUE5nYjUyRkYwXy1YSndqNEhOWWswMHJX?oc=5" TargetMode="External" Id="rId21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14"/><Relationship Type="http://schemas.openxmlformats.org/officeDocument/2006/relationships/hyperlink" Target="https://news.google.com/rss/articles/CBMijgFBVV95cUxQUllqMThjc2ZrUVlPcmd4YUNDLUZnUVpVanNtWVBZZWtaVUYyOGZUWl9KZ3hha1BsaUNBMXptSnNhM2VYUGVPa1NKMm5rb3l3N3ZaTHBKLV9fdFBEbG5zbk96UHlEYkZWUF9GakZUc0ZjT2ZmTUVCSUZWQUdFTVZsOWw5T2puZ1Z1aFhkc2Jn?oc=5" TargetMode="External" Id="rId215"/><Relationship Type="http://schemas.openxmlformats.org/officeDocument/2006/relationships/hyperlink" Targe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 TargetMode="External" Id="rId216"/><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217"/><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218"/><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21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22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221"/><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222"/><Relationship Type="http://schemas.openxmlformats.org/officeDocument/2006/relationships/hyperlink" Target="https://tunnellingjournal.com/autostrada-installs-new-herrenknecht-equipment-for-kyiv-metro-tbm/" TargetMode="External" Id="rId223"/><Relationship Type="http://schemas.openxmlformats.org/officeDocument/2006/relationships/hyperlink" Target="https://news.google.com/rss/articles/CBMiV0FVX3lxTE9aenZRbi15eE5YT0lsZlkzU2J6VHFnYlN2VzhUcnY5ZWNiVXhMTjNyRHJPUklTazJRVUswd2FYRjJKRHBRUFROVkdWUjlUM1FjMFdNeEpLdw?oc=5" TargetMode="External" Id="rId224"/><Relationship Type="http://schemas.openxmlformats.org/officeDocument/2006/relationships/hyperlink" Target="https://tunnellingjournal.com/mobile-shield-deployed-for-a14-vinci-tunnel-reconstruction/" TargetMode="External" Id="rId225"/><Relationship Type="http://schemas.openxmlformats.org/officeDocument/2006/relationships/hyperlink" Target="https://news.google.com/rss/articles/CBMihAFBVV95cUxPVFRkRThUMUpGNWdkNnBmLVVIeElfTEtNcURKY29yNDhRMDBRWjNxb2VqVVVmeXFEbWJGdVRmOVp6WWYxZkktaVRyWU53Q285NFlkVzc1WWV2OW8xR1BTOTNLLTlVU1YtTFNiamZKcGZDMFdDa25JQjNXNXhDQlpXTGpRaG4?oc=5" TargetMode="External" Id="rId226"/><Relationship Type="http://schemas.openxmlformats.org/officeDocument/2006/relationships/hyperlink" Target="https://news.google.com/rss/articles/CBMioAFBVV95cUxPNGNPNmdMckt0UUl6WDNrb2hwSnF6eWxEUy1yWUh4Q1hkX3NWNmQ2STdRaE95dWRPSFVybzg3NWNKYzN0WTh2SkRzZlEwWGl2aWYxZ2tpbDZrOUZhX3hHelZ1b0VlLXdsRnR4MGViZnBKd3hFYXpnNXB0ZGFpYTNrbUxOT2ZUQkZJdlEzb0xWU29xSVM5M1hqNkZ0azVwUmZ2?oc=5" TargetMode="External" Id="rId227"/><Relationship Type="http://schemas.openxmlformats.org/officeDocument/2006/relationships/hyperlink" Target="https://news.google.com/rss/articles/CBMihwFBVV95cUxPLW55RURvOGRySUpBQWYyZlJzWnE2V21IdHVTNE91SFVjUmZMY2dUSFQyMGVRbmo1c0k0aFE5VDZXeHppT3pXUm1OMDctSkdIVTFTZGNZM3owRW5GUUZ4MjdIRk1QaFZxWkFVVEtIaHhJWUUyQXNFLVBqOWxBaVZJdnpfeHJ4SjA?oc=5" TargetMode="External" Id="rId228"/><Relationship Type="http://schemas.openxmlformats.org/officeDocument/2006/relationships/hyperlink" Target="https://news.google.com/rss/articles/CBMiwAFBVV95cUxOSkx1S0lMU09CLXo0ZVRvd2hFWTA0d29MT1c2cWxLdDloeVNDMWtUNmxXazBqNDd4YWpFcmpyNmYzY1l1a1p3UGg2QVlpbUdiTi1pNG45LVVKVDVmMWZTT3FnUkpINXotQWM2WlNKd0tUQVV6TE1kWVV2MC1wNTExaGRVTHQ4U1ZKM3FHZDZmRFVPOVRaNnNQYzUweHY4Qll2Y19GZ2ZIVWl2SkRZMWlocXZZUmNZVFJCV0FqN01OMW0?oc=5" TargetMode="External" Id="rId229"/><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30"/><Relationship Type="http://schemas.openxmlformats.org/officeDocument/2006/relationships/hyperlink" Target="https://news.google.com/rss/articles/CBMipgFBVV95cUxNZDJ4azNYVjU5XzBlWHBFd3EwekJGQ29QOVdGM3JkTk1qcjVuS2gzZU9TaWJ3emx1MklFd3ZIOWRaUFNqVTdWbGlwTVBYSGVDOWpCMXAzZ0w3M3lxaVhmc2JpTno1Z3ZuUnpKWS1PNlY4WHBYa2RyZDlodWRlc1cxOUlrRllYZThFelhrQThEMFR5RmdQNmNKbG1XYW5td2tHVWRmTXZB?oc=5" TargetMode="External" Id="rId231"/><Relationship Type="http://schemas.openxmlformats.org/officeDocument/2006/relationships/hyperlink" Target="https://news.google.com/rss/articles/CBMiV0FVX3lxTFAwSnJrRktPbEwzbUlEWTJVNWRGYlpGM0Z6R3B0bUNrSXc0c00zZ3FXUm1nQjVYM2dJT2pPLWl1UENCTlBqZEFYdnhlc3VfRDY4Xy00ZnlSUQ?oc=5" TargetMode="External" Id="rId232"/><Relationship Type="http://schemas.openxmlformats.org/officeDocument/2006/relationships/hyperlink" Target="https://news.google.com/rss/articles/CBMisAFBVV95cUxQX3ZHQzFZSmtvcVQwYV9YSnJKWlRtMTlqNWVDZmhkZjN4YlFIeGRlVmVqLUNpYlRmb1RrMncwTjVzSERERW94ZVFlWmFfQWkwdkJfX2lSNnBqY3BvUnBqV2U3MFlCUnF3Z3A1VTRDNk9ZclpWemZValRlSWlTVllFaFgwcjRXR0ZpOTBwWjRvelRWLUt2UmhOdi1RWm5wZjFkSDFoaWxfVXl1VVh4cjFNeg?oc=5" TargetMode="External" Id="rId233"/><Relationship Type="http://schemas.openxmlformats.org/officeDocument/2006/relationships/hyperlink" Target="https://news.google.com/rss/articles/CBMiugFBVV95cUxQdDVDQ0lfWG9Oa0EyVG55UGVoUHNxcmloS2pFbmRWZmpXWFFzMkx3WVdib3lWVEM3U19GN1d1eDhRM182TVViV1BSTHdheVBHVTY0ZVVBOU15T01ObTdUbzd3Wm4zdlNReEd6cU5XWGVEZ2lMMld2aUFzVWNueVZYcjEwTVVmZmtyU25XaFo3Q0ZkOTZvVlE5bllnT2pjUDNWcWhwVHU5WmVFRnl3cjdGa0FRVjNuM3BSOVE?oc=5" TargetMode="External" Id="rId234"/><Relationship Type="http://schemas.openxmlformats.org/officeDocument/2006/relationships/hyperlink" Target="https://tunnellingjournal.com/united-utilities-seeks-design-partner-for-3-7bn-windermere-scheme/" TargetMode="External" Id="rId235"/><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236"/><Relationship Type="http://schemas.openxmlformats.org/officeDocument/2006/relationships/hyperlink" Target="https://news.google.com/rss/articles/CBMinwFBVV95cUxNUUp0T1VCLTZEc2FGSDJ0NW5VLVdFYXQzeXdWNWkwcGZQRF9RaU5Yd2pVcnA3NXhud1FqcTBkYS1jcXlOTW5TMDJyNWZlaFZGSWJXeEt4cmJVN0Rab0xaQkZmMEg1Y05SczZJV1ZPcG5wbWs2VldfemRuQXYteHVqWEZvaXNpSnk3RTgxam9mY0VCWkJ2eldMdTNab0NGSTg?oc=5" TargetMode="External" Id="rId237"/><Relationship Type="http://schemas.openxmlformats.org/officeDocument/2006/relationships/hyperlink" Target="https://news.google.com/rss/articles/CBMijwFBVV95cUxOYS1kcm14VnRuR01sd0U3WVFqTDFCc2ZNMzlHelJSLWh3WldZeVdIRUNSRzNLRmU3N0h1QmR2OElKWWl0X2pMekJscnVkcXoxZE1xbUVuOUxBNTFob0I0LU5YUXM1TThSeWJTaDlJMUhfVWxuXzQtVnp3X3ZWaUZrWWxjbElHQUIybnhZMXV5aw?oc=5" TargetMode="External" Id="rId238"/><Relationship Type="http://schemas.openxmlformats.org/officeDocument/2006/relationships/hyperlink" Target="https://news.google.com/rss/articles/CBMiswFBVV95cUxOelp0b2ZmVGlMZUlMVWVxcGlDODhuUVdBbFVfNks3bkZrdENOemNhUXB0OWFhYzNVUmdXbjNIZEh0OERHTFFGTnJDc1l4QWhYMlJlTEcycExVdWVaNlNJVDNiazFmVTZQT3dhUWxpdjZXNEJZMkx3NlplTl9NeFg0aUtJRkwtTUZpUUgzTzRXRDdIOEtlVURjMzB3aDhiQW03V1NUd1NLM2xyNXFLb0NuYWJFUQ?oc=5" TargetMode="External" Id="rId239"/><Relationship Type="http://schemas.openxmlformats.org/officeDocument/2006/relationships/hyperlink" Target="https://news.google.com/rss/articles/CBMi0AFBVV95cUxNV0RRd2YxczlCenlkaG8wSU00M2diNXcyMEktUEx5cXlyY1k3MUZwb0JrZHhXSjExS2tJeWhSUTA4LUlnVU9qQi1veVVnbjM2STZ4RlV5M1hnV2ExSlpmMlNlSHduRmpNX0Y4cXA5WTZ1d3FEcnpvNW9VbFREQi1PN0ZIQmNiREgyM0VpTnlTY1lmbXJFel9xbF9uVXotVWpBR2l0NDVFYWItNlZsWnRrMFpHSXVwRy1HSVM2b21vOEJEbUhPWlFuV3Fqako4Sm5G?oc=5" TargetMode="External" Id="rId240"/><Relationship Type="http://schemas.openxmlformats.org/officeDocument/2006/relationships/hyperlink" Target="https://news.google.com/rss/articles/CBMi9AFBVV95cUxQN3NUTl80SzEyUDRSY3RXQzYwQzFmU0hJU2tjRVlNTWN2Q0VsU1YxRTNkVnY5aEdESENWdjZRV29wS2VFc1NnS1FTNVVpa19HMEYyWDI3UU1EcUwzamdrWWdJVGk4RkVEdDRQQXM5TUxLdDgzSWdNWXpNbkRLUDdnU2JoMTBvUzA3QXo4MHhGWnJaRGJzRWs2cTVjRUdYNFVKaV9HcUk1OXBYbWxGWE16U2tvdE9ULWxmTUFjMEUwX04tSDBOTGhRRXdtR1djZEFrQ1ZqbFlWamt4WjJrcWVfMW5Hd3M4ZkZsNzA1djlIbWtMLVhU?oc=5" TargetMode="External" Id="rId241"/><Relationship Type="http://schemas.openxmlformats.org/officeDocument/2006/relationships/hyperlink" Target="https://news.google.com/rss/articles/CBMiiAFBVV95cUxNVXdhS2x3OG5DNUYyTVROU0FUd1B6Q1JWRXZJMTR3S3lNRVZPWHVNRm1LZEdfdUdwM1VVbGRYWC12dXpkYmh6ekdiaHpJNUhUU0FEQlAyeTZST2NxSVRjXzBCaWFBR0l6d2JkZFJsX0FiYW5rQlQ5YWJtZU4xaUFleTc1elNCYVFW0gGIAUFVX3lxTE5OV25rT25ieExCbFNQT3RZcTZEYjFqSkxUYlNZVWk2QzBzblNzVUZJVVdoenoyN21LYllDTG5oS0JlVXZFSmgza3lYZldwWjdQaWVRQldaUXVYdGFyNkMzZEZVR1pfcmtfOS1yYU1WUTgtQnBkVXVlb3BIZ2pHZWxGZ08yS2Y5WjU?oc=5" TargetMode="External" Id="rId242"/><Relationship Type="http://schemas.openxmlformats.org/officeDocument/2006/relationships/hyperlink" Target="https://news.google.com/rss/articles/CBMiqgFBVV95cUxORGl0ZnVjdEhJTEZzQjgxZm5OTUp6VUE0RlAzbVNyWTNobjU0N25zck5FMGtTSlFKQzhBYnhXV0RNT3RBdi1jbjhZdmQ5WVdtbUVJOXZSZTdMT2dJMlZQQlpHTVdoRWh2dldtVVZCdE85MzhzVWIwdkJkeUdqNlQyTVpiVGFhM1AtZGRtMVkzcVBfNWY3cWlSdXhjSExrMFd4ZTUtMmZLOUlTZw?oc=5" TargetMode="External" Id="rId243"/><Relationship Type="http://schemas.openxmlformats.org/officeDocument/2006/relationships/hyperlink" Target="https://news.google.com/rss/articles/CBMixAFBVV95cUxOMEhRWWV6c3kzZ2hrOFpfRnN2S241NE1IMjBGQmNSUW1WRms5aE1ibWlpb3JsRXl5MEVudUlJNGZORHZoaDEwUlF5V3EtQTlIRFNHS056djVrNlppVzdqM1ZtZ3JxNENOZzVOX1JCYXFNdDBkNEx2dlNCbjkzbnFSZFZjbzdXdzE0QzkxVllhZjlCWk8xcXJBaTZZV05DYVlYbzFkQ3pUNUxiMi1uQ0E2MllSM0IzbGFpbF84WFZ2dEZtZnZK?oc=5" TargetMode="External" Id="rId244"/><Relationship Type="http://schemas.openxmlformats.org/officeDocument/2006/relationships/hyperlink" Target="https://news.google.com/rss/articles/CBMiZEFVX3lxTE1CUmIydVdOaDEwMktSRzJkYk05aWxLQ3JuNW5iWUppdTgyZnJBcU9KZjhOTXoxRmpNb2lvdzluTmo5QTdycXIxX0VfNVpRT193aWw0TjlMWEhqWF9ySEpxZDhLOEw?oc=5" TargetMode="External" Id="rId245"/><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246"/><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247"/><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248"/><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249"/><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250"/><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251"/><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252"/><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253"/><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254"/><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255"/><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256"/><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257"/><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258"/><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259"/><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260"/><Relationship Type="http://schemas.openxmlformats.org/officeDocument/2006/relationships/hyperlink" Target="https://news.google.com/rss/articles/CBMiWEFVX3lxTE40bjhiX3RGaTgxc0h6UU1ENDdRSGFlNkRMOTdvakVpalctY3B2bW4wYjNNcno2UHNrNVItVmJGZHB4aTdOX1ljNjNJUnJVbk5DV1ltRl8tN3o?oc=5" TargetMode="External" Id="rId261"/><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262"/><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263"/><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264"/><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265"/><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266"/><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267"/><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268"/><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269"/><Relationship Type="http://schemas.openxmlformats.org/officeDocument/2006/relationships/hyperlink" Target="https://news.google.com/rss/articles/CBMiR0FVX3lxTE94OUJCMW4zNWdhYkRhdHNyanpLUDRXZ0gtZERXYjNCdnM0X3Z0WnV3QlVaX09kem5CMko5Vy0wamJTUnZkWjRB?oc=5" TargetMode="External" Id="rId270"/><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271"/><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272"/><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273"/><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274"/><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275"/><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276"/><Relationship Type="http://schemas.openxmlformats.org/officeDocument/2006/relationships/hyperlink" Target="https://news.google.com/rss/articles/CBMiREFVX3lxTE9KcGh5bWlxWEhKT3FXdU5qVjNOd3c3clQ1bGw1YWFmaHljV0U3ckZYcndLVTgtakJFSHZZQ3ViYXg2QnV4?oc=5" TargetMode="External" Id="rId277"/><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278"/><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279"/><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280"/><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281"/><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282"/><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283"/><Relationship Type="http://schemas.openxmlformats.org/officeDocument/2006/relationships/hyperlink" Target="https://news.google.com/rss/articles/CBMimgFBVV95cUxNMUFpUXJmSVo4Y01USWtzaVdXOXQwT1RDa3RhQWpzdnkyQWlScXBkNmtDU0RnSmJGVmppZC1vRFMzdUZhWnZNU3N4UEwwWWRIbmVXMFBqb1ZPMmJ0aG0yLW04U0otbWpxdE42TkNBZ29rdmpZUWdZR0xncnBoWDRTcC1HOHdwbXlCZXIxT0JTSmZrU2dybGdUZkNn?oc=5" TargetMode="External" Id="rId284"/><Relationship Type="http://schemas.openxmlformats.org/officeDocument/2006/relationships/hyperlink" Target="https://news.google.com/rss/articles/CBMilwFBVV95cUxNdmwzd2xZMU5MdXZ1Zk1rX0RDVlk5RTg2STdoQm9hSTdOTkZ4NTVUcmtwaFFMbVJJb3lwVUM4VkRtalhXQ3pjZXEwMFA2LVo5dnA4dlJ6cmtacFVRS3F2U2RJQ2lPMHltb1MyS044OWdCQnFZdlFha3MxS2tlOTJwckxIRnZ2MUxsUkdOcWo2VFlZZGhqdWVj?oc=5" TargetMode="External" Id="rId285"/><Relationship Type="http://schemas.openxmlformats.org/officeDocument/2006/relationships/hyperlink" Target="https://news.google.com/rss/articles/CBMixgFBVV95cUxPRzBTaWFtQkRvWDFZS0k3aWF6TkZFVzMzbktCN1BUWVE2M2RUOGJMdjh3QTBJTFV6YUd4X19reVF2cG5ReTdtbmhoOHVBZ2hEcmE2cTFEZU5yX2dzeVJEUzlvLWt1OFIzOTJVMV8xWjY5eE1ISV9BdjJGUXNKZV9pX2R2Q3JMbW5TdEZkTXRyRjQwakw4MV80Q09OeS1XWDRlTUJ0YjRGNE0xVTJSNERzVEw0dzd0cFhQM0ZzVkRCdmdpNDBudWc?oc=5" TargetMode="External" Id="rId286"/><Relationship Type="http://schemas.openxmlformats.org/officeDocument/2006/relationships/hyperlink" Target="https://news.google.com/rss/articles/CBMizAFBVV95cUxPRmJ5YVRBaVZvS0xMY1hYSFR1c1BzOTZWMlVDb0NpS2gzSENXaHFmU2U0U3hiajh4N256MUF2ZGFtbkJ5NnY0YXJhdlo0NGItWE0wbHlUU2ltU0hnZlVxMW9zM291dmthZXpSM2JuVWpIdnRvWXBTNU0tOXcwazNiWnVFM1luc0RCdVFHd1lhSGZyVl9ILURISktDUFpiWDU2TmdWRmk3Z2ROTnJ2bFVaZkdNR0o5MkxkbHo0VDdTc2dqV2hMdGc0Rm5NQzM?oc=5" TargetMode="External" Id="rId287"/><Relationship Type="http://schemas.openxmlformats.org/officeDocument/2006/relationships/hyperlink" Targe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 TargetMode="External" Id="rId288"/><Relationship Type="http://schemas.openxmlformats.org/officeDocument/2006/relationships/hyperlink" Target="https://news.google.com/rss/articles/CBMiogFBVV95cUxQS0htSTlVTEs0RzN0Ri1BZVBCdFNyYy02eWJHa2hBdWxUTFZ2c1FPR1cyMm1aNTB4MFAtTEZUbEN4UnlhdGRlT3pJSThoTWlZdjlDLVJrRkRoODV4RTRQblI2U0FrdkplSTRDNDFhTU8xdjA4YzFpclZfN2FUemFIWkE1bEpRaXlSeWViTU9zU3BXWk5aWm9XNGswaXBfUWZZSHc?oc=5" TargetMode="External" Id="rId289"/><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290"/><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291"/><Relationship Type="http://schemas.openxmlformats.org/officeDocument/2006/relationships/hyperlink" Target="https://news.google.com/rss/articles/CBMiU0FVX3lxTE9XY3g5UHRaSDBOczhYUFRVaHFfSHdBMEVoWnp4T1JCa1BzNHlKVVR1MGluYk5hU19PaFpNZ0xxVmZ0WFg4U1YwZHZwbmxGTFlGUjVR?oc=5" TargetMode="External" Id="rId292"/><Relationship Type="http://schemas.openxmlformats.org/officeDocument/2006/relationships/hyperlink" Target="https://news.google.com/rss/articles/CBMipwFBVV95cUxPR0tFYlBfMWYtbVhwaFRjWldGd1g4YWxTSHlkUlAycUZSa0JtelFmVWQ3ZVRReks2YUs1N0VybHhQVDFlZXA4NHc0a1RXRzZxeUo2Q29LTHZWQWdZaFVXWFBiSnk4a1U0SWF4bVFKZk9yX1VUR0NXT1hrSl9tVWc3a1VPb01Wc1dvMmo2T01rOGtENHo2YXNRQWlwYklRbHVmUlJ0MnNZbw?oc=5" TargetMode="External" Id="rId293"/><Relationship Type="http://schemas.openxmlformats.org/officeDocument/2006/relationships/hyperlink" Targe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 TargetMode="External" Id="rId294"/><Relationship Type="http://schemas.openxmlformats.org/officeDocument/2006/relationships/hyperlink" Targe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 TargetMode="External" Id="rId295"/><Relationship Type="http://schemas.openxmlformats.org/officeDocument/2006/relationships/hyperlink" Target="https://news.google.com/rss/articles/CBMihwFBVV95cUxObGszSGNGQ0dfcGR2cUx5TFZOY2hLWHBVX3h4bmZDQ08wVkJGaVdidzZQQVlwQVh4LWZQeEdHVjBMTTZFRGVfTHFfQ2QwX29oUnNXUVZ5OHV0ME5UU3JkVW1JbWtMY3lIV3VveXUzY0tQcmI5TktKUmtPTm1XZHdzWU8xUGNZWW8?oc=5" TargetMode="External" Id="rId296"/><Relationship Type="http://schemas.openxmlformats.org/officeDocument/2006/relationships/hyperlink" Target="https://news.google.com/rss/articles/CBMinwFBVV95cUxPZW1DOEVJblVuTzkzUDFyYW5ybTZlMzNTeEJNUnJmUGt3bjVKX0czQ0N0MTlsRE5nTnlzTy0ybTdIWUdrQ2RZWUM5RGdrdmZ5UGFjQWwwZzZnMmFDVTBEMkhfUHdqQ0tfbEN3WUJxZEFCTDBmNVBiWVlNTmVyU0tYcVFCTG9KYndWbld5dlBMeHIxRFhmUnk5R1NidGpjRUE?oc=5" TargetMode="External" Id="rId297"/><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298"/><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299"/><Relationship Type="http://schemas.openxmlformats.org/officeDocument/2006/relationships/hyperlink" Target="https://news.google.com/rss/articles/CBMiWEFVX3lxTE43cWdqNnRTM1lrNU1sbElSd09YdDFzdGJhdFBFdldKb3V6R2taUV9IbUtjM3ZUUm5jNkU0QnJvcGdMTUVfR3k4UVNGeTRER2oycE1fZEFGeXE?oc=5" TargetMode="External" Id="rId300"/><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301"/><Relationship Type="http://schemas.openxmlformats.org/officeDocument/2006/relationships/hyperlink" Target="https://www.geplus.co.uk/key-topics/sustainability/floating-wind-needs-grounded-solutions-23-10-2026/" TargetMode="External" Id="rId302"/><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303"/><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304"/><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305"/><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306"/><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307"/><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308"/><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309"/><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310"/><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311"/><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312"/><Relationship Type="http://schemas.openxmlformats.org/officeDocument/2006/relationships/hyperlink" Target="https://news.google.com/rss/articles/CBMiQEFVX3lxTE5xNDZoRUVLVUFyUVB6d3duejJIdUpLZjlKZ21qRXJtLWsycEZCU2RuWWtvblNOVHFJc1JpSW1HMkk?oc=5" TargetMode="External" Id="rId313"/><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314"/><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315"/><Relationship Type="http://schemas.openxmlformats.org/officeDocument/2006/relationships/hyperlink" Targe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 TargetMode="External" Id="rId316"/><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317"/><Relationship Type="http://schemas.openxmlformats.org/officeDocument/2006/relationships/hyperlink" Target="https://news.google.com/rss/articles/CBMi4AFBVV95cUxNTk9pTFBNSFZYbUVsSGRYVDQtbngyTmtBazdRaExVRDBJMUFtcERGTmJ2U1NuOGU4ZlBxN24tYTFYX0lIVmFfYVVNRm5ySTB5aW81Q1NOc3BUaUZpMmlXcF8tZ2RCYlAtOVFtSDU5RkVabEREX0dQRnp2V3pKMkU5TDEyWnVEenJ0VVlNdjlTeGhHVTZsUnFrbGswUlBBVFRiN2JMaTltWXNrQnAzcnpxNVlSc3EwZi1SX2ZJcGlhUHlMcjFkOWx4U3AyeUhTNER1VGpKXzVzd19aazNEeDFWdQ?oc=5" TargetMode="External" Id="rId318"/><Relationship Type="http://schemas.openxmlformats.org/officeDocument/2006/relationships/hyperlink" Targe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319"/><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320"/><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21"/><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322"/><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323"/><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324"/><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32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32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327"/><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328"/><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329"/><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330"/><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331"/><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332"/><Relationship Type="http://schemas.openxmlformats.org/officeDocument/2006/relationships/hyperlink" Target="https://news.google.com/rss/articles/CBMikgFBVV95cUxPbmhtd2thc2pjMjFCYjNqSGVLVVMteEM3RktVTko2N1k1MEFHcnFheG1yekZydGR3dTFSVmltYnlZdXpxcTN6MldJelNUQXloTnRqMG1vWTF3Q2FJY1E1MnJ6Tlp6VGxoOVhGdmE3RVVrOGVTcm1sU0xXQl9kLWNMRFRKeGFKaVIxWkltWGFDdzh0UdIBpgFBVV95cUxPV0dEcU11MlZpVGpEQzMxa1E3Uk5NLXdodDEtUHpkYVIyQzZEWHZGTkRmOVBMcFFlamk2NnlFM1I2OW55SDJXMHpEdm1nbFM4a1ZBeUtIeVljOHlJNHBhNjJVUXp2azBkaXpkc0djNWpTUk92ZU1rbHdTVDlmM0RNdjc5ZHlDM2hvb3lLOVlWcjJxbjRKWWpneXhRdk5QcEVYemxNUjZB?oc=5" TargetMode="External" Id="rId333"/><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334"/><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335"/><Relationship Type="http://schemas.openxmlformats.org/officeDocument/2006/relationships/hyperlink" Target="https://www.geplus.co.uk/technical-paper/technical-paper%e2%94%82steel-cased-driven-piles-in-cohesive-soils-28-10-2026/" TargetMode="External" Id="rId336"/><Relationship Type="http://schemas.openxmlformats.org/officeDocument/2006/relationships/hyperlink" Target="https://news.google.com/rss/articles/CBMipAFBVV95cUxQcVlLS0FhVm1JQTdRQVp6cG9tVEpyZ3RXeGo1WldLWXNiYS1yVXRDQ1VJN3Zha1pxV0ZzUTc2OV9pQ1BOUjUtbmpCb2dIU3E5OEU2ckJBZWU0TTJkVkM1SDhjSmNBQjNicndQTTBuVU9reHNtcXB3dG54NlN5ZEtMX0Q2R0oxSUs0NFRZeGZSM01SLTY2X0stMDhiUHQxdTVkME5JLQ?oc=5" TargetMode="External" Id="rId337"/><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338"/><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339"/><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340"/><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341"/><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342"/><Relationship Type="http://schemas.openxmlformats.org/officeDocument/2006/relationships/hyperlink" Targe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 TargetMode="External" Id="rId343"/><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344"/><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5"/><Relationship Type="http://schemas.openxmlformats.org/officeDocument/2006/relationships/hyperlink" Target="https://news.google.com/rss/articles/CBMipwFBVV95cUxNNzhreVRGNjg5NmVPZ1d0WlZuYzVPaVBwSTJoUTdvekM1X2Y0ME9EdDhwd2tSMkx1aXl5OGM2bURYU3VKOXdObWRfUmNNd1BCTnB0MXU4cnplV29RdmJ2RGZoZDdSQzB1LXlxRUNvZnFESk1SdHhrdXNqM0JLZnpwZG04MzNxVFhTc19UQk9GTFd6NWxnbnBmLTZyRFI0YmRVN1FxX0dDWQ?oc=5" TargetMode="External" Id="rId34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47"/><Relationship Type="http://schemas.openxmlformats.org/officeDocument/2006/relationships/hyperlink" Target="https://news.google.com/rss/articles/CBMiXkFVX3lxTFBmV2hsZVdoU1hIS1BWTzNIRFpremRjRE9tWnpON3VjQTBJRWR1UVZFZzgwYjFPZU1RYmFmaUVLNzVzWXdUSnNXMVlrbVFUTWZTdzNGeWdMMmRuUXZsTmc?oc=5" TargetMode="External" Id="rId348"/><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349"/><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50"/><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51"/><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352"/><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353"/><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54"/></Relationships>
</file>

<file path=xl/worksheets/_rels/sheet5.xml.rels><Relationships xmlns="http://schemas.openxmlformats.org/package/2006/relationships"><Relationship Type="http://schemas.openxmlformats.org/officeDocument/2006/relationships/hyperlink" Target="https://doi.org/10.1061/jggefk.gteng-14539" TargetMode="External" Id="rId1"/><Relationship Type="http://schemas.openxmlformats.org/officeDocument/2006/relationships/hyperlink" Target="https://doi.org/10.1016/j.trgeo.2026.102492" TargetMode="External" Id="rId2"/><Relationship Type="http://schemas.openxmlformats.org/officeDocument/2006/relationships/hyperlink" Target="https://doi.org/10.1016/j.sandf.2026.101888" TargetMode="External" Id="rId3"/><Relationship Type="http://schemas.openxmlformats.org/officeDocument/2006/relationships/hyperlink" Target="https://doi.org/10.1016/j.jrmge.2026.08.018" TargetMode="External" Id="rId4"/><Relationship Type="http://schemas.openxmlformats.org/officeDocument/2006/relationships/hyperlink" Target="https://doi.org/10.1061/jggefk.gteng-15822" TargetMode="External" Id="rId5"/><Relationship Type="http://schemas.openxmlformats.org/officeDocument/2006/relationships/hyperlink" Target="https://doi.org/10.1016/j.trgeo.2026.102511" TargetMode="External" Id="rId6"/><Relationship Type="http://schemas.openxmlformats.org/officeDocument/2006/relationships/hyperlink" Target="https://doi.org/10.1016/j.jrmge.2026.09.012" TargetMode="External" Id="rId7"/><Relationship Type="http://schemas.openxmlformats.org/officeDocument/2006/relationships/hyperlink" Target="https://doi.org/10.1016/j.jrmge.2026.06.054" TargetMode="External" Id="rId8"/><Relationship Type="http://schemas.openxmlformats.org/officeDocument/2006/relationships/hyperlink" Target="https://doi.org/10.1016/j.jrmge.2026.06.055" TargetMode="External" Id="rId9"/><Relationship Type="http://schemas.openxmlformats.org/officeDocument/2006/relationships/hyperlink" Target="https://doi.org/10.1139/cgj-2026-0666" TargetMode="External" Id="rId10"/><Relationship Type="http://schemas.openxmlformats.org/officeDocument/2006/relationships/hyperlink" Target="https://doi.org/10.1139/cgj-2026-0665" TargetMode="External" Id="rId11"/><Relationship Type="http://schemas.openxmlformats.org/officeDocument/2006/relationships/hyperlink" Target="https://doi.org/10.1016/j.soildyn.2026.110786" TargetMode="External" Id="rId12"/><Relationship Type="http://schemas.openxmlformats.org/officeDocument/2006/relationships/hyperlink" Target="https://doi.org/10.1007/s10346-026-02871-1" TargetMode="External" Id="rId13"/><Relationship Type="http://schemas.openxmlformats.org/officeDocument/2006/relationships/hyperlink" Target="https://doi.org/10.1007/s00603-026-06071-0" TargetMode="External" Id="rId14"/><Relationship Type="http://schemas.openxmlformats.org/officeDocument/2006/relationships/hyperlink" Target="https://doi.org/10.1007/s10346-026-02866-y" TargetMode="External" Id="rId15"/><Relationship Type="http://schemas.openxmlformats.org/officeDocument/2006/relationships/hyperlink" Target="https://doi.org/10.1016/j.compgeo.2026.108775" TargetMode="External" Id="rId16"/><Relationship Type="http://schemas.openxmlformats.org/officeDocument/2006/relationships/hyperlink" Target="https://doi.org/10.1007/s00603-026-06084-9" TargetMode="External" Id="rId17"/><Relationship Type="http://schemas.openxmlformats.org/officeDocument/2006/relationships/hyperlink" Target="https://doi.org/10.1016/j.compgeo.2026.108764" TargetMode="External" Id="rId18"/><Relationship Type="http://schemas.openxmlformats.org/officeDocument/2006/relationships/hyperlink" Target="https://doi.org/10.1016/j.soildyn.2026.110788" TargetMode="External" Id="rId19"/><Relationship Type="http://schemas.openxmlformats.org/officeDocument/2006/relationships/hyperlink" Target="https://doi.org/10.1016/j.enggeo.2026.109188" TargetMode="External" Id="rId20"/><Relationship Type="http://schemas.openxmlformats.org/officeDocument/2006/relationships/hyperlink" Target="https://doi.org/10.1016/j.undsp.2026.10.002" TargetMode="External" Id="rId21"/><Relationship Type="http://schemas.openxmlformats.org/officeDocument/2006/relationships/hyperlink" Target="https://doi.org/10.1007/s10346-026-02867-x" TargetMode="External" Id="rId22"/><Relationship Type="http://schemas.openxmlformats.org/officeDocument/2006/relationships/hyperlink" Target="https://doi.org/10.1007/s10064-026-05374-4" TargetMode="External" Id="rId23"/><Relationship Type="http://schemas.openxmlformats.org/officeDocument/2006/relationships/hyperlink" Target="https://doi.org/10.1007/s00603-026-06108-4" TargetMode="External" Id="rId24"/><Relationship Type="http://schemas.openxmlformats.org/officeDocument/2006/relationships/hyperlink" Target="https://doi.org/10.1016/j.enggeo.2026.109182" TargetMode="External" Id="rId25"/><Relationship Type="http://schemas.openxmlformats.org/officeDocument/2006/relationships/hyperlink" Target="https://doi.org/10.1016/j.enggeo.2026.109177" TargetMode="External" Id="rId26"/><Relationship Type="http://schemas.openxmlformats.org/officeDocument/2006/relationships/hyperlink" Target="https://doi.org/10.1016/j.trgeo.2026.102506" TargetMode="External" Id="rId27"/><Relationship Type="http://schemas.openxmlformats.org/officeDocument/2006/relationships/hyperlink" Target="https://doi.org/10.1002/nag.70467" TargetMode="External" Id="rId28"/><Relationship Type="http://schemas.openxmlformats.org/officeDocument/2006/relationships/hyperlink" Target="https://doi.org/10.1016/j.trgeo.2026.102505" TargetMode="External" Id="rId29"/><Relationship Type="http://schemas.openxmlformats.org/officeDocument/2006/relationships/hyperlink" Target="https://doi.org/10.1016/j.trgeo.2026.102507" TargetMode="External" Id="rId30"/><Relationship Type="http://schemas.openxmlformats.org/officeDocument/2006/relationships/hyperlink" Target="https://doi.org/10.1007/s10346-026-02868-w" TargetMode="External" Id="rId31"/><Relationship Type="http://schemas.openxmlformats.org/officeDocument/2006/relationships/hyperlink" Target="https://doi.org/10.1016/j.jrmge.2026.09.010" TargetMode="External" Id="rId32"/><Relationship Type="http://schemas.openxmlformats.org/officeDocument/2006/relationships/hyperlink" Target="https://doi.org/10.1007/s00603-026-06083-w" TargetMode="External" Id="rId33"/><Relationship Type="http://schemas.openxmlformats.org/officeDocument/2006/relationships/hyperlink" Target="https://doi.org/10.1016/j.soildyn.2026.110738" TargetMode="External" Id="rId34"/><Relationship Type="http://schemas.openxmlformats.org/officeDocument/2006/relationships/hyperlink" Target="https://doi.org/10.1680/jgeen.26.00071" TargetMode="External" Id="rId35"/><Relationship Type="http://schemas.openxmlformats.org/officeDocument/2006/relationships/hyperlink" Target="https://doi.org/10.1016/j.trgeo.2026.102508" TargetMode="External" Id="rId36"/><Relationship Type="http://schemas.openxmlformats.org/officeDocument/2006/relationships/hyperlink" Target="https://doi.org/10.1016/j.undsp.2026.09.007" TargetMode="External" Id="rId37"/><Relationship Type="http://schemas.openxmlformats.org/officeDocument/2006/relationships/hyperlink" Target="https://doi.org/10.1016/j.compgeo.2026.108752" TargetMode="External" Id="rId38"/><Relationship Type="http://schemas.openxmlformats.org/officeDocument/2006/relationships/hyperlink" Target="https://doi.org/10.1007/s00603-026-06076-9" TargetMode="External" Id="rId39"/><Relationship Type="http://schemas.openxmlformats.org/officeDocument/2006/relationships/hyperlink" Target="https://doi.org/10.1007/s00603-026-06094-7" TargetMode="External" Id="rId40"/><Relationship Type="http://schemas.openxmlformats.org/officeDocument/2006/relationships/hyperlink" Target="https://doi.org/10.1016/j.tust.2026.108223" TargetMode="External" Id="rId41"/><Relationship Type="http://schemas.openxmlformats.org/officeDocument/2006/relationships/hyperlink" Target="https://doi.org/10.1016/j.soildyn.2026.110781" TargetMode="External" Id="rId42"/><Relationship Type="http://schemas.openxmlformats.org/officeDocument/2006/relationships/hyperlink" Target="https://doi.org/10.1016/j.tust.2026.108249" TargetMode="External" Id="rId43"/><Relationship Type="http://schemas.openxmlformats.org/officeDocument/2006/relationships/hyperlink" Target="https://doi.org/10.1016/j.tust.2026.108251" TargetMode="External" Id="rId44"/><Relationship Type="http://schemas.openxmlformats.org/officeDocument/2006/relationships/hyperlink" Target="https://doi.org/10.1016/j.soildyn.2026.110791" TargetMode="External" Id="rId45"/><Relationship Type="http://schemas.openxmlformats.org/officeDocument/2006/relationships/hyperlink" Target="https://doi.org/10.1016/j.soildyn.2026.110759" TargetMode="External" Id="rId46"/><Relationship Type="http://schemas.openxmlformats.org/officeDocument/2006/relationships/hyperlink" Target="https://doi.org/10.1016/j.sandf.2026.101883" TargetMode="External" Id="rId47"/><Relationship Type="http://schemas.openxmlformats.org/officeDocument/2006/relationships/hyperlink" Target="https://doi.org/10.1016/j.soildyn.2026.110793" TargetMode="External" Id="rId48"/><Relationship Type="http://schemas.openxmlformats.org/officeDocument/2006/relationships/hyperlink" Target="https://doi.org/10.1016/j.gete.2026.100922" TargetMode="External" Id="rId49"/><Relationship Type="http://schemas.openxmlformats.org/officeDocument/2006/relationships/hyperlink" Target="https://doi.org/10.1007/s10064-026-05322-2" TargetMode="External" Id="rId50"/><Relationship Type="http://schemas.openxmlformats.org/officeDocument/2006/relationships/hyperlink" Target="https://doi.org/10.1007/s00603-026-06107-5" TargetMode="External" Id="rId51"/><Relationship Type="http://schemas.openxmlformats.org/officeDocument/2006/relationships/hyperlink" Target="https://doi.org/10.1007/s00603-026-06090-x" TargetMode="External" Id="rId52"/><Relationship Type="http://schemas.openxmlformats.org/officeDocument/2006/relationships/hyperlink" Target="https://doi.org/10.1016/j.soildyn.2026.110792" TargetMode="External" Id="rId53"/><Relationship Type="http://schemas.openxmlformats.org/officeDocument/2006/relationships/hyperlink" Target="https://doi.org/10.1007/s11440-026-03248-3" TargetMode="External" Id="rId54"/><Relationship Type="http://schemas.openxmlformats.org/officeDocument/2006/relationships/hyperlink" Target="https://doi.org/10.1007/s11440-026-03237-6" TargetMode="External" Id="rId55"/><Relationship Type="http://schemas.openxmlformats.org/officeDocument/2006/relationships/hyperlink" Target="https://doi.org/10.1061/jggefk.gteng-15394" TargetMode="External" Id="rId56"/><Relationship Type="http://schemas.openxmlformats.org/officeDocument/2006/relationships/hyperlink" Target="https://doi.org/10.1016/j.trgeo.2026.102499" TargetMode="External" Id="rId57"/><Relationship Type="http://schemas.openxmlformats.org/officeDocument/2006/relationships/hyperlink" Target="https://doi.org/10.1016/j.sandf.2026.101892" TargetMode="External" Id="rId58"/><Relationship Type="http://schemas.openxmlformats.org/officeDocument/2006/relationships/hyperlink" Target="https://doi.org/10.1680/jgeen.26.00025" TargetMode="External" Id="rId59"/><Relationship Type="http://schemas.openxmlformats.org/officeDocument/2006/relationships/hyperlink" Target="https://doi.org/10.1016/j.tust.2026.108244" TargetMode="External" Id="rId60"/><Relationship Type="http://schemas.openxmlformats.org/officeDocument/2006/relationships/hyperlink" Target="https://doi.org/10.1061/jggefk.gteng-15418" TargetMode="External" Id="rId61"/><Relationship Type="http://schemas.openxmlformats.org/officeDocument/2006/relationships/hyperlink" Target="https://doi.org/10.1007/s10346-026-02861-3" TargetMode="External" Id="rId62"/><Relationship Type="http://schemas.openxmlformats.org/officeDocument/2006/relationships/hyperlink" Target="https://doi.org/10.1007/s11440-026-03261-6" TargetMode="External" Id="rId63"/><Relationship Type="http://schemas.openxmlformats.org/officeDocument/2006/relationships/hyperlink" Target="https://doi.org/10.1016/j.compgeo.2026.108759" TargetMode="External" Id="rId64"/><Relationship Type="http://schemas.openxmlformats.org/officeDocument/2006/relationships/hyperlink" Target="https://doi.org/10.1016/j.enggeo.2026.109161" TargetMode="External" Id="rId65"/><Relationship Type="http://schemas.openxmlformats.org/officeDocument/2006/relationships/hyperlink" Target="https://doi.org/10.1016/j.enggeo.2026.109162" TargetMode="External" Id="rId66"/><Relationship Type="http://schemas.openxmlformats.org/officeDocument/2006/relationships/hyperlink" Target="https://doi.org/10.1016/j.soildyn.2026.110756" TargetMode="External" Id="rId67"/><Relationship Type="http://schemas.openxmlformats.org/officeDocument/2006/relationships/hyperlink" Target="https://doi.org/10.1016/j.enggeo.2026.109180" TargetMode="External" Id="rId68"/><Relationship Type="http://schemas.openxmlformats.org/officeDocument/2006/relationships/hyperlink" Target="https://doi.org/10.1007/s10064-026-05370-8" TargetMode="External" Id="rId69"/><Relationship Type="http://schemas.openxmlformats.org/officeDocument/2006/relationships/hyperlink" Target="https://doi.org/10.1016/j.undsp.2026.09.008" TargetMode="External" Id="rId70"/><Relationship Type="http://schemas.openxmlformats.org/officeDocument/2006/relationships/hyperlink" Target="https://doi.org/10.1680/jgele.26.00008" TargetMode="External" Id="rId71"/><Relationship Type="http://schemas.openxmlformats.org/officeDocument/2006/relationships/hyperlink" Target="https://doi.org/10.1680/jgeot.25.00518" TargetMode="External" Id="rId72"/><Relationship Type="http://schemas.openxmlformats.org/officeDocument/2006/relationships/hyperlink" Target="https://doi.org/10.1016/j.trgeo.2026.102486" TargetMode="External" Id="rId73"/><Relationship Type="http://schemas.openxmlformats.org/officeDocument/2006/relationships/hyperlink" Target="https://doi.org/10.1061/ijgnai.gmeng-13791" TargetMode="External" Id="rId74"/><Relationship Type="http://schemas.openxmlformats.org/officeDocument/2006/relationships/hyperlink" Target="https://doi.org/10.1016/j.enggeo.2026.109186" TargetMode="External" Id="rId75"/><Relationship Type="http://schemas.openxmlformats.org/officeDocument/2006/relationships/hyperlink" Target="https://doi.org/10.1016/j.trgeo.2026.102510" TargetMode="External" Id="rId76"/><Relationship Type="http://schemas.openxmlformats.org/officeDocument/2006/relationships/hyperlink" Target="https://doi.org/10.1007/s10064-026-05356-6" TargetMode="External" Id="rId77"/><Relationship Type="http://schemas.openxmlformats.org/officeDocument/2006/relationships/hyperlink" Target="https://doi.org/10.1016/j.gete.2026.100916" TargetMode="External" Id="rId78"/><Relationship Type="http://schemas.openxmlformats.org/officeDocument/2006/relationships/hyperlink" Target="https://doi.org/10.1007/s10064-026-05375-3" TargetMode="External" Id="rId79"/><Relationship Type="http://schemas.openxmlformats.org/officeDocument/2006/relationships/hyperlink" Target="https://doi.org/10.1016/j.enggeo.2026.109184" TargetMode="External" Id="rId80"/><Relationship Type="http://schemas.openxmlformats.org/officeDocument/2006/relationships/hyperlink" Target="https://doi.org/10.1016/j.enggeo.2026.109191" TargetMode="External" Id="rId81"/><Relationship Type="http://schemas.openxmlformats.org/officeDocument/2006/relationships/hyperlink" Target="https://doi.org/10.1016/j.soildyn.2026.110780" TargetMode="External" Id="rId82"/><Relationship Type="http://schemas.openxmlformats.org/officeDocument/2006/relationships/hyperlink" Target="https://doi.org/10.1007/s10064-026-05371-7" TargetMode="External" Id="rId83"/><Relationship Type="http://schemas.openxmlformats.org/officeDocument/2006/relationships/hyperlink" Target="https://doi.org/10.1061/ijgnai.gmeng-13807" TargetMode="External" Id="rId84"/><Relationship Type="http://schemas.openxmlformats.org/officeDocument/2006/relationships/hyperlink" Target="https://doi.org/10.1016/j.enggeo.2026.109158" TargetMode="External" Id="rId85"/><Relationship Type="http://schemas.openxmlformats.org/officeDocument/2006/relationships/hyperlink" Target="https://doi.org/10.1680/jgein.26.00070" TargetMode="External" Id="rId86"/><Relationship Type="http://schemas.openxmlformats.org/officeDocument/2006/relationships/hyperlink" Target="https://doi.org/10.1007/s10346-026-02870-2" TargetMode="External" Id="rId87"/><Relationship Type="http://schemas.openxmlformats.org/officeDocument/2006/relationships/hyperlink" Target="https://doi.org/10.1002/nag.70466" TargetMode="External" Id="rId88"/><Relationship Type="http://schemas.openxmlformats.org/officeDocument/2006/relationships/hyperlink" Target="https://doi.org/10.1002/nag.70469" TargetMode="External" Id="rId89"/><Relationship Type="http://schemas.openxmlformats.org/officeDocument/2006/relationships/hyperlink" Target="https://doi.org/10.1007/s00603-026-06097-4" TargetMode="External" Id="rId90"/><Relationship Type="http://schemas.openxmlformats.org/officeDocument/2006/relationships/hyperlink" Target="https://doi.org/10.1061/jggefk.gteng-15176" TargetMode="External" Id="rId91"/><Relationship Type="http://schemas.openxmlformats.org/officeDocument/2006/relationships/hyperlink" Target="https://doi.org/10.1007/s10064-026-05365-5" TargetMode="External" Id="rId92"/><Relationship Type="http://schemas.openxmlformats.org/officeDocument/2006/relationships/hyperlink" Target="https://doi.org/10.1007/s10064-026-05361-9" TargetMode="External" Id="rId93"/><Relationship Type="http://schemas.openxmlformats.org/officeDocument/2006/relationships/hyperlink" Target="https://doi.org/10.1016/j.tust.2026.108253" TargetMode="External" Id="rId94"/><Relationship Type="http://schemas.openxmlformats.org/officeDocument/2006/relationships/hyperlink" Target="https://doi.org/10.1007/s00603-026-06036-3" TargetMode="External" Id="rId95"/><Relationship Type="http://schemas.openxmlformats.org/officeDocument/2006/relationships/hyperlink" Target="https://doi.org/10.1007/s00603-026-06050-5" TargetMode="External" Id="rId96"/><Relationship Type="http://schemas.openxmlformats.org/officeDocument/2006/relationships/hyperlink" Target="https://doi.org/10.1007/s10064-026-05359-3" TargetMode="External" Id="rId97"/><Relationship Type="http://schemas.openxmlformats.org/officeDocument/2006/relationships/hyperlink" Target="https://doi.org/10.1061/jggefk.gteng-15318" TargetMode="External" Id="rId98"/><Relationship Type="http://schemas.openxmlformats.org/officeDocument/2006/relationships/hyperlink" Target="https://doi.org/10.1007/s10064-026-05357-5" TargetMode="External" Id="rId99"/><Relationship Type="http://schemas.openxmlformats.org/officeDocument/2006/relationships/hyperlink" Target="https://doi.org/10.1016/j.compgeo.2026.108749" TargetMode="External" Id="rId100"/><Relationship Type="http://schemas.openxmlformats.org/officeDocument/2006/relationships/hyperlink" Target="https://doi.org/10.1007/s11440-026-03269-y" TargetMode="External" Id="rId101"/><Relationship Type="http://schemas.openxmlformats.org/officeDocument/2006/relationships/hyperlink" Target="https://doi.org/10.1016/j.compgeo.2026.108768" TargetMode="External" Id="rId102"/><Relationship Type="http://schemas.openxmlformats.org/officeDocument/2006/relationships/hyperlink" Target="https://doi.org/10.1680/jgeot.25.00605" TargetMode="External" Id="rId103"/><Relationship Type="http://schemas.openxmlformats.org/officeDocument/2006/relationships/hyperlink" Target="https://doi.org/10.1016/j.soildyn.2026.110782" TargetMode="External" Id="rId104"/><Relationship Type="http://schemas.openxmlformats.org/officeDocument/2006/relationships/hyperlink" Target="https://doi.org/10.1061/jggefk.gteng-15142" TargetMode="External" Id="rId105"/><Relationship Type="http://schemas.openxmlformats.org/officeDocument/2006/relationships/hyperlink" Target="https://doi.org/10.1080/17499518.2026.2750358" TargetMode="External" Id="rId106"/><Relationship Type="http://schemas.openxmlformats.org/officeDocument/2006/relationships/hyperlink" Target="https://doi.org/10.1016/j.tust.2026.108241" TargetMode="External" Id="rId107"/><Relationship Type="http://schemas.openxmlformats.org/officeDocument/2006/relationships/hyperlink" Target="https://doi.org/10.1016/j.enggeo.2026.109168" TargetMode="External" Id="rId108"/><Relationship Type="http://schemas.openxmlformats.org/officeDocument/2006/relationships/hyperlink" Target="https://doi.org/10.1016/j.compgeo.2026.108765" TargetMode="External" Id="rId109"/><Relationship Type="http://schemas.openxmlformats.org/officeDocument/2006/relationships/hyperlink" Target="https://doi.org/10.1016/j.trgeo.2026.102482" TargetMode="External" Id="rId110"/><Relationship Type="http://schemas.openxmlformats.org/officeDocument/2006/relationships/hyperlink" Target="https://doi.org/10.1061/jggefk.gteng-15428" TargetMode="External" Id="rId111"/><Relationship Type="http://schemas.openxmlformats.org/officeDocument/2006/relationships/hyperlink" Target="https://doi.org/10.1016/j.undsp.2026.09.005" TargetMode="External" Id="rId112"/><Relationship Type="http://schemas.openxmlformats.org/officeDocument/2006/relationships/table" Target="/xl/tables/table2.xml" Id="rId113"/></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dfi-events.org/dfi51/" TargetMode="External" Id="rId4"/><Relationship Type="http://schemas.openxmlformats.org/officeDocument/2006/relationships/hyperlink" Target="https://www.britishgeotech.org/event/the-2026-geotechnical-engineering-proceedings-lecture-strains-in-sprayed-concrete-tunnel-linings-at-heathrow-terminal-4-and-back-calculation-of-stress/" TargetMode="External" Id="rId5"/><Relationship Type="http://schemas.openxmlformats.org/officeDocument/2006/relationships/hyperlink" Target="https://www.issmge.org/events/pbd-v-conference-2026" TargetMode="External" Id="rId6"/><Relationship Type="http://schemas.openxmlformats.org/officeDocument/2006/relationships/hyperlink" Target="https://www.britishgeotech.org/event/bga-ecg-advanced-laboratory-testing-dynamic-behaviour-of-soils/" TargetMode="External" Id="rId7"/><Relationship Type="http://schemas.openxmlformats.org/officeDocument/2006/relationships/hyperlink" Target="https://about.ita-aites.org/future-events/2671/itacet-lunchtime-lecture-series-60?tmpl=component" TargetMode="External" Id="rId8"/><Relationship Type="http://schemas.openxmlformats.org/officeDocument/2006/relationships/hyperlink" Target="https://www.issmge.org/news/distinguished-lecture-by-prof-kenichi-soga-co-organised-by-issmge-tc207-10-nov-2026" TargetMode="External" Id="rId9"/><Relationship Type="http://schemas.openxmlformats.org/officeDocument/2006/relationships/hyperlink" Target="https://isrm.net/conference/show/6404" TargetMode="External" Id="rId10"/><Relationship Type="http://schemas.openxmlformats.org/officeDocument/2006/relationships/hyperlink" Target="https://about.ita-aites.org/future-events/2558/tunnel-turkey-2026?tmpl=component" TargetMode="External" Id="rId11"/><Relationship Type="http://schemas.openxmlformats.org/officeDocument/2006/relationships/hyperlink" Target="https://www.britishgeotech.org/event/bga-touring-lecture-beyond-automation-responsible-ai-workflows-in-geotechnical-modelling-and-monitoring/" TargetMode="External" Id="rId12"/><Relationship Type="http://schemas.openxmlformats.org/officeDocument/2006/relationships/hyperlink" Target="https://isrm.net/conference/show/6382" TargetMode="External" Id="rId13"/><Relationship Type="http://schemas.openxmlformats.org/officeDocument/2006/relationships/hyperlink" Target="https://about.ita-aites.org/future-events/2652/italian-underground-conference-congress?tmpl=component" TargetMode="External" Id="rId14"/><Relationship Type="http://schemas.openxmlformats.org/officeDocument/2006/relationships/hyperlink" Target="https://www.issmge.org/events/geotec-hanoi-2026-gh2026" TargetMode="External" Id="rId15"/><Relationship Type="http://schemas.openxmlformats.org/officeDocument/2006/relationships/hyperlink" Target="https://www.britishgeotech.org/event/bga-fleming-award-event-2026/" TargetMode="External" Id="rId16"/><Relationship Type="http://schemas.openxmlformats.org/officeDocument/2006/relationships/hyperlink" Target="https://about.ita-aites.org/future-events/2654/tunnelling-asia-2026-international-conference-exhibition?tmpl=component" TargetMode="External" Id="rId17"/><Relationship Type="http://schemas.openxmlformats.org/officeDocument/2006/relationships/hyperlink" Target="https://about.ita-aites.org/future-events/2658/world-tunnel-day-2026-itaym?tmpl=component" TargetMode="External" Id="rId18"/><Relationship Type="http://schemas.openxmlformats.org/officeDocument/2006/relationships/hyperlink" Target="https://www.issmge.org/events/colloque-national-sur-la-gotechnique" TargetMode="External" Id="rId19"/><Relationship Type="http://schemas.openxmlformats.org/officeDocument/2006/relationships/hyperlink" Target="https://about.ita-aites.org/future-events/2666/nepal-tunnelling-conference-2026?tmpl=component" TargetMode="External" Id="rId20"/><Relationship Type="http://schemas.openxmlformats.org/officeDocument/2006/relationships/hyperlink" Target="https://about.ita-aites.org/future-events/2656/underground-construction-association-uca-2027-george-a-fox-conference?tmpl=component" TargetMode="External" Id="rId21"/><Relationship Type="http://schemas.openxmlformats.org/officeDocument/2006/relationships/hyperlink" Target="https://www.issmge.org/events/the-iii-international-research-and-practical-conference-on-geotechnical-engineering-in-cold-regions-the-basis-of-infrastructure-safety-in-global-changes" TargetMode="External" Id="rId22"/><Relationship Type="http://schemas.openxmlformats.org/officeDocument/2006/relationships/hyperlink" Target="https://geoinstitute.org/news/call-abstract-geo-congress-2027-part-asce2027" TargetMode="External" Id="rId23"/><Relationship Type="http://schemas.openxmlformats.org/officeDocument/2006/relationships/hyperlink" Target="https://dfi-events.org/grout27/" TargetMode="External" Id="rId24"/><Relationship Type="http://schemas.openxmlformats.org/officeDocument/2006/relationships/hyperlink" Target="https://www.issmge.org/events/geomandu-2027-11th-aygec-and-1st-sacg-mountain-geotechnics-for-infrastructure-development" TargetMode="External" Id="rId25"/><Relationship Type="http://schemas.openxmlformats.org/officeDocument/2006/relationships/hyperlink" Target="https://www.issmge.org/news/2nd-is-gi-2027-lyon-call-for-abstracts" TargetMode="External" Id="rId26"/><Relationship Type="http://schemas.openxmlformats.org/officeDocument/2006/relationships/hyperlink" Target="https://about.ita-aites.org/future-events/2665/young-professionals-think-deep-programme-antwerp?tmpl=component" TargetMode="External" Id="rId27"/><Relationship Type="http://schemas.openxmlformats.org/officeDocument/2006/relationships/hyperlink" Target="https://about.ita-aites.org/future-events/2350/world-tunnel-congress-wtc-2027" TargetMode="External" Id="rId28"/><Relationship Type="http://schemas.openxmlformats.org/officeDocument/2006/relationships/hyperlink" Target="https://www.ifcee.com/" TargetMode="External" Id="rId29"/><Relationship Type="http://schemas.openxmlformats.org/officeDocument/2006/relationships/hyperlink" Target="https://about.ita-aites.org/future-events/2549/sdc2027-5th-international-conference-on-shaft-design-construction?tmpl=component" TargetMode="External" Id="rId30"/><Relationship Type="http://schemas.openxmlformats.org/officeDocument/2006/relationships/hyperlink" Target="https://www.issmge.org/events/cpt27-international-symposium-on-cone-penetration-testing" TargetMode="External" Id="rId31"/><Relationship Type="http://schemas.openxmlformats.org/officeDocument/2006/relationships/hyperlink" Target="https://www.issmge.org/events/the-4th-international-conference-on-press-in-engineering-2027-icpe2027" TargetMode="External" Id="rId32"/><Relationship Type="http://schemas.openxmlformats.org/officeDocument/2006/relationships/hyperlink" Target="https://www.issmge.org/events/xviii-danube-european-conference-on-geotechnical-engineering" TargetMode="External" Id="rId33"/><Relationship Type="http://schemas.openxmlformats.org/officeDocument/2006/relationships/hyperlink" Target="https://www.issmge.org/events/9th-international-conference-on-debris-flow-hazard-mitigation-dfhm9" TargetMode="External" Id="rId34"/><Relationship Type="http://schemas.openxmlformats.org/officeDocument/2006/relationships/hyperlink" Target="https://www.issmge.org/news/tc223-june-news-update" TargetMode="External" Id="rId35"/><Relationship Type="http://schemas.openxmlformats.org/officeDocument/2006/relationships/hyperlink" Target="https://dfi-events.org/s3-27/" TargetMode="External" Id="rId36"/><Relationship Type="http://schemas.openxmlformats.org/officeDocument/2006/relationships/hyperlink" Target="https://www.issmge.org/events/30th-european-young-geotechnical-engineers-conference-eygec-2027" TargetMode="External" Id="rId37"/><Relationship Type="http://schemas.openxmlformats.org/officeDocument/2006/relationships/hyperlink" Target="https://www.issmge.org/news/tc223-june-news-update" TargetMode="External" Id="rId38"/><Relationship Type="http://schemas.openxmlformats.org/officeDocument/2006/relationships/hyperlink" Target="https://www.britishgeotech.org/event/energy-geotechnics/" TargetMode="External" Id="rId39"/><Relationship Type="http://schemas.openxmlformats.org/officeDocument/2006/relationships/hyperlink" Target="https://www.issmge.org/events/numge2027" TargetMode="External" Id="rId40"/><Relationship Type="http://schemas.openxmlformats.org/officeDocument/2006/relationships/hyperlink" Target="https://dfi-events.org/dfi52/" TargetMode="External" Id="rId41"/><Relationship Type="http://schemas.openxmlformats.org/officeDocument/2006/relationships/hyperlink" Target="https://www.issmge.org/events/10iceg" TargetMode="External" Id="rId42"/><Relationship Type="http://schemas.openxmlformats.org/officeDocument/2006/relationships/hyperlink" Target="https://www.issmge.org/events/18arc" TargetMode="External" Id="rId43"/><Relationship Type="http://schemas.openxmlformats.org/officeDocument/2006/relationships/hyperlink" Target="https://www.issmge.org/events/the-fourth-vietnam-symposium-on-advances-in-offshore-engineering-vsoe-2027" TargetMode="External" Id="rId44"/><Relationship Type="http://schemas.openxmlformats.org/officeDocument/2006/relationships/hyperlink" Target="https://www.issmge.org/events/xiii-chilean-geotechnical-conference" TargetMode="External" Id="rId45"/><Relationship Type="http://schemas.openxmlformats.org/officeDocument/2006/relationships/hyperlink" Target="https://www.issmge.org/events/ecpmg-2028" TargetMode="External" Id="rId46"/><Relationship Type="http://schemas.openxmlformats.org/officeDocument/2006/relationships/hyperlink" Target="https://www.ecsmge-2028.com/" TargetMode="External" Id="rId47"/></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9"/>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31 Oct 2026</t>
        </is>
      </c>
      <c r="C2" s="3" t="n"/>
      <c r="D2" s="3" t="n"/>
      <c r="E2" s="3" t="n"/>
    </row>
    <row r="3" ht="4" customHeight="1">
      <c r="A3" s="5" t="n"/>
      <c r="B3" s="5" t="n"/>
      <c r="C3" s="5" t="n"/>
      <c r="D3" s="5" t="n"/>
      <c r="E3" s="5" t="n"/>
    </row>
    <row r="5" ht="30" customHeight="1">
      <c r="B5" s="6" t="inlineStr">
        <is>
          <t>This workbook holds 354 stories from 8 daily digests, 24 Oct 2026 to 31 Oct 2026, in 8 themes and from 238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112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31 Oct 2026: 3 open deadlines (calls for papers, registration) with the days left, and 44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Geotechnical, of international importance or a landmark project</t>
        </is>
      </c>
      <c r="D37" s="11" t="n"/>
    </row>
    <row r="38" ht="18" customHeight="1">
      <c r="B38" s="20" t="inlineStr">
        <is>
          <t>4 / 5</t>
        </is>
      </c>
      <c r="C38" s="10" t="inlineStr">
        <is>
          <t>Geotechnical, of national or regional importance</t>
        </is>
      </c>
      <c r="D38" s="11" t="n"/>
    </row>
    <row r="39" ht="18" customHeight="1">
      <c r="B39" s="21" t="inlineStr">
        <is>
          <t>3 / 5</t>
        </is>
      </c>
      <c r="C39" s="10" t="inlineStr">
        <is>
          <t>Geotechnical, local or small</t>
        </is>
      </c>
      <c r="D39" s="11" t="n"/>
    </row>
    <row r="40" ht="18" customHeight="1">
      <c r="B40" s="22" t="inlineStr">
        <is>
          <t>2 / 5</t>
        </is>
      </c>
      <c r="C40" s="10" t="inlineStr">
        <is>
          <t>The ground is mentioned only in passing (not kept)</t>
        </is>
      </c>
      <c r="D40" s="11" t="n"/>
    </row>
    <row r="41" ht="18" customHeight="1">
      <c r="B41" s="23" t="inlineStr">
        <is>
          <t>1 / 5</t>
        </is>
      </c>
      <c r="C41" s="10" t="inlineStr">
        <is>
          <t>Not geotechnical (not kept)</t>
        </is>
      </c>
      <c r="D41" s="11" t="n"/>
    </row>
    <row r="42" ht="18" customHeight="1">
      <c r="B42" s="24" t="inlineStr">
        <is>
          <t>–</t>
        </is>
      </c>
      <c r="C42" s="10" t="inlineStr">
        <is>
          <t>Shown as –. Not rated by AI: ranked on keyword matches only</t>
        </is>
      </c>
      <c r="D42" s="11" t="n"/>
    </row>
    <row r="43" ht="31" customHeight="1">
      <c r="B43" s="25" t="inlineStr">
        <is>
          <t>Earlier</t>
        </is>
      </c>
      <c r="C43" s="10" t="inlineStr">
        <is>
          <t>Ratings in the digests up to and including 26 October 2026 measured geotechnical substance alone, without size.</t>
        </is>
      </c>
      <c r="D43" s="11" t="n"/>
    </row>
    <row r="45" ht="22" customHeight="1">
      <c r="B45" s="7" t="inlineStr">
        <is>
          <t>Jump to a theme (opens its section in By theme)</t>
        </is>
      </c>
      <c r="C45" s="8" t="n"/>
      <c r="D45" s="8" t="n"/>
    </row>
    <row r="46" ht="18" customHeight="1">
      <c r="B46" s="26" t="inlineStr">
        <is>
          <t>Sustainability &amp; the Energy Transition</t>
        </is>
      </c>
      <c r="C46" s="10" t="inlineStr">
        <is>
          <t>7 stories · 1 rated 5 / 5 · 2 feature leads</t>
        </is>
      </c>
      <c r="D46" s="11" t="n"/>
    </row>
    <row r="47" ht="18" customHeight="1">
      <c r="B47" s="27" t="inlineStr">
        <is>
          <t>Digital Geotechnics</t>
        </is>
      </c>
      <c r="C47" s="10" t="inlineStr">
        <is>
          <t>11 stories · 1 rated 5 / 5 · 4 feature leads</t>
        </is>
      </c>
      <c r="D47" s="11" t="n"/>
    </row>
    <row r="48" ht="18" customHeight="1">
      <c r="B48" s="28" t="inlineStr">
        <is>
          <t>Hazards &amp; Resilience</t>
        </is>
      </c>
      <c r="C48" s="10" t="inlineStr">
        <is>
          <t>142 stories · 16 rated 5 / 5 · 65 feature leads</t>
        </is>
      </c>
      <c r="D48" s="11" t="n"/>
    </row>
    <row r="49" ht="18" customHeight="1">
      <c r="B49" s="29" t="inlineStr">
        <is>
          <t>Ground Improvement &amp; Innovation</t>
        </is>
      </c>
      <c r="C49" s="10" t="inlineStr">
        <is>
          <t>7 stories · 2 rated 5 / 5 · 2 feature leads</t>
        </is>
      </c>
      <c r="D49" s="11" t="n"/>
    </row>
    <row r="50" ht="18" customHeight="1">
      <c r="B50" s="30" t="inlineStr">
        <is>
          <t>Infrastructure &amp; the Underground City</t>
        </is>
      </c>
      <c r="C50" s="10" t="inlineStr">
        <is>
          <t>134 stories · 3 rated 5 / 5 · 36 feature leads</t>
        </is>
      </c>
      <c r="D50" s="11" t="n"/>
    </row>
    <row r="51" ht="18" customHeight="1">
      <c r="B51" s="31" t="inlineStr">
        <is>
          <t>Offshore, Coasts &amp; Water</t>
        </is>
      </c>
      <c r="C51" s="10" t="inlineStr">
        <is>
          <t>26 stories · 1 rated 5 / 5 · 8 feature leads</t>
        </is>
      </c>
      <c r="D51" s="11" t="n"/>
    </row>
    <row r="52" ht="18" customHeight="1">
      <c r="B52" s="32" t="inlineStr">
        <is>
          <t>Characterisation &amp; Modelling</t>
        </is>
      </c>
      <c r="C52" s="10" t="inlineStr">
        <is>
          <t>19 stories · 0 rated 5 / 5 · 7 feature leads</t>
        </is>
      </c>
      <c r="D52" s="11" t="n"/>
    </row>
    <row r="53" ht="18" customHeight="1">
      <c r="B53" s="33" t="inlineStr">
        <is>
          <t>Geotechnics &amp; Society</t>
        </is>
      </c>
      <c r="C53" s="10" t="inlineStr">
        <is>
          <t>8 stories · 0 rated 5 / 5 · 2 feature leads</t>
        </is>
      </c>
      <c r="D53" s="11" t="n"/>
    </row>
    <row r="54" ht="18" customHeight="1">
      <c r="B54" s="34" t="inlineStr">
        <is>
          <t>No stories yet</t>
        </is>
      </c>
      <c r="C54" s="10" t="inlineStr">
        <is>
          <t>General</t>
        </is>
      </c>
      <c r="D54" s="11" t="n"/>
    </row>
    <row r="56" ht="22" customHeight="1">
      <c r="B56" s="7" t="inlineStr">
        <is>
          <t>Good to know</t>
        </is>
      </c>
      <c r="C56" s="8" t="n"/>
      <c r="D56" s="8" t="n"/>
    </row>
    <row r="57" ht="44" customHeight="1">
      <c r="B57" s="35" t="inlineStr">
        <is>
          <t>Blank figures?</t>
        </is>
      </c>
      <c r="C57" s="10" t="inlineStr">
        <is>
          <t>The Dashboard is calculated when the file opens. If it shows blanks or zeros in Excel, click Enable Editing in the yellow bar at the top (files from the internet open in Protected View); in LibreOffice press Ctrl+Shift+F9.</t>
        </is>
      </c>
      <c r="D57" s="11" t="n"/>
    </row>
    <row r="58" ht="31" customHeight="1">
      <c r="B58" s="35" t="inlineStr">
        <is>
          <t>Your edits</t>
        </is>
      </c>
      <c r="C58" s="10" t="inlineStr">
        <is>
          <t>This file is generated again after every scan. Status, Assigned to and Editor notes are kept only in the copy you save, so keep one working copy per issue.</t>
        </is>
      </c>
      <c r="D58" s="11" t="n"/>
    </row>
    <row r="59" ht="31" customHeight="1">
      <c r="B59" s="35" t="inlineStr">
        <is>
          <t>Lists sheet</t>
        </is>
      </c>
      <c r="C59" s="10" t="inlineStr">
        <is>
          <t>A hidden sheet holds the values offered by the dropdowns and some helper cells. There is no need to change it.</t>
        </is>
      </c>
      <c r="D59" s="11" t="n"/>
    </row>
  </sheetData>
  <mergeCells count="43">
    <mergeCell ref="C34:D34"/>
    <mergeCell ref="C24:D24"/>
    <mergeCell ref="C30:D30"/>
    <mergeCell ref="C33:D33"/>
    <mergeCell ref="B1:D1"/>
    <mergeCell ref="C42:D42"/>
    <mergeCell ref="C58:D58"/>
    <mergeCell ref="C26:D26"/>
    <mergeCell ref="C20:D20"/>
    <mergeCell ref="C10:D10"/>
    <mergeCell ref="C16:D16"/>
    <mergeCell ref="C47:D47"/>
    <mergeCell ref="C54:D54"/>
    <mergeCell ref="C25:D25"/>
    <mergeCell ref="C41:D41"/>
    <mergeCell ref="C50:D50"/>
    <mergeCell ref="C40:D40"/>
    <mergeCell ref="C9:D9"/>
    <mergeCell ref="C31:D31"/>
    <mergeCell ref="C59:D59"/>
    <mergeCell ref="C43:D43"/>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6" location="'By theme'!A4" display="Sustainability &amp; the Energy Transition"/>
    <hyperlink ref="B47" location="'By theme'!A14" display="Digital Geotechnics"/>
    <hyperlink ref="B48" location="'By theme'!A28" display="Hazards &amp; Resilience"/>
    <hyperlink ref="B49" location="'By theme'!A173" display="Ground Improvement &amp; Innovation"/>
    <hyperlink ref="B50" location="'By theme'!A183" display="Infrastructure &amp; the Underground City"/>
    <hyperlink ref="B51" location="'By theme'!A320" display="Offshore, Coasts &amp; Water"/>
    <hyperlink ref="B52" location="'By theme'!A349" display="Characterisation &amp; Modelling"/>
    <hyperlink ref="B53" location="'By theme'!A37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81"/>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31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6" t="inlineStr">
        <is>
          <t>THEME</t>
        </is>
      </c>
      <c r="G4" s="36" t="inlineStr">
        <is>
          <t>SUGGESTED USE</t>
        </is>
      </c>
      <c r="K4" s="36" t="inlineStr">
        <is>
          <t>MINIMUM RELEVANCE (OUT OF 5)</t>
        </is>
      </c>
      <c r="N4" s="36" t="inlineStr">
        <is>
          <t>ISSUE WINDOW</t>
        </is>
      </c>
      <c r="Q4" s="37" t="inlineStr">
        <is>
          <t>Tip: click a yellow box, then its ▼ arrow, to choose. Pick “All …” or “Any” to clear it. Everything below updates.</t>
        </is>
      </c>
      <c r="R4" s="38" t="n"/>
      <c r="S4" s="38" t="n"/>
    </row>
    <row r="5" ht="26" customHeight="1">
      <c r="B5" s="39" t="inlineStr">
        <is>
          <t>All themes</t>
        </is>
      </c>
      <c r="C5" s="40" t="n"/>
      <c r="D5" s="40" t="n"/>
      <c r="E5" s="40" t="n"/>
      <c r="F5" s="41" t="n"/>
      <c r="G5" s="39" t="inlineStr">
        <is>
          <t>All uses</t>
        </is>
      </c>
      <c r="H5" s="40" t="n"/>
      <c r="I5" s="40" t="n"/>
      <c r="J5" s="41" t="n"/>
      <c r="K5" s="39" t="inlineStr">
        <is>
          <t>Any</t>
        </is>
      </c>
      <c r="L5" s="40" t="n"/>
      <c r="M5" s="41" t="n"/>
      <c r="N5" s="39" t="inlineStr">
        <is>
          <t>All windows</t>
        </is>
      </c>
      <c r="O5" s="40" t="n"/>
      <c r="P5" s="41" t="n"/>
      <c r="Q5" s="38" t="n"/>
      <c r="R5" s="38" t="n"/>
      <c r="S5" s="38" t="n"/>
    </row>
    <row r="6" ht="18" customHeight="1">
      <c r="B6" s="42">
        <f>"Showing "&amp;Lists!$H$6&amp;" of "&amp;Lists!$H$4&amp;" stories"&amp;IF(Lists!$H$5," – no selector set."," for the selection above. Set every box back to All / Any to see everything.")</f>
        <v/>
      </c>
    </row>
    <row r="7" ht="8" customHeight="1"/>
    <row r="8" ht="36" customHeight="1">
      <c r="B8" s="43">
        <f>Lists!$H$6</f>
        <v/>
      </c>
      <c r="C8" s="44" t="n"/>
      <c r="D8" s="44" t="n"/>
      <c r="E8" s="45">
        <f>IF(Lists!$H$5,Lists!$H$3,COUNTIF(Lists!$K$2:$K$9,"&gt;0"))</f>
        <v/>
      </c>
      <c r="F8" s="46" t="n"/>
      <c r="G8" s="46" t="n"/>
      <c r="H8" s="47">
        <f>COUNTIFS(Stories!$W$4:$W$357,1,Stories!$D$4:$D$357,5)</f>
        <v/>
      </c>
      <c r="I8" s="48" t="n"/>
      <c r="J8" s="48" t="n"/>
      <c r="K8" s="49">
        <f>COUNTIFS(Stories!$W$4:$W$357,1,Stories!$E$4:$E$357,"Feature lead")</f>
        <v/>
      </c>
      <c r="L8" s="50" t="n"/>
      <c r="M8" s="50" t="n"/>
      <c r="N8" s="51">
        <f>COUNTIFS(Stories!$W$4:$W$357,1,Stories!$F$4:$F$357,"Shortlisted")+COUNTIFS(Stories!$W$4:$W$357,1,Stories!$F$4:$F$357,"Commissioned")+COUNTIFS(Stories!$W$4:$W$357,1,Stories!$F$4:$F$357,"Published")</f>
        <v/>
      </c>
      <c r="O8" s="52" t="n"/>
      <c r="P8" s="52" t="n"/>
      <c r="Q8" s="53">
        <f>COUNTIF(Sources!$C$4:$C$241,"&gt;0")</f>
        <v/>
      </c>
      <c r="R8" s="54" t="n"/>
      <c r="S8" s="54" t="n"/>
    </row>
    <row r="9" ht="15" customHeight="1">
      <c r="B9" s="55" t="inlineStr">
        <is>
          <t>STORIES</t>
        </is>
      </c>
      <c r="C9" s="56" t="n"/>
      <c r="D9" s="56" t="n"/>
      <c r="E9" s="57">
        <f>IF(Lists!$H$5,"DAILY DIGESTS","DIGESTS WITH MATCHES")</f>
        <v/>
      </c>
      <c r="F9" s="58" t="n"/>
      <c r="G9" s="58" t="n"/>
      <c r="H9" s="59" t="inlineStr">
        <is>
          <t>RATED 5 / 5</t>
        </is>
      </c>
      <c r="I9" s="60" t="n"/>
      <c r="J9" s="60" t="n"/>
      <c r="K9" s="61" t="inlineStr">
        <is>
          <t>FEATURE LEADS</t>
        </is>
      </c>
      <c r="L9" s="62" t="n"/>
      <c r="M9" s="62" t="n"/>
      <c r="N9" s="63" t="inlineStr">
        <is>
          <t>PLANNED</t>
        </is>
      </c>
      <c r="O9" s="64" t="n"/>
      <c r="P9" s="64" t="n"/>
      <c r="Q9" s="65" t="inlineStr">
        <is>
          <t>SOURCES</t>
        </is>
      </c>
      <c r="R9" s="66" t="n"/>
      <c r="S9" s="66" t="n"/>
    </row>
    <row r="10" ht="15" customHeight="1">
      <c r="B10" s="67">
        <f>"of "&amp;Lists!$H$4&amp;" in this workbook"</f>
        <v/>
      </c>
      <c r="C10" s="56" t="n"/>
      <c r="D10" s="56" t="n"/>
      <c r="E10" s="68">
        <f>IF(Lists!$H$5,"scans in this period","of "&amp;Lists!$H$3&amp;" scans in this period")</f>
        <v/>
      </c>
      <c r="F10" s="58" t="n"/>
      <c r="G10" s="58" t="n"/>
      <c r="H10" s="69">
        <f>"rated 4 / 5: "&amp;COUNTIFS(Stories!$W$4:$W$357,1,Stories!$D$4:$D$357,4)</f>
        <v/>
      </c>
      <c r="I10" s="60" t="n"/>
      <c r="J10" s="60" t="n"/>
      <c r="K10" s="70">
        <f>"news briefs: "&amp;COUNTIFS(Stories!$W$4:$W$357,1,Stories!$E$4:$E$357,"News brief")</f>
        <v/>
      </c>
      <c r="L10" s="62" t="n"/>
      <c r="M10" s="62" t="n"/>
      <c r="N10" s="71">
        <f>"shortlisted or later · to review: "&amp;COUNTIFS(Stories!$W$4:$W$357,1,Stories!$F$4:$F$357,"To review")</f>
        <v/>
      </c>
      <c r="O10" s="64" t="n"/>
      <c r="P10" s="64" t="n"/>
      <c r="Q10" s="72">
        <f>"of 238 outlets in this workbook"</f>
        <v/>
      </c>
      <c r="R10" s="66" t="n"/>
      <c r="S10" s="66"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3" t="inlineStr">
        <is>
          <t>#</t>
        </is>
      </c>
      <c r="C13" s="74" t="inlineStr">
        <is>
          <t>Headline (click to open the article)</t>
        </is>
      </c>
      <c r="D13" s="1" t="n"/>
      <c r="E13" s="1" t="n"/>
      <c r="F13" s="1" t="n"/>
      <c r="G13" s="1" t="n"/>
      <c r="H13" s="1" t="n"/>
      <c r="I13" s="73" t="inlineStr">
        <is>
          <t>Digest</t>
        </is>
      </c>
      <c r="J13" s="74" t="inlineStr">
        <is>
          <t>Theme</t>
        </is>
      </c>
      <c r="K13" s="1" t="n"/>
      <c r="L13" s="1" t="n"/>
      <c r="M13" s="73" t="inlineStr">
        <is>
          <t>Relevance</t>
        </is>
      </c>
      <c r="N13" s="74" t="inlineStr">
        <is>
          <t>Suggested use</t>
        </is>
      </c>
      <c r="O13" s="1" t="n"/>
      <c r="P13" s="74" t="inlineStr">
        <is>
          <t>Source</t>
        </is>
      </c>
      <c r="Q13" s="1" t="n"/>
      <c r="R13" s="73" t="inlineStr">
        <is>
          <t>Story No.</t>
        </is>
      </c>
      <c r="S13" s="73" t="inlineStr">
        <is>
          <t>Status</t>
        </is>
      </c>
    </row>
    <row r="14" ht="30" customHeight="1">
      <c r="B14" s="75">
        <f>IF(Lists!$O$2="","",1)</f>
        <v/>
      </c>
      <c r="C14" s="76">
        <f>IF(Lists!$O$2="","No stories match this selection – choose “All …” or “Any” in a box above.",IF(AND(Lists!$P$2&lt;&gt;"",LEN(Lists!$P$2)&lt;=255),HYPERLINK(Lists!$P$2,Lists!$Q$2),HYPERLINK("#'Stories'!B"&amp;(Lists!$O$2+3),Lists!$Q$2)))</f>
        <v/>
      </c>
      <c r="D14" s="77" t="n"/>
      <c r="E14" s="77" t="n"/>
      <c r="F14" s="77" t="n"/>
      <c r="G14" s="77" t="n"/>
      <c r="H14" s="77" t="n"/>
      <c r="I14" s="78">
        <f>IF(Lists!$O$2="","",INDEX(Stories!$K$4:$K$357,Lists!$O$2))</f>
        <v/>
      </c>
      <c r="J14" s="79">
        <f>IF(Lists!$O$2="","",INDEX(Stories!$C$4:$C$357,Lists!$O$2)&amp;"")</f>
        <v/>
      </c>
      <c r="K14" s="77" t="n"/>
      <c r="L14" s="77" t="n"/>
      <c r="M14" s="80">
        <f>IF(Lists!$O$2="","",INDEX(Stories!$D$4:$D$357,Lists!$O$2))</f>
        <v/>
      </c>
      <c r="N14" s="81">
        <f>IF(Lists!$O$2="","",INDEX(Stories!$E$4:$E$357,Lists!$O$2)&amp;"")</f>
        <v/>
      </c>
      <c r="O14" s="77" t="n"/>
      <c r="P14" s="81">
        <f>IF(Lists!$O$2="","",INDEX(Stories!$J$4:$J$357,Lists!$O$2)&amp;"")</f>
        <v/>
      </c>
      <c r="Q14" s="77" t="n"/>
      <c r="R14" s="82">
        <f>IF(Lists!$O$2="","",INDEX(Stories!$A$4:$A$357,Lists!$O$2))</f>
        <v/>
      </c>
      <c r="S14" s="83">
        <f>IF(Lists!$O$2="","",INDEX(Stories!$F$4:$F$357,Lists!$O$2)&amp;"")</f>
        <v/>
      </c>
    </row>
    <row r="15" ht="30" customHeight="1">
      <c r="B15" s="84">
        <f>IF(Lists!$O$3="","",2)</f>
        <v/>
      </c>
      <c r="C15" s="85">
        <f>IF(Lists!$O$3="","",IF(AND(Lists!$P$3&lt;&gt;"",LEN(Lists!$P$3)&lt;=255),HYPERLINK(Lists!$P$3,Lists!$Q$3),HYPERLINK("#'Stories'!B"&amp;(Lists!$O$3+3),Lists!$Q$3)))</f>
        <v/>
      </c>
      <c r="D15" s="86" t="n"/>
      <c r="E15" s="86" t="n"/>
      <c r="F15" s="86" t="n"/>
      <c r="G15" s="86" t="n"/>
      <c r="H15" s="86" t="n"/>
      <c r="I15" s="87">
        <f>IF(Lists!$O$3="","",INDEX(Stories!$K$4:$K$357,Lists!$O$3))</f>
        <v/>
      </c>
      <c r="J15" s="88">
        <f>IF(Lists!$O$3="","",INDEX(Stories!$C$4:$C$357,Lists!$O$3)&amp;"")</f>
        <v/>
      </c>
      <c r="K15" s="86" t="n"/>
      <c r="L15" s="86" t="n"/>
      <c r="M15" s="89">
        <f>IF(Lists!$O$3="","",INDEX(Stories!$D$4:$D$357,Lists!$O$3))</f>
        <v/>
      </c>
      <c r="N15" s="90">
        <f>IF(Lists!$O$3="","",INDEX(Stories!$E$4:$E$357,Lists!$O$3)&amp;"")</f>
        <v/>
      </c>
      <c r="O15" s="86" t="n"/>
      <c r="P15" s="90">
        <f>IF(Lists!$O$3="","",INDEX(Stories!$J$4:$J$357,Lists!$O$3)&amp;"")</f>
        <v/>
      </c>
      <c r="Q15" s="86" t="n"/>
      <c r="R15" s="91">
        <f>IF(Lists!$O$3="","",INDEX(Stories!$A$4:$A$357,Lists!$O$3))</f>
        <v/>
      </c>
      <c r="S15" s="92">
        <f>IF(Lists!$O$3="","",INDEX(Stories!$F$4:$F$357,Lists!$O$3)&amp;"")</f>
        <v/>
      </c>
    </row>
    <row r="16" ht="30" customHeight="1">
      <c r="B16" s="75">
        <f>IF(Lists!$O$4="","",3)</f>
        <v/>
      </c>
      <c r="C16" s="76">
        <f>IF(Lists!$O$4="","",IF(AND(Lists!$P$4&lt;&gt;"",LEN(Lists!$P$4)&lt;=255),HYPERLINK(Lists!$P$4,Lists!$Q$4),HYPERLINK("#'Stories'!B"&amp;(Lists!$O$4+3),Lists!$Q$4)))</f>
        <v/>
      </c>
      <c r="D16" s="77" t="n"/>
      <c r="E16" s="77" t="n"/>
      <c r="F16" s="77" t="n"/>
      <c r="G16" s="77" t="n"/>
      <c r="H16" s="77" t="n"/>
      <c r="I16" s="78">
        <f>IF(Lists!$O$4="","",INDEX(Stories!$K$4:$K$357,Lists!$O$4))</f>
        <v/>
      </c>
      <c r="J16" s="79">
        <f>IF(Lists!$O$4="","",INDEX(Stories!$C$4:$C$357,Lists!$O$4)&amp;"")</f>
        <v/>
      </c>
      <c r="K16" s="77" t="n"/>
      <c r="L16" s="77" t="n"/>
      <c r="M16" s="80">
        <f>IF(Lists!$O$4="","",INDEX(Stories!$D$4:$D$357,Lists!$O$4))</f>
        <v/>
      </c>
      <c r="N16" s="81">
        <f>IF(Lists!$O$4="","",INDEX(Stories!$E$4:$E$357,Lists!$O$4)&amp;"")</f>
        <v/>
      </c>
      <c r="O16" s="77" t="n"/>
      <c r="P16" s="81">
        <f>IF(Lists!$O$4="","",INDEX(Stories!$J$4:$J$357,Lists!$O$4)&amp;"")</f>
        <v/>
      </c>
      <c r="Q16" s="77" t="n"/>
      <c r="R16" s="82">
        <f>IF(Lists!$O$4="","",INDEX(Stories!$A$4:$A$357,Lists!$O$4))</f>
        <v/>
      </c>
      <c r="S16" s="83">
        <f>IF(Lists!$O$4="","",INDEX(Stories!$F$4:$F$357,Lists!$O$4)&amp;"")</f>
        <v/>
      </c>
    </row>
    <row r="17" ht="30" customHeight="1">
      <c r="B17" s="84">
        <f>IF(Lists!$O$5="","",4)</f>
        <v/>
      </c>
      <c r="C17" s="85">
        <f>IF(Lists!$O$5="","",IF(AND(Lists!$P$5&lt;&gt;"",LEN(Lists!$P$5)&lt;=255),HYPERLINK(Lists!$P$5,Lists!$Q$5),HYPERLINK("#'Stories'!B"&amp;(Lists!$O$5+3),Lists!$Q$5)))</f>
        <v/>
      </c>
      <c r="D17" s="86" t="n"/>
      <c r="E17" s="86" t="n"/>
      <c r="F17" s="86" t="n"/>
      <c r="G17" s="86" t="n"/>
      <c r="H17" s="86" t="n"/>
      <c r="I17" s="87">
        <f>IF(Lists!$O$5="","",INDEX(Stories!$K$4:$K$357,Lists!$O$5))</f>
        <v/>
      </c>
      <c r="J17" s="88">
        <f>IF(Lists!$O$5="","",INDEX(Stories!$C$4:$C$357,Lists!$O$5)&amp;"")</f>
        <v/>
      </c>
      <c r="K17" s="86" t="n"/>
      <c r="L17" s="86" t="n"/>
      <c r="M17" s="89">
        <f>IF(Lists!$O$5="","",INDEX(Stories!$D$4:$D$357,Lists!$O$5))</f>
        <v/>
      </c>
      <c r="N17" s="90">
        <f>IF(Lists!$O$5="","",INDEX(Stories!$E$4:$E$357,Lists!$O$5)&amp;"")</f>
        <v/>
      </c>
      <c r="O17" s="86" t="n"/>
      <c r="P17" s="90">
        <f>IF(Lists!$O$5="","",INDEX(Stories!$J$4:$J$357,Lists!$O$5)&amp;"")</f>
        <v/>
      </c>
      <c r="Q17" s="86" t="n"/>
      <c r="R17" s="91">
        <f>IF(Lists!$O$5="","",INDEX(Stories!$A$4:$A$357,Lists!$O$5))</f>
        <v/>
      </c>
      <c r="S17" s="92">
        <f>IF(Lists!$O$5="","",INDEX(Stories!$F$4:$F$357,Lists!$O$5)&amp;"")</f>
        <v/>
      </c>
    </row>
    <row r="18" ht="30" customHeight="1">
      <c r="B18" s="75">
        <f>IF(Lists!$O$6="","",5)</f>
        <v/>
      </c>
      <c r="C18" s="76">
        <f>IF(Lists!$O$6="","",IF(AND(Lists!$P$6&lt;&gt;"",LEN(Lists!$P$6)&lt;=255),HYPERLINK(Lists!$P$6,Lists!$Q$6),HYPERLINK("#'Stories'!B"&amp;(Lists!$O$6+3),Lists!$Q$6)))</f>
        <v/>
      </c>
      <c r="D18" s="77" t="n"/>
      <c r="E18" s="77" t="n"/>
      <c r="F18" s="77" t="n"/>
      <c r="G18" s="77" t="n"/>
      <c r="H18" s="77" t="n"/>
      <c r="I18" s="78">
        <f>IF(Lists!$O$6="","",INDEX(Stories!$K$4:$K$357,Lists!$O$6))</f>
        <v/>
      </c>
      <c r="J18" s="79">
        <f>IF(Lists!$O$6="","",INDEX(Stories!$C$4:$C$357,Lists!$O$6)&amp;"")</f>
        <v/>
      </c>
      <c r="K18" s="77" t="n"/>
      <c r="L18" s="77" t="n"/>
      <c r="M18" s="80">
        <f>IF(Lists!$O$6="","",INDEX(Stories!$D$4:$D$357,Lists!$O$6))</f>
        <v/>
      </c>
      <c r="N18" s="81">
        <f>IF(Lists!$O$6="","",INDEX(Stories!$E$4:$E$357,Lists!$O$6)&amp;"")</f>
        <v/>
      </c>
      <c r="O18" s="77" t="n"/>
      <c r="P18" s="81">
        <f>IF(Lists!$O$6="","",INDEX(Stories!$J$4:$J$357,Lists!$O$6)&amp;"")</f>
        <v/>
      </c>
      <c r="Q18" s="77" t="n"/>
      <c r="R18" s="82">
        <f>IF(Lists!$O$6="","",INDEX(Stories!$A$4:$A$357,Lists!$O$6))</f>
        <v/>
      </c>
      <c r="S18" s="83">
        <f>IF(Lists!$O$6="","",INDEX(Stories!$F$4:$F$357,Lists!$O$6)&amp;"")</f>
        <v/>
      </c>
    </row>
    <row r="19" ht="30" customHeight="1">
      <c r="B19" s="84">
        <f>IF(Lists!$O$7="","",6)</f>
        <v/>
      </c>
      <c r="C19" s="85">
        <f>IF(Lists!$O$7="","",IF(AND(Lists!$P$7&lt;&gt;"",LEN(Lists!$P$7)&lt;=255),HYPERLINK(Lists!$P$7,Lists!$Q$7),HYPERLINK("#'Stories'!B"&amp;(Lists!$O$7+3),Lists!$Q$7)))</f>
        <v/>
      </c>
      <c r="D19" s="86" t="n"/>
      <c r="E19" s="86" t="n"/>
      <c r="F19" s="86" t="n"/>
      <c r="G19" s="86" t="n"/>
      <c r="H19" s="86" t="n"/>
      <c r="I19" s="87">
        <f>IF(Lists!$O$7="","",INDEX(Stories!$K$4:$K$357,Lists!$O$7))</f>
        <v/>
      </c>
      <c r="J19" s="88">
        <f>IF(Lists!$O$7="","",INDEX(Stories!$C$4:$C$357,Lists!$O$7)&amp;"")</f>
        <v/>
      </c>
      <c r="K19" s="86" t="n"/>
      <c r="L19" s="86" t="n"/>
      <c r="M19" s="89">
        <f>IF(Lists!$O$7="","",INDEX(Stories!$D$4:$D$357,Lists!$O$7))</f>
        <v/>
      </c>
      <c r="N19" s="90">
        <f>IF(Lists!$O$7="","",INDEX(Stories!$E$4:$E$357,Lists!$O$7)&amp;"")</f>
        <v/>
      </c>
      <c r="O19" s="86" t="n"/>
      <c r="P19" s="90">
        <f>IF(Lists!$O$7="","",INDEX(Stories!$J$4:$J$357,Lists!$O$7)&amp;"")</f>
        <v/>
      </c>
      <c r="Q19" s="86" t="n"/>
      <c r="R19" s="91">
        <f>IF(Lists!$O$7="","",INDEX(Stories!$A$4:$A$357,Lists!$O$7))</f>
        <v/>
      </c>
      <c r="S19" s="92">
        <f>IF(Lists!$O$7="","",INDEX(Stories!$F$4:$F$357,Lists!$O$7)&amp;"")</f>
        <v/>
      </c>
    </row>
    <row r="20" ht="30" customHeight="1">
      <c r="B20" s="75">
        <f>IF(Lists!$O$8="","",7)</f>
        <v/>
      </c>
      <c r="C20" s="76">
        <f>IF(Lists!$O$8="","",IF(AND(Lists!$P$8&lt;&gt;"",LEN(Lists!$P$8)&lt;=255),HYPERLINK(Lists!$P$8,Lists!$Q$8),HYPERLINK("#'Stories'!B"&amp;(Lists!$O$8+3),Lists!$Q$8)))</f>
        <v/>
      </c>
      <c r="D20" s="77" t="n"/>
      <c r="E20" s="77" t="n"/>
      <c r="F20" s="77" t="n"/>
      <c r="G20" s="77" t="n"/>
      <c r="H20" s="77" t="n"/>
      <c r="I20" s="78">
        <f>IF(Lists!$O$8="","",INDEX(Stories!$K$4:$K$357,Lists!$O$8))</f>
        <v/>
      </c>
      <c r="J20" s="79">
        <f>IF(Lists!$O$8="","",INDEX(Stories!$C$4:$C$357,Lists!$O$8)&amp;"")</f>
        <v/>
      </c>
      <c r="K20" s="77" t="n"/>
      <c r="L20" s="77" t="n"/>
      <c r="M20" s="80">
        <f>IF(Lists!$O$8="","",INDEX(Stories!$D$4:$D$357,Lists!$O$8))</f>
        <v/>
      </c>
      <c r="N20" s="81">
        <f>IF(Lists!$O$8="","",INDEX(Stories!$E$4:$E$357,Lists!$O$8)&amp;"")</f>
        <v/>
      </c>
      <c r="O20" s="77" t="n"/>
      <c r="P20" s="81">
        <f>IF(Lists!$O$8="","",INDEX(Stories!$J$4:$J$357,Lists!$O$8)&amp;"")</f>
        <v/>
      </c>
      <c r="Q20" s="77" t="n"/>
      <c r="R20" s="82">
        <f>IF(Lists!$O$8="","",INDEX(Stories!$A$4:$A$357,Lists!$O$8))</f>
        <v/>
      </c>
      <c r="S20" s="83">
        <f>IF(Lists!$O$8="","",INDEX(Stories!$F$4:$F$357,Lists!$O$8)&amp;"")</f>
        <v/>
      </c>
    </row>
    <row r="21" ht="30" customHeight="1">
      <c r="B21" s="84">
        <f>IF(Lists!$O$9="","",8)</f>
        <v/>
      </c>
      <c r="C21" s="85">
        <f>IF(Lists!$O$9="","",IF(AND(Lists!$P$9&lt;&gt;"",LEN(Lists!$P$9)&lt;=255),HYPERLINK(Lists!$P$9,Lists!$Q$9),HYPERLINK("#'Stories'!B"&amp;(Lists!$O$9+3),Lists!$Q$9)))</f>
        <v/>
      </c>
      <c r="D21" s="86" t="n"/>
      <c r="E21" s="86" t="n"/>
      <c r="F21" s="86" t="n"/>
      <c r="G21" s="86" t="n"/>
      <c r="H21" s="86" t="n"/>
      <c r="I21" s="87">
        <f>IF(Lists!$O$9="","",INDEX(Stories!$K$4:$K$357,Lists!$O$9))</f>
        <v/>
      </c>
      <c r="J21" s="88">
        <f>IF(Lists!$O$9="","",INDEX(Stories!$C$4:$C$357,Lists!$O$9)&amp;"")</f>
        <v/>
      </c>
      <c r="K21" s="86" t="n"/>
      <c r="L21" s="86" t="n"/>
      <c r="M21" s="89">
        <f>IF(Lists!$O$9="","",INDEX(Stories!$D$4:$D$357,Lists!$O$9))</f>
        <v/>
      </c>
      <c r="N21" s="90">
        <f>IF(Lists!$O$9="","",INDEX(Stories!$E$4:$E$357,Lists!$O$9)&amp;"")</f>
        <v/>
      </c>
      <c r="O21" s="86" t="n"/>
      <c r="P21" s="90">
        <f>IF(Lists!$O$9="","",INDEX(Stories!$J$4:$J$357,Lists!$O$9)&amp;"")</f>
        <v/>
      </c>
      <c r="Q21" s="86" t="n"/>
      <c r="R21" s="91">
        <f>IF(Lists!$O$9="","",INDEX(Stories!$A$4:$A$357,Lists!$O$9))</f>
        <v/>
      </c>
      <c r="S21" s="92">
        <f>IF(Lists!$O$9="","",INDEX(Stories!$F$4:$F$357,Lists!$O$9)&amp;"")</f>
        <v/>
      </c>
    </row>
    <row r="22" ht="30" customHeight="1">
      <c r="B22" s="75">
        <f>IF(Lists!$O$10="","",9)</f>
        <v/>
      </c>
      <c r="C22" s="76">
        <f>IF(Lists!$O$10="","",IF(AND(Lists!$P$10&lt;&gt;"",LEN(Lists!$P$10)&lt;=255),HYPERLINK(Lists!$P$10,Lists!$Q$10),HYPERLINK("#'Stories'!B"&amp;(Lists!$O$10+3),Lists!$Q$10)))</f>
        <v/>
      </c>
      <c r="D22" s="77" t="n"/>
      <c r="E22" s="77" t="n"/>
      <c r="F22" s="77" t="n"/>
      <c r="G22" s="77" t="n"/>
      <c r="H22" s="77" t="n"/>
      <c r="I22" s="78">
        <f>IF(Lists!$O$10="","",INDEX(Stories!$K$4:$K$357,Lists!$O$10))</f>
        <v/>
      </c>
      <c r="J22" s="79">
        <f>IF(Lists!$O$10="","",INDEX(Stories!$C$4:$C$357,Lists!$O$10)&amp;"")</f>
        <v/>
      </c>
      <c r="K22" s="77" t="n"/>
      <c r="L22" s="77" t="n"/>
      <c r="M22" s="80">
        <f>IF(Lists!$O$10="","",INDEX(Stories!$D$4:$D$357,Lists!$O$10))</f>
        <v/>
      </c>
      <c r="N22" s="81">
        <f>IF(Lists!$O$10="","",INDEX(Stories!$E$4:$E$357,Lists!$O$10)&amp;"")</f>
        <v/>
      </c>
      <c r="O22" s="77" t="n"/>
      <c r="P22" s="81">
        <f>IF(Lists!$O$10="","",INDEX(Stories!$J$4:$J$357,Lists!$O$10)&amp;"")</f>
        <v/>
      </c>
      <c r="Q22" s="77" t="n"/>
      <c r="R22" s="82">
        <f>IF(Lists!$O$10="","",INDEX(Stories!$A$4:$A$357,Lists!$O$10))</f>
        <v/>
      </c>
      <c r="S22" s="83">
        <f>IF(Lists!$O$10="","",INDEX(Stories!$F$4:$F$357,Lists!$O$10)&amp;"")</f>
        <v/>
      </c>
    </row>
    <row r="23" ht="30" customHeight="1">
      <c r="B23" s="84">
        <f>IF(Lists!$O$11="","",10)</f>
        <v/>
      </c>
      <c r="C23" s="85">
        <f>IF(Lists!$O$11="","",IF(AND(Lists!$P$11&lt;&gt;"",LEN(Lists!$P$11)&lt;=255),HYPERLINK(Lists!$P$11,Lists!$Q$11),HYPERLINK("#'Stories'!B"&amp;(Lists!$O$11+3),Lists!$Q$11)))</f>
        <v/>
      </c>
      <c r="D23" s="86" t="n"/>
      <c r="E23" s="86" t="n"/>
      <c r="F23" s="86" t="n"/>
      <c r="G23" s="86" t="n"/>
      <c r="H23" s="86" t="n"/>
      <c r="I23" s="87">
        <f>IF(Lists!$O$11="","",INDEX(Stories!$K$4:$K$357,Lists!$O$11))</f>
        <v/>
      </c>
      <c r="J23" s="88">
        <f>IF(Lists!$O$11="","",INDEX(Stories!$C$4:$C$357,Lists!$O$11)&amp;"")</f>
        <v/>
      </c>
      <c r="K23" s="86" t="n"/>
      <c r="L23" s="86" t="n"/>
      <c r="M23" s="89">
        <f>IF(Lists!$O$11="","",INDEX(Stories!$D$4:$D$357,Lists!$O$11))</f>
        <v/>
      </c>
      <c r="N23" s="90">
        <f>IF(Lists!$O$11="","",INDEX(Stories!$E$4:$E$357,Lists!$O$11)&amp;"")</f>
        <v/>
      </c>
      <c r="O23" s="86" t="n"/>
      <c r="P23" s="90">
        <f>IF(Lists!$O$11="","",INDEX(Stories!$J$4:$J$357,Lists!$O$11)&amp;"")</f>
        <v/>
      </c>
      <c r="Q23" s="86" t="n"/>
      <c r="R23" s="91">
        <f>IF(Lists!$O$11="","",INDEX(Stories!$A$4:$A$357,Lists!$O$11))</f>
        <v/>
      </c>
      <c r="S23" s="92">
        <f>IF(Lists!$O$11="","",INDEX(Stories!$F$4:$F$357,Lists!$O$11)&amp;"")</f>
        <v/>
      </c>
    </row>
    <row r="24">
      <c r="C24" s="93"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4" t="inlineStr">
        <is>
          <t>Theme</t>
        </is>
      </c>
      <c r="C27" s="1" t="n"/>
      <c r="D27" s="1" t="n"/>
      <c r="E27" s="1" t="n"/>
      <c r="F27" s="73" t="inlineStr">
        <is>
          <t>Stories</t>
        </is>
      </c>
      <c r="G27" s="73" t="inlineStr">
        <is>
          <t>Rated 5</t>
        </is>
      </c>
      <c r="H27" s="73" t="inlineStr">
        <is>
          <t>Rated 4</t>
        </is>
      </c>
      <c r="I27" s="73" t="inlineStr">
        <is>
          <t>Feature leads</t>
        </is>
      </c>
      <c r="J27" s="73" t="inlineStr">
        <is>
          <t>Share</t>
        </is>
      </c>
    </row>
    <row r="28" ht="18" customHeight="1">
      <c r="B28" s="94" t="inlineStr">
        <is>
          <t>Sustainability &amp; the Energy Transition</t>
        </is>
      </c>
      <c r="C28" s="95" t="n"/>
      <c r="D28" s="95" t="n"/>
      <c r="E28" s="95" t="n"/>
      <c r="F28" s="96">
        <f>SUMPRODUCT(Stories!$W$4:$W$357,--(Stories!$C$4:$C$357=$B28))</f>
        <v/>
      </c>
      <c r="G28" s="97">
        <f>SUMPRODUCT(Stories!$W$4:$W$357,--(Stories!$C$4:$C$357=$B28),--(Stories!$D$4:$D$357=5))</f>
        <v/>
      </c>
      <c r="H28" s="97">
        <f>SUMPRODUCT(Stories!$W$4:$W$357,--(Stories!$C$4:$C$357=$B28),--(Stories!$D$4:$D$357=4))</f>
        <v/>
      </c>
      <c r="I28" s="97">
        <f>SUMPRODUCT(Stories!$W$4:$W$357,--(Stories!$C$4:$C$357=$B28),--(Stories!$E$4:$E$357="Feature lead"))</f>
        <v/>
      </c>
      <c r="J28" s="98">
        <f>IF(Lists!$H$6=0,0,F28/Lists!$H$6)</f>
        <v/>
      </c>
    </row>
    <row r="29" ht="18" customHeight="1">
      <c r="B29" s="99" t="inlineStr">
        <is>
          <t>Digital Geotechnics</t>
        </is>
      </c>
      <c r="C29" s="100" t="n"/>
      <c r="D29" s="100" t="n"/>
      <c r="E29" s="100" t="n"/>
      <c r="F29" s="96">
        <f>SUMPRODUCT(Stories!$W$4:$W$357,--(Stories!$C$4:$C$357=$B29))</f>
        <v/>
      </c>
      <c r="G29" s="97">
        <f>SUMPRODUCT(Stories!$W$4:$W$357,--(Stories!$C$4:$C$357=$B29),--(Stories!$D$4:$D$357=5))</f>
        <v/>
      </c>
      <c r="H29" s="97">
        <f>SUMPRODUCT(Stories!$W$4:$W$357,--(Stories!$C$4:$C$357=$B29),--(Stories!$D$4:$D$357=4))</f>
        <v/>
      </c>
      <c r="I29" s="97">
        <f>SUMPRODUCT(Stories!$W$4:$W$357,--(Stories!$C$4:$C$357=$B29),--(Stories!$E$4:$E$357="Feature lead"))</f>
        <v/>
      </c>
      <c r="J29" s="98">
        <f>IF(Lists!$H$6=0,0,F29/Lists!$H$6)</f>
        <v/>
      </c>
    </row>
    <row r="30" ht="18" customHeight="1">
      <c r="B30" s="101" t="inlineStr">
        <is>
          <t>Hazards &amp; Resilience</t>
        </is>
      </c>
      <c r="C30" s="102" t="n"/>
      <c r="D30" s="102" t="n"/>
      <c r="E30" s="102" t="n"/>
      <c r="F30" s="96">
        <f>SUMPRODUCT(Stories!$W$4:$W$357,--(Stories!$C$4:$C$357=$B30))</f>
        <v/>
      </c>
      <c r="G30" s="97">
        <f>SUMPRODUCT(Stories!$W$4:$W$357,--(Stories!$C$4:$C$357=$B30),--(Stories!$D$4:$D$357=5))</f>
        <v/>
      </c>
      <c r="H30" s="97">
        <f>SUMPRODUCT(Stories!$W$4:$W$357,--(Stories!$C$4:$C$357=$B30),--(Stories!$D$4:$D$357=4))</f>
        <v/>
      </c>
      <c r="I30" s="97">
        <f>SUMPRODUCT(Stories!$W$4:$W$357,--(Stories!$C$4:$C$357=$B30),--(Stories!$E$4:$E$357="Feature lead"))</f>
        <v/>
      </c>
      <c r="J30" s="98">
        <f>IF(Lists!$H$6=0,0,F30/Lists!$H$6)</f>
        <v/>
      </c>
    </row>
    <row r="31" ht="18" customHeight="1">
      <c r="B31" s="103" t="inlineStr">
        <is>
          <t>Ground Improvement &amp; Innovation</t>
        </is>
      </c>
      <c r="C31" s="104" t="n"/>
      <c r="D31" s="104" t="n"/>
      <c r="E31" s="104" t="n"/>
      <c r="F31" s="96">
        <f>SUMPRODUCT(Stories!$W$4:$W$357,--(Stories!$C$4:$C$357=$B31))</f>
        <v/>
      </c>
      <c r="G31" s="97">
        <f>SUMPRODUCT(Stories!$W$4:$W$357,--(Stories!$C$4:$C$357=$B31),--(Stories!$D$4:$D$357=5))</f>
        <v/>
      </c>
      <c r="H31" s="97">
        <f>SUMPRODUCT(Stories!$W$4:$W$357,--(Stories!$C$4:$C$357=$B31),--(Stories!$D$4:$D$357=4))</f>
        <v/>
      </c>
      <c r="I31" s="97">
        <f>SUMPRODUCT(Stories!$W$4:$W$357,--(Stories!$C$4:$C$357=$B31),--(Stories!$E$4:$E$357="Feature lead"))</f>
        <v/>
      </c>
      <c r="J31" s="98">
        <f>IF(Lists!$H$6=0,0,F31/Lists!$H$6)</f>
        <v/>
      </c>
    </row>
    <row r="32" ht="18" customHeight="1">
      <c r="B32" s="105" t="inlineStr">
        <is>
          <t>Infrastructure &amp; the Underground City</t>
        </is>
      </c>
      <c r="C32" s="106" t="n"/>
      <c r="D32" s="106" t="n"/>
      <c r="E32" s="106" t="n"/>
      <c r="F32" s="96">
        <f>SUMPRODUCT(Stories!$W$4:$W$357,--(Stories!$C$4:$C$357=$B32))</f>
        <v/>
      </c>
      <c r="G32" s="97">
        <f>SUMPRODUCT(Stories!$W$4:$W$357,--(Stories!$C$4:$C$357=$B32),--(Stories!$D$4:$D$357=5))</f>
        <v/>
      </c>
      <c r="H32" s="97">
        <f>SUMPRODUCT(Stories!$W$4:$W$357,--(Stories!$C$4:$C$357=$B32),--(Stories!$D$4:$D$357=4))</f>
        <v/>
      </c>
      <c r="I32" s="97">
        <f>SUMPRODUCT(Stories!$W$4:$W$357,--(Stories!$C$4:$C$357=$B32),--(Stories!$E$4:$E$357="Feature lead"))</f>
        <v/>
      </c>
      <c r="J32" s="98">
        <f>IF(Lists!$H$6=0,0,F32/Lists!$H$6)</f>
        <v/>
      </c>
    </row>
    <row r="33" ht="18" customHeight="1">
      <c r="B33" s="107" t="inlineStr">
        <is>
          <t>Offshore, Coasts &amp; Water</t>
        </is>
      </c>
      <c r="C33" s="108" t="n"/>
      <c r="D33" s="108" t="n"/>
      <c r="E33" s="108" t="n"/>
      <c r="F33" s="96">
        <f>SUMPRODUCT(Stories!$W$4:$W$357,--(Stories!$C$4:$C$357=$B33))</f>
        <v/>
      </c>
      <c r="G33" s="97">
        <f>SUMPRODUCT(Stories!$W$4:$W$357,--(Stories!$C$4:$C$357=$B33),--(Stories!$D$4:$D$357=5))</f>
        <v/>
      </c>
      <c r="H33" s="97">
        <f>SUMPRODUCT(Stories!$W$4:$W$357,--(Stories!$C$4:$C$357=$B33),--(Stories!$D$4:$D$357=4))</f>
        <v/>
      </c>
      <c r="I33" s="97">
        <f>SUMPRODUCT(Stories!$W$4:$W$357,--(Stories!$C$4:$C$357=$B33),--(Stories!$E$4:$E$357="Feature lead"))</f>
        <v/>
      </c>
      <c r="J33" s="98">
        <f>IF(Lists!$H$6=0,0,F33/Lists!$H$6)</f>
        <v/>
      </c>
    </row>
    <row r="34" ht="18" customHeight="1">
      <c r="B34" s="109" t="inlineStr">
        <is>
          <t>Characterisation &amp; Modelling</t>
        </is>
      </c>
      <c r="C34" s="110" t="n"/>
      <c r="D34" s="110" t="n"/>
      <c r="E34" s="110" t="n"/>
      <c r="F34" s="96">
        <f>SUMPRODUCT(Stories!$W$4:$W$357,--(Stories!$C$4:$C$357=$B34))</f>
        <v/>
      </c>
      <c r="G34" s="97">
        <f>SUMPRODUCT(Stories!$W$4:$W$357,--(Stories!$C$4:$C$357=$B34),--(Stories!$D$4:$D$357=5))</f>
        <v/>
      </c>
      <c r="H34" s="97">
        <f>SUMPRODUCT(Stories!$W$4:$W$357,--(Stories!$C$4:$C$357=$B34),--(Stories!$D$4:$D$357=4))</f>
        <v/>
      </c>
      <c r="I34" s="97">
        <f>SUMPRODUCT(Stories!$W$4:$W$357,--(Stories!$C$4:$C$357=$B34),--(Stories!$E$4:$E$357="Feature lead"))</f>
        <v/>
      </c>
      <c r="J34" s="98">
        <f>IF(Lists!$H$6=0,0,F34/Lists!$H$6)</f>
        <v/>
      </c>
    </row>
    <row r="35" ht="18" customHeight="1">
      <c r="B35" s="111" t="inlineStr">
        <is>
          <t>Geotechnics &amp; Society</t>
        </is>
      </c>
      <c r="C35" s="112" t="n"/>
      <c r="D35" s="112" t="n"/>
      <c r="E35" s="112" t="n"/>
      <c r="F35" s="96">
        <f>SUMPRODUCT(Stories!$W$4:$W$357,--(Stories!$C$4:$C$357=$B35))</f>
        <v/>
      </c>
      <c r="G35" s="97">
        <f>SUMPRODUCT(Stories!$W$4:$W$357,--(Stories!$C$4:$C$357=$B35),--(Stories!$D$4:$D$357=5))</f>
        <v/>
      </c>
      <c r="H35" s="97">
        <f>SUMPRODUCT(Stories!$W$4:$W$357,--(Stories!$C$4:$C$357=$B35),--(Stories!$D$4:$D$357=4))</f>
        <v/>
      </c>
      <c r="I35" s="97">
        <f>SUMPRODUCT(Stories!$W$4:$W$357,--(Stories!$C$4:$C$357=$B35),--(Stories!$E$4:$E$357="Feature lead"))</f>
        <v/>
      </c>
      <c r="J35" s="98">
        <f>IF(Lists!$H$6=0,0,F35/Lists!$H$6)</f>
        <v/>
      </c>
    </row>
    <row r="36" ht="18" customHeight="1">
      <c r="B36" s="113" t="inlineStr">
        <is>
          <t>General</t>
        </is>
      </c>
      <c r="C36" s="114" t="n"/>
      <c r="D36" s="114" t="n"/>
      <c r="E36" s="114" t="n"/>
      <c r="F36" s="96">
        <f>SUMPRODUCT(Stories!$W$4:$W$357,--(Stories!$C$4:$C$357=$B36))</f>
        <v/>
      </c>
      <c r="G36" s="97">
        <f>SUMPRODUCT(Stories!$W$4:$W$357,--(Stories!$C$4:$C$357=$B36),--(Stories!$D$4:$D$357=5))</f>
        <v/>
      </c>
      <c r="H36" s="97">
        <f>SUMPRODUCT(Stories!$W$4:$W$357,--(Stories!$C$4:$C$357=$B36),--(Stories!$D$4:$D$357=4))</f>
        <v/>
      </c>
      <c r="I36" s="97">
        <f>SUMPRODUCT(Stories!$W$4:$W$357,--(Stories!$C$4:$C$357=$B36),--(Stories!$E$4:$E$357="Feature lead"))</f>
        <v/>
      </c>
      <c r="J36" s="98">
        <f>IF(Lists!$H$6=0,0,F36/Lists!$H$6)</f>
        <v/>
      </c>
    </row>
    <row r="37"/>
    <row r="38" ht="22" customHeight="1">
      <c r="B38" s="7" t="inlineStr">
        <is>
          <t>Suggested editorial use</t>
        </is>
      </c>
      <c r="C38" s="8" t="n"/>
      <c r="D38" s="8" t="n"/>
      <c r="E38" s="8" t="n"/>
      <c r="F38" s="8" t="n"/>
      <c r="H38" s="7" t="inlineStr">
        <is>
          <t>Rating (AI triage)</t>
        </is>
      </c>
      <c r="I38" s="8" t="n"/>
      <c r="J38" s="8" t="n"/>
      <c r="K38" s="8" t="n"/>
      <c r="L38" s="8" t="n"/>
      <c r="N38" s="7" t="inlineStr">
        <is>
          <t>Planning status</t>
        </is>
      </c>
      <c r="O38" s="8" t="n"/>
      <c r="P38" s="8" t="n"/>
      <c r="Q38" s="8" t="n"/>
      <c r="R38" s="8" t="n"/>
    </row>
    <row r="39" ht="20" customHeight="1">
      <c r="B39" s="74" t="inlineStr">
        <is>
          <t>Use</t>
        </is>
      </c>
      <c r="C39" s="1" t="n"/>
      <c r="D39" s="1" t="n"/>
      <c r="E39" s="73" t="inlineStr">
        <is>
          <t>Stories</t>
        </is>
      </c>
      <c r="F39" s="73" t="inlineStr">
        <is>
          <t>Share</t>
        </is>
      </c>
      <c r="H39" s="74" t="inlineStr">
        <is>
          <t>Relevance</t>
        </is>
      </c>
      <c r="I39" s="1" t="n"/>
      <c r="J39" s="1" t="n"/>
      <c r="K39" s="73" t="inlineStr">
        <is>
          <t>Stories</t>
        </is>
      </c>
      <c r="L39" s="73" t="inlineStr">
        <is>
          <t>Share</t>
        </is>
      </c>
      <c r="N39" s="74" t="inlineStr">
        <is>
          <t>Status</t>
        </is>
      </c>
      <c r="O39" s="1" t="n"/>
      <c r="P39" s="1" t="n"/>
      <c r="Q39" s="73" t="inlineStr">
        <is>
          <t>Stories</t>
        </is>
      </c>
      <c r="R39" s="73" t="inlineStr">
        <is>
          <t>Share</t>
        </is>
      </c>
    </row>
    <row r="40" ht="18" customHeight="1">
      <c r="B40" s="115" t="inlineStr">
        <is>
          <t>Feature lead</t>
        </is>
      </c>
      <c r="C40" s="11" t="n"/>
      <c r="D40" s="11" t="n"/>
      <c r="E40" s="96">
        <f>SUMPRODUCT(Stories!$W$4:$W$357,--(Stories!$E$4:$E$357=$B40))</f>
        <v/>
      </c>
      <c r="F40" s="98">
        <f>IF(Lists!$H$6=0,0,E40/Lists!$H$6)</f>
        <v/>
      </c>
      <c r="H40" s="116" t="inlineStr">
        <is>
          <t>5 / 5</t>
        </is>
      </c>
      <c r="I40" s="11" t="n"/>
      <c r="J40" s="11" t="n"/>
      <c r="K40" s="96">
        <f>COUNTIFS(Stories!$W$4:$W$357,1,Stories!$D$4:$D$357,5)</f>
        <v/>
      </c>
      <c r="L40" s="98">
        <f>IF(Lists!$H$6=0,0,K40/Lists!$H$6)</f>
        <v/>
      </c>
      <c r="N40" s="117" t="inlineStr">
        <is>
          <t>To review</t>
        </is>
      </c>
      <c r="O40" s="118" t="n"/>
      <c r="P40" s="118" t="n"/>
      <c r="Q40" s="96">
        <f>COUNTIFS(Stories!$W$4:$W$357,1,Stories!$F$4:$F$357,"To review")</f>
        <v/>
      </c>
      <c r="R40" s="98">
        <f>IF(Lists!$H$6=0,0,Q40/Lists!$H$6)</f>
        <v/>
      </c>
    </row>
    <row r="41" ht="18" customHeight="1">
      <c r="B41" s="119" t="inlineStr">
        <is>
          <t>News brief</t>
        </is>
      </c>
      <c r="C41" s="11" t="n"/>
      <c r="D41" s="11" t="n"/>
      <c r="E41" s="96">
        <f>SUMPRODUCT(Stories!$W$4:$W$357,--(Stories!$E$4:$E$357=$B41))</f>
        <v/>
      </c>
      <c r="F41" s="98">
        <f>IF(Lists!$H$6=0,0,E41/Lists!$H$6)</f>
        <v/>
      </c>
      <c r="H41" s="120" t="inlineStr">
        <is>
          <t>4 / 5</t>
        </is>
      </c>
      <c r="I41" s="11" t="n"/>
      <c r="J41" s="11" t="n"/>
      <c r="K41" s="96">
        <f>COUNTIFS(Stories!$W$4:$W$357,1,Stories!$D$4:$D$357,4)</f>
        <v/>
      </c>
      <c r="L41" s="98">
        <f>IF(Lists!$H$6=0,0,K41/Lists!$H$6)</f>
        <v/>
      </c>
      <c r="N41" s="121" t="inlineStr">
        <is>
          <t>Shortlisted</t>
        </is>
      </c>
      <c r="O41" s="122" t="n"/>
      <c r="P41" s="122" t="n"/>
      <c r="Q41" s="96">
        <f>COUNTIFS(Stories!$W$4:$W$357,1,Stories!$F$4:$F$357,"Shortlisted")</f>
        <v/>
      </c>
      <c r="R41" s="98">
        <f>IF(Lists!$H$6=0,0,Q41/Lists!$H$6)</f>
        <v/>
      </c>
    </row>
    <row r="42" ht="18" customHeight="1">
      <c r="B42" s="123" t="inlineStr">
        <is>
          <t>Academia-to-Industry topic</t>
        </is>
      </c>
      <c r="C42" s="11" t="n"/>
      <c r="D42" s="11" t="n"/>
      <c r="E42" s="96">
        <f>SUMPRODUCT(Stories!$W$4:$W$357,--(Stories!$E$4:$E$357=$B42))</f>
        <v/>
      </c>
      <c r="F42" s="98">
        <f>IF(Lists!$H$6=0,0,E42/Lists!$H$6)</f>
        <v/>
      </c>
      <c r="H42" s="124" t="inlineStr">
        <is>
          <t>3 / 5</t>
        </is>
      </c>
      <c r="I42" s="11" t="n"/>
      <c r="J42" s="11" t="n"/>
      <c r="K42" s="96">
        <f>COUNTIFS(Stories!$W$4:$W$357,1,Stories!$D$4:$D$357,3)</f>
        <v/>
      </c>
      <c r="L42" s="98">
        <f>IF(Lists!$H$6=0,0,K42/Lists!$H$6)</f>
        <v/>
      </c>
      <c r="N42" s="125" t="inlineStr">
        <is>
          <t>Commissioned</t>
        </is>
      </c>
      <c r="O42" s="126" t="n"/>
      <c r="P42" s="126" t="n"/>
      <c r="Q42" s="96">
        <f>COUNTIFS(Stories!$W$4:$W$357,1,Stories!$F$4:$F$357,"Commissioned")</f>
        <v/>
      </c>
      <c r="R42" s="98">
        <f>IF(Lists!$H$6=0,0,Q42/Lists!$H$6)</f>
        <v/>
      </c>
    </row>
    <row r="43" ht="18" customHeight="1">
      <c r="B43" s="127" t="inlineStr">
        <is>
          <t>Regional insight</t>
        </is>
      </c>
      <c r="C43" s="11" t="n"/>
      <c r="D43" s="11" t="n"/>
      <c r="E43" s="96">
        <f>SUMPRODUCT(Stories!$W$4:$W$357,--(Stories!$E$4:$E$357=$B43))</f>
        <v/>
      </c>
      <c r="F43" s="98">
        <f>IF(Lists!$H$6=0,0,E43/Lists!$H$6)</f>
        <v/>
      </c>
      <c r="N43" s="128" t="inlineStr">
        <is>
          <t>Published</t>
        </is>
      </c>
      <c r="O43" s="129" t="n"/>
      <c r="P43" s="129" t="n"/>
      <c r="Q43" s="96">
        <f>COUNTIFS(Stories!$W$4:$W$357,1,Stories!$F$4:$F$357,"Published")</f>
        <v/>
      </c>
      <c r="R43" s="98">
        <f>IF(Lists!$H$6=0,0,Q43/Lists!$H$6)</f>
        <v/>
      </c>
    </row>
    <row r="44" ht="18" customHeight="1">
      <c r="B44" s="130" t="inlineStr">
        <is>
          <t>Watch only</t>
        </is>
      </c>
      <c r="C44" s="11" t="n"/>
      <c r="D44" s="11" t="n"/>
      <c r="E44" s="96">
        <f>SUMPRODUCT(Stories!$W$4:$W$357,--(Stories!$E$4:$E$357=$B44))</f>
        <v/>
      </c>
      <c r="F44" s="98">
        <f>IF(Lists!$H$6=0,0,E44/Lists!$H$6)</f>
        <v/>
      </c>
      <c r="N44" s="131" t="inlineStr">
        <is>
          <t>Not used</t>
        </is>
      </c>
      <c r="O44" s="132" t="n"/>
      <c r="P44" s="132" t="n"/>
      <c r="Q44" s="96">
        <f>COUNTIFS(Stories!$W$4:$W$357,1,Stories!$F$4:$F$357,"Not used")</f>
        <v/>
      </c>
      <c r="R44" s="98">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4" t="inlineStr">
        <is>
          <t>Theme</t>
        </is>
      </c>
      <c r="C60" s="1" t="n"/>
      <c r="D60" s="1" t="n"/>
      <c r="E60" s="1" t="n"/>
      <c r="F60" s="73" t="inlineStr">
        <is>
          <t>Feature lead</t>
        </is>
      </c>
      <c r="G60" s="73" t="inlineStr">
        <is>
          <t>News brief</t>
        </is>
      </c>
      <c r="H60" s="73" t="inlineStr">
        <is>
          <t>Academia-to-Industry topic</t>
        </is>
      </c>
      <c r="I60" s="73" t="inlineStr">
        <is>
          <t>Regional insight</t>
        </is>
      </c>
      <c r="J60" s="73" t="inlineStr">
        <is>
          <t>Watch only</t>
        </is>
      </c>
      <c r="K60" s="73" t="inlineStr">
        <is>
          <t>Total</t>
        </is>
      </c>
    </row>
    <row r="61" ht="18" customHeight="1">
      <c r="B61" s="133" t="inlineStr">
        <is>
          <t>Sustainability &amp; the Energy Transition</t>
        </is>
      </c>
      <c r="C61" s="134" t="n"/>
      <c r="D61" s="134" t="n"/>
      <c r="E61" s="134" t="n"/>
      <c r="F61" s="135">
        <f>SUMPRODUCT(Stories!$W$4:$W$357,--(Stories!$C$4:$C$357=$B61),--(Stories!$E$4:$E$357=F$60))</f>
        <v/>
      </c>
      <c r="G61" s="135">
        <f>SUMPRODUCT(Stories!$W$4:$W$357,--(Stories!$C$4:$C$357=$B61),--(Stories!$E$4:$E$357=G$60))</f>
        <v/>
      </c>
      <c r="H61" s="135">
        <f>SUMPRODUCT(Stories!$W$4:$W$357,--(Stories!$C$4:$C$357=$B61),--(Stories!$E$4:$E$357=H$60))</f>
        <v/>
      </c>
      <c r="I61" s="135">
        <f>SUMPRODUCT(Stories!$W$4:$W$357,--(Stories!$C$4:$C$357=$B61),--(Stories!$E$4:$E$357=I$60))</f>
        <v/>
      </c>
      <c r="J61" s="135">
        <f>SUMPRODUCT(Stories!$W$4:$W$357,--(Stories!$C$4:$C$357=$B61),--(Stories!$E$4:$E$357=J$60))</f>
        <v/>
      </c>
      <c r="K61" s="96">
        <f>SUM(F61:J61)</f>
        <v/>
      </c>
    </row>
    <row r="62" ht="18" customHeight="1">
      <c r="B62" s="136" t="inlineStr">
        <is>
          <t>Digital Geotechnics</t>
        </is>
      </c>
      <c r="C62" s="137" t="n"/>
      <c r="D62" s="137" t="n"/>
      <c r="E62" s="137" t="n"/>
      <c r="F62" s="135">
        <f>SUMPRODUCT(Stories!$W$4:$W$357,--(Stories!$C$4:$C$357=$B62),--(Stories!$E$4:$E$357=F$60))</f>
        <v/>
      </c>
      <c r="G62" s="135">
        <f>SUMPRODUCT(Stories!$W$4:$W$357,--(Stories!$C$4:$C$357=$B62),--(Stories!$E$4:$E$357=G$60))</f>
        <v/>
      </c>
      <c r="H62" s="135">
        <f>SUMPRODUCT(Stories!$W$4:$W$357,--(Stories!$C$4:$C$357=$B62),--(Stories!$E$4:$E$357=H$60))</f>
        <v/>
      </c>
      <c r="I62" s="135">
        <f>SUMPRODUCT(Stories!$W$4:$W$357,--(Stories!$C$4:$C$357=$B62),--(Stories!$E$4:$E$357=I$60))</f>
        <v/>
      </c>
      <c r="J62" s="135">
        <f>SUMPRODUCT(Stories!$W$4:$W$357,--(Stories!$C$4:$C$357=$B62),--(Stories!$E$4:$E$357=J$60))</f>
        <v/>
      </c>
      <c r="K62" s="96">
        <f>SUM(F62:J62)</f>
        <v/>
      </c>
    </row>
    <row r="63" ht="18" customHeight="1">
      <c r="B63" s="138" t="inlineStr">
        <is>
          <t>Hazards &amp; Resilience</t>
        </is>
      </c>
      <c r="C63" s="139" t="n"/>
      <c r="D63" s="139" t="n"/>
      <c r="E63" s="139" t="n"/>
      <c r="F63" s="135">
        <f>SUMPRODUCT(Stories!$W$4:$W$357,--(Stories!$C$4:$C$357=$B63),--(Stories!$E$4:$E$357=F$60))</f>
        <v/>
      </c>
      <c r="G63" s="135">
        <f>SUMPRODUCT(Stories!$W$4:$W$357,--(Stories!$C$4:$C$357=$B63),--(Stories!$E$4:$E$357=G$60))</f>
        <v/>
      </c>
      <c r="H63" s="135">
        <f>SUMPRODUCT(Stories!$W$4:$W$357,--(Stories!$C$4:$C$357=$B63),--(Stories!$E$4:$E$357=H$60))</f>
        <v/>
      </c>
      <c r="I63" s="135">
        <f>SUMPRODUCT(Stories!$W$4:$W$357,--(Stories!$C$4:$C$357=$B63),--(Stories!$E$4:$E$357=I$60))</f>
        <v/>
      </c>
      <c r="J63" s="135">
        <f>SUMPRODUCT(Stories!$W$4:$W$357,--(Stories!$C$4:$C$357=$B63),--(Stories!$E$4:$E$357=J$60))</f>
        <v/>
      </c>
      <c r="K63" s="96">
        <f>SUM(F63:J63)</f>
        <v/>
      </c>
    </row>
    <row r="64" ht="18" customHeight="1">
      <c r="B64" s="140" t="inlineStr">
        <is>
          <t>Ground Improvement &amp; Innovation</t>
        </is>
      </c>
      <c r="C64" s="141" t="n"/>
      <c r="D64" s="141" t="n"/>
      <c r="E64" s="141" t="n"/>
      <c r="F64" s="135">
        <f>SUMPRODUCT(Stories!$W$4:$W$357,--(Stories!$C$4:$C$357=$B64),--(Stories!$E$4:$E$357=F$60))</f>
        <v/>
      </c>
      <c r="G64" s="135">
        <f>SUMPRODUCT(Stories!$W$4:$W$357,--(Stories!$C$4:$C$357=$B64),--(Stories!$E$4:$E$357=G$60))</f>
        <v/>
      </c>
      <c r="H64" s="135">
        <f>SUMPRODUCT(Stories!$W$4:$W$357,--(Stories!$C$4:$C$357=$B64),--(Stories!$E$4:$E$357=H$60))</f>
        <v/>
      </c>
      <c r="I64" s="135">
        <f>SUMPRODUCT(Stories!$W$4:$W$357,--(Stories!$C$4:$C$357=$B64),--(Stories!$E$4:$E$357=I$60))</f>
        <v/>
      </c>
      <c r="J64" s="135">
        <f>SUMPRODUCT(Stories!$W$4:$W$357,--(Stories!$C$4:$C$357=$B64),--(Stories!$E$4:$E$357=J$60))</f>
        <v/>
      </c>
      <c r="K64" s="96">
        <f>SUM(F64:J64)</f>
        <v/>
      </c>
    </row>
    <row r="65" ht="18" customHeight="1">
      <c r="B65" s="142" t="inlineStr">
        <is>
          <t>Infrastructure &amp; the Underground City</t>
        </is>
      </c>
      <c r="C65" s="143" t="n"/>
      <c r="D65" s="143" t="n"/>
      <c r="E65" s="143" t="n"/>
      <c r="F65" s="135">
        <f>SUMPRODUCT(Stories!$W$4:$W$357,--(Stories!$C$4:$C$357=$B65),--(Stories!$E$4:$E$357=F$60))</f>
        <v/>
      </c>
      <c r="G65" s="135">
        <f>SUMPRODUCT(Stories!$W$4:$W$357,--(Stories!$C$4:$C$357=$B65),--(Stories!$E$4:$E$357=G$60))</f>
        <v/>
      </c>
      <c r="H65" s="135">
        <f>SUMPRODUCT(Stories!$W$4:$W$357,--(Stories!$C$4:$C$357=$B65),--(Stories!$E$4:$E$357=H$60))</f>
        <v/>
      </c>
      <c r="I65" s="135">
        <f>SUMPRODUCT(Stories!$W$4:$W$357,--(Stories!$C$4:$C$357=$B65),--(Stories!$E$4:$E$357=I$60))</f>
        <v/>
      </c>
      <c r="J65" s="135">
        <f>SUMPRODUCT(Stories!$W$4:$W$357,--(Stories!$C$4:$C$357=$B65),--(Stories!$E$4:$E$357=J$60))</f>
        <v/>
      </c>
      <c r="K65" s="96">
        <f>SUM(F65:J65)</f>
        <v/>
      </c>
    </row>
    <row r="66" ht="18" customHeight="1">
      <c r="B66" s="144" t="inlineStr">
        <is>
          <t>Offshore, Coasts &amp; Water</t>
        </is>
      </c>
      <c r="C66" s="145" t="n"/>
      <c r="D66" s="145" t="n"/>
      <c r="E66" s="145" t="n"/>
      <c r="F66" s="135">
        <f>SUMPRODUCT(Stories!$W$4:$W$357,--(Stories!$C$4:$C$357=$B66),--(Stories!$E$4:$E$357=F$60))</f>
        <v/>
      </c>
      <c r="G66" s="135">
        <f>SUMPRODUCT(Stories!$W$4:$W$357,--(Stories!$C$4:$C$357=$B66),--(Stories!$E$4:$E$357=G$60))</f>
        <v/>
      </c>
      <c r="H66" s="135">
        <f>SUMPRODUCT(Stories!$W$4:$W$357,--(Stories!$C$4:$C$357=$B66),--(Stories!$E$4:$E$357=H$60))</f>
        <v/>
      </c>
      <c r="I66" s="135">
        <f>SUMPRODUCT(Stories!$W$4:$W$357,--(Stories!$C$4:$C$357=$B66),--(Stories!$E$4:$E$357=I$60))</f>
        <v/>
      </c>
      <c r="J66" s="135">
        <f>SUMPRODUCT(Stories!$W$4:$W$357,--(Stories!$C$4:$C$357=$B66),--(Stories!$E$4:$E$357=J$60))</f>
        <v/>
      </c>
      <c r="K66" s="96">
        <f>SUM(F66:J66)</f>
        <v/>
      </c>
    </row>
    <row r="67" ht="18" customHeight="1">
      <c r="B67" s="146" t="inlineStr">
        <is>
          <t>Characterisation &amp; Modelling</t>
        </is>
      </c>
      <c r="C67" s="147" t="n"/>
      <c r="D67" s="147" t="n"/>
      <c r="E67" s="147" t="n"/>
      <c r="F67" s="135">
        <f>SUMPRODUCT(Stories!$W$4:$W$357,--(Stories!$C$4:$C$357=$B67),--(Stories!$E$4:$E$357=F$60))</f>
        <v/>
      </c>
      <c r="G67" s="135">
        <f>SUMPRODUCT(Stories!$W$4:$W$357,--(Stories!$C$4:$C$357=$B67),--(Stories!$E$4:$E$357=G$60))</f>
        <v/>
      </c>
      <c r="H67" s="135">
        <f>SUMPRODUCT(Stories!$W$4:$W$357,--(Stories!$C$4:$C$357=$B67),--(Stories!$E$4:$E$357=H$60))</f>
        <v/>
      </c>
      <c r="I67" s="135">
        <f>SUMPRODUCT(Stories!$W$4:$W$357,--(Stories!$C$4:$C$357=$B67),--(Stories!$E$4:$E$357=I$60))</f>
        <v/>
      </c>
      <c r="J67" s="135">
        <f>SUMPRODUCT(Stories!$W$4:$W$357,--(Stories!$C$4:$C$357=$B67),--(Stories!$E$4:$E$357=J$60))</f>
        <v/>
      </c>
      <c r="K67" s="96">
        <f>SUM(F67:J67)</f>
        <v/>
      </c>
    </row>
    <row r="68" ht="18" customHeight="1">
      <c r="B68" s="148" t="inlineStr">
        <is>
          <t>Geotechnics &amp; Society</t>
        </is>
      </c>
      <c r="C68" s="149" t="n"/>
      <c r="D68" s="149" t="n"/>
      <c r="E68" s="149" t="n"/>
      <c r="F68" s="135">
        <f>SUMPRODUCT(Stories!$W$4:$W$357,--(Stories!$C$4:$C$357=$B68),--(Stories!$E$4:$E$357=F$60))</f>
        <v/>
      </c>
      <c r="G68" s="135">
        <f>SUMPRODUCT(Stories!$W$4:$W$357,--(Stories!$C$4:$C$357=$B68),--(Stories!$E$4:$E$357=G$60))</f>
        <v/>
      </c>
      <c r="H68" s="135">
        <f>SUMPRODUCT(Stories!$W$4:$W$357,--(Stories!$C$4:$C$357=$B68),--(Stories!$E$4:$E$357=H$60))</f>
        <v/>
      </c>
      <c r="I68" s="135">
        <f>SUMPRODUCT(Stories!$W$4:$W$357,--(Stories!$C$4:$C$357=$B68),--(Stories!$E$4:$E$357=I$60))</f>
        <v/>
      </c>
      <c r="J68" s="135">
        <f>SUMPRODUCT(Stories!$W$4:$W$357,--(Stories!$C$4:$C$357=$B68),--(Stories!$E$4:$E$357=J$60))</f>
        <v/>
      </c>
      <c r="K68" s="96">
        <f>SUM(F68:J68)</f>
        <v/>
      </c>
    </row>
    <row r="69" ht="18" customHeight="1">
      <c r="B69" s="150" t="inlineStr">
        <is>
          <t>General</t>
        </is>
      </c>
      <c r="C69" s="151" t="n"/>
      <c r="D69" s="151" t="n"/>
      <c r="E69" s="151" t="n"/>
      <c r="F69" s="135">
        <f>SUMPRODUCT(Stories!$W$4:$W$357,--(Stories!$C$4:$C$357=$B69),--(Stories!$E$4:$E$357=F$60))</f>
        <v/>
      </c>
      <c r="G69" s="135">
        <f>SUMPRODUCT(Stories!$W$4:$W$357,--(Stories!$C$4:$C$357=$B69),--(Stories!$E$4:$E$357=G$60))</f>
        <v/>
      </c>
      <c r="H69" s="135">
        <f>SUMPRODUCT(Stories!$W$4:$W$357,--(Stories!$C$4:$C$357=$B69),--(Stories!$E$4:$E$357=H$60))</f>
        <v/>
      </c>
      <c r="I69" s="135">
        <f>SUMPRODUCT(Stories!$W$4:$W$357,--(Stories!$C$4:$C$357=$B69),--(Stories!$E$4:$E$357=I$60))</f>
        <v/>
      </c>
      <c r="J69" s="135">
        <f>SUMPRODUCT(Stories!$W$4:$W$357,--(Stories!$C$4:$C$357=$B69),--(Stories!$E$4:$E$357=J$60))</f>
        <v/>
      </c>
      <c r="K69" s="96">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4" t="inlineStr">
        <is>
          <t>Daily digest</t>
        </is>
      </c>
      <c r="C73" s="1" t="n"/>
      <c r="D73" s="1" t="n"/>
      <c r="E73" s="1" t="n"/>
      <c r="F73" s="73" t="inlineStr">
        <is>
          <t>All stories</t>
        </is>
      </c>
      <c r="G73" s="73" t="inlineStr">
        <is>
          <t>This selection</t>
        </is>
      </c>
    </row>
    <row r="74" ht="18" customHeight="1">
      <c r="B74" s="152" t="inlineStr">
        <is>
          <t>24 Oct 2026</t>
        </is>
      </c>
      <c r="C74" s="11" t="n"/>
      <c r="D74" s="11" t="n"/>
      <c r="E74" s="11" t="n"/>
      <c r="F74" s="153" t="n">
        <v>60</v>
      </c>
      <c r="G74" s="96">
        <f>COUNTIFS(Stories!$W$4:$W$357,1,Stories!$K$4:$K$357,DATE(2026,10,24))</f>
        <v/>
      </c>
    </row>
    <row r="75" ht="18" customHeight="1">
      <c r="B75" s="152" t="inlineStr">
        <is>
          <t>25 Oct 2026</t>
        </is>
      </c>
      <c r="C75" s="11" t="n"/>
      <c r="D75" s="11" t="n"/>
      <c r="E75" s="11" t="n"/>
      <c r="F75" s="153" t="n">
        <v>47</v>
      </c>
      <c r="G75" s="96">
        <f>COUNTIFS(Stories!$W$4:$W$357,1,Stories!$K$4:$K$357,DATE(2026,10,25))</f>
        <v/>
      </c>
    </row>
    <row r="76" ht="18" customHeight="1">
      <c r="B76" s="152" t="inlineStr">
        <is>
          <t>26 Oct 2026</t>
        </is>
      </c>
      <c r="C76" s="11" t="n"/>
      <c r="D76" s="11" t="n"/>
      <c r="E76" s="11" t="n"/>
      <c r="F76" s="153" t="n">
        <v>43</v>
      </c>
      <c r="G76" s="96">
        <f>COUNTIFS(Stories!$W$4:$W$357,1,Stories!$K$4:$K$357,DATE(2026,10,26))</f>
        <v/>
      </c>
    </row>
    <row r="77" ht="18" customHeight="1">
      <c r="B77" s="152" t="inlineStr">
        <is>
          <t>27 Oct 2026</t>
        </is>
      </c>
      <c r="C77" s="11" t="n"/>
      <c r="D77" s="11" t="n"/>
      <c r="E77" s="11" t="n"/>
      <c r="F77" s="153" t="n">
        <v>42</v>
      </c>
      <c r="G77" s="96">
        <f>COUNTIFS(Stories!$W$4:$W$357,1,Stories!$K$4:$K$357,DATE(2026,10,27))</f>
        <v/>
      </c>
    </row>
    <row r="78" ht="18" customHeight="1">
      <c r="B78" s="152" t="inlineStr">
        <is>
          <t>28 Oct 2026</t>
        </is>
      </c>
      <c r="C78" s="11" t="n"/>
      <c r="D78" s="11" t="n"/>
      <c r="E78" s="11" t="n"/>
      <c r="F78" s="153" t="n">
        <v>44</v>
      </c>
      <c r="G78" s="96">
        <f>COUNTIFS(Stories!$W$4:$W$357,1,Stories!$K$4:$K$357,DATE(2026,10,28))</f>
        <v/>
      </c>
    </row>
    <row r="79" ht="18" customHeight="1">
      <c r="B79" s="152" t="inlineStr">
        <is>
          <t>29 Oct 2026</t>
        </is>
      </c>
      <c r="C79" s="11" t="n"/>
      <c r="D79" s="11" t="n"/>
      <c r="E79" s="11" t="n"/>
      <c r="F79" s="153" t="n">
        <v>38</v>
      </c>
      <c r="G79" s="96">
        <f>COUNTIFS(Stories!$W$4:$W$357,1,Stories!$K$4:$K$357,DATE(2026,10,29))</f>
        <v/>
      </c>
    </row>
    <row r="80" ht="18" customHeight="1">
      <c r="B80" s="152" t="inlineStr">
        <is>
          <t>30 Oct 2026</t>
        </is>
      </c>
      <c r="C80" s="11" t="n"/>
      <c r="D80" s="11" t="n"/>
      <c r="E80" s="11" t="n"/>
      <c r="F80" s="153" t="n">
        <v>40</v>
      </c>
      <c r="G80" s="96">
        <f>COUNTIFS(Stories!$W$4:$W$357,1,Stories!$K$4:$K$357,DATE(2026,10,30))</f>
        <v/>
      </c>
    </row>
    <row r="81" ht="18" customHeight="1">
      <c r="B81" s="152" t="inlineStr">
        <is>
          <t>31 Oct 2026</t>
        </is>
      </c>
      <c r="C81" s="11" t="n"/>
      <c r="D81" s="11" t="n"/>
      <c r="E81" s="11" t="n"/>
      <c r="F81" s="153" t="n">
        <v>40</v>
      </c>
      <c r="G81" s="96">
        <f>COUNTIFS(Stories!$W$4:$W$357,1,Stories!$K$4:$K$357,DATE(2026,10,31))</f>
        <v/>
      </c>
    </row>
    <row r="82"/>
    <row r="83"/>
  </sheetData>
  <mergeCells count="119">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B76:E76"/>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B78:E78"/>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B77:E77"/>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B80:E80"/>
    <mergeCell ref="B79:E79"/>
    <mergeCell ref="N40:P40"/>
    <mergeCell ref="N18:O18"/>
    <mergeCell ref="C17:H17"/>
    <mergeCell ref="B81:E81"/>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357"/>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4" t="inlineStr">
        <is>
          <t>Stories · 354 in this workbook</t>
        </is>
      </c>
      <c r="C1" s="155" t="inlineStr">
        <is>
          <t>← Dashboard</t>
        </is>
      </c>
      <c r="D1" s="155" t="inlineStr">
        <is>
          <t>↑ Start here</t>
        </is>
      </c>
      <c r="E1" s="155" t="inlineStr">
        <is>
          <t>By theme →</t>
        </is>
      </c>
    </row>
    <row r="2" ht="16" customHeight="1">
      <c r="C2" s="156" t="inlineStr">
        <is>
          <t>Gold columns are yours: choose a Status from its dropdown, and fill in Assigned to and Editor notes. Use ▼ in the header to filter or sort. ✓ in ‘In Dashboard selection’ (far right) marks the stories the Dashboard is showing.</t>
        </is>
      </c>
    </row>
    <row r="3" ht="32" customHeight="1">
      <c r="A3" s="157" t="inlineStr">
        <is>
          <t>No.</t>
        </is>
      </c>
      <c r="B3" s="158" t="inlineStr">
        <is>
          <t>Headline (English or Claude's translation)</t>
        </is>
      </c>
      <c r="C3" s="158" t="inlineStr">
        <is>
          <t>Theme</t>
        </is>
      </c>
      <c r="D3" s="157" t="inlineStr">
        <is>
          <t>Relevance</t>
        </is>
      </c>
      <c r="E3" s="158" t="inlineStr">
        <is>
          <t>Suggested use</t>
        </is>
      </c>
      <c r="F3" s="159" t="inlineStr">
        <is>
          <t>Status</t>
        </is>
      </c>
      <c r="G3" s="159" t="inlineStr">
        <is>
          <t>Assigned to</t>
        </is>
      </c>
      <c r="H3" s="159" t="inlineStr">
        <is>
          <t>Editor notes</t>
        </is>
      </c>
      <c r="I3" s="158" t="inlineStr">
        <is>
          <t>Magazine angle</t>
        </is>
      </c>
      <c r="J3" s="158" t="inlineStr">
        <is>
          <t>Source</t>
        </is>
      </c>
      <c r="K3" s="157" t="inlineStr">
        <is>
          <t>Digest date</t>
        </is>
      </c>
      <c r="L3" s="158" t="inlineStr">
        <is>
          <t>Original headline</t>
        </is>
      </c>
      <c r="M3" s="158" t="inlineStr">
        <is>
          <t>Primary source to check</t>
        </is>
      </c>
      <c r="N3" s="158" t="inlineStr">
        <is>
          <t>Country</t>
        </is>
      </c>
      <c r="O3" s="158" t="inlineStr">
        <is>
          <t>Place</t>
        </is>
      </c>
      <c r="P3" s="158" t="inlineStr">
        <is>
          <t>Developing story</t>
        </is>
      </c>
      <c r="Q3" s="158" t="inlineStr">
        <is>
          <t>Google News edition</t>
        </is>
      </c>
      <c r="R3" s="157" t="inlineStr">
        <is>
          <t>Published</t>
        </is>
      </c>
      <c r="S3" s="157" t="inlineStr">
        <is>
          <t>Issue window</t>
        </is>
      </c>
      <c r="T3" s="158" t="inlineStr">
        <is>
          <t>Keywords</t>
        </is>
      </c>
      <c r="U3" s="157" t="inlineStr">
        <is>
          <t>Keyword score</t>
        </is>
      </c>
      <c r="V3" s="158" t="inlineStr">
        <is>
          <t>Article URL</t>
        </is>
      </c>
      <c r="W3" s="157" t="inlineStr">
        <is>
          <t>In Dashboard selection</t>
        </is>
      </c>
      <c r="X3" s="157" t="inlineStr">
        <is>
          <t>Top-10 key (helper)</t>
        </is>
      </c>
    </row>
    <row r="4" ht="40.5" customHeight="1">
      <c r="A4" s="160" t="n">
        <v>1</v>
      </c>
      <c r="B4" s="161" t="inlineStr">
        <is>
          <t>Niscemi landslide: summit with Civil Protection chief on securing measures.</t>
        </is>
      </c>
      <c r="C4" s="162" t="inlineStr">
        <is>
          <t>Hazards &amp; Resilience</t>
        </is>
      </c>
      <c r="D4" s="163" t="n">
        <v>5</v>
      </c>
      <c r="E4" s="164" t="inlineStr">
        <is>
          <t>Feature lead</t>
        </is>
      </c>
      <c r="F4" s="165" t="inlineStr">
        <is>
          <t>To review</t>
        </is>
      </c>
      <c r="G4" s="166" t="n"/>
      <c r="H4" s="167" t="n"/>
      <c r="I4" s="168" t="inlineStr">
        <is>
          <t>What stabilisation strategy suits a very large, slowly moving clay landslide that threatens a whole town?</t>
        </is>
      </c>
      <c r="J4" s="168" t="inlineStr">
        <is>
          <t>RaiNews</t>
        </is>
      </c>
      <c r="K4" s="169" t="n">
        <v>46326</v>
      </c>
      <c r="L4" s="168" t="inlineStr">
        <is>
          <t>Frana di Niscemi, vertice col capo della Protezione Civile sulla messa in sicurezza</t>
        </is>
      </c>
      <c r="M4" s="168" t="inlineStr">
        <is>
          <t>Italian Civil Protection Department</t>
        </is>
      </c>
      <c r="N4" s="170" t="inlineStr">
        <is>
          <t>Italy</t>
        </is>
      </c>
      <c r="O4" s="168" t="inlineStr">
        <is>
          <t>Niscemi, Sicily</t>
        </is>
      </c>
      <c r="P4" s="168" t="inlineStr">
        <is>
          <t>Niscemi landslide, Sicily (Jan 2026) · Response &amp; recovery · 6 reports</t>
        </is>
      </c>
      <c r="Q4" s="171" t="inlineStr">
        <is>
          <t>Italy</t>
        </is>
      </c>
      <c r="R4" s="169" t="n">
        <v>46325</v>
      </c>
      <c r="S4" s="170" t="inlineStr">
        <is>
          <t>2026-Q4</t>
        </is>
      </c>
      <c r="T4" s="172" t="inlineStr">
        <is>
          <t>landslide</t>
        </is>
      </c>
      <c r="U4" s="160" t="n">
        <v>4</v>
      </c>
      <c r="V4" s="173" t="inlineStr">
        <is>
          <t>https://news.google.com/rss/articles/CBMi9gFBVV95cUxOSzRpVktuZnpnTFl6d1E0aWZYNXFtLXFPYThESXpRWTJ3b3pDOEEyT2NWb0dXeHZ0dGZmZ0NIbjhqWE1jeG5GeFZqN3Vza29zQ2NoQnlEQnN6QVdlbzlPdnBMdGJOTlUwY0huZWlrbWlCWFRjQ3RKQW5JR0Ryc21lYWxDZExNWnRBWTFlcWY3N2ZCMUpVRGFMX3V4ZGdDRGhhd3I0RHFuR2FLSXFpLWQ1UjYyaGJlT3VfcUlocjJjc0twMVpkTFp3M1dtUE5UUFZNcmY1djVWN19CT3ZWVnF6X1hIaTdzYzRxZ0x3MUVwLVQwZ2w5NkHSAfsBQVVfeXFMTjFxTlBDenl3anU3c3lDYkwwQjNESTJYTjQtSWlpbmdYdXZlT0xucTU3ODlWZVE4cW5sQ3lXa1RsZDAxTEZVU1pIbUNOemMzNHFhTTZ3RUtYNGVTNzF2Vl9UTlNHZ0t2d29JZUtZcUdTUHlmejBfSlQ2RTh0aTJ6YjB5RVVoZFdUY0xpd011MVJFQVZkRkZVNUxMalhhbjljWXAxTkRIMV8tRncxVG45aU5YNXpOak1QanhJLXVta1Y3cEhsNy1MTklYOXJ4RFd3VHBCRldJZEwzSW9TTmJnOGtZN3JsYkY1UEJCQnR3cVhpZ0hPdnhwaTJpYWc?oc=5</t>
        </is>
      </c>
      <c r="W4" s="174">
        <f>IF($B4="",0,IF(AND(OR(OR(Dashboard!$B$5="All themes",Dashboard!$B$5=""),$C4=Dashboard!$B$5),OR(OR(Dashboard!$G$5="All uses",Dashboard!$G$5=""),$E4=Dashboard!$G$5),N($D4)&gt;=Lists!$H$2,OR(OR(Dashboard!$N$5="All windows",Dashboard!$N$5=""),$S4=Dashboard!$N$5)),1,0))</f>
        <v/>
      </c>
      <c r="X4" s="175">
        <f>IF($W4=1,N($D4)*1E14+MIN(MAX(N($U4),0),9999)*1E10+MIN(N($K4),99999)*1E5+99999-MIN(ROW(),99999),"")</f>
        <v/>
      </c>
    </row>
    <row r="5" ht="53" customHeight="1">
      <c r="A5" s="160" t="n">
        <v>2</v>
      </c>
      <c r="B5" s="161" t="inlineStr">
        <is>
          <t>Niscemi landslide still moving, Ciciliano: 'one of the largest in the world'. 300 technicians working on four projects.</t>
        </is>
      </c>
      <c r="C5" s="162" t="inlineStr">
        <is>
          <t>Hazards &amp; Resilience</t>
        </is>
      </c>
      <c r="D5" s="163" t="n">
        <v>5</v>
      </c>
      <c r="E5" s="164" t="inlineStr">
        <is>
          <t>Feature lead</t>
        </is>
      </c>
      <c r="F5" s="165" t="inlineStr">
        <is>
          <t>To review</t>
        </is>
      </c>
      <c r="G5" s="166" t="n"/>
      <c r="H5" s="167" t="n"/>
      <c r="I5" s="168" t="inlineStr">
        <is>
          <t>How should a continuing large landslide be monitored and staged, with several competing intervention projects?</t>
        </is>
      </c>
      <c r="J5" s="168" t="inlineStr">
        <is>
          <t>NewSicilia</t>
        </is>
      </c>
      <c r="K5" s="169" t="n">
        <v>46326</v>
      </c>
      <c r="L5" s="168" t="inlineStr">
        <is>
          <t>Frana di Niscemi ancora in movimento, Ciciliano: "È una delle più grandi al mondo". Al lavoro 300 tecnici, quattro progetti per gli interventi</t>
        </is>
      </c>
      <c r="M5" s="168" t="inlineStr">
        <is>
          <t>Italian Civil Protection Department and Sicily regional government</t>
        </is>
      </c>
      <c r="N5" s="170" t="inlineStr">
        <is>
          <t>Italy</t>
        </is>
      </c>
      <c r="O5" s="168" t="inlineStr">
        <is>
          <t>Niscemi, Sicily</t>
        </is>
      </c>
      <c r="P5" s="168" t="inlineStr">
        <is>
          <t>Niscemi landslide, Sicily (Jan 2026) · Response &amp; recovery · 6 reports</t>
        </is>
      </c>
      <c r="Q5" s="171" t="inlineStr">
        <is>
          <t>Italy</t>
        </is>
      </c>
      <c r="R5" s="169" t="n">
        <v>46326</v>
      </c>
      <c r="S5" s="170" t="inlineStr">
        <is>
          <t>2026-Q4</t>
        </is>
      </c>
      <c r="T5" s="172" t="inlineStr">
        <is>
          <t>landslide</t>
        </is>
      </c>
      <c r="U5" s="160" t="n">
        <v>4</v>
      </c>
      <c r="V5" s="173" t="inlineStr">
        <is>
          <t>https://news.google.com/rss/articles/CBMimAJBVV95cUxOb0szY3FfMXFHemQ5NVlWOG8tWDdfWXlfTHZlU3VwUF9aSjVyNzV6LTd4cnRJUFJSTHhrRXhRMi1YbUg3QXJWSkpseGJ1dElRbGdtUENZdXotSFV4UDdRTkFQcjdYOEFSc2xNNFo2cWhFLVBCSkI2TUlzY3JZWUNXc1Fva3NOWDc5RHBUOTFUQUFaQ3Q5WTVlSTlfRDdhTTlENXNOQWM0LVhUNUxKQzdvNm5uY2NKbDVhNFZOUExXcHJveG5VVHc2ZjZKSTAxTEZ2OHhxQmo0WmlJUTJnNGJ0eEhYQWFrYm92YjRhVEdOY2hsT20yLXllRUhVUkhvSUdVUXBqMjZSeUJYckJCZ3BxMDFOVUlVTF9S?oc=5</t>
        </is>
      </c>
      <c r="W5" s="174">
        <f>IF($B5="",0,IF(AND(OR(OR(Dashboard!$B$5="All themes",Dashboard!$B$5=""),$C5=Dashboard!$B$5),OR(OR(Dashboard!$G$5="All uses",Dashboard!$G$5=""),$E5=Dashboard!$G$5),N($D5)&gt;=Lists!$H$2,OR(OR(Dashboard!$N$5="All windows",Dashboard!$N$5=""),$S5=Dashboard!$N$5)),1,0))</f>
        <v/>
      </c>
      <c r="X5" s="175">
        <f>IF($W5=1,N($D5)*1E14+MIN(MAX(N($U5),0),9999)*1E10+MIN(N($K5),99999)*1E5+99999-MIN(ROW(),99999),"")</f>
        <v/>
      </c>
    </row>
    <row r="6" ht="53" customHeight="1">
      <c r="A6" s="160" t="n">
        <v>3</v>
      </c>
      <c r="B6" s="161" t="inlineStr">
        <is>
          <t>TERRATEC TBM completes 5.85km Mumbai sewer tunnel</t>
        </is>
      </c>
      <c r="C6" s="176" t="inlineStr">
        <is>
          <t>Infrastructure &amp; the Underground City</t>
        </is>
      </c>
      <c r="D6" s="163" t="n">
        <v>4</v>
      </c>
      <c r="E6" s="177" t="inlineStr">
        <is>
          <t>News brief</t>
        </is>
      </c>
      <c r="F6" s="165" t="inlineStr">
        <is>
          <t>To review</t>
        </is>
      </c>
      <c r="G6" s="166" t="n"/>
      <c r="H6" s="167" t="n"/>
      <c r="I6" s="168" t="inlineStr">
        <is>
          <t>How a rock slurry TBM performed in Mumbai's mixed ground, and what its face-support and muck-handling data reveal for urban sewer tunnelling.</t>
        </is>
      </c>
      <c r="J6" s="168" t="inlineStr">
        <is>
          <t>Tunnelling Journal</t>
        </is>
      </c>
      <c r="K6" s="169" t="n">
        <v>46326</v>
      </c>
      <c r="L6" s="168" t="n"/>
      <c r="M6" s="168" t="inlineStr">
        <is>
          <t>Brihanmumbai Municipal Corporation, project owner, and TERRATEC</t>
        </is>
      </c>
      <c r="N6" s="170" t="inlineStr">
        <is>
          <t>India</t>
        </is>
      </c>
      <c r="O6" s="168" t="inlineStr">
        <is>
          <t>Mumbai</t>
        </is>
      </c>
      <c r="P6" s="168" t="n"/>
      <c r="Q6" s="171" t="n"/>
      <c r="R6" s="169" t="n">
        <v>46325</v>
      </c>
      <c r="S6" s="170" t="inlineStr">
        <is>
          <t>2026-Q4</t>
        </is>
      </c>
      <c r="T6" s="172" t="inlineStr">
        <is>
          <t>excavation, tbm, tunnelling, tunnel</t>
        </is>
      </c>
      <c r="U6" s="160" t="n">
        <v>12</v>
      </c>
      <c r="V6" s="173" t="inlineStr">
        <is>
          <t>https://tunnellingjournal.com/terratec-tbm-completes-5-85km-mumbai-sewer-tunnel/</t>
        </is>
      </c>
      <c r="W6" s="174">
        <f>IF($B6="",0,IF(AND(OR(OR(Dashboard!$B$5="All themes",Dashboard!$B$5=""),$C6=Dashboard!$B$5),OR(OR(Dashboard!$G$5="All uses",Dashboard!$G$5=""),$E6=Dashboard!$G$5),N($D6)&gt;=Lists!$H$2,OR(OR(Dashboard!$N$5="All windows",Dashboard!$N$5=""),$S6=Dashboard!$N$5)),1,0))</f>
        <v/>
      </c>
      <c r="X6" s="175">
        <f>IF($W6=1,N($D6)*1E14+MIN(MAX(N($U6),0),9999)*1E10+MIN(N($K6),99999)*1E5+99999-MIN(ROW(),99999),"")</f>
        <v/>
      </c>
    </row>
    <row r="7" ht="53" customHeight="1">
      <c r="A7" s="160" t="n">
        <v>4</v>
      </c>
      <c r="B7" s="161" t="inlineStr">
        <is>
          <t>MWAA seeks interest for Dulles Airport tunnel expansion</t>
        </is>
      </c>
      <c r="C7" s="176" t="inlineStr">
        <is>
          <t>Infrastructure &amp; the Underground City</t>
        </is>
      </c>
      <c r="D7" s="163" t="n">
        <v>4</v>
      </c>
      <c r="E7" s="164" t="inlineStr">
        <is>
          <t>Feature lead</t>
        </is>
      </c>
      <c r="F7" s="165" t="inlineStr">
        <is>
          <t>To review</t>
        </is>
      </c>
      <c r="G7" s="166" t="n"/>
      <c r="H7" s="167" t="n"/>
      <c r="I7" s="168" t="inlineStr">
        <is>
          <t>What ground conditions and tunnelling methods would a large airport underground transit expansion need, and how should risks be allocated in such procurement?</t>
        </is>
      </c>
      <c r="J7" s="168" t="inlineStr">
        <is>
          <t>Tunnelling Journal</t>
        </is>
      </c>
      <c r="K7" s="169" t="n">
        <v>46326</v>
      </c>
      <c r="L7" s="168" t="n"/>
      <c r="M7" s="168" t="inlineStr">
        <is>
          <t>Metropolitan Washington Airports Authority</t>
        </is>
      </c>
      <c r="N7" s="170" t="inlineStr">
        <is>
          <t>United States</t>
        </is>
      </c>
      <c r="O7" s="168" t="inlineStr">
        <is>
          <t>Dulles Airport, Virginia</t>
        </is>
      </c>
      <c r="P7" s="168" t="n"/>
      <c r="Q7" s="171" t="n"/>
      <c r="R7" s="169" t="n">
        <v>46325</v>
      </c>
      <c r="S7" s="170" t="inlineStr">
        <is>
          <t>2026-Q4</t>
        </is>
      </c>
      <c r="T7" s="172" t="inlineStr">
        <is>
          <t>tunnelling, tunnel</t>
        </is>
      </c>
      <c r="U7" s="160" t="n">
        <v>7</v>
      </c>
      <c r="V7" s="173" t="inlineStr">
        <is>
          <t>https://tunnellingjournal.com/mwaa-seeks-interest-for-dulles-airport-tunnel-expansion/</t>
        </is>
      </c>
      <c r="W7" s="174">
        <f>IF($B7="",0,IF(AND(OR(OR(Dashboard!$B$5="All themes",Dashboard!$B$5=""),$C7=Dashboard!$B$5),OR(OR(Dashboard!$G$5="All uses",Dashboard!$G$5=""),$E7=Dashboard!$G$5),N($D7)&gt;=Lists!$H$2,OR(OR(Dashboard!$N$5="All windows",Dashboard!$N$5=""),$S7=Dashboard!$N$5)),1,0))</f>
        <v/>
      </c>
      <c r="X7" s="175">
        <f>IF($W7=1,N($D7)*1E14+MIN(MAX(N($U7),0),9999)*1E10+MIN(N($K7),99999)*1E5+99999-MIN(ROW(),99999),"")</f>
        <v/>
      </c>
    </row>
    <row r="8" ht="53" customHeight="1">
      <c r="A8" s="160" t="n">
        <v>5</v>
      </c>
      <c r="B8" s="161" t="inlineStr">
        <is>
          <t>Response to liquefaction damage from the 2024 Noto Peninsula earthquake</t>
        </is>
      </c>
      <c r="C8" s="162" t="inlineStr">
        <is>
          <t>Hazards &amp; Resilience</t>
        </is>
      </c>
      <c r="D8" s="163" t="n">
        <v>4</v>
      </c>
      <c r="E8" s="164" t="inlineStr">
        <is>
          <t>Feature lead</t>
        </is>
      </c>
      <c r="F8" s="165" t="inlineStr">
        <is>
          <t>To review</t>
        </is>
      </c>
      <c r="G8" s="166" t="n"/>
      <c r="H8" s="167" t="n"/>
      <c r="I8" s="168" t="inlineStr">
        <is>
          <t>How should liquefaction damage from the Noto earthquake be mapped, repaired and mitigated in reclaimed or sandy ground in a regional city?</t>
        </is>
      </c>
      <c r="J8" s="168" t="inlineStr">
        <is>
          <t>金沢市公式ホームページ</t>
        </is>
      </c>
      <c r="K8" s="169" t="n">
        <v>46326</v>
      </c>
      <c r="L8" s="168" t="inlineStr">
        <is>
          <t>令和6年能登半島地震における液状化被害への対応</t>
        </is>
      </c>
      <c r="M8" s="168" t="inlineStr">
        <is>
          <t>Kanazawa City government</t>
        </is>
      </c>
      <c r="N8" s="170" t="inlineStr">
        <is>
          <t>Japan</t>
        </is>
      </c>
      <c r="O8" s="168" t="inlineStr">
        <is>
          <t>Kanazawa, Ishikawa</t>
        </is>
      </c>
      <c r="P8" s="168" t="n"/>
      <c r="Q8" s="171" t="inlineStr">
        <is>
          <t>Japan</t>
        </is>
      </c>
      <c r="R8" s="169" t="n">
        <v>46325</v>
      </c>
      <c r="S8" s="170" t="inlineStr">
        <is>
          <t>2026-Q4</t>
        </is>
      </c>
      <c r="T8" s="172" t="inlineStr">
        <is>
          <t>liquefaction, earthquake</t>
        </is>
      </c>
      <c r="U8" s="160" t="n">
        <v>7</v>
      </c>
      <c r="V8" s="173" t="inlineStr">
        <is>
          <t>https://news.google.com/rss/articles/CBMitAFBVV95cUxNV2FYNW84QjMwVmFPZTJaaDA0bHdlaWw3bFdaWUMzYkFGRzcwc0oxcnVzcFgxRkdmazdkRnJwR19KcVhubHhBWHpSbmFuVnVDdkZkcFpGb19hQXpaa3ZHWDlQOERIbFZ5dnZ0aHR1WTFYdG1ubUZKbFByZzBNVGYwYk8yclN1d004R19JWEwwMXN5UV9OS0t2VTZPMzlhc1QwTk1vajZVbFBWbXJ2aXQ2Ykt4djY?oc=5</t>
        </is>
      </c>
      <c r="W8" s="174">
        <f>IF($B8="",0,IF(AND(OR(OR(Dashboard!$B$5="All themes",Dashboard!$B$5=""),$C8=Dashboard!$B$5),OR(OR(Dashboard!$G$5="All uses",Dashboard!$G$5=""),$E8=Dashboard!$G$5),N($D8)&gt;=Lists!$H$2,OR(OR(Dashboard!$N$5="All windows",Dashboard!$N$5=""),$S8=Dashboard!$N$5)),1,0))</f>
        <v/>
      </c>
      <c r="X8" s="175">
        <f>IF($W8=1,N($D8)*1E14+MIN(MAX(N($U8),0),9999)*1E10+MIN(N($K8),99999)*1E5+99999-MIN(ROW(),99999),"")</f>
        <v/>
      </c>
    </row>
    <row r="9" ht="53" customHeight="1">
      <c r="A9" s="160" t="n">
        <v>6</v>
      </c>
      <c r="B9" s="161" t="inlineStr">
        <is>
          <t>Borumba exploratory tunnelling procurement suspended</t>
        </is>
      </c>
      <c r="C9" s="178" t="inlineStr">
        <is>
          <t>Sustainability &amp; the Energy Transition</t>
        </is>
      </c>
      <c r="D9" s="163" t="n">
        <v>4</v>
      </c>
      <c r="E9" s="177" t="inlineStr">
        <is>
          <t>News brief</t>
        </is>
      </c>
      <c r="F9" s="165" t="inlineStr">
        <is>
          <t>To review</t>
        </is>
      </c>
      <c r="G9" s="166" t="n"/>
      <c r="H9" s="167" t="n"/>
      <c r="I9" s="168" t="inlineStr">
        <is>
          <t>What ground investigation information is needed before exploratory tunnelling for a pumped hydro scheme, and why procurement pauses matter for site characterisation.</t>
        </is>
      </c>
      <c r="J9" s="168" t="inlineStr">
        <is>
          <t>Tunnelling Journal</t>
        </is>
      </c>
      <c r="K9" s="169" t="n">
        <v>46326</v>
      </c>
      <c r="L9" s="168" t="n"/>
      <c r="M9" s="168" t="inlineStr">
        <is>
          <t>Queensland Hydro</t>
        </is>
      </c>
      <c r="N9" s="170" t="inlineStr">
        <is>
          <t>Australia</t>
        </is>
      </c>
      <c r="O9" s="168" t="inlineStr">
        <is>
          <t>Borumba Dam, Queensland</t>
        </is>
      </c>
      <c r="P9" s="168" t="n"/>
      <c r="Q9" s="171" t="n"/>
      <c r="R9" s="169" t="n">
        <v>46325</v>
      </c>
      <c r="S9" s="170" t="inlineStr">
        <is>
          <t>2026-Q4</t>
        </is>
      </c>
      <c r="T9" s="172" t="inlineStr">
        <is>
          <t>tunnelling</t>
        </is>
      </c>
      <c r="U9" s="160" t="n">
        <v>5</v>
      </c>
      <c r="V9" s="173" t="inlineStr">
        <is>
          <t>https://tunnellingjournal.com/borumba-exploratory-tunnelling-procurement-suspended/</t>
        </is>
      </c>
      <c r="W9" s="174">
        <f>IF($B9="",0,IF(AND(OR(OR(Dashboard!$B$5="All themes",Dashboard!$B$5=""),$C9=Dashboard!$B$5),OR(OR(Dashboard!$G$5="All uses",Dashboard!$G$5=""),$E9=Dashboard!$G$5),N($D9)&gt;=Lists!$H$2,OR(OR(Dashboard!$N$5="All windows",Dashboard!$N$5=""),$S9=Dashboard!$N$5)),1,0))</f>
        <v/>
      </c>
      <c r="X9" s="175">
        <f>IF($W9=1,N($D9)*1E14+MIN(MAX(N($U9),0),9999)*1E10+MIN(N($K9),99999)*1E5+99999-MIN(ROW(),99999),"")</f>
        <v/>
      </c>
    </row>
    <row r="10" ht="40.5" customHeight="1">
      <c r="A10" s="160" t="n">
        <v>7</v>
      </c>
      <c r="B10" s="161" t="inlineStr">
        <is>
          <t>Zero isotherm above 3,000 metres: ten communes under red alert for alluvium danger in the Metropolitan Region.</t>
        </is>
      </c>
      <c r="C10" s="162" t="inlineStr">
        <is>
          <t>Hazards &amp; Resilience</t>
        </is>
      </c>
      <c r="D10" s="163" t="n">
        <v>4</v>
      </c>
      <c r="E10" s="164" t="inlineStr">
        <is>
          <t>Feature lead</t>
        </is>
      </c>
      <c r="F10" s="165" t="inlineStr">
        <is>
          <t>To review</t>
        </is>
      </c>
      <c r="G10" s="166" t="n"/>
      <c r="H10" s="167" t="n"/>
      <c r="I10" s="168" t="inlineStr">
        <is>
          <t>How does a rising freezing level change the debris-flow and alluvium hazard on steep Andean catchments near a capital city?</t>
        </is>
      </c>
      <c r="J10" s="168" t="inlineStr">
        <is>
          <t>ADN Radio</t>
        </is>
      </c>
      <c r="K10" s="169" t="n">
        <v>46326</v>
      </c>
      <c r="L10" s="168" t="inlineStr">
        <is>
          <t>Isoterma cero sobre los 3 mil metros: las 10 comunas bajo Alerta Roja por peligro de aluvión en la RM</t>
        </is>
      </c>
      <c r="M10" s="168" t="inlineStr">
        <is>
          <t>Senapred (national emergency office)</t>
        </is>
      </c>
      <c r="N10" s="170" t="inlineStr">
        <is>
          <t>Chile</t>
        </is>
      </c>
      <c r="O10" s="168" t="inlineStr">
        <is>
          <t>Región Metropolitana, Chile</t>
        </is>
      </c>
      <c r="P10" s="168" t="inlineStr">
        <is>
          <t>Senapred declares Red Alert in the Metropolitan Region: the 10 commun… (Oct 2026) · Update · 5 reports</t>
        </is>
      </c>
      <c r="Q10" s="171" t="inlineStr">
        <is>
          <t>Chile</t>
        </is>
      </c>
      <c r="R10" s="169" t="n">
        <v>46325</v>
      </c>
      <c r="S10" s="170" t="inlineStr">
        <is>
          <t>2026-Q4</t>
        </is>
      </c>
      <c r="T10" s="172" t="inlineStr">
        <is>
          <t>debris flow</t>
        </is>
      </c>
      <c r="U10" s="160" t="n">
        <v>4</v>
      </c>
      <c r="V10" s="173" t="inlineStr">
        <is>
          <t>https://news.google.com/rss/articles/CBMi0gFBVV95cUxQZHd0aDBuR1d3UGdJQm92eVVMbGY0Q1EyUzExSnhwMVFIbktsekpqb2Y0cXVjNVRmWFFJVmlWeXUxdm13bjFIUnRRdkJJQ2prdTFtaXZQUjhXY05XOFp4TjFNNDBVQlFSaHdXRU4zSDY1eGpfallobGRrRURqOW43cGZXWDBuY0JNaEdjdDZFcUdIVWhoUUlwLUJ2bjZpUlBmc0VNTnpodFVyaWZoUWVPVDlzeXlmNklWdGVjRThoSnktZUpIZmdFeHZEVkJ4SnJwSHfSAeYBQVVfeXFMTzluMUFqeGFiREVqUGw2MFo2Q2VIcFlfTmFmLUdhM1VFeXRlcmFieDRJLS00QWw5TWFIZzVDZkdaSTlCNHRtRGRtMlNsRXQ1Ym1hOVA3a0NGZEg2ZzNfUGxSNVh1TG5NRS1mOXYxS3h3WjVHRlJyMlVtREdZWE1reVhObDlTVVlVSm91UWpyaUNlNEUwREIwb2M4NE16d3Q0UjNZZEVDUUF6cmVpU29EUThiM1oyRTdkYkMweW8tTFBIN1JJV3VNSjVYbWxnZkdQWlFTeWlOVGtwaE9pLVE5dTBOdGdhenc?oc=5</t>
        </is>
      </c>
      <c r="W10" s="174">
        <f>IF($B10="",0,IF(AND(OR(OR(Dashboard!$B$5="All themes",Dashboard!$B$5=""),$C10=Dashboard!$B$5),OR(OR(Dashboard!$G$5="All uses",Dashboard!$G$5=""),$E10=Dashboard!$G$5),N($D10)&gt;=Lists!$H$2,OR(OR(Dashboard!$N$5="All windows",Dashboard!$N$5=""),$S10=Dashboard!$N$5)),1,0))</f>
        <v/>
      </c>
      <c r="X10" s="175">
        <f>IF($W10=1,N($D10)*1E14+MIN(MAX(N($U10),0),9999)*1E10+MIN(N($K10),99999)*1E5+99999-MIN(ROW(),99999),"")</f>
        <v/>
      </c>
    </row>
    <row r="11" ht="53" customHeight="1">
      <c r="A11" s="160" t="n">
        <v>8</v>
      </c>
      <c r="B11" s="161" t="inlineStr">
        <is>
          <t>Is your city at risk of landslides? New map reveals vulnerable areas in Paraná.</t>
        </is>
      </c>
      <c r="C11" s="162" t="inlineStr">
        <is>
          <t>Hazards &amp; Resilience</t>
        </is>
      </c>
      <c r="D11" s="163" t="n">
        <v>4</v>
      </c>
      <c r="E11" s="164" t="inlineStr">
        <is>
          <t>Feature lead</t>
        </is>
      </c>
      <c r="F11" s="165" t="inlineStr">
        <is>
          <t>To review</t>
        </is>
      </c>
      <c r="G11" s="166" t="n"/>
      <c r="H11" s="167" t="n"/>
      <c r="I11" s="168" t="inlineStr">
        <is>
          <t>How is a regional landslide susceptibility map built from slope, soil and rainfall data, and how should its limits be communicated?</t>
        </is>
      </c>
      <c r="J11" s="168" t="inlineStr">
        <is>
          <t>Bem Paraná</t>
        </is>
      </c>
      <c r="K11" s="169" t="n">
        <v>46326</v>
      </c>
      <c r="L11" s="168" t="inlineStr">
        <is>
          <t>Sua cidade corre risco de deslizamentos? Novo mapa revela áreas vulneráveis no Paraná</t>
        </is>
      </c>
      <c r="M11" s="168" t="inlineStr">
        <is>
          <t>Paraná state civil defence and geological service</t>
        </is>
      </c>
      <c r="N11" s="170" t="inlineStr">
        <is>
          <t>Brazil</t>
        </is>
      </c>
      <c r="O11" s="168" t="inlineStr">
        <is>
          <t>Paraná state</t>
        </is>
      </c>
      <c r="P11" s="168" t="n"/>
      <c r="Q11" s="171" t="inlineStr">
        <is>
          <t>Brazil</t>
        </is>
      </c>
      <c r="R11" s="169" t="n">
        <v>46325</v>
      </c>
      <c r="S11" s="170" t="inlineStr">
        <is>
          <t>2026-Q4</t>
        </is>
      </c>
      <c r="T11" s="172" t="inlineStr">
        <is>
          <t>landslide</t>
        </is>
      </c>
      <c r="U11" s="160" t="n">
        <v>4</v>
      </c>
      <c r="V11" s="173" t="inlineStr">
        <is>
          <t>https://news.google.com/rss/articles/CBMiygFBVV95cUxORTJtYTJ5SktwbXFqX1k1VEhwMEZXZ0JDQUxhdmotb2ZZLXN0RVVtUTd0VW8zMmRyMDBIazVZNmkzaDZYRWRaN2R5M29EcFNMbHJKaFktWHgyY0xQUjRMWVNGWS1oT3BrUjdXcGtKaWVLTFpCeVEtdS13QWd4anNlWldyV2ZqSmYzZjJ2VExTcjdlY2xGaG5PQ1JyQnhHelRzdFhFUG5JQmVRNlVONUVQVHpLN1lzbXFHeERiYXhmbUV1emgtTzB3eHlR0gHPAUFVX3lxTFBUcDQtLTRmbTZ3YnVZa1p0YUxZR3Z0cmRjVS1abHgwb2k5UmxWRmxoOFl3YUNnNHYxWF90bW9wWE9FQ19qaHJqXzY1T0tuWDBpUGlhOEtjenlvWTExWUxiQXZSTG1mLXEtRFUweEFtWmF3dDA0Q3lULXViWGFlc210MG1KbTZaZ1p4TWVDT1NYdDlUSlJKc04zeDZjQmstc1EwR3EzWi1ISE1pajRNblBSM3JnOHVHY0QzT0pQRVNxMW9VaEc0SEQwNXhfVWdUTQ?oc=5</t>
        </is>
      </c>
      <c r="W11" s="174">
        <f>IF($B11="",0,IF(AND(OR(OR(Dashboard!$B$5="All themes",Dashboard!$B$5=""),$C11=Dashboard!$B$5),OR(OR(Dashboard!$G$5="All uses",Dashboard!$G$5=""),$E11=Dashboard!$G$5),N($D11)&gt;=Lists!$H$2,OR(OR(Dashboard!$N$5="All windows",Dashboard!$N$5=""),$S11=Dashboard!$N$5)),1,0))</f>
        <v/>
      </c>
      <c r="X11" s="175">
        <f>IF($W11=1,N($D11)*1E14+MIN(MAX(N($U11),0),9999)*1E10+MIN(N($K11),99999)*1E5+99999-MIN(ROW(),99999),"")</f>
        <v/>
      </c>
    </row>
    <row r="12" ht="40.5" customHeight="1">
      <c r="A12" s="160" t="n">
        <v>9</v>
      </c>
      <c r="B12" s="161" t="inlineStr">
        <is>
          <t>Chieti landslide: Commissioner Marsilio adopts ordinance no. 4. Funds arrive.</t>
        </is>
      </c>
      <c r="C12" s="162" t="inlineStr">
        <is>
          <t>Hazards &amp; Resilience</t>
        </is>
      </c>
      <c r="D12" s="163" t="n">
        <v>4</v>
      </c>
      <c r="E12" s="177" t="inlineStr">
        <is>
          <t>News brief</t>
        </is>
      </c>
      <c r="F12" s="165" t="inlineStr">
        <is>
          <t>To review</t>
        </is>
      </c>
      <c r="G12" s="166" t="n"/>
      <c r="H12" s="167" t="n"/>
      <c r="I12" s="168" t="inlineStr">
        <is>
          <t>What investigation and works are needed before a commissioner's funding for a landslide can be spent effectively?</t>
        </is>
      </c>
      <c r="J12" s="168" t="inlineStr">
        <is>
          <t>Abruzzo Popolare</t>
        </is>
      </c>
      <c r="K12" s="169" t="n">
        <v>46326</v>
      </c>
      <c r="L12" s="168" t="inlineStr">
        <is>
          <t>Frana di Chieti: il Commissario Marsilio adotta l’ordinanza numero 4. Arrivano i soldi</t>
        </is>
      </c>
      <c r="M12" s="168" t="inlineStr">
        <is>
          <t>Abruzzo regional government commissioner's office</t>
        </is>
      </c>
      <c r="N12" s="170" t="inlineStr">
        <is>
          <t>Italy</t>
        </is>
      </c>
      <c r="O12" s="168" t="inlineStr">
        <is>
          <t>Chieti, Abruzzo</t>
        </is>
      </c>
      <c r="P12" s="168" t="n"/>
      <c r="Q12" s="171" t="inlineStr">
        <is>
          <t>Italy</t>
        </is>
      </c>
      <c r="R12" s="169" t="n">
        <v>46326</v>
      </c>
      <c r="S12" s="170" t="inlineStr">
        <is>
          <t>2026-Q4</t>
        </is>
      </c>
      <c r="T12" s="172" t="inlineStr">
        <is>
          <t>landslide</t>
        </is>
      </c>
      <c r="U12" s="160" t="n">
        <v>4</v>
      </c>
      <c r="V12" s="173" t="inlineStr">
        <is>
          <t>https://news.google.com/rss/articles/CBMirAFBVV95cUxQQ0I1MVNOQUo3dmZiTlBLNDdrbkFmbVF4TFoya1VhVXpSWGxrX1VKdm84aGhKVjNQbExrNTI4VW5BZEJrWmpqUGFfVjBWRzY1c3d6dWVvNFZwdHp1S3JxNWRmTlNmTC1sMWpBSEY1ak0zM2d4ckpORkVPY0V5Q09vOWNKcUFLTlJaZkt0NW5fZjBjbGJfWmtGNVk4cDNlekFkRmRrTkFYUGpiZ1pL?oc=5</t>
        </is>
      </c>
      <c r="W12" s="174">
        <f>IF($B12="",0,IF(AND(OR(OR(Dashboard!$B$5="All themes",Dashboard!$B$5=""),$C12=Dashboard!$B$5),OR(OR(Dashboard!$G$5="All uses",Dashboard!$G$5=""),$E12=Dashboard!$G$5),N($D12)&gt;=Lists!$H$2,OR(OR(Dashboard!$N$5="All windows",Dashboard!$N$5=""),$S12=Dashboard!$N$5)),1,0))</f>
        <v/>
      </c>
      <c r="X12" s="175">
        <f>IF($W12=1,N($D12)*1E14+MIN(MAX(N($U12),0),9999)*1E10+MIN(N($K12),99999)*1E5+99999-MIN(ROW(),99999),"")</f>
        <v/>
      </c>
    </row>
    <row r="13" ht="28" customHeight="1">
      <c r="A13" s="160" t="n">
        <v>10</v>
      </c>
      <c r="B13" s="161" t="inlineStr">
        <is>
          <t>Niscemi landslide: Ciciliano at the Prefecture in Caltanissetta.</t>
        </is>
      </c>
      <c r="C13" s="162" t="inlineStr">
        <is>
          <t>Hazards &amp; Resilience</t>
        </is>
      </c>
      <c r="D13" s="163" t="n">
        <v>4</v>
      </c>
      <c r="E13" s="179" t="inlineStr">
        <is>
          <t>Watch only</t>
        </is>
      </c>
      <c r="F13" s="165" t="inlineStr">
        <is>
          <t>To review</t>
        </is>
      </c>
      <c r="G13" s="166" t="n"/>
      <c r="H13" s="167" t="n"/>
      <c r="I13" s="168" t="n"/>
      <c r="J13" s="168" t="inlineStr">
        <is>
          <t>Video Mediterraneo</t>
        </is>
      </c>
      <c r="K13" s="169" t="n">
        <v>46326</v>
      </c>
      <c r="L13" s="168" t="inlineStr">
        <is>
          <t>FRANA DI NISCEMI - CICILIANO IN PREFETTURA A CALTANISSETTA</t>
        </is>
      </c>
      <c r="M13" s="168" t="inlineStr">
        <is>
          <t>Caltanissetta Prefecture</t>
        </is>
      </c>
      <c r="N13" s="170" t="inlineStr">
        <is>
          <t>Italy</t>
        </is>
      </c>
      <c r="O13" s="168" t="inlineStr">
        <is>
          <t>Caltanissetta, Sicily</t>
        </is>
      </c>
      <c r="P13" s="168" t="inlineStr">
        <is>
          <t>Niscemi landslide, Sicily (Jan 2026) · Response &amp; recovery · 6 reports</t>
        </is>
      </c>
      <c r="Q13" s="171" t="inlineStr">
        <is>
          <t>Italy</t>
        </is>
      </c>
      <c r="R13" s="169" t="n">
        <v>46325</v>
      </c>
      <c r="S13" s="170" t="inlineStr">
        <is>
          <t>2026-Q4</t>
        </is>
      </c>
      <c r="T13" s="172" t="inlineStr">
        <is>
          <t>landslide</t>
        </is>
      </c>
      <c r="U13" s="160" t="n">
        <v>4</v>
      </c>
      <c r="V13" s="173" t="inlineStr">
        <is>
          <t>https://news.google.com/rss/articles/CBMilgFBVV95cUxQOE80WmRSelZkZnRtSERaSkRlMkctUEI1WU8wdzV2Zm43WU9HMURUcjNEQWNHTk5SdWt0SEtkcmhKOElhYmxrWTZCS1JUNWFWdlRDUWJRTkM2RUFLRkFUNFBaQlFlU3BFZGpLWEQzaDEtTUZTOFFia0h2YUp0VS14VzM1dUtIaUNBWFNBYThGdG9acGtYcGc?oc=5</t>
        </is>
      </c>
      <c r="W13" s="174">
        <f>IF($B13="",0,IF(AND(OR(OR(Dashboard!$B$5="All themes",Dashboard!$B$5=""),$C13=Dashboard!$B$5),OR(OR(Dashboard!$G$5="All uses",Dashboard!$G$5=""),$E13=Dashboard!$G$5),N($D13)&gt;=Lists!$H$2,OR(OR(Dashboard!$N$5="All windows",Dashboard!$N$5=""),$S13=Dashboard!$N$5)),1,0))</f>
        <v/>
      </c>
      <c r="X13" s="175">
        <f>IF($W13=1,N($D13)*1E14+MIN(MAX(N($U13),0),9999)*1E10+MIN(N($K13),99999)*1E5+99999-MIN(ROW(),99999),"")</f>
        <v/>
      </c>
    </row>
    <row r="14" ht="53" customHeight="1">
      <c r="A14" s="160" t="n">
        <v>11</v>
      </c>
      <c r="B14" s="161" t="inlineStr">
        <is>
          <t>Chieti landslide: ordinance no. 4 passes; FdI claims credit, Legnini says proposals accepted. Funding unresolved.</t>
        </is>
      </c>
      <c r="C14" s="162" t="inlineStr">
        <is>
          <t>Hazards &amp; Resilience</t>
        </is>
      </c>
      <c r="D14" s="163" t="n">
        <v>4</v>
      </c>
      <c r="E14" s="177" t="inlineStr">
        <is>
          <t>News brief</t>
        </is>
      </c>
      <c r="F14" s="165" t="inlineStr">
        <is>
          <t>To review</t>
        </is>
      </c>
      <c r="G14" s="166" t="n"/>
      <c r="H14" s="167" t="n"/>
      <c r="I14" s="168" t="inlineStr">
        <is>
          <t>Which technical priorities should guide the allocation of funds for a landslide that remains under active management?</t>
        </is>
      </c>
      <c r="J14" s="168" t="inlineStr">
        <is>
          <t>Il Giornale di Chieti</t>
        </is>
      </c>
      <c r="K14" s="169" t="n">
        <v>46326</v>
      </c>
      <c r="L14" s="168" t="inlineStr">
        <is>
          <t>Frana di Chieti, passa l’ordinanza n. 4. FdI rivendica il risultato, Legnini: «Accolte le nostre proposte». Resta aperta la partita delle risorse</t>
        </is>
      </c>
      <c r="M14" s="168" t="inlineStr">
        <is>
          <t>Abruzzo regional government commissioner's office</t>
        </is>
      </c>
      <c r="N14" s="170" t="inlineStr">
        <is>
          <t>Italy</t>
        </is>
      </c>
      <c r="O14" s="168" t="inlineStr">
        <is>
          <t>Chieti, Abruzzo</t>
        </is>
      </c>
      <c r="P14" s="168" t="n"/>
      <c r="Q14" s="171" t="inlineStr">
        <is>
          <t>Italy</t>
        </is>
      </c>
      <c r="R14" s="169" t="n">
        <v>46325</v>
      </c>
      <c r="S14" s="170" t="inlineStr">
        <is>
          <t>2026-Q4</t>
        </is>
      </c>
      <c r="T14" s="172" t="inlineStr">
        <is>
          <t>landslide</t>
        </is>
      </c>
      <c r="U14" s="160" t="n">
        <v>4</v>
      </c>
      <c r="V14" s="173" t="inlineStr">
        <is>
          <t>https://news.google.com/rss/articles/CBMinwJBVV95cUxNVGJvVnFHMnJxRS1YdU9BbS1sWHI4QVZ3YXhtQ2dSOFM2bERkRHd3WG1TYU94MFdxOThNTjVJVVNDWW0tVUtwUGdsUEc5M2xPQld4SjVNYXpPT3NjV28tRkRCSHVkaWdGRk85UGlxNWJEem8td2FIMEFRNjRUV3NRaFgtVUY1RzQ5SmxZdFVvb0l5ZGRBQkpWMUo2MGVIZ1RPdEJFM3ZEV3VlUTJNd3otWjNrZHlMdHJTVFR4VlcyRlllbXFOdFJ6aDN5cW0xMXdUN2hhc3hSYTZFanJpV3hzSnI1Y1lfLVVJb3gtSjR2ZG5JbUh2MVVoc3NpTFloT0JWeVp5RE83QWxscWJ0YlIwZE5SYjA2WjhpMUM2TUdCOA?oc=5</t>
        </is>
      </c>
      <c r="W14" s="174">
        <f>IF($B14="",0,IF(AND(OR(OR(Dashboard!$B$5="All themes",Dashboard!$B$5=""),$C14=Dashboard!$B$5),OR(OR(Dashboard!$G$5="All uses",Dashboard!$G$5=""),$E14=Dashboard!$G$5),N($D14)&gt;=Lists!$H$2,OR(OR(Dashboard!$N$5="All windows",Dashboard!$N$5=""),$S14=Dashboard!$N$5)),1,0))</f>
        <v/>
      </c>
      <c r="X14" s="175">
        <f>IF($W14=1,N($D14)*1E14+MIN(MAX(N($U14),0),9999)*1E10+MIN(N($K14),99999)*1E5+99999-MIN(ROW(),99999),"")</f>
        <v/>
      </c>
    </row>
    <row r="15" ht="53" customHeight="1">
      <c r="A15" s="160" t="n">
        <v>12</v>
      </c>
      <c r="B15" s="161" t="inlineStr">
        <is>
          <t>Cappadocia fairy chimney collapses, killing two; collapse blamed on heavy rain</t>
        </is>
      </c>
      <c r="C15" s="162" t="inlineStr">
        <is>
          <t>Hazards &amp; Resilience</t>
        </is>
      </c>
      <c r="D15" s="163" t="n">
        <v>4</v>
      </c>
      <c r="E15" s="164" t="inlineStr">
        <is>
          <t>Feature lead</t>
        </is>
      </c>
      <c r="F15" s="165" t="inlineStr">
        <is>
          <t>To review</t>
        </is>
      </c>
      <c r="G15" s="166" t="n"/>
      <c r="H15" s="167" t="n"/>
      <c r="I15" s="168" t="inlineStr">
        <is>
          <t>How does intense rainfall weaken the tuff pillars and fairy chimneys of volcanic landscapes, and what slope monitoring could protect visitors in such terrain?</t>
        </is>
      </c>
      <c r="J15" s="168" t="inlineStr">
        <is>
          <t>Il Messaggero</t>
        </is>
      </c>
      <c r="K15" s="169" t="n">
        <v>46326</v>
      </c>
      <c r="L15" s="168" t="inlineStr">
        <is>
          <t>Cappadocia, crolla un Camino delle fate: morte due persone. «Frana provocata dalle forti piogge»</t>
        </is>
      </c>
      <c r="M15" s="168" t="inlineStr">
        <is>
          <t>Turkish disaster authority AFAD or the Nevşehir provincial governorate</t>
        </is>
      </c>
      <c r="N15" s="170" t="inlineStr">
        <is>
          <t>Türkiye</t>
        </is>
      </c>
      <c r="O15" s="168" t="inlineStr">
        <is>
          <t>Cappadocia, Nevşehir</t>
        </is>
      </c>
      <c r="P15" s="168" t="inlineStr">
        <is>
          <t>Cappadocia fairy chimney collapse, Turkey (Oct 2026) · Event · 2 reports</t>
        </is>
      </c>
      <c r="Q15" s="171" t="inlineStr">
        <is>
          <t>Italy</t>
        </is>
      </c>
      <c r="R15" s="169" t="n">
        <v>46324</v>
      </c>
      <c r="S15" s="170" t="inlineStr">
        <is>
          <t>2026-Q4</t>
        </is>
      </c>
      <c r="T15" s="172" t="inlineStr">
        <is>
          <t>landslide</t>
        </is>
      </c>
      <c r="U15" s="160" t="n">
        <v>4</v>
      </c>
      <c r="V15" s="173" t="inlineStr">
        <is>
          <t>https://news.google.com/rss/articles/CBMiwgFBVV95cUxQTkNERURlNHBha3oxaTk5a1NFMnVrcmZFVnVhbHhWNTV3UDFTVUlJbXFYR1RON0ExMUhyZ3dxbVRrekxlMjlIekZONlRTc0xfMk5iRC1DdEtIODlDemdwX3FVazJSNGp5cmEzTjI0TnE3WW91OFZWc2xfaGRiVkVjUkJaQzl1dnJtYjBzZ2s4c1NKUU0wYlFmbC1GektqcjFzR2VqdHVHa1Z2TGIzXzdOV0ZrOFlQUW1fNG9xOUZPTlpDQdIBtwFBVV95cUxPRDRRWlYzdTQwdjlPNXVGajFxanp6eF9SNU5IRkZxVjhLcnR3Z1M1X25aaUh6SVlsUm5Bd1NjRE1ScmR0YndSeDNySTZGWTdUbk12WUVQMVpUdmd2Rm9RQkxzc2I1Z0gtNTBUUXZUOEs3MDI2QWFSbUZVazdDcllvRHM2V2NFdXhLNjZtdXBMZjdVZlNyeXp4SFFKSXd6aHhjd1J5dlFfSTRIaDZyNXdxZTAwNGRKTHc?oc=5</t>
        </is>
      </c>
      <c r="W15" s="174">
        <f>IF($B15="",0,IF(AND(OR(OR(Dashboard!$B$5="All themes",Dashboard!$B$5=""),$C15=Dashboard!$B$5),OR(OR(Dashboard!$G$5="All uses",Dashboard!$G$5=""),$E15=Dashboard!$G$5),N($D15)&gt;=Lists!$H$2,OR(OR(Dashboard!$N$5="All windows",Dashboard!$N$5=""),$S15=Dashboard!$N$5)),1,0))</f>
        <v/>
      </c>
      <c r="X15" s="175">
        <f>IF($W15=1,N($D15)*1E14+MIN(MAX(N($U15),0),9999)*1E10+MIN(N($K15),99999)*1E5+99999-MIN(ROW(),99999),"")</f>
        <v/>
      </c>
    </row>
    <row r="16" ht="53" customHeight="1">
      <c r="A16" s="160" t="n">
        <v>13</v>
      </c>
      <c r="B16" s="161" t="inlineStr">
        <is>
          <t>Chieti landslide: Ordinance No. 4 approved; Legnini: 'New resources are now needed'</t>
        </is>
      </c>
      <c r="C16" s="162" t="inlineStr">
        <is>
          <t>Hazards &amp; Resilience</t>
        </is>
      </c>
      <c r="D16" s="163" t="n">
        <v>4</v>
      </c>
      <c r="E16" s="164" t="inlineStr">
        <is>
          <t>Feature lead</t>
        </is>
      </c>
      <c r="F16" s="165" t="inlineStr">
        <is>
          <t>To review</t>
        </is>
      </c>
      <c r="G16" s="166" t="n"/>
      <c r="H16" s="167" t="n"/>
      <c r="I16" s="168" t="inlineStr">
        <is>
          <t>What funding and governance gaps slow the stabilisation of a major urban landslide, and what lessons does Chieti offer for managing slope risk in Italian towns?</t>
        </is>
      </c>
      <c r="J16" s="168" t="inlineStr">
        <is>
          <t>Zonalocale</t>
        </is>
      </c>
      <c r="K16" s="169" t="n">
        <v>46326</v>
      </c>
      <c r="L16" s="168" t="inlineStr">
        <is>
          <t>Frana di Chieti, approvata l’Ordinanza n. 4. Legnini: «Ora servono nuove risorse» -</t>
        </is>
      </c>
      <c r="M16" s="168" t="inlineStr">
        <is>
          <t>Comune di Chieti and the Abruzzo civil protection department</t>
        </is>
      </c>
      <c r="N16" s="170" t="inlineStr">
        <is>
          <t>Italy</t>
        </is>
      </c>
      <c r="O16" s="168" t="inlineStr">
        <is>
          <t>Chieti</t>
        </is>
      </c>
      <c r="P16" s="168" t="n"/>
      <c r="Q16" s="171" t="inlineStr">
        <is>
          <t>Italy</t>
        </is>
      </c>
      <c r="R16" s="169" t="n">
        <v>46326</v>
      </c>
      <c r="S16" s="170" t="inlineStr">
        <is>
          <t>2026-Q4</t>
        </is>
      </c>
      <c r="T16" s="172" t="inlineStr">
        <is>
          <t>landslide</t>
        </is>
      </c>
      <c r="U16" s="160" t="n">
        <v>4</v>
      </c>
      <c r="V16" s="173" t="inlineStr">
        <is>
          <t>https://news.google.com/rss/articles/CBMifkFVX3lxTFBlakVoRU1IR0VrZzQxWTBiRWlRMHh3OFRqcFE5Y2VhMUdGamNadEQ2WjU5Sk5hNk5XbHN0YUNqcFVRUU9SVlNjak9uWFlEU3lnUnBxM1d3QWJ5R1RYbUxvazNmU1hQQTNtYjlTYU83d1drZzM1SzNkb1BtSThTdw?oc=5</t>
        </is>
      </c>
      <c r="W16" s="174">
        <f>IF($B16="",0,IF(AND(OR(OR(Dashboard!$B$5="All themes",Dashboard!$B$5=""),$C16=Dashboard!$B$5),OR(OR(Dashboard!$G$5="All uses",Dashboard!$G$5=""),$E16=Dashboard!$G$5),N($D16)&gt;=Lists!$H$2,OR(OR(Dashboard!$N$5="All windows",Dashboard!$N$5=""),$S16=Dashboard!$N$5)),1,0))</f>
        <v/>
      </c>
      <c r="X16" s="175">
        <f>IF($W16=1,N($D16)*1E14+MIN(MAX(N($U16),0),9999)*1E10+MIN(N($K16),99999)*1E5+99999-MIN(ROW(),99999),"")</f>
        <v/>
      </c>
    </row>
    <row r="17" ht="53" customHeight="1">
      <c r="A17" s="160" t="n">
        <v>14</v>
      </c>
      <c r="B17" s="161" t="inlineStr">
        <is>
          <t>Beneath Alaska: Permafrost warms to new depths</t>
        </is>
      </c>
      <c r="C17" s="180" t="inlineStr">
        <is>
          <t>Characterisation &amp; Modelling</t>
        </is>
      </c>
      <c r="D17" s="163" t="n">
        <v>4</v>
      </c>
      <c r="E17" s="164" t="inlineStr">
        <is>
          <t>Feature lead</t>
        </is>
      </c>
      <c r="F17" s="165" t="inlineStr">
        <is>
          <t>To review</t>
        </is>
      </c>
      <c r="G17" s="166" t="n"/>
      <c r="H17" s="167" t="n"/>
      <c r="I17" s="168" t="inlineStr">
        <is>
          <t>How is warming permafrost at depth being monitored and modelled, and what does it mean for the long-term bearing capacity of infrastructure on frozen ground?</t>
        </is>
      </c>
      <c r="J17" s="168" t="inlineStr">
        <is>
          <t>Alaska's News Source</t>
        </is>
      </c>
      <c r="K17" s="169" t="n">
        <v>46326</v>
      </c>
      <c r="L17" s="168" t="n"/>
      <c r="M17" s="168" t="inlineStr">
        <is>
          <t>the research team's university press office</t>
        </is>
      </c>
      <c r="N17" s="170" t="inlineStr">
        <is>
          <t>United States</t>
        </is>
      </c>
      <c r="O17" s="168" t="inlineStr">
        <is>
          <t>Alaska</t>
        </is>
      </c>
      <c r="P17" s="168" t="n"/>
      <c r="Q17" s="171" t="inlineStr">
        <is>
          <t>United Kingdom</t>
        </is>
      </c>
      <c r="R17" s="169" t="n">
        <v>46326</v>
      </c>
      <c r="S17" s="170" t="inlineStr">
        <is>
          <t>2026-Q4</t>
        </is>
      </c>
      <c r="T17" s="172" t="inlineStr">
        <is>
          <t>permafrost</t>
        </is>
      </c>
      <c r="U17" s="160" t="n">
        <v>3</v>
      </c>
      <c r="V17" s="173" t="inlineStr">
        <is>
          <t>https://news.google.com/rss/articles/CBMikgFBVV95cUxPbmhtd2thc2pjMjFCYjNqSGVLVVMteEM3RktVTko2N1k1MEFHcnFheG1yekZydGR3dTFSVmltYnlZdXpxcTN6MldJelNUQXloTnRqMG1vWTF3Q2FJY1E1MnJ6Tlp6VGxoOVhGdmE3RVVrOGVTcm1sU0xXQl9kLWNMRFRKeGFKaVIxWkltWGFDdzh0UdIBpgFBVV95cUxPV0dEcU11MlZpVGpEQzMxa1E3Uk5NLXdodDEtUHpkYVIyQzZEWHZGTkRmOVBMcFFlamk2NnlFM1I2OW55SDJXMHpEdm1nbFM4a1ZBeUtIeVljOHlJNHBhNjJVUXp2azBkaXpkc0djNWpTUk92ZU1rbHdTVDlmM0RNdjc5ZHlDM2hvb3lLOVlWcjJxbjRKWWpneXhRdk5QcEVYemxNUjZB?oc=5</t>
        </is>
      </c>
      <c r="W17" s="174">
        <f>IF($B17="",0,IF(AND(OR(OR(Dashboard!$B$5="All themes",Dashboard!$B$5=""),$C17=Dashboard!$B$5),OR(OR(Dashboard!$G$5="All uses",Dashboard!$G$5=""),$E17=Dashboard!$G$5),N($D17)&gt;=Lists!$H$2,OR(OR(Dashboard!$N$5="All windows",Dashboard!$N$5=""),$S17=Dashboard!$N$5)),1,0))</f>
        <v/>
      </c>
      <c r="X17" s="175">
        <f>IF($W17=1,N($D17)*1E14+MIN(MAX(N($U17),0),9999)*1E10+MIN(N($K17),99999)*1E5+99999-MIN(ROW(),99999),"")</f>
        <v/>
      </c>
    </row>
    <row r="18" ht="53" customHeight="1">
      <c r="A18" s="160" t="n">
        <v>15</v>
      </c>
      <c r="B18" s="161" t="inlineStr">
        <is>
          <t>Off Suffolk's coast a single steel pile went in at 1,800 metric tons and 275 feet tall, and the vessel that set it drove all 95 into the seabed</t>
        </is>
      </c>
      <c r="C18" s="178" t="inlineStr">
        <is>
          <t>Sustainability &amp; the Energy Transition</t>
        </is>
      </c>
      <c r="D18" s="163" t="n">
        <v>4</v>
      </c>
      <c r="E18" s="164" t="inlineStr">
        <is>
          <t>Feature lead</t>
        </is>
      </c>
      <c r="F18" s="165" t="inlineStr">
        <is>
          <t>To review</t>
        </is>
      </c>
      <c r="G18" s="166" t="n"/>
      <c r="H18" s="167" t="n"/>
      <c r="I18" s="168" t="inlineStr">
        <is>
          <t>How are very large monopile foundations driven into dense seabed soils, and what installation risks and ground-response data matter for offshore wind design?</t>
        </is>
      </c>
      <c r="J18" s="168" t="inlineStr">
        <is>
          <t>Energies Media</t>
        </is>
      </c>
      <c r="K18" s="169" t="n">
        <v>46326</v>
      </c>
      <c r="L18" s="168" t="n"/>
      <c r="M18" s="168" t="inlineStr">
        <is>
          <t>the offshore wind farm developer and installing contractor</t>
        </is>
      </c>
      <c r="N18" s="170" t="inlineStr">
        <is>
          <t>United Kingdom</t>
        </is>
      </c>
      <c r="O18" s="168" t="inlineStr">
        <is>
          <t>Suffolk coast, North Sea</t>
        </is>
      </c>
      <c r="P18" s="168" t="n"/>
      <c r="Q18" s="171" t="inlineStr">
        <is>
          <t>United Kingdom</t>
        </is>
      </c>
      <c r="R18" s="169" t="n">
        <v>46325</v>
      </c>
      <c r="S18" s="170" t="inlineStr">
        <is>
          <t>2026-Q4</t>
        </is>
      </c>
      <c r="T18" s="172" t="inlineStr">
        <is>
          <t>pile</t>
        </is>
      </c>
      <c r="U18" s="160" t="n">
        <v>3</v>
      </c>
      <c r="V18" s="173" t="inlineStr">
        <is>
          <t>https://news.google.com/rss/articles/CBMia0FVX3lxTE9Ja0o2M0xiZ19peGdDTW85OHgwWE5mSlFUbmVMWkdRbWI4SHJZRkpfUEpuR3pnMXBxMjU2VmNpb2RkYXJkRnJGenZibkNULTRNSnNNd2l1bXgxTzRVVjVMQnM5Unh2dVRUbDBB?oc=5</t>
        </is>
      </c>
      <c r="W18" s="174">
        <f>IF($B18="",0,IF(AND(OR(OR(Dashboard!$B$5="All themes",Dashboard!$B$5=""),$C18=Dashboard!$B$5),OR(OR(Dashboard!$G$5="All uses",Dashboard!$G$5=""),$E18=Dashboard!$G$5),N($D18)&gt;=Lists!$H$2,OR(OR(Dashboard!$N$5="All windows",Dashboard!$N$5=""),$S18=Dashboard!$N$5)),1,0))</f>
        <v/>
      </c>
      <c r="X18" s="175">
        <f>IF($W18=1,N($D18)*1E14+MIN(MAX(N($U18),0),9999)*1E10+MIN(N($K18),99999)*1E5+99999-MIN(ROW(),99999),"")</f>
        <v/>
      </c>
    </row>
    <row r="19" ht="65.5" customHeight="1">
      <c r="A19" s="160" t="n">
        <v>16</v>
      </c>
      <c r="B19" s="161" t="inlineStr">
        <is>
          <t>Excavation for Bronevaya metro station built in St Petersburg; the Aurora machine is being lowered in</t>
        </is>
      </c>
      <c r="C19" s="176" t="inlineStr">
        <is>
          <t>Infrastructure &amp; the Underground City</t>
        </is>
      </c>
      <c r="D19" s="163" t="n">
        <v>4</v>
      </c>
      <c r="E19" s="164" t="inlineStr">
        <is>
          <t>Feature lead</t>
        </is>
      </c>
      <c r="F19" s="165" t="inlineStr">
        <is>
          <t>To review</t>
        </is>
      </c>
      <c r="G19" s="166" t="n"/>
      <c r="H19" s="167" t="n"/>
      <c r="I19" s="168" t="inlineStr">
        <is>
          <t>How was the deep metro station excavation built in St Petersburg's ground conditions, and what lessons do its retaining and lowering operations offer for urban tunnelling?</t>
        </is>
      </c>
      <c r="J19" s="168" t="inlineStr">
        <is>
          <t>Росбалт</t>
        </is>
      </c>
      <c r="K19" s="169" t="n">
        <v>46326</v>
      </c>
      <c r="L19" s="168" t="inlineStr">
        <is>
          <t>В Петербурге построили котлован под метро «Броневая»: туда спускают «Аврору»</t>
        </is>
      </c>
      <c r="M19" s="168" t="inlineStr">
        <is>
          <t>St Petersburg metro construction authority</t>
        </is>
      </c>
      <c r="N19" s="170" t="inlineStr">
        <is>
          <t>Russia</t>
        </is>
      </c>
      <c r="O19" s="168" t="inlineStr">
        <is>
          <t>Bronevaya metro station, St Petersburg</t>
        </is>
      </c>
      <c r="P19" s="168" t="n"/>
      <c r="Q19" s="171" t="inlineStr">
        <is>
          <t>Russia</t>
        </is>
      </c>
      <c r="R19" s="169" t="n">
        <v>46324</v>
      </c>
      <c r="S19" s="170" t="inlineStr">
        <is>
          <t>2026-Q4</t>
        </is>
      </c>
      <c r="T19" s="172" t="inlineStr">
        <is>
          <t>excavation, metro line</t>
        </is>
      </c>
      <c r="U19" s="160" t="n">
        <v>2</v>
      </c>
      <c r="V19" s="173" t="inlineStr">
        <is>
          <t>https://news.google.com/rss/articles/CBMitwFBVV95cUxObThUYVNtRTlDWV9fdkZ3ZHhBLWlsdmJtVWxVT1R2Rm11bWZnRklpekpWaDE2STY3WjhZQVJ5SGl2aUo0bjk4RjRvQ1VlaWc5OU9VNmlTaFBaZ1hPSkVKaVpzNlBHT0Y5WlhPTG5fWGZhMzBjeElUaEpPUGpTcjBIUXpBRVJwLUJ2SDJjUWp4bERUVmlhVWJUam1TdFE4NzEzMktfU0tBZkY1TGFlcnl1MlNqZ3JyVkk?oc=5</t>
        </is>
      </c>
      <c r="W19" s="174">
        <f>IF($B19="",0,IF(AND(OR(OR(Dashboard!$B$5="All themes",Dashboard!$B$5=""),$C19=Dashboard!$B$5),OR(OR(Dashboard!$G$5="All uses",Dashboard!$G$5=""),$E19=Dashboard!$G$5),N($D19)&gt;=Lists!$H$2,OR(OR(Dashboard!$N$5="All windows",Dashboard!$N$5=""),$S19=Dashboard!$N$5)),1,0))</f>
        <v/>
      </c>
      <c r="X19" s="175">
        <f>IF($W19=1,N($D19)*1E14+MIN(MAX(N($U19),0),9999)*1E10+MIN(N($K19),99999)*1E5+99999-MIN(ROW(),99999),"")</f>
        <v/>
      </c>
    </row>
    <row r="20" ht="53" customHeight="1">
      <c r="A20" s="160" t="n">
        <v>17</v>
      </c>
      <c r="B20" s="161" t="inlineStr">
        <is>
          <t>The multi-billion-ruble Aquaparadise water park in Vladivostok has turned into a flooded pit despite support from Tourism.RF</t>
        </is>
      </c>
      <c r="C20" s="176" t="inlineStr">
        <is>
          <t>Infrastructure &amp; the Underground City</t>
        </is>
      </c>
      <c r="D20" s="163" t="n">
        <v>4</v>
      </c>
      <c r="E20" s="164" t="inlineStr">
        <is>
          <t>Feature lead</t>
        </is>
      </c>
      <c r="F20" s="165" t="inlineStr">
        <is>
          <t>To review</t>
        </is>
      </c>
      <c r="G20" s="166" t="n"/>
      <c r="H20" s="167" t="n"/>
      <c r="I20" s="168" t="inlineStr">
        <is>
          <t>Why did a large excavation fill with water, and what groundwater control and site investigation failures could have prevented the flooding?</t>
        </is>
      </c>
      <c r="J20" s="168" t="inlineStr">
        <is>
          <t>Портал РЕПОСТ</t>
        </is>
      </c>
      <c r="K20" s="169" t="n">
        <v>46326</v>
      </c>
      <c r="L20" s="168" t="inlineStr">
        <is>
          <t>Многомиллиардный аквапарк «Аквапарадайз» во Владивостоке превратился в затопленный котлован, несмотря на поддержку «Туризм.РФ»</t>
        </is>
      </c>
      <c r="M20" s="168" t="inlineStr">
        <is>
          <t>the project developer and Primorsky regional authorities</t>
        </is>
      </c>
      <c r="N20" s="170" t="inlineStr">
        <is>
          <t>Russia</t>
        </is>
      </c>
      <c r="O20" s="168" t="inlineStr">
        <is>
          <t>Vladivostok</t>
        </is>
      </c>
      <c r="P20" s="168" t="n"/>
      <c r="Q20" s="171" t="inlineStr">
        <is>
          <t>Russia</t>
        </is>
      </c>
      <c r="R20" s="169" t="n">
        <v>46325</v>
      </c>
      <c r="S20" s="170" t="inlineStr">
        <is>
          <t>2026-Q4</t>
        </is>
      </c>
      <c r="T20" s="172" t="inlineStr">
        <is>
          <t>excavation</t>
        </is>
      </c>
      <c r="U20" s="160" t="n">
        <v>2</v>
      </c>
      <c r="V20" s="173" t="inlineStr">
        <is>
          <t>https://news.google.com/rss/articles/CBMi6wFBVV95cUxOOXBuaVFHcFhSZVFLNWp2NFhRdklISktmUGxPR1Faa0hlNEVqNThZMnRqa2NoVU5tTlF5SDc5UEY4UW13WGdCTWpLeWVtSFh2UWZ6dlc0dVprLUI5dUdzSjExUlFOcFlmWGwyTjZ3OThXWkdVcV9tWFQ3WXhZdFNfNFBhLTJRbl90Z1RfR2ZJRmVRQ0hpWUhTRWhMcVBwVTEtdGtrZzc0Q1QzYTQwbVE0ZmdPTjIxMlZuTFVmSUhvVS1FeGNISmJVTFNxUDRtQWF0YmhlejlROXJzSEVIc29iaHA5a0N4STFaN0pF?oc=5</t>
        </is>
      </c>
      <c r="W20" s="174">
        <f>IF($B20="",0,IF(AND(OR(OR(Dashboard!$B$5="All themes",Dashboard!$B$5=""),$C20=Dashboard!$B$5),OR(OR(Dashboard!$G$5="All uses",Dashboard!$G$5=""),$E20=Dashboard!$G$5),N($D20)&gt;=Lists!$H$2,OR(OR(Dashboard!$N$5="All windows",Dashboard!$N$5=""),$S20=Dashboard!$N$5)),1,0))</f>
        <v/>
      </c>
      <c r="X20" s="175">
        <f>IF($W20=1,N($D20)*1E14+MIN(MAX(N($U20),0),9999)*1E10+MIN(N($K20),99999)*1E5+99999-MIN(ROW(),99999),"")</f>
        <v/>
      </c>
    </row>
    <row r="21" ht="53" customHeight="1">
      <c r="A21" s="160" t="n">
        <v>18</v>
      </c>
      <c r="B21" s="161" t="inlineStr">
        <is>
          <t>Bhotekoshi flood: 37 bodies recovered from inside tunnel</t>
        </is>
      </c>
      <c r="C21" s="176" t="inlineStr">
        <is>
          <t>Infrastructure &amp; the Underground City</t>
        </is>
      </c>
      <c r="D21" s="163" t="n">
        <v>4</v>
      </c>
      <c r="E21" s="164" t="inlineStr">
        <is>
          <t>Feature lead</t>
        </is>
      </c>
      <c r="F21" s="165" t="inlineStr">
        <is>
          <t>To review</t>
        </is>
      </c>
      <c r="G21" s="166" t="n"/>
      <c r="H21" s="167" t="n"/>
      <c r="I21" s="168" t="inlineStr">
        <is>
          <t>How should tunnel portals and underground works in steep river valleys be protected against flood and debris flow, and what failed in this case?</t>
        </is>
      </c>
      <c r="J21" s="168" t="inlineStr">
        <is>
          <t>Ratopati Hindi</t>
        </is>
      </c>
      <c r="K21" s="169" t="n">
        <v>46326</v>
      </c>
      <c r="L21" s="168" t="inlineStr">
        <is>
          <t>भोटेकोशी बाढी: सुरुङ के भीतर से ३७ शव बरामद</t>
        </is>
      </c>
      <c r="M21" s="168" t="inlineStr">
        <is>
          <t>the Bhotekoshi hydropower project owner</t>
        </is>
      </c>
      <c r="N21" s="170" t="inlineStr">
        <is>
          <t>Nepal</t>
        </is>
      </c>
      <c r="O21" s="168" t="inlineStr">
        <is>
          <t>Bhotekoshi, Sindhupalchok</t>
        </is>
      </c>
      <c r="P21" s="168" t="n"/>
      <c r="Q21" s="171" t="inlineStr">
        <is>
          <t>India</t>
        </is>
      </c>
      <c r="R21" s="169" t="n">
        <v>46325</v>
      </c>
      <c r="S21" s="170" t="inlineStr">
        <is>
          <t>2026-Q4</t>
        </is>
      </c>
      <c r="T21" s="172" t="n"/>
      <c r="U21" s="160" t="n">
        <v>0</v>
      </c>
      <c r="V21" s="173" t="inlineStr">
        <is>
          <t>https://news.google.com/rss/articles/CBMijgFBVV95cUxQUllqMThjc2ZrUVlPcmd4YUNDLUZnUVpVanNtWVBZZWtaVUYyOGZUWl9KZ3hha1BsaUNBMXptSnNhM2VYUGVPa1NKMm5rb3l3N3ZaTHBKLV9fdFBEbG5zbk96UHlEYkZWUF9GakZUc0ZjT2ZmTUVCSUZWQUdFTVZsOWw5T2puZ1Z1aFhkc2Jn?oc=5</t>
        </is>
      </c>
      <c r="W21" s="174">
        <f>IF($B21="",0,IF(AND(OR(OR(Dashboard!$B$5="All themes",Dashboard!$B$5=""),$C21=Dashboard!$B$5),OR(OR(Dashboard!$G$5="All uses",Dashboard!$G$5=""),$E21=Dashboard!$G$5),N($D21)&gt;=Lists!$H$2,OR(OR(Dashboard!$N$5="All windows",Dashboard!$N$5=""),$S21=Dashboard!$N$5)),1,0))</f>
        <v/>
      </c>
      <c r="X21" s="175">
        <f>IF($W21=1,N($D21)*1E14+MIN(MAX(N($U21),0),9999)*1E10+MIN(N($K21),99999)*1E5+99999-MIN(ROW(),99999),"")</f>
        <v/>
      </c>
    </row>
    <row r="22" ht="53" customHeight="1">
      <c r="A22" s="160" t="n">
        <v>19</v>
      </c>
      <c r="B22" s="161" t="inlineStr">
        <is>
          <t>At Niscemi fear exists, resignation does not</t>
        </is>
      </c>
      <c r="C22" s="162" t="inlineStr">
        <is>
          <t>Hazards &amp; Resilience</t>
        </is>
      </c>
      <c r="D22" s="163" t="n">
        <v>4</v>
      </c>
      <c r="E22" s="164" t="inlineStr">
        <is>
          <t>Feature lead</t>
        </is>
      </c>
      <c r="F22" s="165" t="inlineStr">
        <is>
          <t>To review</t>
        </is>
      </c>
      <c r="G22" s="166" t="n"/>
      <c r="H22" s="167" t="n"/>
      <c r="I22" s="168" t="inlineStr">
        <is>
          <t>What slope movement mechanisms and monitoring approaches apply to a large, slow-moving landslide affecting a whole town, and what risk management follows?</t>
        </is>
      </c>
      <c r="J22" s="168" t="inlineStr">
        <is>
          <t>Vita.it</t>
        </is>
      </c>
      <c r="K22" s="169" t="n">
        <v>46326</v>
      </c>
      <c r="L22" s="168" t="inlineStr">
        <is>
          <t>A Niscemi la paura c’è, la rassegnazione no</t>
        </is>
      </c>
      <c r="M22" s="168" t="inlineStr">
        <is>
          <t>the regional civil protection department of Sicily</t>
        </is>
      </c>
      <c r="N22" s="170" t="inlineStr">
        <is>
          <t>Italy</t>
        </is>
      </c>
      <c r="O22" s="168" t="inlineStr">
        <is>
          <t>Niscemi, Sicily</t>
        </is>
      </c>
      <c r="P22" s="168" t="inlineStr">
        <is>
          <t>Niscemi landslide, Sicily (Jan 2026) · Update · 6 reports</t>
        </is>
      </c>
      <c r="Q22" s="171" t="inlineStr">
        <is>
          <t>Italy</t>
        </is>
      </c>
      <c r="R22" s="169" t="n">
        <v>46325</v>
      </c>
      <c r="S22" s="170" t="inlineStr">
        <is>
          <t>2026-Q4</t>
        </is>
      </c>
      <c r="T22" s="172" t="n"/>
      <c r="U22" s="160" t="n">
        <v>0</v>
      </c>
      <c r="V22" s="173" t="inlineStr">
        <is>
          <t>https://news.google.com/rss/articles/CBMib0FVX3lxTE9HQTdiSnRKMzZmMUo2a29KOGN6bHNWXzQyNmtDV3o2RWtHRU1nX3RDdXdSV2YyODBQaFZLbnpJbzV5ZUplVTZrdDFPanRaaXV4UmJLUDlSX3IxX1BSWlQ4c0RIa3NnMHptbFdXajFKdw?oc=5</t>
        </is>
      </c>
      <c r="W22" s="174">
        <f>IF($B22="",0,IF(AND(OR(OR(Dashboard!$B$5="All themes",Dashboard!$B$5=""),$C22=Dashboard!$B$5),OR(OR(Dashboard!$G$5="All uses",Dashboard!$G$5=""),$E22=Dashboard!$G$5),N($D22)&gt;=Lists!$H$2,OR(OR(Dashboard!$N$5="All windows",Dashboard!$N$5=""),$S22=Dashboard!$N$5)),1,0))</f>
        <v/>
      </c>
      <c r="X22" s="175">
        <f>IF($W22=1,N($D22)*1E14+MIN(MAX(N($U22),0),9999)*1E10+MIN(N($K22),99999)*1E5+99999-MIN(ROW(),99999),"")</f>
        <v/>
      </c>
    </row>
    <row r="23" ht="53" customHeight="1">
      <c r="A23" s="160" t="n">
        <v>20</v>
      </c>
      <c r="B23" s="161" t="inlineStr">
        <is>
          <t>Floods and landslides hit Banyumas: embankment breaks, 3 elementary schools affected</t>
        </is>
      </c>
      <c r="C23" s="162" t="inlineStr">
        <is>
          <t>Hazards &amp; Resilience</t>
        </is>
      </c>
      <c r="D23" s="163" t="n">
        <v>3</v>
      </c>
      <c r="E23" s="177" t="inlineStr">
        <is>
          <t>News brief</t>
        </is>
      </c>
      <c r="F23" s="165" t="inlineStr">
        <is>
          <t>To review</t>
        </is>
      </c>
      <c r="G23" s="166" t="n"/>
      <c r="H23" s="167" t="n"/>
      <c r="I23" s="168" t="inlineStr">
        <is>
          <t>What caused the embankment breach and landslide in Banyumas, and how levee failure mechanisms should be assessed in similar river-side settlements.</t>
        </is>
      </c>
      <c r="J23" s="168" t="inlineStr">
        <is>
          <t>CNN Indonesia</t>
        </is>
      </c>
      <c r="K23" s="169" t="n">
        <v>46326</v>
      </c>
      <c r="L23" s="168" t="inlineStr">
        <is>
          <t>Banjir dan Longsor Terjang Banyumas: Tanggul Jebol, 3 SD Terdampak</t>
        </is>
      </c>
      <c r="M23" s="168" t="inlineStr">
        <is>
          <t>Banyumas regency disaster management agency (BPBD)</t>
        </is>
      </c>
      <c r="N23" s="170" t="inlineStr">
        <is>
          <t>Indonesia</t>
        </is>
      </c>
      <c r="O23" s="168" t="inlineStr">
        <is>
          <t>Banyumas, Central Java</t>
        </is>
      </c>
      <c r="P23" s="168" t="n"/>
      <c r="Q23" s="171" t="inlineStr">
        <is>
          <t>Indonesia</t>
        </is>
      </c>
      <c r="R23" s="169" t="n">
        <v>46326</v>
      </c>
      <c r="S23" s="170" t="inlineStr">
        <is>
          <t>2026-Q4</t>
        </is>
      </c>
      <c r="T23" s="172" t="inlineStr">
        <is>
          <t>landslide, embankment, dam failure, flood</t>
        </is>
      </c>
      <c r="U23" s="160" t="n">
        <v>11</v>
      </c>
      <c r="V23" s="173" t="inlineStr">
        <is>
          <t>https://news.google.com/rss/articles/CBMixwFBVV95cUxNV2lzR0w2TGNZNjlVUmhmMUU1YUREdTBLejJZY0tMb09kaE9oeGpSazJPYWhiSUtzNDN0SnVQbXo2TkRGNWVnVjVoOS1ISFZ6dk9GUF9jTTN3TE1jLVVjZ3ZBSXh5TVFBcUxraHQ2aHpkbkRUYW90QUUwOEdfeWI4YXFTNXloQlkxdThtR0ZvS05PVTEyZDJyd2pLN2dWalVMaGVpTklZY3NGWC1id1FkYS1tbDlHUGZLS1NDSjRrTjRtaFg4aVFr0gHMAUFVX3lxTE1oMDN4dEdYSmNVSHhvUGJFNElQSWZoNzlqT2Y4RGR2LXZJWmF1VnVUaldYbzBPVURmTnF1M0NYSDd3clpLb0FpUkJtb0ozX0tEeUN2dHVPWFoxQ3BtZ0U3T1BiVmZ6RUgtTVBkb296LXFvY1lfc29OcGdGeXV4VGJxZFdQSm1NLVlCTW5nTUFzS25WWHFIY2YzUmlNaklJMDYzamFWdTRya1FOVTlaYVZKLUdyRGJfSXFLV3JXNTRRa1ZYbHpUR3J6S0QzTA?oc=5</t>
        </is>
      </c>
      <c r="W23" s="174">
        <f>IF($B23="",0,IF(AND(OR(OR(Dashboard!$B$5="All themes",Dashboard!$B$5=""),$C23=Dashboard!$B$5),OR(OR(Dashboard!$G$5="All uses",Dashboard!$G$5=""),$E23=Dashboard!$G$5),N($D23)&gt;=Lists!$H$2,OR(OR(Dashboard!$N$5="All windows",Dashboard!$N$5=""),$S23=Dashboard!$N$5)),1,0))</f>
        <v/>
      </c>
      <c r="X23" s="175">
        <f>IF($W23=1,N($D23)*1E14+MIN(MAX(N($U23),0),9999)*1E10+MIN(N($K23),99999)*1E5+99999-MIN(ROW(),99999),"")</f>
        <v/>
      </c>
    </row>
    <row r="24" ht="53" customHeight="1">
      <c r="A24" s="160" t="n">
        <v>21</v>
      </c>
      <c r="B24" s="161" t="inlineStr">
        <is>
          <t>Landslide on the Penserchay river bank: 20-metre dam section collapsed into the river</t>
        </is>
      </c>
      <c r="C24" s="162" t="inlineStr">
        <is>
          <t>Hazards &amp; Resilience</t>
        </is>
      </c>
      <c r="D24" s="163" t="n">
        <v>3</v>
      </c>
      <c r="E24" s="177" t="inlineStr">
        <is>
          <t>News brief</t>
        </is>
      </c>
      <c r="F24" s="165" t="inlineStr">
        <is>
          <t>To review</t>
        </is>
      </c>
      <c r="G24" s="166" t="n"/>
      <c r="H24" s="167" t="n"/>
      <c r="I24" s="168" t="inlineStr">
        <is>
          <t>Why a riverbank landslide removed a 20-metre dam section, and how slope stability and erosion of embankment toes should be checked along this river.</t>
        </is>
      </c>
      <c r="J24" s="168" t="inlineStr">
        <is>
          <t>Azərtac</t>
        </is>
      </c>
      <c r="K24" s="169" t="n">
        <v>46326</v>
      </c>
      <c r="L24" s="168" t="inlineStr">
        <is>
          <t>Оползень на берегу реки Пенсерчай: 20-метровый участок дамбы обрушился в реку</t>
        </is>
      </c>
      <c r="M24" s="168" t="inlineStr">
        <is>
          <t>Azerbaijan Emergency Situations Ministry</t>
        </is>
      </c>
      <c r="N24" s="170" t="inlineStr">
        <is>
          <t>Azerbaijan</t>
        </is>
      </c>
      <c r="O24" s="168" t="inlineStr">
        <is>
          <t>Penserchay river bank</t>
        </is>
      </c>
      <c r="P24" s="168" t="n"/>
      <c r="Q24" s="171" t="inlineStr">
        <is>
          <t>Russia</t>
        </is>
      </c>
      <c r="R24" s="169" t="n">
        <v>46325</v>
      </c>
      <c r="S24" s="170" t="inlineStr">
        <is>
          <t>2026-Q4</t>
        </is>
      </c>
      <c r="T24" s="172" t="inlineStr">
        <is>
          <t>landslide, embankment, collapse</t>
        </is>
      </c>
      <c r="U24" s="160" t="n">
        <v>8</v>
      </c>
      <c r="V24" s="173" t="inlineStr">
        <is>
          <t>https://news.google.com/rss/articles/CBMitgFBVV95cUxNSHVQSEpYSW5kM1I3QXNWbHNYU2FJOEJBRDNxZ0N6aHExTFUwU0dsbG9PNVBud2lCQlhwTTJXN2wxbmlObUoxUGhmb2tSd0tTNG5uZDBudXVCLXlBS2pKU2FidXVOeUV0TXFRUXliQ283RTZBNWx3MWk4WWdDajFjSDFDMHhEbXJQcWJkenBpTS1Ob3FsX0ZBSGpBUG5MQVdSSHJSaGtHaFFFQlpmSGV1M3UydDlnUQ?oc=5</t>
        </is>
      </c>
      <c r="W24" s="174">
        <f>IF($B24="",0,IF(AND(OR(OR(Dashboard!$B$5="All themes",Dashboard!$B$5=""),$C24=Dashboard!$B$5),OR(OR(Dashboard!$G$5="All uses",Dashboard!$G$5=""),$E24=Dashboard!$G$5),N($D24)&gt;=Lists!$H$2,OR(OR(Dashboard!$N$5="All windows",Dashboard!$N$5=""),$S24=Dashboard!$N$5)),1,0))</f>
        <v/>
      </c>
      <c r="X24" s="175">
        <f>IF($W24=1,N($D24)*1E14+MIN(MAX(N($U24),0),9999)*1E10+MIN(N($K24),99999)*1E5+99999-MIN(ROW(),99999),"")</f>
        <v/>
      </c>
    </row>
    <row r="25" ht="53" customHeight="1">
      <c r="A25" s="160" t="n">
        <v>22</v>
      </c>
      <c r="B25" s="161" t="inlineStr">
        <is>
          <t>Landslide in Astara district: sections of dam collapsed</t>
        </is>
      </c>
      <c r="C25" s="162" t="inlineStr">
        <is>
          <t>Hazards &amp; Resilience</t>
        </is>
      </c>
      <c r="D25" s="163" t="n">
        <v>3</v>
      </c>
      <c r="E25" s="177" t="inlineStr">
        <is>
          <t>News brief</t>
        </is>
      </c>
      <c r="F25" s="165" t="inlineStr">
        <is>
          <t>To review</t>
        </is>
      </c>
      <c r="G25" s="166" t="n"/>
      <c r="H25" s="167" t="n"/>
      <c r="I25" s="168" t="inlineStr">
        <is>
          <t>What triggered the Astara landslide that broke dam sections, and how embankment failure risk should be assessed on similar hillside sites.</t>
        </is>
      </c>
      <c r="J25" s="168" t="inlineStr">
        <is>
          <t>Media.az</t>
        </is>
      </c>
      <c r="K25" s="169" t="n">
        <v>46326</v>
      </c>
      <c r="L25" s="168" t="inlineStr">
        <is>
          <t>В Астаринском районе произошел оползень: обрушились участки дамбы</t>
        </is>
      </c>
      <c r="M25" s="168" t="inlineStr">
        <is>
          <t>Azerbaijan Emergency Situations Ministry</t>
        </is>
      </c>
      <c r="N25" s="170" t="inlineStr">
        <is>
          <t>Azerbaijan</t>
        </is>
      </c>
      <c r="O25" s="168" t="inlineStr">
        <is>
          <t>Astara district</t>
        </is>
      </c>
      <c r="P25" s="168" t="n"/>
      <c r="Q25" s="171" t="inlineStr">
        <is>
          <t>Russia</t>
        </is>
      </c>
      <c r="R25" s="169" t="n">
        <v>46325</v>
      </c>
      <c r="S25" s="170" t="inlineStr">
        <is>
          <t>2026-Q4</t>
        </is>
      </c>
      <c r="T25" s="172" t="inlineStr">
        <is>
          <t>landslide, embankment, collapse</t>
        </is>
      </c>
      <c r="U25" s="160" t="n">
        <v>8</v>
      </c>
      <c r="V25" s="173" t="inlineStr">
        <is>
          <t>https://news.google.com/rss/articles/CBMilAFBVV95cUxORmY1enM0TzdIaDhHTzFUanZfOXJ3Ti1qWktvQk1uLV9IZHNpczNyT19HWUk4OWFKdllEZVJpV2hBdWFrUmpIeDdOMldKS0xJbXJoVzZFb2RnUzB1VXFrUEVwUGFPZDZHOXJqa2pqbGpURFJoUFMwOG5ldkxxVzVZb2xxN29QcXBJMkhZa210MmFwS0Q4?oc=5</t>
        </is>
      </c>
      <c r="W25" s="174">
        <f>IF($B25="",0,IF(AND(OR(OR(Dashboard!$B$5="All themes",Dashboard!$B$5=""),$C25=Dashboard!$B$5),OR(OR(Dashboard!$G$5="All uses",Dashboard!$G$5=""),$E25=Dashboard!$G$5),N($D25)&gt;=Lists!$H$2,OR(OR(Dashboard!$N$5="All windows",Dashboard!$N$5=""),$S25=Dashboard!$N$5)),1,0))</f>
        <v/>
      </c>
      <c r="X25" s="175">
        <f>IF($W25=1,N($D25)*1E14+MIN(MAX(N($U25),0),9999)*1E10+MIN(N($K25),99999)*1E5+99999-MIN(ROW(),99999),"")</f>
        <v/>
      </c>
    </row>
    <row r="26" ht="53" customHeight="1">
      <c r="A26" s="160" t="n">
        <v>23</v>
      </c>
      <c r="B26" s="161" t="inlineStr">
        <is>
          <t>Nine-month-old baby among three dead in landslide in Odisha’s Kandhamala</t>
        </is>
      </c>
      <c r="C26" s="162" t="inlineStr">
        <is>
          <t>Hazards &amp; Resilience</t>
        </is>
      </c>
      <c r="D26" s="163" t="n">
        <v>3</v>
      </c>
      <c r="E26" s="177" t="inlineStr">
        <is>
          <t>News brief</t>
        </is>
      </c>
      <c r="F26" s="165" t="inlineStr">
        <is>
          <t>To review</t>
        </is>
      </c>
      <c r="G26" s="166" t="n"/>
      <c r="H26" s="167" t="n"/>
      <c r="I26" s="168" t="inlineStr">
        <is>
          <t>What slope conditions and rainfall triggered the fatal Kandhamala landslide, and how early warning could be linked to slope monitoring in tribal hill areas.</t>
        </is>
      </c>
      <c r="J26" s="168" t="inlineStr">
        <is>
          <t>OrissaPOST</t>
        </is>
      </c>
      <c r="K26" s="169" t="n">
        <v>46326</v>
      </c>
      <c r="L26" s="168" t="n"/>
      <c r="M26" s="168" t="inlineStr">
        <is>
          <t>Odisha State Disaster Management Authority</t>
        </is>
      </c>
      <c r="N26" s="170" t="inlineStr">
        <is>
          <t>India</t>
        </is>
      </c>
      <c r="O26" s="168" t="inlineStr">
        <is>
          <t>Kandhamala, Odisha</t>
        </is>
      </c>
      <c r="P26" s="168" t="inlineStr">
        <is>
          <t>Cyclone Arnab landslides and floods, Odisha (Oct 2026) · Event · 2 reports</t>
        </is>
      </c>
      <c r="Q26" s="171" t="inlineStr">
        <is>
          <t>New Zealand</t>
        </is>
      </c>
      <c r="R26" s="169" t="n">
        <v>46325</v>
      </c>
      <c r="S26" s="170" t="inlineStr">
        <is>
          <t>2026-Q4</t>
        </is>
      </c>
      <c r="T26" s="172" t="inlineStr">
        <is>
          <t>landslide</t>
        </is>
      </c>
      <c r="U26" s="160" t="n">
        <v>8</v>
      </c>
      <c r="V26" s="173" t="inlineStr">
        <is>
          <t>https://news.google.com/rss/articles/CBMipgFBVV95cUxNQXpteTdZeHN5Q19sa1VRS2I3V3ptWDBpYjNjYlBEUlMtMXd5UlBSVjZUOENET3p5d1g3OWpBTVdYd0JsQlZ0N2dQeWh1eE0xN2JPWEkyckc0Z3dMS0d0cXZjNnp6ZVNkUXltQXBNVUhnSFl1dVBySzdHUURLcGFRTjRVU3VaM1QzVzd4MHFRVmluWldpd0Y5RGtvTXpaWDlyU1dKTlBn0gGmAUFVX3lxTE1Bem15N1l4c3lDX2xrVVFLYjdXem1YMGliM2NiUERSUy0xd3lSUFJWNlQ4Q0RPenl3WDc5akFNV1h3QmxCVnQ3Z1B5aHV4TTE3Yk9YSTJyRzRnd0xLR3RxdmM2enplU2RReW1BcE1VSGdIWXV1UHJLN0dRREtwYVFONFVTdVozVDNXN3gwcVFWaW5aV2l3RjlEa29NelpYOXJTV0pOUGc?oc=5</t>
        </is>
      </c>
      <c r="W26" s="174">
        <f>IF($B26="",0,IF(AND(OR(OR(Dashboard!$B$5="All themes",Dashboard!$B$5=""),$C26=Dashboard!$B$5),OR(OR(Dashboard!$G$5="All uses",Dashboard!$G$5=""),$E26=Dashboard!$G$5),N($D26)&gt;=Lists!$H$2,OR(OR(Dashboard!$N$5="All windows",Dashboard!$N$5=""),$S26=Dashboard!$N$5)),1,0))</f>
        <v/>
      </c>
      <c r="X26" s="175">
        <f>IF($W26=1,N($D26)*1E14+MIN(MAX(N($U26),0),9999)*1E10+MIN(N($K26),99999)*1E5+99999-MIN(ROW(),99999),"")</f>
        <v/>
      </c>
    </row>
    <row r="27" ht="53" customHeight="1">
      <c r="A27" s="160" t="n">
        <v>24</v>
      </c>
      <c r="B27" s="161" t="inlineStr">
        <is>
          <t>Retaining wall of 17-storey residential building collapsed in Ankara; foundation exposed, building evacuated</t>
        </is>
      </c>
      <c r="C27" s="176" t="inlineStr">
        <is>
          <t>Infrastructure &amp; the Underground City</t>
        </is>
      </c>
      <c r="D27" s="163" t="n">
        <v>3</v>
      </c>
      <c r="E27" s="177" t="inlineStr">
        <is>
          <t>News brief</t>
        </is>
      </c>
      <c r="F27" s="165" t="inlineStr">
        <is>
          <t>To review</t>
        </is>
      </c>
      <c r="G27" s="166" t="n"/>
      <c r="H27" s="167" t="n"/>
      <c r="I27" s="168" t="inlineStr">
        <is>
          <t>Why a retaining wall beside a 17-storey block failed and exposed its foundation, and how excavation support should be checked next to occupied buildings.</t>
        </is>
      </c>
      <c r="J27" s="168" t="inlineStr">
        <is>
          <t>Haberler</t>
        </is>
      </c>
      <c r="K27" s="169" t="n">
        <v>46326</v>
      </c>
      <c r="L27" s="168" t="inlineStr">
        <is>
          <t>В Анкаре обрушилась подпорная стена 17-этажного жилого дома, фундамент обнажился! Здание эвакуировано</t>
        </is>
      </c>
      <c r="M27" s="168" t="inlineStr">
        <is>
          <t>Ankara provincial authorities and the building developer</t>
        </is>
      </c>
      <c r="N27" s="170" t="inlineStr">
        <is>
          <t>Türkiye</t>
        </is>
      </c>
      <c r="O27" s="168" t="inlineStr">
        <is>
          <t>Ankara</t>
        </is>
      </c>
      <c r="P27" s="168" t="inlineStr">
        <is>
          <t>Ankara 17-storey building retaining wall collapse, Turkey (Oct 2026) · Event · 2 reports</t>
        </is>
      </c>
      <c r="Q27" s="171" t="inlineStr">
        <is>
          <t>Russia</t>
        </is>
      </c>
      <c r="R27" s="169" t="n">
        <v>46325</v>
      </c>
      <c r="S27" s="170" t="inlineStr">
        <is>
          <t>2026-Q4</t>
        </is>
      </c>
      <c r="T27" s="172" t="inlineStr">
        <is>
          <t>foundation, retaining wall, collapse</t>
        </is>
      </c>
      <c r="U27" s="160" t="n">
        <v>7</v>
      </c>
      <c r="V27" s="173" t="inlineStr">
        <is>
          <t>https://news.google.com/rss/articles/CBMiV0FVX3lxTE9aenZRbi15eE5YT0lsZlkzU2J6VHFnYlN2VzhUcnY5ZWNiVXhMTjNyRHJPUklTazJRVUswd2FYRjJKRHBRUFROVkdWUjlUM1FjMFdNeEpLdw?oc=5</t>
        </is>
      </c>
      <c r="W27" s="174">
        <f>IF($B27="",0,IF(AND(OR(OR(Dashboard!$B$5="All themes",Dashboard!$B$5=""),$C27=Dashboard!$B$5),OR(OR(Dashboard!$G$5="All uses",Dashboard!$G$5=""),$E27=Dashboard!$G$5),N($D27)&gt;=Lists!$H$2,OR(OR(Dashboard!$N$5="All windows",Dashboard!$N$5=""),$S27=Dashboard!$N$5)),1,0))</f>
        <v/>
      </c>
      <c r="X27" s="175">
        <f>IF($W27=1,N($D27)*1E14+MIN(MAX(N($U27),0),9999)*1E10+MIN(N($K27),99999)*1E5+99999-MIN(ROW(),99999),"")</f>
        <v/>
      </c>
    </row>
    <row r="28" ht="53" customHeight="1">
      <c r="A28" s="160" t="n">
        <v>25</v>
      </c>
      <c r="B28" s="161" t="inlineStr">
        <is>
          <t>Earthquake in Hanoi causes landslide in Hoa Binh</t>
        </is>
      </c>
      <c r="C28" s="162" t="inlineStr">
        <is>
          <t>Hazards &amp; Resilience</t>
        </is>
      </c>
      <c r="D28" s="163" t="n">
        <v>3</v>
      </c>
      <c r="E28" s="177" t="inlineStr">
        <is>
          <t>News brief</t>
        </is>
      </c>
      <c r="F28" s="165" t="inlineStr">
        <is>
          <t>To review</t>
        </is>
      </c>
      <c r="G28" s="166" t="n"/>
      <c r="H28" s="167" t="n"/>
      <c r="I28" s="168" t="inlineStr">
        <is>
          <t>Why distant earthquake shaking triggered a landslide in Hoa Binh, and how seismically induced slope failure should be assessed in the Red River hills.</t>
        </is>
      </c>
      <c r="J28" s="168" t="inlineStr">
        <is>
          <t>Vietnam.vn</t>
        </is>
      </c>
      <c r="K28" s="169" t="n">
        <v>46326</v>
      </c>
      <c r="L28" s="168" t="inlineStr">
        <is>
          <t>زلزال في هانوي يتسبب في انهيار أرضي في هوا بينه.</t>
        </is>
      </c>
      <c r="M28" s="168" t="inlineStr">
        <is>
          <t>Vietnam National Centre for Hydro-Meteorological Forecasting</t>
        </is>
      </c>
      <c r="N28" s="170" t="inlineStr">
        <is>
          <t>Vietnam</t>
        </is>
      </c>
      <c r="O28" s="168" t="inlineStr">
        <is>
          <t>Hoa Binh province</t>
        </is>
      </c>
      <c r="P28" s="168" t="n"/>
      <c r="Q28" s="171" t="inlineStr">
        <is>
          <t>Egypt</t>
        </is>
      </c>
      <c r="R28" s="169" t="n">
        <v>46325</v>
      </c>
      <c r="S28" s="170" t="inlineStr">
        <is>
          <t>2026-Q4</t>
        </is>
      </c>
      <c r="T28" s="172" t="inlineStr">
        <is>
          <t>landslide, earthquake, collapse</t>
        </is>
      </c>
      <c r="U28" s="160" t="n">
        <v>7</v>
      </c>
      <c r="V28" s="173" t="inlineStr">
        <is>
          <t>https://news.google.com/rss/articles/CBMidkFVX3lxTFBtMDJqTmdYUVgta2lwRFBRclFhWkhJcFRPM1VxamZoOHZwcnFUVGlxVVF5VmIyanRtU3M0cXM3QmR1U29zWkhyVGhMQmtMWEE0MklrRkZQdnpLNnBLdlZPR0Fvb0hBSl9BajIxQ1hqSkd3VDFlT2c?oc=5</t>
        </is>
      </c>
      <c r="W28" s="174">
        <f>IF($B28="",0,IF(AND(OR(OR(Dashboard!$B$5="All themes",Dashboard!$B$5=""),$C28=Dashboard!$B$5),OR(OR(Dashboard!$G$5="All uses",Dashboard!$G$5=""),$E28=Dashboard!$G$5),N($D28)&gt;=Lists!$H$2,OR(OR(Dashboard!$N$5="All windows",Dashboard!$N$5=""),$S28=Dashboard!$N$5)),1,0))</f>
        <v/>
      </c>
      <c r="X28" s="175">
        <f>IF($W28=1,N($D28)*1E14+MIN(MAX(N($U28),0),9999)*1E10+MIN(N($K28),99999)*1E5+99999-MIN(ROW(),99999),"")</f>
        <v/>
      </c>
    </row>
    <row r="29" ht="53" customHeight="1">
      <c r="A29" s="160" t="n">
        <v>26</v>
      </c>
      <c r="B29" s="161" t="inlineStr">
        <is>
          <t>Dyke line protecting hundreds of households in Nghe An suffers landslide and erosion</t>
        </is>
      </c>
      <c r="C29" s="162" t="inlineStr">
        <is>
          <t>Hazards &amp; Resilience</t>
        </is>
      </c>
      <c r="D29" s="163" t="n">
        <v>3</v>
      </c>
      <c r="E29" s="177" t="inlineStr">
        <is>
          <t>News brief</t>
        </is>
      </c>
      <c r="F29" s="165" t="inlineStr">
        <is>
          <t>To review</t>
        </is>
      </c>
      <c r="G29" s="166" t="n"/>
      <c r="H29" s="167" t="n"/>
      <c r="I29" s="168" t="inlineStr">
        <is>
          <t>What caused the dyke line to slip and erode beside homes in Nghe An, and how riverbank and dyke stability should be monitored in the rainy season.</t>
        </is>
      </c>
      <c r="J29" s="168" t="inlineStr">
        <is>
          <t>Báo Dân trí</t>
        </is>
      </c>
      <c r="K29" s="169" t="n">
        <v>46326</v>
      </c>
      <c r="L29" s="168" t="inlineStr">
        <is>
          <t>Tuyến đê bảo vệ hàng trăm hộ dân ở Nghệ An bị sạt lở</t>
        </is>
      </c>
      <c r="M29" s="168" t="inlineStr">
        <is>
          <t>Nghe An provincial authorities, dyke management</t>
        </is>
      </c>
      <c r="N29" s="170" t="inlineStr">
        <is>
          <t>Vietnam</t>
        </is>
      </c>
      <c r="O29" s="168" t="inlineStr">
        <is>
          <t>Nghe An province</t>
        </is>
      </c>
      <c r="P29" s="168" t="n"/>
      <c r="Q29" s="171" t="inlineStr">
        <is>
          <t>Vietnam</t>
        </is>
      </c>
      <c r="R29" s="169" t="n">
        <v>46326</v>
      </c>
      <c r="S29" s="170" t="inlineStr">
        <is>
          <t>2026-Q4</t>
        </is>
      </c>
      <c r="T29" s="172" t="inlineStr">
        <is>
          <t>landslide, embankment</t>
        </is>
      </c>
      <c r="U29" s="160" t="n">
        <v>7</v>
      </c>
      <c r="V29" s="173" t="inlineStr">
        <is>
          <t>https://news.google.com/rss/articles/CBMipwFBVV95cUxOU0RCdkxHOVJYQkFnX1F4eVZPekFON0w3OUlEaDUzUFVBQXd1Mm00UHJIWVdwSjFOLTRwZnpRdlRvNUhCX0xDT0pEUHBOM3BOVFNxVExyT2RQUk5wQkU0SGhaMGxNTjRNZjdtRTV1WnRpZ3M4Y3hkN1o2bXBtYlo1ZmpYSC1XM05TQlZ4em85ZmN5VWdyeTl2cW93OE1pMXl3aWVEc1dzaw?oc=5</t>
        </is>
      </c>
      <c r="W29" s="174">
        <f>IF($B29="",0,IF(AND(OR(OR(Dashboard!$B$5="All themes",Dashboard!$B$5=""),$C29=Dashboard!$B$5),OR(OR(Dashboard!$G$5="All uses",Dashboard!$G$5=""),$E29=Dashboard!$G$5),N($D29)&gt;=Lists!$H$2,OR(OR(Dashboard!$N$5="All windows",Dashboard!$N$5=""),$S29=Dashboard!$N$5)),1,0))</f>
        <v/>
      </c>
      <c r="X29" s="175">
        <f>IF($W29=1,N($D29)*1E14+MIN(MAX(N($U29),0),9999)*1E10+MIN(N($K29),99999)*1E5+99999-MIN(ROW(),99999),"")</f>
        <v/>
      </c>
    </row>
    <row r="30" ht="53" customHeight="1">
      <c r="A30" s="160" t="n">
        <v>27</v>
      </c>
      <c r="B30" s="161" t="inlineStr">
        <is>
          <t>Krzyżowice: sinkhole appears near house in mining damage area</t>
        </is>
      </c>
      <c r="C30" s="162" t="inlineStr">
        <is>
          <t>Hazards &amp; Resilience</t>
        </is>
      </c>
      <c r="D30" s="163" t="n">
        <v>3</v>
      </c>
      <c r="E30" s="177" t="inlineStr">
        <is>
          <t>News brief</t>
        </is>
      </c>
      <c r="F30" s="165" t="inlineStr">
        <is>
          <t>To review</t>
        </is>
      </c>
      <c r="G30" s="166" t="n"/>
      <c r="H30" s="167" t="n"/>
      <c r="I30" s="168" t="inlineStr">
        <is>
          <t>How a sinkhole formed near a house in a mining damage zone, and how ground voids from old workings should be investigated before residential rebuilding.</t>
        </is>
      </c>
      <c r="J30" s="168" t="inlineStr">
        <is>
          <t>pless.pl</t>
        </is>
      </c>
      <c r="K30" s="169" t="n">
        <v>46326</v>
      </c>
      <c r="L30" s="168" t="inlineStr">
        <is>
          <t>Krzyżowice: w pobliżu domu pojawiło się zapadlisko. Na terenie objętym szkodami górniczymi</t>
        </is>
      </c>
      <c r="M30" s="168" t="inlineStr">
        <is>
          <t>Mine operator responsible for mining damage in the area</t>
        </is>
      </c>
      <c r="N30" s="170" t="inlineStr">
        <is>
          <t>Poland</t>
        </is>
      </c>
      <c r="O30" s="168" t="inlineStr">
        <is>
          <t>Krzyżowice, Silesia</t>
        </is>
      </c>
      <c r="P30" s="168" t="inlineStr">
        <is>
          <t>Krzyżowice mining-damage sinkhole, Poland (Oct 2026) · Update · 3 reports</t>
        </is>
      </c>
      <c r="Q30" s="171" t="inlineStr">
        <is>
          <t>Poland</t>
        </is>
      </c>
      <c r="R30" s="169" t="n">
        <v>46324</v>
      </c>
      <c r="S30" s="170" t="inlineStr">
        <is>
          <t>2026-Q4</t>
        </is>
      </c>
      <c r="T30" s="172" t="inlineStr">
        <is>
          <t>sinkhole, subsidence</t>
        </is>
      </c>
      <c r="U30" s="160" t="n">
        <v>7</v>
      </c>
      <c r="V30" s="173" t="inlineStr">
        <is>
          <t>https://news.google.com/rss/articles/CBMi0wFBVV95cUxNQndINE4wSzBNLUwzMWZxeHRNdExjMWRHREJtY2QwZ04tS25fc1JQdDJFZ0ZVaER6Tm5GRkhyOGZWbWEwYlFoTmhmSWZXbnpuS1dZeHRYbnBVUjhyMnJqU2VVWGRvT2Jna0IyeGV1QnYtVVRYaDAxQXNQdVJaZWJQMTVQMXFwTWMtODdSQWZNdE1ITDBFaWNVQi1yYXpUM0FoUDQwVTdzbS16cFB0S1lTMTd2d2RidE9UV2VhOGIwZ25YTFR4Z1E0OGRWNEpLS3ZJbC13?oc=5</t>
        </is>
      </c>
      <c r="W30" s="174">
        <f>IF($B30="",0,IF(AND(OR(OR(Dashboard!$B$5="All themes",Dashboard!$B$5=""),$C30=Dashboard!$B$5),OR(OR(Dashboard!$G$5="All uses",Dashboard!$G$5=""),$E30=Dashboard!$G$5),N($D30)&gt;=Lists!$H$2,OR(OR(Dashboard!$N$5="All windows",Dashboard!$N$5=""),$S30=Dashboard!$N$5)),1,0))</f>
        <v/>
      </c>
      <c r="X30" s="175">
        <f>IF($W30=1,N($D30)*1E14+MIN(MAX(N($U30),0),9999)*1E10+MIN(N($K30),99999)*1E5+99999-MIN(ROW(),99999),"")</f>
        <v/>
      </c>
    </row>
    <row r="31" ht="53" customHeight="1">
      <c r="A31" s="160" t="n">
        <v>28</v>
      </c>
      <c r="B31" s="161" t="inlineStr">
        <is>
          <t>Spriana landslide: bypass excavation ready, works to finish in 2028</t>
        </is>
      </c>
      <c r="C31" s="176" t="inlineStr">
        <is>
          <t>Infrastructure &amp; the Underground City</t>
        </is>
      </c>
      <c r="D31" s="163" t="n">
        <v>3</v>
      </c>
      <c r="E31" s="177" t="inlineStr">
        <is>
          <t>News brief</t>
        </is>
      </c>
      <c r="F31" s="165" t="inlineStr">
        <is>
          <t>To review</t>
        </is>
      </c>
      <c r="G31" s="166" t="n"/>
      <c r="H31" s="167" t="n"/>
      <c r="I31" s="168" t="inlineStr">
        <is>
          <t>How excavation for the Spriana bypass will affect the landslide-prone slope, and what stabilisation measures are needed before cutting into the hillside.</t>
        </is>
      </c>
      <c r="J31" s="168" t="inlineStr">
        <is>
          <t>Il Giorno</t>
        </is>
      </c>
      <c r="K31" s="169" t="n">
        <v>46326</v>
      </c>
      <c r="L31" s="168" t="inlineStr">
        <is>
          <t>Frana di Spriana. Bypass, scavo pronto . Fine lavori nel 2028</t>
        </is>
      </c>
      <c r="M31" s="168" t="inlineStr">
        <is>
          <t>Municipality of Spriana and the Province of Sondrio</t>
        </is>
      </c>
      <c r="N31" s="170" t="inlineStr">
        <is>
          <t>Italy</t>
        </is>
      </c>
      <c r="O31" s="168" t="inlineStr">
        <is>
          <t>Spriana, Valtellina</t>
        </is>
      </c>
      <c r="P31" s="168" t="inlineStr">
        <is>
          <t>Spriana landslide bypass, Valtellina, Italy · Update · 2 reports</t>
        </is>
      </c>
      <c r="Q31" s="171" t="inlineStr">
        <is>
          <t>Italy</t>
        </is>
      </c>
      <c r="R31" s="169" t="n">
        <v>46326</v>
      </c>
      <c r="S31" s="170" t="inlineStr">
        <is>
          <t>2026-Q4</t>
        </is>
      </c>
      <c r="T31" s="172" t="inlineStr">
        <is>
          <t>landslide, excavation</t>
        </is>
      </c>
      <c r="U31" s="160" t="n">
        <v>6</v>
      </c>
      <c r="V31" s="173" t="inlineStr">
        <is>
          <t>https://news.google.com/rss/articles/CBMihAFBVV95cUxPVFRkRThUMUpGNWdkNnBmLVVIeElfTEtNcURKY29yNDhRMDBRWjNxb2VqVVVmeXFEbWJGdVRmOVp6WWYxZkktaVRyWU53Q285NFlkVzc1WWV2OW8xR1BTOTNLLTlVU1YtTFNiamZKcGZDMFdDa25JQjNXNXhDQlpXTGpRaG4?oc=5</t>
        </is>
      </c>
      <c r="W31" s="174">
        <f>IF($B31="",0,IF(AND(OR(OR(Dashboard!$B$5="All themes",Dashboard!$B$5=""),$C31=Dashboard!$B$5),OR(OR(Dashboard!$G$5="All uses",Dashboard!$G$5=""),$E31=Dashboard!$G$5),N($D31)&gt;=Lists!$H$2,OR(OR(Dashboard!$N$5="All windows",Dashboard!$N$5=""),$S31=Dashboard!$N$5)),1,0))</f>
        <v/>
      </c>
      <c r="X31" s="175">
        <f>IF($W31=1,N($D31)*1E14+MIN(MAX(N($U31),0),9999)*1E10+MIN(N($K31),99999)*1E5+99999-MIN(ROW(),99999),"")</f>
        <v/>
      </c>
    </row>
    <row r="32" ht="53" customHeight="1">
      <c r="A32" s="160" t="n">
        <v>29</v>
      </c>
      <c r="B32" s="161" t="inlineStr">
        <is>
          <t>Sochi bypass slope to be reinforced where landslides have occurred for several years</t>
        </is>
      </c>
      <c r="C32" s="176" t="inlineStr">
        <is>
          <t>Infrastructure &amp; the Underground City</t>
        </is>
      </c>
      <c r="D32" s="163" t="n">
        <v>3</v>
      </c>
      <c r="E32" s="177" t="inlineStr">
        <is>
          <t>News brief</t>
        </is>
      </c>
      <c r="F32" s="165" t="inlineStr">
        <is>
          <t>To review</t>
        </is>
      </c>
      <c r="G32" s="166" t="n"/>
      <c r="H32" s="167" t="n"/>
      <c r="I32" s="168" t="inlineStr">
        <is>
          <t>What stabilisation design is suited to a recurring landslide slope beside a road bypass, and how monitoring should verify its performance.</t>
        </is>
      </c>
      <c r="J32" s="168" t="inlineStr">
        <is>
          <t>Кубань 24</t>
        </is>
      </c>
      <c r="K32" s="169" t="n">
        <v>46326</v>
      </c>
      <c r="L32" s="168" t="inlineStr">
        <is>
          <t>На обходе Сочи укрепят склон, на котором уже несколько лет сходят оползни</t>
        </is>
      </c>
      <c r="M32" s="168" t="inlineStr">
        <is>
          <t>Rosavtodor federal road agency</t>
        </is>
      </c>
      <c r="N32" s="170" t="inlineStr">
        <is>
          <t>Russia</t>
        </is>
      </c>
      <c r="O32" s="168" t="inlineStr">
        <is>
          <t>Sochi bypass road</t>
        </is>
      </c>
      <c r="P32" s="168" t="n"/>
      <c r="Q32" s="171" t="inlineStr">
        <is>
          <t>Russia</t>
        </is>
      </c>
      <c r="R32" s="169" t="n">
        <v>46325</v>
      </c>
      <c r="S32" s="170" t="inlineStr">
        <is>
          <t>2026-Q4</t>
        </is>
      </c>
      <c r="T32" s="172" t="inlineStr">
        <is>
          <t>landslide, slope</t>
        </is>
      </c>
      <c r="U32" s="160" t="n">
        <v>6</v>
      </c>
      <c r="V32" s="173" t="inlineStr">
        <is>
          <t>https://news.google.com/rss/articles/CBMioAFBVV95cUxPNGNPNmdMckt0UUl6WDNrb2hwSnF6eWxEUy1yWUh4Q1hkX3NWNmQ2STdRaE95dWRPSFVybzg3NWNKYzN0WTh2SkRzZlEwWGl2aWYxZ2tpbDZrOUZhX3hHelZ1b0VlLXdsRnR4MGViZnBKd3hFYXpnNXB0ZGFpYTNrbUxOT2ZUQkZJdlEzb0xWU29xSVM5M1hqNkZ0azVwUmZ2?oc=5</t>
        </is>
      </c>
      <c r="W32" s="174">
        <f>IF($B32="",0,IF(AND(OR(OR(Dashboard!$B$5="All themes",Dashboard!$B$5=""),$C32=Dashboard!$B$5),OR(OR(Dashboard!$G$5="All uses",Dashboard!$G$5=""),$E32=Dashboard!$G$5),N($D32)&gt;=Lists!$H$2,OR(OR(Dashboard!$N$5="All windows",Dashboard!$N$5=""),$S32=Dashboard!$N$5)),1,0))</f>
        <v/>
      </c>
      <c r="X32" s="175">
        <f>IF($W32=1,N($D32)*1E14+MIN(MAX(N($U32),0),9999)*1E10+MIN(N($K32),99999)*1E5+99999-MIN(ROW(),99999),"")</f>
        <v/>
      </c>
    </row>
    <row r="33" ht="53" customHeight="1">
      <c r="A33" s="160" t="n">
        <v>30</v>
      </c>
      <c r="B33" s="161" t="inlineStr">
        <is>
          <t>Aerial view of Crewkerne landslip in 2023 - An aerial view of the landslip at Crewkerne tunnel in 2023</t>
        </is>
      </c>
      <c r="C33" s="176" t="inlineStr">
        <is>
          <t>Infrastructure &amp; the Underground City</t>
        </is>
      </c>
      <c r="D33" s="163" t="n">
        <v>3</v>
      </c>
      <c r="E33" s="164" t="inlineStr">
        <is>
          <t>Feature lead</t>
        </is>
      </c>
      <c r="F33" s="165" t="inlineStr">
        <is>
          <t>To review</t>
        </is>
      </c>
      <c r="G33" s="166" t="n"/>
      <c r="H33" s="167" t="n"/>
      <c r="I33" s="168" t="inlineStr">
        <is>
          <t>What caused the Crewkerne tunnel landslip, and how should cutting and embankment slopes beside a railway tunnel be monitored and stabilised?</t>
        </is>
      </c>
      <c r="J33" s="168" t="inlineStr">
        <is>
          <t>Network Rail media centre</t>
        </is>
      </c>
      <c r="K33" s="169" t="n">
        <v>46326</v>
      </c>
      <c r="L33" s="168" t="n"/>
      <c r="M33" s="168" t="inlineStr">
        <is>
          <t>Network Rail</t>
        </is>
      </c>
      <c r="N33" s="170" t="inlineStr">
        <is>
          <t>United Kingdom</t>
        </is>
      </c>
      <c r="O33" s="168" t="inlineStr">
        <is>
          <t>Crewkerne tunnel, Somerset</t>
        </is>
      </c>
      <c r="P33" s="168" t="n"/>
      <c r="Q33" s="171" t="inlineStr">
        <is>
          <t>United Kingdom</t>
        </is>
      </c>
      <c r="R33" s="169" t="n">
        <v>46325</v>
      </c>
      <c r="S33" s="170" t="inlineStr">
        <is>
          <t>2026-Q4</t>
        </is>
      </c>
      <c r="T33" s="172" t="inlineStr">
        <is>
          <t>landslip, tunnel</t>
        </is>
      </c>
      <c r="U33" s="160" t="n">
        <v>6</v>
      </c>
      <c r="V33" s="173" t="inlineStr">
        <is>
          <t>https://news.google.com/rss/articles/CBMihwFBVV95cUxPLW55RURvOGRySUpBQWYyZlJzWnE2V21IdHVTNE91SFVjUmZMY2dUSFQyMGVRbmo1c0k0aFE5VDZXeHppT3pXUm1OMDctSkdIVTFTZGNZM3owRW5GUUZ4MjdIRk1QaFZxWkFVVEtIaHhJWUUyQXNFLVBqOWxBaVZJdnpfeHJ4SjA?oc=5</t>
        </is>
      </c>
      <c r="W33" s="174">
        <f>IF($B33="",0,IF(AND(OR(OR(Dashboard!$B$5="All themes",Dashboard!$B$5=""),$C33=Dashboard!$B$5),OR(OR(Dashboard!$G$5="All uses",Dashboard!$G$5=""),$E33=Dashboard!$G$5),N($D33)&gt;=Lists!$H$2,OR(OR(Dashboard!$N$5="All windows",Dashboard!$N$5=""),$S33=Dashboard!$N$5)),1,0))</f>
        <v/>
      </c>
      <c r="X33" s="175">
        <f>IF($W33=1,N($D33)*1E14+MIN(MAX(N($U33),0),9999)*1E10+MIN(N($K33),99999)*1E5+99999-MIN(ROW(),99999),"")</f>
        <v/>
      </c>
    </row>
    <row r="34" ht="53" customHeight="1">
      <c r="A34" s="160" t="n">
        <v>31</v>
      </c>
      <c r="B34" s="161" t="inlineStr">
        <is>
          <t>Risk of retaining wall collapse in San Antonio de Pichincha</t>
        </is>
      </c>
      <c r="C34" s="176" t="inlineStr">
        <is>
          <t>Infrastructure &amp; the Underground City</t>
        </is>
      </c>
      <c r="D34" s="163" t="n">
        <v>3</v>
      </c>
      <c r="E34" s="177" t="inlineStr">
        <is>
          <t>News brief</t>
        </is>
      </c>
      <c r="F34" s="165" t="inlineStr">
        <is>
          <t>To review</t>
        </is>
      </c>
      <c r="G34" s="166" t="n"/>
      <c r="H34" s="167" t="n"/>
      <c r="I34" s="168" t="inlineStr">
        <is>
          <t>What distress signs indicate that a retaining wall is at risk of collapse, and how such walls should be assessed in hillside urban areas.</t>
        </is>
      </c>
      <c r="J34" s="168" t="inlineStr">
        <is>
          <t>Teleamazonas</t>
        </is>
      </c>
      <c r="K34" s="169" t="n">
        <v>46326</v>
      </c>
      <c r="L34" s="168" t="inlineStr">
        <is>
          <t>Riesgo de colapso de muro de contención en San Antonio de Pichincha</t>
        </is>
      </c>
      <c r="M34" s="168" t="inlineStr">
        <is>
          <t>Quito Metropolitan Municipality</t>
        </is>
      </c>
      <c r="N34" s="170" t="inlineStr">
        <is>
          <t>Ecuador</t>
        </is>
      </c>
      <c r="O34" s="168" t="inlineStr">
        <is>
          <t>San Antonio de Pichincha, Pichincha</t>
        </is>
      </c>
      <c r="P34" s="168" t="n"/>
      <c r="Q34" s="171" t="inlineStr">
        <is>
          <t>Mexico</t>
        </is>
      </c>
      <c r="R34" s="169" t="n">
        <v>46325</v>
      </c>
      <c r="S34" s="170" t="inlineStr">
        <is>
          <t>2026-Q4</t>
        </is>
      </c>
      <c r="T34" s="172" t="inlineStr">
        <is>
          <t>retaining wall, collapse</t>
        </is>
      </c>
      <c r="U34" s="160" t="n">
        <v>5</v>
      </c>
      <c r="V34" s="173" t="inlineStr">
        <is>
          <t>https://news.google.com/rss/articles/CBMipgFBVV95cUxNZDJ4azNYVjU5XzBlWHBFd3EwekJGQ29QOVdGM3JkTk1qcjVuS2gzZU9TaWJ3emx1MklFd3ZIOWRaUFNqVTdWbGlwTVBYSGVDOWpCMXAzZ0w3M3lxaVhmc2JpTno1Z3ZuUnpKWS1PNlY4WHBYa2RyZDlodWRlc1cxOUlrRllYZThFelhrQThEMFR5RmdQNmNKbG1XYW5td2tHVWRmTXZB?oc=5</t>
        </is>
      </c>
      <c r="W34" s="174">
        <f>IF($B34="",0,IF(AND(OR(OR(Dashboard!$B$5="All themes",Dashboard!$B$5=""),$C34=Dashboard!$B$5),OR(OR(Dashboard!$G$5="All uses",Dashboard!$G$5=""),$E34=Dashboard!$G$5),N($D34)&gt;=Lists!$H$2,OR(OR(Dashboard!$N$5="All windows",Dashboard!$N$5=""),$S34=Dashboard!$N$5)),1,0))</f>
        <v/>
      </c>
      <c r="X34" s="175">
        <f>IF($W34=1,N($D34)*1E14+MIN(MAX(N($U34),0),9999)*1E10+MIN(N($K34),99999)*1E5+99999-MIN(ROW(),99999),"")</f>
        <v/>
      </c>
    </row>
    <row r="35" ht="53" customHeight="1">
      <c r="A35" s="160" t="n">
        <v>32</v>
      </c>
      <c r="B35" s="161" t="inlineStr">
        <is>
          <t>Retaining wall of Istanbul construction site collapses at night; two buildings fail, 20 flats evacuated</t>
        </is>
      </c>
      <c r="C35" s="176" t="inlineStr">
        <is>
          <t>Infrastructure &amp; the Underground City</t>
        </is>
      </c>
      <c r="D35" s="163" t="n">
        <v>3</v>
      </c>
      <c r="E35" s="177" t="inlineStr">
        <is>
          <t>News brief</t>
        </is>
      </c>
      <c r="F35" s="165" t="inlineStr">
        <is>
          <t>To review</t>
        </is>
      </c>
      <c r="G35" s="166" t="n"/>
      <c r="H35" s="167" t="n"/>
      <c r="I35" s="168" t="inlineStr">
        <is>
          <t>Why a construction-site retaining wall failed at night and brought down neighbouring buildings, and how excavation support near existing structures should be checked.</t>
        </is>
      </c>
      <c r="J35" s="168" t="inlineStr">
        <is>
          <t>Haberler</t>
        </is>
      </c>
      <c r="K35" s="169" t="n">
        <v>46326</v>
      </c>
      <c r="L35" s="168" t="inlineStr">
        <is>
          <t>Полночный кошмар в Стамбуле! Обрушилась подпорная стена стройки, в двух зданиях произошло обрушение: эвакуированы жители 20 квартир</t>
        </is>
      </c>
      <c r="M35" s="168" t="inlineStr">
        <is>
          <t>Istanbul Metropolitan Municipality and the site developer</t>
        </is>
      </c>
      <c r="N35" s="170" t="inlineStr">
        <is>
          <t>Türkiye</t>
        </is>
      </c>
      <c r="O35" s="168" t="inlineStr">
        <is>
          <t>Istanbul</t>
        </is>
      </c>
      <c r="P35" s="168" t="n"/>
      <c r="Q35" s="171" t="inlineStr">
        <is>
          <t>Russia</t>
        </is>
      </c>
      <c r="R35" s="169" t="n">
        <v>46324</v>
      </c>
      <c r="S35" s="170" t="inlineStr">
        <is>
          <t>2026-Q4</t>
        </is>
      </c>
      <c r="T35" s="172" t="inlineStr">
        <is>
          <t>retaining wall, collapse</t>
        </is>
      </c>
      <c r="U35" s="160" t="n">
        <v>5</v>
      </c>
      <c r="V35" s="173" t="inlineStr">
        <is>
          <t>https://news.google.com/rss/articles/CBMiV0FVX3lxTFAwSnJrRktPbEwzbUlEWTJVNWRGYlpGM0Z6R3B0bUNrSXc0c00zZ3FXUm1nQjVYM2dJT2pPLWl1UENCTlBqZEFYdnhlc3VfRDY4Xy00ZnlSUQ?oc=5</t>
        </is>
      </c>
      <c r="W35" s="174">
        <f>IF($B35="",0,IF(AND(OR(OR(Dashboard!$B$5="All themes",Dashboard!$B$5=""),$C35=Dashboard!$B$5),OR(OR(Dashboard!$G$5="All uses",Dashboard!$G$5=""),$E35=Dashboard!$G$5),N($D35)&gt;=Lists!$H$2,OR(OR(Dashboard!$N$5="All windows",Dashboard!$N$5=""),$S35=Dashboard!$N$5)),1,0))</f>
        <v/>
      </c>
      <c r="X35" s="175">
        <f>IF($W35=1,N($D35)*1E14+MIN(MAX(N($U35),0),9999)*1E10+MIN(N($K35),99999)*1E5+99999-MIN(ROW(),99999),"")</f>
        <v/>
      </c>
    </row>
    <row r="36" ht="53" customHeight="1">
      <c r="A36" s="160" t="n">
        <v>33</v>
      </c>
      <c r="B36" s="161" t="inlineStr">
        <is>
          <t>Two workers killed after soil collapse at water pipeline site in central Japan</t>
        </is>
      </c>
      <c r="C36" s="176" t="inlineStr">
        <is>
          <t>Infrastructure &amp; the Underground City</t>
        </is>
      </c>
      <c r="D36" s="163" t="n">
        <v>3</v>
      </c>
      <c r="E36" s="164" t="inlineStr">
        <is>
          <t>Feature lead</t>
        </is>
      </c>
      <c r="F36" s="165" t="inlineStr">
        <is>
          <t>To review</t>
        </is>
      </c>
      <c r="G36" s="166" t="n"/>
      <c r="H36" s="167" t="n"/>
      <c r="I36" s="168" t="inlineStr">
        <is>
          <t>What soil conditions and excavation support failures led to the trench collapse at the pipeline site, and how trench safety should be engineered in shallow ground.</t>
        </is>
      </c>
      <c r="J36" s="168" t="inlineStr">
        <is>
          <t>Geoengineer.org</t>
        </is>
      </c>
      <c r="K36" s="169" t="n">
        <v>46326</v>
      </c>
      <c r="L36" s="168" t="n"/>
      <c r="M36" s="168" t="inlineStr">
        <is>
          <t>The water utility and the contractor involved</t>
        </is>
      </c>
      <c r="N36" s="170" t="inlineStr">
        <is>
          <t>Japan</t>
        </is>
      </c>
      <c r="O36" s="168" t="inlineStr">
        <is>
          <t>Central Japan, water pipeline site</t>
        </is>
      </c>
      <c r="P36" s="168" t="n"/>
      <c r="Q36" s="171" t="inlineStr">
        <is>
          <t>United States</t>
        </is>
      </c>
      <c r="R36" s="169" t="n">
        <v>46325</v>
      </c>
      <c r="S36" s="170" t="inlineStr">
        <is>
          <t>2026-Q4</t>
        </is>
      </c>
      <c r="T36" s="172" t="inlineStr">
        <is>
          <t>collapse, soil</t>
        </is>
      </c>
      <c r="U36" s="160" t="n">
        <v>5</v>
      </c>
      <c r="V36" s="173" t="inlineStr">
        <is>
          <t>https://news.google.com/rss/articles/CBMisAFBVV95cUxQX3ZHQzFZSmtvcVQwYV9YSnJKWlRtMTlqNWVDZmhkZjN4YlFIeGRlVmVqLUNpYlRmb1RrMncwTjVzSERERW94ZVFlWmFfQWkwdkJfX2lSNnBqY3BvUnBqV2U3MFlCUnF3Z3A1VTRDNk9ZclpWemZValRlSWlTVllFaFgwcjRXR0ZpOTBwWjRvelRWLUt2UmhOdi1RWm5wZjFkSDFoaWxfVXl1VVh4cjFNeg?oc=5</t>
        </is>
      </c>
      <c r="W36" s="174">
        <f>IF($B36="",0,IF(AND(OR(OR(Dashboard!$B$5="All themes",Dashboard!$B$5=""),$C36=Dashboard!$B$5),OR(OR(Dashboard!$G$5="All uses",Dashboard!$G$5=""),$E36=Dashboard!$G$5),N($D36)&gt;=Lists!$H$2,OR(OR(Dashboard!$N$5="All windows",Dashboard!$N$5=""),$S36=Dashboard!$N$5)),1,0))</f>
        <v/>
      </c>
      <c r="X36" s="175">
        <f>IF($W36=1,N($D36)*1E14+MIN(MAX(N($U36),0),9999)*1E10+MIN(N($K36),99999)*1E5+99999-MIN(ROW(),99999),"")</f>
        <v/>
      </c>
    </row>
    <row r="37" ht="53" customHeight="1">
      <c r="A37" s="160" t="n">
        <v>34</v>
      </c>
      <c r="B37" s="161" t="inlineStr">
        <is>
          <t>Hue: reconnecting landslide-damaged roads and raising transport infrastructure resilience</t>
        </is>
      </c>
      <c r="C37" s="176" t="inlineStr">
        <is>
          <t>Infrastructure &amp; the Underground City</t>
        </is>
      </c>
      <c r="D37" s="163" t="n">
        <v>3</v>
      </c>
      <c r="E37" s="164" t="inlineStr">
        <is>
          <t>Feature lead</t>
        </is>
      </c>
      <c r="F37" s="165" t="inlineStr">
        <is>
          <t>To review</t>
        </is>
      </c>
      <c r="G37" s="166" t="n"/>
      <c r="H37" s="167" t="n"/>
      <c r="I37" s="168" t="inlineStr">
        <is>
          <t>How should landslide-damaged roads around Hue be repaired and designed to resist future slope failures and extreme rainfall?</t>
        </is>
      </c>
      <c r="J37" s="168" t="inlineStr">
        <is>
          <t>Vietnam.vn</t>
        </is>
      </c>
      <c r="K37" s="169" t="n">
        <v>46326</v>
      </c>
      <c r="L37" s="168" t="inlineStr">
        <is>
          <t>Hue : Reconnecter les routes endommagées par les glissements de terrain, accroître la résilience des infrastructures de transport.</t>
        </is>
      </c>
      <c r="M37" s="168" t="inlineStr">
        <is>
          <t>Thua Thien Hue provincial transport department</t>
        </is>
      </c>
      <c r="N37" s="170" t="inlineStr">
        <is>
          <t>Vietnam</t>
        </is>
      </c>
      <c r="O37" s="168" t="inlineStr">
        <is>
          <t>Hue</t>
        </is>
      </c>
      <c r="P37" s="168" t="n"/>
      <c r="Q37" s="171" t="inlineStr">
        <is>
          <t>France</t>
        </is>
      </c>
      <c r="R37" s="169" t="n">
        <v>46325</v>
      </c>
      <c r="S37" s="170" t="inlineStr">
        <is>
          <t>2026-Q4</t>
        </is>
      </c>
      <c r="T37" s="172" t="inlineStr">
        <is>
          <t>landslide</t>
        </is>
      </c>
      <c r="U37" s="160" t="n">
        <v>4</v>
      </c>
      <c r="V37" s="173" t="inlineStr">
        <is>
          <t>https://news.google.com/rss/articles/CBMinwFBVV95cUxNUUp0T1VCLTZEc2FGSDJ0NW5VLVdFYXQzeXdWNWkwcGZQRF9RaU5Yd2pVcnA3NXhud1FqcTBkYS1jcXlOTW5TMDJyNWZlaFZGSWJXeEt4cmJVN0Rab0xaQkZmMEg1Y05SczZJV1ZPcG5wbWs2VldfemRuQXYteHVqWEZvaXNpSnk3RTgxam9mY0VCWkJ2eldMdTNab0NGSTg?oc=5</t>
        </is>
      </c>
      <c r="W37" s="174">
        <f>IF($B37="",0,IF(AND(OR(OR(Dashboard!$B$5="All themes",Dashboard!$B$5=""),$C37=Dashboard!$B$5),OR(OR(Dashboard!$G$5="All uses",Dashboard!$G$5=""),$E37=Dashboard!$G$5),N($D37)&gt;=Lists!$H$2,OR(OR(Dashboard!$N$5="All windows",Dashboard!$N$5=""),$S37=Dashboard!$N$5)),1,0))</f>
        <v/>
      </c>
      <c r="X37" s="175">
        <f>IF($W37=1,N($D37)*1E14+MIN(MAX(N($U37),0),9999)*1E10+MIN(N($K37),99999)*1E5+99999-MIN(ROW(),99999),"")</f>
        <v/>
      </c>
    </row>
    <row r="38" ht="53" customHeight="1">
      <c r="A38" s="160" t="n">
        <v>35</v>
      </c>
      <c r="B38" s="161" t="inlineStr">
        <is>
          <t>Traffic closed on section of National Route 28 hit by landslide during repairs</t>
        </is>
      </c>
      <c r="C38" s="176" t="inlineStr">
        <is>
          <t>Infrastructure &amp; the Underground City</t>
        </is>
      </c>
      <c r="D38" s="163" t="n">
        <v>3</v>
      </c>
      <c r="E38" s="177" t="inlineStr">
        <is>
          <t>News brief</t>
        </is>
      </c>
      <c r="F38" s="165" t="inlineStr">
        <is>
          <t>To review</t>
        </is>
      </c>
      <c r="G38" s="166" t="n"/>
      <c r="H38" s="167" t="n"/>
      <c r="I38" s="168" t="inlineStr">
        <is>
          <t>What caused the landslide on National Route 28 and what stabilisation is needed before the road reopens to traffic.</t>
        </is>
      </c>
      <c r="J38" s="168" t="inlineStr">
        <is>
          <t>Vietnam.vn</t>
        </is>
      </c>
      <c r="K38" s="169" t="n">
        <v>46326</v>
      </c>
      <c r="L38" s="168" t="inlineStr">
        <is>
          <t>La circulation est fermée sur la portion de la route nationale 28 touchée par un glissement de terrain pendant la durée des réparations.</t>
        </is>
      </c>
      <c r="M38" s="168" t="inlineStr">
        <is>
          <t>Vietnam Road Administration</t>
        </is>
      </c>
      <c r="N38" s="170" t="inlineStr">
        <is>
          <t>Vietnam</t>
        </is>
      </c>
      <c r="O38" s="168" t="inlineStr">
        <is>
          <t>National Route 28</t>
        </is>
      </c>
      <c r="P38" s="168" t="n"/>
      <c r="Q38" s="171" t="inlineStr">
        <is>
          <t>France</t>
        </is>
      </c>
      <c r="R38" s="169" t="n">
        <v>46325</v>
      </c>
      <c r="S38" s="170" t="inlineStr">
        <is>
          <t>2026-Q4</t>
        </is>
      </c>
      <c r="T38" s="172" t="inlineStr">
        <is>
          <t>landslide</t>
        </is>
      </c>
      <c r="U38" s="160" t="n">
        <v>4</v>
      </c>
      <c r="V38" s="173" t="inlineStr">
        <is>
          <t>https://news.google.com/rss/articles/CBMijwFBVV95cUxOYS1kcm14VnRuR01sd0U3WVFqTDFCc2ZNMzlHelJSLWh3WldZeVdIRUNSRzNLRmU3N0h1QmR2OElKWWl0X2pMekJscnVkcXoxZE1xbUVuOUxBNTFob0I0LU5YUXM1TThSeWJTaDlJMUhfVWxuXzQtVnp3X3ZWaUZrWWxjbElHQUIybnhZMXV5aw?oc=5</t>
        </is>
      </c>
      <c r="W38" s="174">
        <f>IF($B38="",0,IF(AND(OR(OR(Dashboard!$B$5="All themes",Dashboard!$B$5=""),$C38=Dashboard!$B$5),OR(OR(Dashboard!$G$5="All uses",Dashboard!$G$5=""),$E38=Dashboard!$G$5),N($D38)&gt;=Lists!$H$2,OR(OR(Dashboard!$N$5="All windows",Dashboard!$N$5=""),$S38=Dashboard!$N$5)),1,0))</f>
        <v/>
      </c>
      <c r="X38" s="175">
        <f>IF($W38=1,N($D38)*1E14+MIN(MAX(N($U38),0),9999)*1E10+MIN(N($K38),99999)*1E5+99999-MIN(ROW(),99999),"")</f>
        <v/>
      </c>
    </row>
    <row r="39" ht="40.5" customHeight="1">
      <c r="A39" s="160" t="n">
        <v>36</v>
      </c>
      <c r="B39" s="161" t="inlineStr">
        <is>
          <t>Rains open a sinkhole on Ilaló avenue and close the road to Conocoto.</t>
        </is>
      </c>
      <c r="C39" s="176" t="inlineStr">
        <is>
          <t>Infrastructure &amp; the Underground City</t>
        </is>
      </c>
      <c r="D39" s="163" t="n">
        <v>3</v>
      </c>
      <c r="E39" s="177" t="inlineStr">
        <is>
          <t>News brief</t>
        </is>
      </c>
      <c r="F39" s="165" t="inlineStr">
        <is>
          <t>To review</t>
        </is>
      </c>
      <c r="G39" s="166" t="n"/>
      <c r="H39" s="167" t="n"/>
      <c r="I39" s="168" t="inlineStr">
        <is>
          <t>What causes urban road sinkholes after heavy rain on the Quito valley slopes, and how is the underground drainage assessed?</t>
        </is>
      </c>
      <c r="J39" s="168" t="inlineStr">
        <is>
          <t>El Comercio</t>
        </is>
      </c>
      <c r="K39" s="169" t="n">
        <v>46326</v>
      </c>
      <c r="L39" s="168" t="inlineStr">
        <is>
          <t>Las lluvias abren un socavón en la avenida Ilaló y cierran el paso a Conocoto</t>
        </is>
      </c>
      <c r="M39" s="168" t="inlineStr">
        <is>
          <t>Quito metropolitan road authority</t>
        </is>
      </c>
      <c r="N39" s="170" t="inlineStr">
        <is>
          <t>Ecuador</t>
        </is>
      </c>
      <c r="O39" s="168" t="inlineStr">
        <is>
          <t>Avenida Ilaló, Conocoto, Quito</t>
        </is>
      </c>
      <c r="P39" s="168" t="n"/>
      <c r="Q39" s="171" t="inlineStr">
        <is>
          <t>Colombia</t>
        </is>
      </c>
      <c r="R39" s="169" t="n">
        <v>46326</v>
      </c>
      <c r="S39" s="170" t="inlineStr">
        <is>
          <t>2026-Q4</t>
        </is>
      </c>
      <c r="T39" s="172" t="inlineStr">
        <is>
          <t>sinkhole</t>
        </is>
      </c>
      <c r="U39" s="160" t="n">
        <v>4</v>
      </c>
      <c r="V39" s="173" t="inlineStr">
        <is>
          <t>https://news.google.com/rss/articles/CBMiswFBVV95cUxOelp0b2ZmVGlMZUlMVWVxcGlDODhuUVdBbFVfNks3bkZrdENOemNhUXB0OWFhYzNVUmdXbjNIZEh0OERHTFFGTnJDc1l4QWhYMlJlTEcycExVdWVaNlNJVDNiazFmVTZQT3dhUWxpdjZXNEJZMkx3NlplTl9NeFg0aUtJRkwtTUZpUUgzTzRXRDdIOEtlVURjMzB3aDhiQW03V1NUd1NLM2xyNXFLb0NuYWJFUQ?oc=5</t>
        </is>
      </c>
      <c r="W39" s="174">
        <f>IF($B39="",0,IF(AND(OR(OR(Dashboard!$B$5="All themes",Dashboard!$B$5=""),$C39=Dashboard!$B$5),OR(OR(Dashboard!$G$5="All uses",Dashboard!$G$5=""),$E39=Dashboard!$G$5),N($D39)&gt;=Lists!$H$2,OR(OR(Dashboard!$N$5="All windows",Dashboard!$N$5=""),$S39=Dashboard!$N$5)),1,0))</f>
        <v/>
      </c>
      <c r="X39" s="175">
        <f>IF($W39=1,N($D39)*1E14+MIN(MAX(N($U39),0),9999)*1E10+MIN(N($K39),99999)*1E5+99999-MIN(ROW(),99999),"")</f>
        <v/>
      </c>
    </row>
    <row r="40" ht="40.5" customHeight="1">
      <c r="A40" s="160" t="n">
        <v>37</v>
      </c>
      <c r="B40" s="161" t="inlineStr">
        <is>
          <t>Santo Domingo emergency committee orders immediate repair of the sinkhole on Esmeraldas avenue.</t>
        </is>
      </c>
      <c r="C40" s="176" t="inlineStr">
        <is>
          <t>Infrastructure &amp; the Underground City</t>
        </is>
      </c>
      <c r="D40" s="163" t="n">
        <v>3</v>
      </c>
      <c r="E40" s="177" t="inlineStr">
        <is>
          <t>News brief</t>
        </is>
      </c>
      <c r="F40" s="165" t="inlineStr">
        <is>
          <t>To review</t>
        </is>
      </c>
      <c r="G40" s="166" t="n"/>
      <c r="H40" s="167" t="n"/>
      <c r="I40" s="168" t="inlineStr">
        <is>
          <t>What investigation is needed to find the cause of a sinkhole in an urban avenue before it is repaired?</t>
        </is>
      </c>
      <c r="J40" s="168" t="inlineStr">
        <is>
          <t>El Diario Ecuador</t>
        </is>
      </c>
      <c r="K40" s="169" t="n">
        <v>46326</v>
      </c>
      <c r="L40" s="168" t="inlineStr">
        <is>
          <t>COE de Santo Domingo ordena reparar de manera inmediata el socavón de la avenida Esmeraldas</t>
        </is>
      </c>
      <c r="M40" s="168" t="inlineStr">
        <is>
          <t>Santo Domingo municipality</t>
        </is>
      </c>
      <c r="N40" s="170" t="inlineStr">
        <is>
          <t>Ecuador</t>
        </is>
      </c>
      <c r="O40" s="168" t="inlineStr">
        <is>
          <t>Avenida Esmeraldas, Santo Domingo</t>
        </is>
      </c>
      <c r="P40" s="168" t="n"/>
      <c r="Q40" s="171" t="inlineStr">
        <is>
          <t>Colombia</t>
        </is>
      </c>
      <c r="R40" s="169" t="n">
        <v>46325</v>
      </c>
      <c r="S40" s="170" t="inlineStr">
        <is>
          <t>2026-Q4</t>
        </is>
      </c>
      <c r="T40" s="172" t="inlineStr">
        <is>
          <t>sinkhole</t>
        </is>
      </c>
      <c r="U40" s="160" t="n">
        <v>4</v>
      </c>
      <c r="V40" s="173" t="inlineStr">
        <is>
          <t>https://news.google.com/rss/articles/CBMi0AFBVV95cUxNV0RRd2YxczlCenlkaG8wSU00M2diNXcyMEktUEx5cXlyY1k3MUZwb0JrZHhXSjExS2tJeWhSUTA4LUlnVU9qQi1veVVnbjM2STZ4RlV5M1hnV2ExSlpmMlNlSHduRmpNX0Y4cXA5WTZ1d3FEcnpvNW9VbFREQi1PN0ZIQmNiREgyM0VpTnlTY1lmbXJFel9xbF9uVXotVWpBR2l0NDVFYWItNlZsWnRrMFpHSXVwRy1HSVM2b21vOEJEbUhPWlFuV3Fqako4Sm5G?oc=5</t>
        </is>
      </c>
      <c r="W40" s="174">
        <f>IF($B40="",0,IF(AND(OR(OR(Dashboard!$B$5="All themes",Dashboard!$B$5=""),$C40=Dashboard!$B$5),OR(OR(Dashboard!$G$5="All uses",Dashboard!$G$5=""),$E40=Dashboard!$G$5),N($D40)&gt;=Lists!$H$2,OR(OR(Dashboard!$N$5="All windows",Dashboard!$N$5=""),$S40=Dashboard!$N$5)),1,0))</f>
        <v/>
      </c>
      <c r="X40" s="175">
        <f>IF($W40=1,N($D40)*1E14+MIN(MAX(N($U40),0),9999)*1E10+MIN(N($K40),99999)*1E5+99999-MIN(ROW(),99999),"")</f>
        <v/>
      </c>
    </row>
    <row r="41" ht="40.5" customHeight="1">
      <c r="A41" s="160" t="n">
        <v>38</v>
      </c>
      <c r="B41" s="161" t="inlineStr">
        <is>
          <t>Government addresses sinkhole on Segundo Periférico; seeks lasting solution under Plan Fluye.</t>
        </is>
      </c>
      <c r="C41" s="176" t="inlineStr">
        <is>
          <t>Infrastructure &amp; the Underground City</t>
        </is>
      </c>
      <c r="D41" s="163" t="n">
        <v>3</v>
      </c>
      <c r="E41" s="177" t="inlineStr">
        <is>
          <t>News brief</t>
        </is>
      </c>
      <c r="F41" s="165" t="inlineStr">
        <is>
          <t>To review</t>
        </is>
      </c>
      <c r="G41" s="166" t="n"/>
      <c r="H41" s="167" t="n"/>
      <c r="I41" s="168" t="inlineStr">
        <is>
          <t>What ground investigation and drainage work should underpin a lasting fix for a recurring sinkhole on a major urban ring road?</t>
        </is>
      </c>
      <c r="J41" s="168" t="inlineStr">
        <is>
          <t>El Sol de México</t>
        </is>
      </c>
      <c r="K41" s="169" t="n">
        <v>46326</v>
      </c>
      <c r="L41" s="168" t="inlineStr">
        <is>
          <t>Atiende Gobierno de Betzabé Martínez socavón en el Segundo Periférico; buscan solución de fondo con el Plan Fluye</t>
        </is>
      </c>
      <c r="M41" s="168" t="inlineStr">
        <is>
          <t>the local government running the Plan Fluye works</t>
        </is>
      </c>
      <c r="N41" s="170" t="inlineStr">
        <is>
          <t>Mexico</t>
        </is>
      </c>
      <c r="O41" s="168" t="inlineStr">
        <is>
          <t>Segundo Periférico</t>
        </is>
      </c>
      <c r="P41" s="168" t="n"/>
      <c r="Q41" s="171" t="inlineStr">
        <is>
          <t>Colombia</t>
        </is>
      </c>
      <c r="R41" s="169" t="n">
        <v>46326</v>
      </c>
      <c r="S41" s="170" t="inlineStr">
        <is>
          <t>2026-Q4</t>
        </is>
      </c>
      <c r="T41" s="172" t="inlineStr">
        <is>
          <t>sinkhole</t>
        </is>
      </c>
      <c r="U41" s="160" t="n">
        <v>4</v>
      </c>
      <c r="V41" s="173" t="inlineStr">
        <is>
          <t>https://news.google.com/rss/articles/CBMi9AFBVV95cUxQN3NUTl80SzEyUDRSY3RXQzYwQzFmU0hJU2tjRVlNTWN2Q0VsU1YxRTNkVnY5aEdESENWdjZRV29wS2VFc1NnS1FTNVVpa19HMEYyWDI3UU1EcUwzamdrWWdJVGk4RkVEdDRQQXM5TUxLdDgzSWdNWXpNbkRLUDdnU2JoMTBvUzA3QXo4MHhGWnJaRGJzRWs2cTVjRUdYNFVKaV9HcUk1OXBYbWxGWE16U2tvdE9ULWxmTUFjMEUwX04tSDBOTGhRRXdtR1djZEFrQ1ZqbFlWamt4WjJrcWVfMW5Hd3M4ZkZsNzA1djlIbWtMLVhU?oc=5</t>
        </is>
      </c>
      <c r="W41" s="174">
        <f>IF($B41="",0,IF(AND(OR(OR(Dashboard!$B$5="All themes",Dashboard!$B$5=""),$C41=Dashboard!$B$5),OR(OR(Dashboard!$G$5="All uses",Dashboard!$G$5=""),$E41=Dashboard!$G$5),N($D41)&gt;=Lists!$H$2,OR(OR(Dashboard!$N$5="All windows",Dashboard!$N$5=""),$S41=Dashboard!$N$5)),1,0))</f>
        <v/>
      </c>
      <c r="X41" s="175">
        <f>IF($W41=1,N($D41)*1E14+MIN(MAX(N($U41),0),9999)*1E10+MIN(N($K41),99999)*1E5+99999-MIN(ROW(),99999),"")</f>
        <v/>
      </c>
    </row>
    <row r="42" ht="53" customHeight="1">
      <c r="A42" s="160" t="n">
        <v>39</v>
      </c>
      <c r="B42" s="161" t="inlineStr">
        <is>
          <t>Sinkhole swallows a taxi after heavy rain in La Hacienda residential area of Torreón.</t>
        </is>
      </c>
      <c r="C42" s="176" t="inlineStr">
        <is>
          <t>Infrastructure &amp; the Underground City</t>
        </is>
      </c>
      <c r="D42" s="163" t="n">
        <v>3</v>
      </c>
      <c r="E42" s="177" t="inlineStr">
        <is>
          <t>News brief</t>
        </is>
      </c>
      <c r="F42" s="165" t="inlineStr">
        <is>
          <t>To review</t>
        </is>
      </c>
      <c r="G42" s="166" t="n"/>
      <c r="H42" s="167" t="n"/>
      <c r="I42" s="168" t="inlineStr">
        <is>
          <t>What causes a sinkhole to open under a street in a residential estate after heavy rain, and what checks are needed in ground with old pipelines?</t>
        </is>
      </c>
      <c r="J42" s="168" t="inlineStr">
        <is>
          <t>Telediario</t>
        </is>
      </c>
      <c r="K42" s="169" t="n">
        <v>46326</v>
      </c>
      <c r="L42" s="168" t="inlineStr">
        <is>
          <t>Socavón 'se traga' un taxi tras fuertes lluvias en Residencial La Hacienda de Torreón</t>
        </is>
      </c>
      <c r="M42" s="168" t="inlineStr">
        <is>
          <t>Torreón municipal government</t>
        </is>
      </c>
      <c r="N42" s="170" t="inlineStr">
        <is>
          <t>Mexico</t>
        </is>
      </c>
      <c r="O42" s="168" t="inlineStr">
        <is>
          <t>Residencial La Hacienda, Torreón</t>
        </is>
      </c>
      <c r="P42" s="168" t="n"/>
      <c r="Q42" s="171" t="inlineStr">
        <is>
          <t>Colombia</t>
        </is>
      </c>
      <c r="R42" s="169" t="n">
        <v>46325</v>
      </c>
      <c r="S42" s="170" t="inlineStr">
        <is>
          <t>2026-Q4</t>
        </is>
      </c>
      <c r="T42" s="172" t="inlineStr">
        <is>
          <t>sinkhole</t>
        </is>
      </c>
      <c r="U42" s="160" t="n">
        <v>4</v>
      </c>
      <c r="V42" s="173" t="inlineStr">
        <is>
          <t>https://news.google.com/rss/articles/CBMiiAFBVV95cUxNVXdhS2x3OG5DNUYyTVROU0FUd1B6Q1JWRXZJMTR3S3lNRVZPWHVNRm1LZEdfdUdwM1VVbGRYWC12dXpkYmh6ekdiaHpJNUhUU0FEQlAyeTZST2NxSVRjXzBCaWFBR0l6d2JkZFJsX0FiYW5rQlQ5YWJtZU4xaUFleTc1elNCYVFW0gGIAUFVX3lxTE5OV25rT25ieExCbFNQT3RZcTZEYjFqSkxUYlNZVWk2QzBzblNzVUZJVVdoenoyN21LYllDTG5oS0JlVXZFSmgza3lYZldwWjdQaWVRQldaUXVYdGFyNkMzZEZVR1pfcmtfOS1yYU1WUTgtQnBkVXVlb3BIZ2pHZWxGZ08yS2Y5WjU?oc=5</t>
        </is>
      </c>
      <c r="W42" s="174">
        <f>IF($B42="",0,IF(AND(OR(OR(Dashboard!$B$5="All themes",Dashboard!$B$5=""),$C42=Dashboard!$B$5),OR(OR(Dashboard!$G$5="All uses",Dashboard!$G$5=""),$E42=Dashboard!$G$5),N($D42)&gt;=Lists!$H$2,OR(OR(Dashboard!$N$5="All windows",Dashboard!$N$5=""),$S42=Dashboard!$N$5)),1,0))</f>
        <v/>
      </c>
      <c r="X42" s="175">
        <f>IF($W42=1,N($D42)*1E14+MIN(MAX(N($U42),0),9999)*1E10+MIN(N($K42),99999)*1E5+99999-MIN(ROW(),99999),"")</f>
        <v/>
      </c>
    </row>
    <row r="43" ht="53" customHeight="1">
      <c r="A43" s="160" t="n">
        <v>40</v>
      </c>
      <c r="B43" s="161" t="inlineStr">
        <is>
          <t>Zero blind construction: soil study will become a requirement</t>
        </is>
      </c>
      <c r="C43" s="180" t="inlineStr">
        <is>
          <t>Characterisation &amp; Modelling</t>
        </is>
      </c>
      <c r="D43" s="163" t="n">
        <v>3</v>
      </c>
      <c r="E43" s="177" t="inlineStr">
        <is>
          <t>News brief</t>
        </is>
      </c>
      <c r="F43" s="165" t="inlineStr">
        <is>
          <t>To review</t>
        </is>
      </c>
      <c r="G43" s="166" t="n"/>
      <c r="H43" s="167" t="n"/>
      <c r="I43" s="168" t="inlineStr">
        <is>
          <t>Should mandatory site soil investigation before construction be enforced, and what minimum ground data should a building permit require?</t>
        </is>
      </c>
      <c r="J43" s="168" t="inlineStr">
        <is>
          <t>CiudadCCS</t>
        </is>
      </c>
      <c r="K43" s="169" t="n">
        <v>46326</v>
      </c>
      <c r="L43" s="168" t="inlineStr">
        <is>
          <t>Cero construcciones a ciegas: el estudio de suelo será exigencia</t>
        </is>
      </c>
      <c r="M43" s="168" t="inlineStr">
        <is>
          <t>the local municipality</t>
        </is>
      </c>
      <c r="N43" s="170" t="n"/>
      <c r="O43" s="168" t="n"/>
      <c r="P43" s="168" t="n"/>
      <c r="Q43" s="171" t="inlineStr">
        <is>
          <t>Peru</t>
        </is>
      </c>
      <c r="R43" s="169" t="n">
        <v>46325</v>
      </c>
      <c r="S43" s="170" t="inlineStr">
        <is>
          <t>2026-Q4</t>
        </is>
      </c>
      <c r="T43" s="172" t="inlineStr">
        <is>
          <t>soil</t>
        </is>
      </c>
      <c r="U43" s="160" t="n">
        <v>1</v>
      </c>
      <c r="V43" s="173" t="inlineStr">
        <is>
          <t>https://news.google.com/rss/articles/CBMipwFBVV95cUxNNzhreVRGNjg5NmVPZ1d0WlZuYzVPaVBwSTJoUTdvekM1X2Y0ME9EdDhwd2tSMkx1aXl5OGM2bURYU3VKOXdObWRfUmNNd1BCTnB0MXU4cnplV29RdmJ2RGZoZDdSQzB1LXlxRUNvZnFESk1SdHhrdXNqM0JLZnpwZG04MzNxVFhTc19UQk9GTFd6NWxnbnBmLTZyRFI0YmRVN1FxX0dDWQ?oc=5</t>
        </is>
      </c>
      <c r="W43" s="174">
        <f>IF($B43="",0,IF(AND(OR(OR(Dashboard!$B$5="All themes",Dashboard!$B$5=""),$C43=Dashboard!$B$5),OR(OR(Dashboard!$G$5="All uses",Dashboard!$G$5=""),$E43=Dashboard!$G$5),N($D43)&gt;=Lists!$H$2,OR(OR(Dashboard!$N$5="All windows",Dashboard!$N$5=""),$S43=Dashboard!$N$5)),1,0))</f>
        <v/>
      </c>
      <c r="X43" s="175">
        <f>IF($W43=1,N($D43)*1E14+MIN(MAX(N($U43),0),9999)*1E10+MIN(N($K43),99999)*1E5+99999-MIN(ROW(),99999),"")</f>
        <v/>
      </c>
    </row>
    <row r="44" ht="53" customHeight="1">
      <c r="A44" s="160" t="n">
        <v>41</v>
      </c>
      <c r="B44" s="161" t="inlineStr">
        <is>
          <t>Panama Canal tunnel drive completed</t>
        </is>
      </c>
      <c r="C44" s="176" t="inlineStr">
        <is>
          <t>Infrastructure &amp; the Underground City</t>
        </is>
      </c>
      <c r="D44" s="163" t="n">
        <v>5</v>
      </c>
      <c r="E44" s="164" t="inlineStr">
        <is>
          <t>Feature lead</t>
        </is>
      </c>
      <c r="F44" s="165" t="inlineStr">
        <is>
          <t>To review</t>
        </is>
      </c>
      <c r="G44" s="166" t="n"/>
      <c r="H44" s="167" t="n"/>
      <c r="I44" s="168" t="inlineStr">
        <is>
          <t>How was a bored tunnel built beneath the Panama Canal waterway, and what ground-control and settlement measures made it possible?</t>
        </is>
      </c>
      <c r="J44" s="168" t="inlineStr">
        <is>
          <t>Tunnels &amp; Tunnelling</t>
        </is>
      </c>
      <c r="K44" s="169" t="n">
        <v>46325</v>
      </c>
      <c r="L44" s="168" t="n"/>
      <c r="M44" s="168" t="inlineStr">
        <is>
          <t>Panama Canal Authority (ACP)</t>
        </is>
      </c>
      <c r="N44" s="170" t="inlineStr">
        <is>
          <t>Panama</t>
        </is>
      </c>
      <c r="O44" s="168" t="inlineStr">
        <is>
          <t>Panama Canal, Panama</t>
        </is>
      </c>
      <c r="P44" s="168" t="inlineStr">
        <is>
          <t>Panama Metro Line 3 canal tunnel, Panama · Update · 3 reports</t>
        </is>
      </c>
      <c r="Q44" s="171" t="n"/>
      <c r="R44" s="169" t="n">
        <v>46324</v>
      </c>
      <c r="S44" s="170" t="inlineStr">
        <is>
          <t>2026-Q4</t>
        </is>
      </c>
      <c r="T44" s="172" t="inlineStr">
        <is>
          <t>tunnelling, tunnel</t>
        </is>
      </c>
      <c r="U44" s="160" t="n">
        <v>5</v>
      </c>
      <c r="V44" s="173" t="inlineStr">
        <is>
          <t>https://www.tunnelsandtunnelling.com/news/panama-canal-tunnel-drive-completed/</t>
        </is>
      </c>
      <c r="W44" s="174">
        <f>IF($B44="",0,IF(AND(OR(OR(Dashboard!$B$5="All themes",Dashboard!$B$5=""),$C44=Dashboard!$B$5),OR(OR(Dashboard!$G$5="All uses",Dashboard!$G$5=""),$E44=Dashboard!$G$5),N($D44)&gt;=Lists!$H$2,OR(OR(Dashboard!$N$5="All windows",Dashboard!$N$5=""),$S44=Dashboard!$N$5)),1,0))</f>
        <v/>
      </c>
      <c r="X44" s="175">
        <f>IF($W44=1,N($D44)*1E14+MIN(MAX(N($U44),0),9999)*1E10+MIN(N($K44),99999)*1E5+99999-MIN(ROW(),99999),"")</f>
        <v/>
      </c>
    </row>
    <row r="45" ht="53" customHeight="1">
      <c r="A45" s="160" t="n">
        <v>42</v>
      </c>
      <c r="B45" s="161" t="inlineStr">
        <is>
          <t>TBM arrives in Albrook, following revitalisation of Line 3 Construction in Panama</t>
        </is>
      </c>
      <c r="C45" s="176" t="inlineStr">
        <is>
          <t>Infrastructure &amp; the Underground City</t>
        </is>
      </c>
      <c r="D45" s="163" t="n">
        <v>4</v>
      </c>
      <c r="E45" s="177" t="inlineStr">
        <is>
          <t>News brief</t>
        </is>
      </c>
      <c r="F45" s="165" t="inlineStr">
        <is>
          <t>To review</t>
        </is>
      </c>
      <c r="G45" s="166" t="n"/>
      <c r="H45" s="167" t="n"/>
      <c r="I45" s="168" t="inlineStr">
        <is>
          <t>What ground conditions and face-support strategies govern TBM drives through Panama City's variable alluvial and volcanic deposits on Metro Line 3?</t>
        </is>
      </c>
      <c r="J45" s="168" t="inlineStr">
        <is>
          <t>Ground Engineering</t>
        </is>
      </c>
      <c r="K45" s="169" t="n">
        <v>46325</v>
      </c>
      <c r="L45" s="168" t="n"/>
      <c r="M45" s="168" t="inlineStr">
        <is>
          <t>Metro de Panamá, the project owner</t>
        </is>
      </c>
      <c r="N45" s="170" t="inlineStr">
        <is>
          <t>Panama</t>
        </is>
      </c>
      <c r="O45" s="168" t="inlineStr">
        <is>
          <t>Albrook, Panama City</t>
        </is>
      </c>
      <c r="P45" s="168" t="inlineStr">
        <is>
          <t>Panama Metro Line 3 canal tunnel, Panama · Update · 3 reports</t>
        </is>
      </c>
      <c r="Q45" s="171" t="n"/>
      <c r="R45" s="169" t="n">
        <v>46325</v>
      </c>
      <c r="S45" s="170" t="inlineStr">
        <is>
          <t>2026-Q4</t>
        </is>
      </c>
      <c r="T45" s="172" t="inlineStr">
        <is>
          <t>tunnel boring machine, tbm, tunnel, metro line</t>
        </is>
      </c>
      <c r="U45" s="160" t="n">
        <v>12</v>
      </c>
      <c r="V45" s="173" t="inlineStr">
        <is>
          <t>https://www.geplus.co.uk/news/international-news/tbm-arrives-in-albrook-following-revitalisation-of-line-3-construction-in-panama-30-10-2026/</t>
        </is>
      </c>
      <c r="W45" s="174">
        <f>IF($B45="",0,IF(AND(OR(OR(Dashboard!$B$5="All themes",Dashboard!$B$5=""),$C45=Dashboard!$B$5),OR(OR(Dashboard!$G$5="All uses",Dashboard!$G$5=""),$E45=Dashboard!$G$5),N($D45)&gt;=Lists!$H$2,OR(OR(Dashboard!$N$5="All windows",Dashboard!$N$5=""),$S45=Dashboard!$N$5)),1,0))</f>
        <v/>
      </c>
      <c r="X45" s="175">
        <f>IF($W45=1,N($D45)*1E14+MIN(MAX(N($U45),0),9999)*1E10+MIN(N($K45),99999)*1E5+99999-MIN(ROW(),99999),"")</f>
        <v/>
      </c>
    </row>
    <row r="46" ht="53" customHeight="1">
      <c r="A46" s="160" t="n">
        <v>43</v>
      </c>
      <c r="B46" s="161" t="inlineStr">
        <is>
          <t>Three machines now tunnelling on Melbourne’s Suburban Rail Loop</t>
        </is>
      </c>
      <c r="C46" s="176" t="inlineStr">
        <is>
          <t>Infrastructure &amp; the Underground City</t>
        </is>
      </c>
      <c r="D46" s="163" t="n">
        <v>4</v>
      </c>
      <c r="E46" s="164" t="inlineStr">
        <is>
          <t>Feature lead</t>
        </is>
      </c>
      <c r="F46" s="165" t="inlineStr">
        <is>
          <t>To review</t>
        </is>
      </c>
      <c r="G46" s="166" t="n"/>
      <c r="H46" s="167" t="n"/>
      <c r="I46" s="168" t="inlineStr">
        <is>
          <t>How are ground investigation, settlement control and tunnel-boring in Melbourne's Silurian mudstone managed on a multi-machine twin-tunnel programme?</t>
        </is>
      </c>
      <c r="J46" s="168" t="inlineStr">
        <is>
          <t>Ground Engineering</t>
        </is>
      </c>
      <c r="K46" s="169" t="n">
        <v>46325</v>
      </c>
      <c r="L46" s="168" t="n"/>
      <c r="M46" s="168" t="inlineStr">
        <is>
          <t>Suburban Rail Loop Authority</t>
        </is>
      </c>
      <c r="N46" s="170" t="inlineStr">
        <is>
          <t>Australia</t>
        </is>
      </c>
      <c r="O46" s="168" t="inlineStr">
        <is>
          <t>Melbourne SRL East</t>
        </is>
      </c>
      <c r="P46" s="168" t="inlineStr">
        <is>
          <t>Suburban Rail Loop tunnelling, Melbourne, AU · Update · 2 reports</t>
        </is>
      </c>
      <c r="Q46" s="171" t="n"/>
      <c r="R46" s="169" t="n">
        <v>46325</v>
      </c>
      <c r="S46" s="170" t="inlineStr">
        <is>
          <t>2026-Q4</t>
        </is>
      </c>
      <c r="T46" s="172" t="inlineStr">
        <is>
          <t>tunnel boring machine, tunnelling, tunnel</t>
        </is>
      </c>
      <c r="U46" s="160" t="n">
        <v>12</v>
      </c>
      <c r="V46" s="173" t="inlineStr">
        <is>
          <t>https://www.geplus.co.uk/news/project-news/three-machines-now-tunnelling-on-melbournes-suburban-rail-loop-30-10-2026/</t>
        </is>
      </c>
      <c r="W46" s="174">
        <f>IF($B46="",0,IF(AND(OR(OR(Dashboard!$B$5="All themes",Dashboard!$B$5=""),$C46=Dashboard!$B$5),OR(OR(Dashboard!$G$5="All uses",Dashboard!$G$5=""),$E46=Dashboard!$G$5),N($D46)&gt;=Lists!$H$2,OR(OR(Dashboard!$N$5="All windows",Dashboard!$N$5=""),$S46=Dashboard!$N$5)),1,0))</f>
        <v/>
      </c>
      <c r="X46" s="175">
        <f>IF($W46=1,N($D46)*1E14+MIN(MAX(N($U46),0),9999)*1E10+MIN(N($K46),99999)*1E5+99999-MIN(ROW(),99999),"")</f>
        <v/>
      </c>
    </row>
    <row r="47" ht="53" customHeight="1">
      <c r="A47" s="160" t="n">
        <v>44</v>
      </c>
      <c r="B47" s="161" t="inlineStr">
        <is>
          <t>CREG slurry TBM enters commissioning for Shenzhen road tunnels</t>
        </is>
      </c>
      <c r="C47" s="176" t="inlineStr">
        <is>
          <t>Infrastructure &amp; the Underground City</t>
        </is>
      </c>
      <c r="D47" s="163" t="n">
        <v>4</v>
      </c>
      <c r="E47" s="177" t="inlineStr">
        <is>
          <t>News brief</t>
        </is>
      </c>
      <c r="F47" s="165" t="inlineStr">
        <is>
          <t>To review</t>
        </is>
      </c>
      <c r="G47" s="166" t="n"/>
      <c r="H47" s="167" t="n"/>
      <c r="I47" s="168" t="inlineStr">
        <is>
          <t>How does a 15.58m slurry TBM's face pressure control perform in Shenzhen's soft marine deposits and mixed ground during commissioning?</t>
        </is>
      </c>
      <c r="J47" s="168" t="inlineStr">
        <is>
          <t>Tunnelling Journal</t>
        </is>
      </c>
      <c r="K47" s="169" t="n">
        <v>46325</v>
      </c>
      <c r="L47" s="168" t="n"/>
      <c r="M47" s="168" t="inlineStr">
        <is>
          <t>China Railway Engineering Equipment Group (CREG)</t>
        </is>
      </c>
      <c r="N47" s="170" t="inlineStr">
        <is>
          <t>China</t>
        </is>
      </c>
      <c r="O47" s="168" t="inlineStr">
        <is>
          <t>Shenzhen, Guangdong</t>
        </is>
      </c>
      <c r="P47" s="168" t="n"/>
      <c r="Q47" s="171" t="n"/>
      <c r="R47" s="169" t="n">
        <v>46324</v>
      </c>
      <c r="S47" s="170" t="inlineStr">
        <is>
          <t>2026-Q4</t>
        </is>
      </c>
      <c r="T47" s="172" t="inlineStr">
        <is>
          <t>tbm, tunnelling, tunnel, railway</t>
        </is>
      </c>
      <c r="U47" s="160" t="n">
        <v>10</v>
      </c>
      <c r="V47" s="173" t="inlineStr">
        <is>
          <t>https://tunnellingjournal.com/creg-slurry-tbm-enters-commissioning-for-shenzhen-road-tunnels/</t>
        </is>
      </c>
      <c r="W47" s="174">
        <f>IF($B47="",0,IF(AND(OR(OR(Dashboard!$B$5="All themes",Dashboard!$B$5=""),$C47=Dashboard!$B$5),OR(OR(Dashboard!$G$5="All uses",Dashboard!$G$5=""),$E47=Dashboard!$G$5),N($D47)&gt;=Lists!$H$2,OR(OR(Dashboard!$N$5="All windows",Dashboard!$N$5=""),$S47=Dashboard!$N$5)),1,0))</f>
        <v/>
      </c>
      <c r="X47" s="175">
        <f>IF($W47=1,N($D47)*1E14+MIN(MAX(N($U47),0),9999)*1E10+MIN(N($K47),99999)*1E5+99999-MIN(ROW(),99999),"")</f>
        <v/>
      </c>
    </row>
    <row r="48" ht="53" customHeight="1">
      <c r="A48" s="160" t="n">
        <v>45</v>
      </c>
      <c r="B48" s="161" t="inlineStr">
        <is>
          <t>Second 14.42m TERRATEC TBM ready for Mumbai tunnel drive</t>
        </is>
      </c>
      <c r="C48" s="176" t="inlineStr">
        <is>
          <t>Infrastructure &amp; the Underground City</t>
        </is>
      </c>
      <c r="D48" s="163" t="n">
        <v>4</v>
      </c>
      <c r="E48" s="177" t="inlineStr">
        <is>
          <t>News brief</t>
        </is>
      </c>
      <c r="F48" s="165" t="inlineStr">
        <is>
          <t>To review</t>
        </is>
      </c>
      <c r="G48" s="166" t="n"/>
      <c r="H48" s="167" t="n"/>
      <c r="I48" s="168" t="inlineStr">
        <is>
          <t>What ground conditions and EPB or rock-mode strategies will the 14.42m machines face on the Goregaon–Mulund tunnel drive in Mumbai?</t>
        </is>
      </c>
      <c r="J48" s="168" t="inlineStr">
        <is>
          <t>Tunnelling Journal</t>
        </is>
      </c>
      <c r="K48" s="169" t="n">
        <v>46325</v>
      </c>
      <c r="L48" s="168" t="n"/>
      <c r="M48" s="168" t="inlineStr">
        <is>
          <t>Brihanmumbai Municipal Corporation (BMC)</t>
        </is>
      </c>
      <c r="N48" s="170" t="inlineStr">
        <is>
          <t>India</t>
        </is>
      </c>
      <c r="O48" s="168" t="inlineStr">
        <is>
          <t>Goregaon–Mulund Link Road, Mumbai</t>
        </is>
      </c>
      <c r="P48" s="168" t="n"/>
      <c r="Q48" s="171" t="n"/>
      <c r="R48" s="169" t="n">
        <v>46324</v>
      </c>
      <c r="S48" s="170" t="inlineStr">
        <is>
          <t>2026-Q4</t>
        </is>
      </c>
      <c r="T48" s="172" t="inlineStr">
        <is>
          <t>tbm, tunnelling, tunnel</t>
        </is>
      </c>
      <c r="U48" s="160" t="n">
        <v>10</v>
      </c>
      <c r="V48" s="173" t="inlineStr">
        <is>
          <t>https://tunnellingjournal.com/second-14-42m-terratec-tbm-ready-for-mumbai-tunnel-drive/</t>
        </is>
      </c>
      <c r="W48" s="174">
        <f>IF($B48="",0,IF(AND(OR(OR(Dashboard!$B$5="All themes",Dashboard!$B$5=""),$C48=Dashboard!$B$5),OR(OR(Dashboard!$G$5="All uses",Dashboard!$G$5=""),$E48=Dashboard!$G$5),N($D48)&gt;=Lists!$H$2,OR(OR(Dashboard!$N$5="All windows",Dashboard!$N$5=""),$S48=Dashboard!$N$5)),1,0))</f>
        <v/>
      </c>
      <c r="X48" s="175">
        <f>IF($W48=1,N($D48)*1E14+MIN(MAX(N($U48),0),9999)*1E10+MIN(N($K48),99999)*1E5+99999-MIN(ROW(),99999),"")</f>
        <v/>
      </c>
    </row>
    <row r="49" ht="53" customHeight="1">
      <c r="A49" s="160" t="n">
        <v>46</v>
      </c>
      <c r="B49" s="161" t="inlineStr">
        <is>
          <t>Cyclone Arnab Triggers Major Landslides and Flooding in Odisha Districts</t>
        </is>
      </c>
      <c r="C49" s="162" t="inlineStr">
        <is>
          <t>Hazards &amp; Resilience</t>
        </is>
      </c>
      <c r="D49" s="163" t="n">
        <v>4</v>
      </c>
      <c r="E49" s="177" t="inlineStr">
        <is>
          <t>News brief</t>
        </is>
      </c>
      <c r="F49" s="165" t="inlineStr">
        <is>
          <t>To review</t>
        </is>
      </c>
      <c r="G49" s="166" t="n"/>
      <c r="H49" s="167" t="n"/>
      <c r="I49" s="168" t="inlineStr">
        <is>
          <t>What slope-failure and debris-flow mechanisms were triggered by cyclone rainfall in Odisha's hill districts, and how should landslide susceptibility be mapped there?</t>
        </is>
      </c>
      <c r="J49" s="168" t="inlineStr">
        <is>
          <t>Asianet Newsable</t>
        </is>
      </c>
      <c r="K49" s="169" t="n">
        <v>46325</v>
      </c>
      <c r="L49" s="168" t="n"/>
      <c r="M49" s="168" t="inlineStr">
        <is>
          <t>Odisha State Disaster Management Authority</t>
        </is>
      </c>
      <c r="N49" s="170" t="inlineStr">
        <is>
          <t>India</t>
        </is>
      </c>
      <c r="O49" s="168" t="inlineStr">
        <is>
          <t>Odisha districts</t>
        </is>
      </c>
      <c r="P49" s="168" t="inlineStr">
        <is>
          <t>Cyclone Arnab landslides and floods, Odisha (Oct 2026) · Event · 2 reports</t>
        </is>
      </c>
      <c r="Q49" s="171" t="inlineStr">
        <is>
          <t>New Zealand</t>
        </is>
      </c>
      <c r="R49" s="169" t="n">
        <v>46324</v>
      </c>
      <c r="S49" s="170" t="inlineStr">
        <is>
          <t>2026-Q4</t>
        </is>
      </c>
      <c r="T49" s="172" t="inlineStr">
        <is>
          <t>landslide</t>
        </is>
      </c>
      <c r="U49" s="160" t="n">
        <v>8</v>
      </c>
      <c r="V49" s="173" t="inlineStr">
        <is>
          <t>https://news.google.com/rss/articles/CBMiywFBVV95cUxOU25xVUxHQXRlS011cUdhNmtiWVlHT3V1UE9qZWtERTkxQkUtblpWTGtzYTgtSjY3NnFTdEE4NmlyVXVyeVFIeml5QkZvdG5kSHB6TzI5Z2prTk9MTlAtU2xkcTNjZmRvOUVVTERicy1KQ2NZWTFZWjdsUmtPSzR4MTUtYVZYVEZrbWNRbk5PamFYTjlEbUxjXzlERWZ5ZE5PZzVpdEplVDhyNENLckxUZTRGWlh3c3Axb0F5YlhYeWpsdzFVWGNhSF9wb9IB0AFBVV95cUxOZ0FlU2x4VFhfbHFJUWJpc3R0S0k4WVZaNGNfaWhvMi1HU1pjZUl1c01wenp3NWhCR1d6cWJfeEhFOWNmeUJlTGZ1TW5Ba2JSRXRQcFpQU3V2OEFaQ1dQLUNoWmlaMTdpSW9OdUdZejFQeFc5TloyNFQ3NTlOd1JFcUVlRGlYUndvaVRPMXNLZ2laZ2w1NXkyRGJNN0VlZnFGT2N5eFhZaHp6MjFqTUZuZG50RkJOR1VfclJBa0FJSWpUcDJDOTJQcWlnVEsxUUJz?oc=5</t>
        </is>
      </c>
      <c r="W49" s="174">
        <f>IF($B49="",0,IF(AND(OR(OR(Dashboard!$B$5="All themes",Dashboard!$B$5=""),$C49=Dashboard!$B$5),OR(OR(Dashboard!$G$5="All uses",Dashboard!$G$5=""),$E49=Dashboard!$G$5),N($D49)&gt;=Lists!$H$2,OR(OR(Dashboard!$N$5="All windows",Dashboard!$N$5=""),$S49=Dashboard!$N$5)),1,0))</f>
        <v/>
      </c>
      <c r="X49" s="175">
        <f>IF($W49=1,N($D49)*1E14+MIN(MAX(N($U49),0),9999)*1E10+MIN(N($K49),99999)*1E5+99999-MIN(ROW(),99999),"")</f>
        <v/>
      </c>
    </row>
    <row r="50" ht="53" customHeight="1">
      <c r="A50" s="160" t="n">
        <v>47</v>
      </c>
      <c r="B50" s="161" t="inlineStr">
        <is>
          <t>North East Link TBMs removed from site</t>
        </is>
      </c>
      <c r="C50" s="176" t="inlineStr">
        <is>
          <t>Infrastructure &amp; the Underground City</t>
        </is>
      </c>
      <c r="D50" s="163" t="n">
        <v>4</v>
      </c>
      <c r="E50" s="164" t="inlineStr">
        <is>
          <t>Feature lead</t>
        </is>
      </c>
      <c r="F50" s="165" t="inlineStr">
        <is>
          <t>To review</t>
        </is>
      </c>
      <c r="G50" s="166" t="n"/>
      <c r="H50" s="167" t="n"/>
      <c r="I50" s="168" t="inlineStr">
        <is>
          <t>What did the 5.3km twin road tunnel drives through Melbourne's ground teach about TBM performance, lining and ground behaviour over the project's life?</t>
        </is>
      </c>
      <c r="J50" s="168" t="inlineStr">
        <is>
          <t>Tunnels &amp; Tunnelling</t>
        </is>
      </c>
      <c r="K50" s="169" t="n">
        <v>46325</v>
      </c>
      <c r="L50" s="168" t="n"/>
      <c r="M50" s="168" t="inlineStr">
        <is>
          <t>North East Link Project, Victorian Government</t>
        </is>
      </c>
      <c r="N50" s="170" t="inlineStr">
        <is>
          <t>Australia</t>
        </is>
      </c>
      <c r="O50" s="168" t="inlineStr">
        <is>
          <t>North East Link, Melbourne</t>
        </is>
      </c>
      <c r="P50" s="168" t="n"/>
      <c r="Q50" s="171" t="n"/>
      <c r="R50" s="169" t="n">
        <v>46324</v>
      </c>
      <c r="S50" s="170" t="inlineStr">
        <is>
          <t>2026-Q4</t>
        </is>
      </c>
      <c r="T50" s="172" t="inlineStr">
        <is>
          <t>tbm, tunnelling, tunnel</t>
        </is>
      </c>
      <c r="U50" s="160" t="n">
        <v>8</v>
      </c>
      <c r="V50" s="173" t="inlineStr">
        <is>
          <t>https://www.tunnelsandtunnelling.com/news/north-east-link-tbms-removed-from-site/</t>
        </is>
      </c>
      <c r="W50" s="174">
        <f>IF($B50="",0,IF(AND(OR(OR(Dashboard!$B$5="All themes",Dashboard!$B$5=""),$C50=Dashboard!$B$5),OR(OR(Dashboard!$G$5="All uses",Dashboard!$G$5=""),$E50=Dashboard!$G$5),N($D50)&gt;=Lists!$H$2,OR(OR(Dashboard!$N$5="All windows",Dashboard!$N$5=""),$S50=Dashboard!$N$5)),1,0))</f>
        <v/>
      </c>
      <c r="X50" s="175">
        <f>IF($W50=1,N($D50)*1E14+MIN(MAX(N($U50),0),9999)*1E10+MIN(N($K50),99999)*1E5+99999-MIN(ROW(),99999),"")</f>
        <v/>
      </c>
    </row>
    <row r="51" ht="53" customHeight="1">
      <c r="A51" s="160" t="n">
        <v>48</v>
      </c>
      <c r="B51" s="161" t="inlineStr">
        <is>
          <t>Morton Salt Ohio mine water breach: geotechnical failure lessons for engineers</t>
        </is>
      </c>
      <c r="C51" s="162" t="inlineStr">
        <is>
          <t>Hazards &amp; Resilience</t>
        </is>
      </c>
      <c r="D51" s="163" t="n">
        <v>4</v>
      </c>
      <c r="E51" s="164" t="inlineStr">
        <is>
          <t>Feature lead</t>
        </is>
      </c>
      <c r="F51" s="165" t="inlineStr">
        <is>
          <t>To review</t>
        </is>
      </c>
      <c r="G51" s="166" t="n"/>
      <c r="H51" s="167" t="n"/>
      <c r="I51" s="168" t="inlineStr">
        <is>
          <t>What ground and hydraulic mechanisms allowed water inflow into a salt mine, and what lessons apply to mine-void stability and flooding risk?</t>
        </is>
      </c>
      <c r="J51" s="168" t="inlineStr">
        <is>
          <t>Geomechanics.io</t>
        </is>
      </c>
      <c r="K51" s="169" t="n">
        <v>46325</v>
      </c>
      <c r="L51" s="168" t="n"/>
      <c r="M51" s="168" t="inlineStr">
        <is>
          <t>Morton Salt</t>
        </is>
      </c>
      <c r="N51" s="170" t="inlineStr">
        <is>
          <t>United States</t>
        </is>
      </c>
      <c r="O51" s="168" t="inlineStr">
        <is>
          <t>Morton Salt mine, Ohio</t>
        </is>
      </c>
      <c r="P51" s="168" t="n"/>
      <c r="Q51" s="171" t="inlineStr">
        <is>
          <t>United Kingdom</t>
        </is>
      </c>
      <c r="R51" s="169" t="n">
        <v>46325</v>
      </c>
      <c r="S51" s="170" t="inlineStr">
        <is>
          <t>2026-Q4</t>
        </is>
      </c>
      <c r="T51" s="172" t="inlineStr">
        <is>
          <t>geotechnical</t>
        </is>
      </c>
      <c r="U51" s="160" t="n">
        <v>5</v>
      </c>
      <c r="V51" s="173" t="inlineStr">
        <is>
          <t>https://news.google.com/rss/articles/CBMiugFBVV95cUxPdmtPZkJqTlo1bUVFWVZzMEhjbnAwemhmWVJpTmNxU2xhZHltSXJjU2ZMN3NSeE80dFkxb3hRZzVaNnBTSllTd3M2dksxeF9kdDFYbHlLQ3FzeHdzYUgxQ3ZKeGozcGxzR0RRTjRUTUVaV0hNd2hVMElfWmtPQ1BNSzhnOGtBVWlteU13TkhfTWF1UEowNjFpNXJuOVZUSE5BRGYzU2lSS2pDZUJYVEQxT3ZLVFVhSG9JLUE?oc=5</t>
        </is>
      </c>
      <c r="W51" s="174">
        <f>IF($B51="",0,IF(AND(OR(OR(Dashboard!$B$5="All themes",Dashboard!$B$5=""),$C51=Dashboard!$B$5),OR(OR(Dashboard!$G$5="All uses",Dashboard!$G$5=""),$E51=Dashboard!$G$5),N($D51)&gt;=Lists!$H$2,OR(OR(Dashboard!$N$5="All windows",Dashboard!$N$5=""),$S51=Dashboard!$N$5)),1,0))</f>
        <v/>
      </c>
      <c r="X51" s="175">
        <f>IF($W51=1,N($D51)*1E14+MIN(MAX(N($U51),0),9999)*1E10+MIN(N($K51),99999)*1E5+99999-MIN(ROW(),99999),"")</f>
        <v/>
      </c>
    </row>
    <row r="52" ht="53" customHeight="1">
      <c r="A52" s="160" t="n">
        <v>49</v>
      </c>
      <c r="B52" s="161" t="inlineStr">
        <is>
          <t>Amey Rail to deliver DLR extension early works</t>
        </is>
      </c>
      <c r="C52" s="176" t="inlineStr">
        <is>
          <t>Infrastructure &amp; the Underground City</t>
        </is>
      </c>
      <c r="D52" s="163" t="n">
        <v>4</v>
      </c>
      <c r="E52" s="164" t="inlineStr">
        <is>
          <t>Feature lead</t>
        </is>
      </c>
      <c r="F52" s="165" t="inlineStr">
        <is>
          <t>To review</t>
        </is>
      </c>
      <c r="G52" s="166" t="n"/>
      <c r="H52" s="167" t="n"/>
      <c r="I52" s="168" t="inlineStr">
        <is>
          <t>What early-works ground investigation and river-crossing risks shape a twin-bore tunnel beneath the Thames in London's riverside soils?</t>
        </is>
      </c>
      <c r="J52" s="168" t="inlineStr">
        <is>
          <t>Tunnels &amp; Tunnelling</t>
        </is>
      </c>
      <c r="K52" s="169" t="n">
        <v>46325</v>
      </c>
      <c r="L52" s="168" t="n"/>
      <c r="M52" s="168" t="inlineStr">
        <is>
          <t>Transport for London</t>
        </is>
      </c>
      <c r="N52" s="170" t="inlineStr">
        <is>
          <t>United Kingdom</t>
        </is>
      </c>
      <c r="O52" s="168" t="inlineStr">
        <is>
          <t>DLR extension, Thames crossing</t>
        </is>
      </c>
      <c r="P52" s="168" t="n"/>
      <c r="Q52" s="171" t="n"/>
      <c r="R52" s="169" t="n">
        <v>46324</v>
      </c>
      <c r="S52" s="170" t="inlineStr">
        <is>
          <t>2026-Q4</t>
        </is>
      </c>
      <c r="T52" s="172" t="inlineStr">
        <is>
          <t>tunnelling, tunnel</t>
        </is>
      </c>
      <c r="U52" s="160" t="n">
        <v>5</v>
      </c>
      <c r="V52" s="173" t="inlineStr">
        <is>
          <t>https://www.tunnelsandtunnelling.com/news/amey-rail-to-deliver-dlr-extension-early-works/</t>
        </is>
      </c>
      <c r="W52" s="174">
        <f>IF($B52="",0,IF(AND(OR(OR(Dashboard!$B$5="All themes",Dashboard!$B$5=""),$C52=Dashboard!$B$5),OR(OR(Dashboard!$G$5="All uses",Dashboard!$G$5=""),$E52=Dashboard!$G$5),N($D52)&gt;=Lists!$H$2,OR(OR(Dashboard!$N$5="All windows",Dashboard!$N$5=""),$S52=Dashboard!$N$5)),1,0))</f>
        <v/>
      </c>
      <c r="X52" s="175">
        <f>IF($W52=1,N($D52)*1E14+MIN(MAX(N($U52),0),9999)*1E10+MIN(N($K52),99999)*1E5+99999-MIN(ROW(),99999),"")</f>
        <v/>
      </c>
    </row>
    <row r="53" ht="53" customHeight="1">
      <c r="A53" s="160" t="n">
        <v>50</v>
      </c>
      <c r="B53" s="161" t="inlineStr">
        <is>
          <t>Using machine learning to build safer cities</t>
        </is>
      </c>
      <c r="C53" s="181" t="inlineStr">
        <is>
          <t>Digital Geotechnics</t>
        </is>
      </c>
      <c r="D53" s="163" t="n">
        <v>4</v>
      </c>
      <c r="E53" s="182" t="inlineStr">
        <is>
          <t>Academia-to-Industry topic</t>
        </is>
      </c>
      <c r="F53" s="165" t="inlineStr">
        <is>
          <t>To review</t>
        </is>
      </c>
      <c r="G53" s="166" t="n"/>
      <c r="H53" s="167" t="n"/>
      <c r="I53" s="168" t="inlineStr">
        <is>
          <t>How reliable are machine-learning landslide susceptibility maps when urbanisation, road building and vegetation loss continuously change slope conditions in a city?</t>
        </is>
      </c>
      <c r="J53" s="168" t="inlineStr">
        <is>
          <t>Phys.org Earth Sciences</t>
        </is>
      </c>
      <c r="K53" s="169" t="n">
        <v>46325</v>
      </c>
      <c r="L53" s="168" t="n"/>
      <c r="M53" s="168" t="inlineStr">
        <is>
          <t>eThekwini Municipality and the Scientific Reports study authors</t>
        </is>
      </c>
      <c r="N53" s="170" t="inlineStr">
        <is>
          <t>South Africa</t>
        </is>
      </c>
      <c r="O53" s="168" t="inlineStr">
        <is>
          <t>eThekwini, Durban</t>
        </is>
      </c>
      <c r="P53" s="168" t="n"/>
      <c r="Q53" s="171" t="n"/>
      <c r="R53" s="169" t="n">
        <v>46324</v>
      </c>
      <c r="S53" s="170" t="inlineStr">
        <is>
          <t>2026-Q4</t>
        </is>
      </c>
      <c r="T53" s="172" t="inlineStr">
        <is>
          <t>landslide</t>
        </is>
      </c>
      <c r="U53" s="160" t="n">
        <v>4</v>
      </c>
      <c r="V53" s="173" t="inlineStr">
        <is>
          <t>https://phys.org/news/2026-10-machine-safer-cities.html</t>
        </is>
      </c>
      <c r="W53" s="174">
        <f>IF($B53="",0,IF(AND(OR(OR(Dashboard!$B$5="All themes",Dashboard!$B$5=""),$C53=Dashboard!$B$5),OR(OR(Dashboard!$G$5="All uses",Dashboard!$G$5=""),$E53=Dashboard!$G$5),N($D53)&gt;=Lists!$H$2,OR(OR(Dashboard!$N$5="All windows",Dashboard!$N$5=""),$S53=Dashboard!$N$5)),1,0))</f>
        <v/>
      </c>
      <c r="X53" s="175">
        <f>IF($W53=1,N($D53)*1E14+MIN(MAX(N($U53),0),9999)*1E10+MIN(N($K53),99999)*1E5+99999-MIN(ROW(),99999),"")</f>
        <v/>
      </c>
    </row>
    <row r="54" ht="53" customHeight="1">
      <c r="A54" s="160" t="n">
        <v>51</v>
      </c>
      <c r="B54" s="161" t="inlineStr">
        <is>
          <t>A year after efforts to repair the landslide at D'Ran pass, the danger still persists.</t>
        </is>
      </c>
      <c r="C54" s="162" t="inlineStr">
        <is>
          <t>Hazards &amp; Resilience</t>
        </is>
      </c>
      <c r="D54" s="163" t="n">
        <v>4</v>
      </c>
      <c r="E54" s="164" t="inlineStr">
        <is>
          <t>Feature lead</t>
        </is>
      </c>
      <c r="F54" s="165" t="inlineStr">
        <is>
          <t>To review</t>
        </is>
      </c>
      <c r="G54" s="166" t="n"/>
      <c r="H54" s="167" t="n"/>
      <c r="I54" s="168" t="inlineStr">
        <is>
          <t>Why did a year of repair work fail to remove the hazard at D'Ran pass, and what ground investigation and design changes would have been needed?</t>
        </is>
      </c>
      <c r="J54" s="168" t="inlineStr">
        <is>
          <t>Vietnam.vn</t>
        </is>
      </c>
      <c r="K54" s="169" t="n">
        <v>46325</v>
      </c>
      <c r="L54" s="168" t="inlineStr">
        <is>
          <t>Un año después de los esfuerzos por reparar el deslizamiento de tierra en el paso de D'Ran, el peligro aún persiste.</t>
        </is>
      </c>
      <c r="M54" s="168" t="inlineStr">
        <is>
          <t>Lam Dong Provincial People's Committee</t>
        </is>
      </c>
      <c r="N54" s="170" t="inlineStr">
        <is>
          <t>Vietnam</t>
        </is>
      </c>
      <c r="O54" s="168" t="inlineStr">
        <is>
          <t>D'Ran pass, Lam Dong</t>
        </is>
      </c>
      <c r="P54" s="168" t="inlineStr">
        <is>
          <t>D'Ran pass landslide, Lam Dong, Vietnam · Update · 2 reports</t>
        </is>
      </c>
      <c r="Q54" s="171" t="inlineStr">
        <is>
          <t>Spain</t>
        </is>
      </c>
      <c r="R54" s="169" t="n">
        <v>46324</v>
      </c>
      <c r="S54" s="170" t="inlineStr">
        <is>
          <t>2026-Q4</t>
        </is>
      </c>
      <c r="T54" s="172" t="inlineStr">
        <is>
          <t>landslide</t>
        </is>
      </c>
      <c r="U54" s="160" t="n">
        <v>4</v>
      </c>
      <c r="V54" s="173" t="inlineStr">
        <is>
          <t>https://news.google.com/rss/articles/CBMihwFBVV95cUxNcHdyWk5uYU92Zm5qM0I4b2hpek5HdDFncVBvN28xZ3lBRjVhU05FUFk0US1DcjN3ekxzdW1GYi1iTElKMmEtMnl3bTJhNTBHTWg3YVZ5dFFqUDVDY0VZelA3OVN2X1VJQ1ViRWhXME0wWWtiMUs4eDV3MS1uUGNKWjZ4M21FYTg?oc=5</t>
        </is>
      </c>
      <c r="W54" s="174">
        <f>IF($B54="",0,IF(AND(OR(OR(Dashboard!$B$5="All themes",Dashboard!$B$5=""),$C54=Dashboard!$B$5),OR(OR(Dashboard!$G$5="All uses",Dashboard!$G$5=""),$E54=Dashboard!$G$5),N($D54)&gt;=Lists!$H$2,OR(OR(Dashboard!$N$5="All windows",Dashboard!$N$5=""),$S54=Dashboard!$N$5)),1,0))</f>
        <v/>
      </c>
      <c r="X54" s="175">
        <f>IF($W54=1,N($D54)*1E14+MIN(MAX(N($U54),0),9999)*1E10+MIN(N($K54),99999)*1E5+99999-MIN(ROW(),99999),"")</f>
        <v/>
      </c>
    </row>
    <row r="55" ht="40.5" customHeight="1">
      <c r="A55" s="160" t="n">
        <v>52</v>
      </c>
      <c r="B55" s="161" t="inlineStr">
        <is>
          <t>Landslide in California affects more than 245 properties.</t>
        </is>
      </c>
      <c r="C55" s="162" t="inlineStr">
        <is>
          <t>Hazards &amp; Resilience</t>
        </is>
      </c>
      <c r="D55" s="163" t="n">
        <v>4</v>
      </c>
      <c r="E55" s="164" t="inlineStr">
        <is>
          <t>Feature lead</t>
        </is>
      </c>
      <c r="F55" s="165" t="inlineStr">
        <is>
          <t>To review</t>
        </is>
      </c>
      <c r="G55" s="166" t="n"/>
      <c r="H55" s="167" t="n"/>
      <c r="I55" s="168" t="inlineStr">
        <is>
          <t>How can hillside housing exposed to landslides be assessed and mitigated when hundreds of properties are affected at once?</t>
        </is>
      </c>
      <c r="J55" s="168" t="inlineStr">
        <is>
          <t>Periódico La Voz</t>
        </is>
      </c>
      <c r="K55" s="169" t="n">
        <v>46325</v>
      </c>
      <c r="L55" s="168" t="inlineStr">
        <is>
          <t>Deslizamiento de tierra en California afecta a más de 245 propiedades</t>
        </is>
      </c>
      <c r="M55" s="168" t="inlineStr">
        <is>
          <t>County authorities and the California Geological Survey</t>
        </is>
      </c>
      <c r="N55" s="170" t="inlineStr">
        <is>
          <t>United States</t>
        </is>
      </c>
      <c r="O55" s="168" t="inlineStr">
        <is>
          <t>California</t>
        </is>
      </c>
      <c r="P55" s="168" t="inlineStr">
        <is>
          <t>California landslide affecting 245 properties, US (Oct 2026) · Update · 2 reports</t>
        </is>
      </c>
      <c r="Q55" s="171" t="inlineStr">
        <is>
          <t>Spain</t>
        </is>
      </c>
      <c r="R55" s="169" t="n">
        <v>46323</v>
      </c>
      <c r="S55" s="170" t="inlineStr">
        <is>
          <t>2026-Q4</t>
        </is>
      </c>
      <c r="T55" s="172" t="inlineStr">
        <is>
          <t>landslide</t>
        </is>
      </c>
      <c r="U55" s="160" t="n">
        <v>4</v>
      </c>
      <c r="V55" s="173" t="inlineStr">
        <is>
          <t>https://news.google.com/rss/articles/CBMipwFBVV95cUxNc1dyMVdCZ1ZqNG1FcVdvMTRUMWtjb3YweENXZTZZVTZIMG1iMG81RXZ4VEp6S0t6bENiaGQ3ZG1FTS15QkdHaHpKTnRiMFNMV0xKNGZ3T18wN1doMlo0dmw4cTFjLXhpb1k0VjZWdW01S3BzQlc0cEUzUUM3UHllVGtEa1Y2NUxXZndNTkFib2IwXzU1M0FDOEFiRVMwNl9QSDZuRWFWSdIBpwFBVV95cUxNc1dyMVdCZ1ZqNG1FcVdvMTRUMWtjb3YweENXZTZZVTZIMG1iMG81RXZ4VEp6S0t6bENiaGQ3ZG1FTS15QkdHaHpKTnRiMFNMV0xKNGZ3T18wN1doMlo0dmw4cTFjLXhpb1k0VjZWdW01S3BzQlc0cEUzUUM3UHllVGtEa1Y2NUxXZndNTkFib2IwXzU1M0FDOEFiRVMwNl9QSDZuRWFWSQ?oc=5</t>
        </is>
      </c>
      <c r="W55" s="174">
        <f>IF($B55="",0,IF(AND(OR(OR(Dashboard!$B$5="All themes",Dashboard!$B$5=""),$C55=Dashboard!$B$5),OR(OR(Dashboard!$G$5="All uses",Dashboard!$G$5=""),$E55=Dashboard!$G$5),N($D55)&gt;=Lists!$H$2,OR(OR(Dashboard!$N$5="All windows",Dashboard!$N$5=""),$S55=Dashboard!$N$5)),1,0))</f>
        <v/>
      </c>
      <c r="X55" s="175">
        <f>IF($W55=1,N($D55)*1E14+MIN(MAX(N($U55),0),9999)*1E10+MIN(N($K55),99999)*1E5+99999-MIN(ROW(),99999),"")</f>
        <v/>
      </c>
    </row>
    <row r="56" ht="53" customHeight="1">
      <c r="A56" s="160" t="n">
        <v>53</v>
      </c>
      <c r="B56" s="161" t="inlineStr">
        <is>
          <t>Permafrost Slides That Dammed Two Canadian Rivers Offer a Warning for Arctic Communities in Canada and Alaska</t>
        </is>
      </c>
      <c r="C56" s="162" t="inlineStr">
        <is>
          <t>Hazards &amp; Resilience</t>
        </is>
      </c>
      <c r="D56" s="163" t="n">
        <v>4</v>
      </c>
      <c r="E56" s="164" t="inlineStr">
        <is>
          <t>Feature lead</t>
        </is>
      </c>
      <c r="F56" s="165" t="inlineStr">
        <is>
          <t>To review</t>
        </is>
      </c>
      <c r="G56" s="166" t="n"/>
      <c r="H56" s="167" t="n"/>
      <c r="I56" s="168" t="inlineStr">
        <is>
          <t>What mechanisms turn thawing permafrost into slides that dam rivers, and how can Arctic settlements be assessed for similar risk?</t>
        </is>
      </c>
      <c r="J56" s="168" t="inlineStr">
        <is>
          <t>Nature World News</t>
        </is>
      </c>
      <c r="K56" s="169" t="n">
        <v>46325</v>
      </c>
      <c r="L56" s="168" t="n"/>
      <c r="M56" s="168" t="inlineStr">
        <is>
          <t>the Geological Survey of Canada</t>
        </is>
      </c>
      <c r="N56" s="170" t="inlineStr">
        <is>
          <t>Canada</t>
        </is>
      </c>
      <c r="O56" s="168" t="n"/>
      <c r="P56" s="168" t="inlineStr">
        <is>
          <t>Canadian permafrost landslide study (Oct 2026) · Update · 6 reports</t>
        </is>
      </c>
      <c r="Q56" s="171" t="inlineStr">
        <is>
          <t>United Kingdom</t>
        </is>
      </c>
      <c r="R56" s="169" t="n">
        <v>46324</v>
      </c>
      <c r="S56" s="170" t="inlineStr">
        <is>
          <t>2026-Q4</t>
        </is>
      </c>
      <c r="T56" s="172" t="inlineStr">
        <is>
          <t>permafrost</t>
        </is>
      </c>
      <c r="U56" s="160" t="n">
        <v>3</v>
      </c>
      <c r="V56" s="173" t="inlineStr">
        <is>
          <t>https://news.google.com/rss/articles/CBMi7AFBVV95cUxObEtTMk1DOWpXM2JJQUFYTE45bF9IRXVuMDc1OXB4cDdKM0FWU3pIX2NxaFlRWk5RS0lVajZmUGF3djVsZW45TGY0d1hFSTVDRTEwVkR0ZGNTaXVuNFZJTkJaV3NuWkdaT3hRVjNfZ09waTJBMTFsRFBTWmVmc2JiT0tGSGF1bzRmNHdKRGU2T0owVDRBa3g0TDRiNVJIbFZzYjBIV3AyM3NZbWNvX3J1MlBNc2cxLW8wQkZJLUtYSUctOXVSRGl4R3B0REZaOWttbzRmSElVYVYwSmZfN0dFMWVTN0tVbUNjS053dg?oc=5</t>
        </is>
      </c>
      <c r="W56" s="174">
        <f>IF($B56="",0,IF(AND(OR(OR(Dashboard!$B$5="All themes",Dashboard!$B$5=""),$C56=Dashboard!$B$5),OR(OR(Dashboard!$G$5="All uses",Dashboard!$G$5=""),$E56=Dashboard!$G$5),N($D56)&gt;=Lists!$H$2,OR(OR(Dashboard!$N$5="All windows",Dashboard!$N$5=""),$S56=Dashboard!$N$5)),1,0))</f>
        <v/>
      </c>
      <c r="X56" s="175">
        <f>IF($W56=1,N($D56)*1E14+MIN(MAX(N($U56),0),9999)*1E10+MIN(N($K56),99999)*1E5+99999-MIN(ROW(),99999),"")</f>
        <v/>
      </c>
    </row>
    <row r="57" ht="40.5" customHeight="1">
      <c r="A57" s="160" t="n">
        <v>54</v>
      </c>
      <c r="B57" s="161" t="inlineStr">
        <is>
          <t>World's Largest-Diameter Double-Shield Hard-Rock TBM Rolls Off the Production Line in Xinjin, Chengdu</t>
        </is>
      </c>
      <c r="C57" s="176" t="inlineStr">
        <is>
          <t>Infrastructure &amp; the Underground City</t>
        </is>
      </c>
      <c r="D57" s="163" t="n">
        <v>4</v>
      </c>
      <c r="E57" s="164" t="inlineStr">
        <is>
          <t>Feature lead</t>
        </is>
      </c>
      <c r="F57" s="165" t="inlineStr">
        <is>
          <t>To review</t>
        </is>
      </c>
      <c r="G57" s="166" t="n"/>
      <c r="H57" s="167" t="n"/>
      <c r="I57" s="168" t="inlineStr">
        <is>
          <t>What ground conditions and rock properties drive the design of a double-shield hard-rock machine of this diameter?</t>
        </is>
      </c>
      <c r="J57" s="168" t="inlineStr">
        <is>
          <t>The Manila Times</t>
        </is>
      </c>
      <c r="K57" s="169" t="n">
        <v>46325</v>
      </c>
      <c r="L57" s="168" t="n"/>
      <c r="M57" s="168" t="inlineStr">
        <is>
          <t>the TBM manufacturer and the project owner</t>
        </is>
      </c>
      <c r="N57" s="170" t="inlineStr">
        <is>
          <t>China</t>
        </is>
      </c>
      <c r="O57" s="168" t="inlineStr">
        <is>
          <t>Xinjin, Chengdu</t>
        </is>
      </c>
      <c r="P57" s="168" t="n"/>
      <c r="Q57" s="171" t="inlineStr">
        <is>
          <t>United Kingdom</t>
        </is>
      </c>
      <c r="R57" s="169" t="n">
        <v>46325</v>
      </c>
      <c r="S57" s="170" t="inlineStr">
        <is>
          <t>2026-Q4</t>
        </is>
      </c>
      <c r="T57" s="172" t="inlineStr">
        <is>
          <t>tbm</t>
        </is>
      </c>
      <c r="U57" s="160" t="n">
        <v>3</v>
      </c>
      <c r="V57" s="173" t="inlineStr">
        <is>
          <t>https://news.google.com/rss/articles/CBMi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dIB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Q?oc=5</t>
        </is>
      </c>
      <c r="W57" s="174">
        <f>IF($B57="",0,IF(AND(OR(OR(Dashboard!$B$5="All themes",Dashboard!$B$5=""),$C57=Dashboard!$B$5),OR(OR(Dashboard!$G$5="All uses",Dashboard!$G$5=""),$E57=Dashboard!$G$5),N($D57)&gt;=Lists!$H$2,OR(OR(Dashboard!$N$5="All windows",Dashboard!$N$5=""),$S57=Dashboard!$N$5)),1,0))</f>
        <v/>
      </c>
      <c r="X57" s="175">
        <f>IF($W57=1,N($D57)*1E14+MIN(MAX(N($U57),0),9999)*1E10+MIN(N($K57),99999)*1E5+99999-MIN(ROW(),99999),"")</f>
        <v/>
      </c>
    </row>
    <row r="58" ht="53" customHeight="1">
      <c r="A58" s="160" t="n">
        <v>55</v>
      </c>
      <c r="B58" s="161" t="inlineStr">
        <is>
          <t>In Ankara, a 17-storey building was evacuated after a landslide; the retaining wall collapsed and its foundation was exposed.</t>
        </is>
      </c>
      <c r="C58" s="162" t="inlineStr">
        <is>
          <t>Hazards &amp; Resilience</t>
        </is>
      </c>
      <c r="D58" s="163" t="n">
        <v>3</v>
      </c>
      <c r="E58" s="177" t="inlineStr">
        <is>
          <t>News brief</t>
        </is>
      </c>
      <c r="F58" s="165" t="inlineStr">
        <is>
          <t>To review</t>
        </is>
      </c>
      <c r="G58" s="166" t="n"/>
      <c r="H58" s="167" t="n"/>
      <c r="I58" s="168" t="inlineStr">
        <is>
          <t>What caused the retaining wall failure and foundation exposure beneath a 17-storey building, and what slope-stability checks should follow urban landslide evacuations?</t>
        </is>
      </c>
      <c r="J58" s="168" t="inlineStr">
        <is>
          <t>Haberler</t>
        </is>
      </c>
      <c r="K58" s="169" t="n">
        <v>46325</v>
      </c>
      <c r="L58" s="168" t="inlineStr">
        <is>
          <t>В Анкаре 17-этажное здание эвакуировали из-за оползня! Подпорная стена обрушилась, фундамент обнажился</t>
        </is>
      </c>
      <c r="M58" s="168" t="inlineStr">
        <is>
          <t>Ankara metropolitan municipality and AFAD disaster agency</t>
        </is>
      </c>
      <c r="N58" s="170" t="inlineStr">
        <is>
          <t>Türkiye</t>
        </is>
      </c>
      <c r="O58" s="168" t="inlineStr">
        <is>
          <t>Ankara</t>
        </is>
      </c>
      <c r="P58" s="168" t="inlineStr">
        <is>
          <t>Ankara 17-storey building retaining wall collapse, Turkey (Oct 2026) · Event · 2 reports</t>
        </is>
      </c>
      <c r="Q58" s="171" t="inlineStr">
        <is>
          <t>Russia</t>
        </is>
      </c>
      <c r="R58" s="169" t="n">
        <v>46325</v>
      </c>
      <c r="S58" s="170" t="inlineStr">
        <is>
          <t>2026-Q4</t>
        </is>
      </c>
      <c r="T58" s="172" t="inlineStr">
        <is>
          <t>landslide, foundation, retaining wall, collapse</t>
        </is>
      </c>
      <c r="U58" s="160" t="n">
        <v>11</v>
      </c>
      <c r="V58" s="173" t="inlineStr">
        <is>
          <t>https://news.google.com/rss/articles/CBMiWEFVX3lxTFBCeHNHdUQ3WDB5VFFIOHlmdm84aWM1TmVPMFVTaHl2cTZCZk1LYk1GSWFmSl9UejVHS3lVc2EtdGRMdU5hWFRiV2JHd092eVBTYmM1MFZzakE?oc=5</t>
        </is>
      </c>
      <c r="W58" s="174">
        <f>IF($B58="",0,IF(AND(OR(OR(Dashboard!$B$5="All themes",Dashboard!$B$5=""),$C58=Dashboard!$B$5),OR(OR(Dashboard!$G$5="All uses",Dashboard!$G$5=""),$E58=Dashboard!$G$5),N($D58)&gt;=Lists!$H$2,OR(OR(Dashboard!$N$5="All windows",Dashboard!$N$5=""),$S58=Dashboard!$N$5)),1,0))</f>
        <v/>
      </c>
      <c r="X58" s="175">
        <f>IF($W58=1,N($D58)*1E14+MIN(MAX(N($U58),0),9999)*1E10+MIN(N($K58),99999)*1E5+99999-MIN(ROW(),99999),"")</f>
        <v/>
      </c>
    </row>
    <row r="59" ht="53" customHeight="1">
      <c r="A59" s="160" t="n">
        <v>56</v>
      </c>
      <c r="B59" s="161" t="inlineStr">
        <is>
          <t>Rockfall at a famous Turkish tourist site kills two people.</t>
        </is>
      </c>
      <c r="C59" s="162" t="inlineStr">
        <is>
          <t>Hazards &amp; Resilience</t>
        </is>
      </c>
      <c r="D59" s="163" t="n">
        <v>3</v>
      </c>
      <c r="E59" s="179" t="inlineStr">
        <is>
          <t>Watch only</t>
        </is>
      </c>
      <c r="F59" s="165" t="inlineStr">
        <is>
          <t>To review</t>
        </is>
      </c>
      <c r="G59" s="166" t="n"/>
      <c r="H59" s="167" t="n"/>
      <c r="I59" s="168" t="inlineStr">
        <is>
          <t>What rockfall triggers and hazard-mapping methods apply to steep volcanic rock slopes at tourist sites where visitors are exposed?</t>
        </is>
      </c>
      <c r="J59" s="168" t="inlineStr">
        <is>
          <t>Báo Điện tử An ninh Thủ đô</t>
        </is>
      </c>
      <c r="K59" s="169" t="n">
        <v>46325</v>
      </c>
      <c r="L59" s="168" t="inlineStr">
        <is>
          <t>Sạt lở đá tại điểm du lịch nổi tiếng ở Thổ Nhĩ Kỳ, 2 người chết</t>
        </is>
      </c>
      <c r="M59" s="168" t="inlineStr">
        <is>
          <t>AFAD disaster agency</t>
        </is>
      </c>
      <c r="N59" s="170" t="inlineStr">
        <is>
          <t>Türkiye</t>
        </is>
      </c>
      <c r="O59" s="168" t="n"/>
      <c r="P59" s="168" t="n"/>
      <c r="Q59" s="171" t="inlineStr">
        <is>
          <t>Vietnam</t>
        </is>
      </c>
      <c r="R59" s="169" t="n">
        <v>46325</v>
      </c>
      <c r="S59" s="170" t="inlineStr">
        <is>
          <t>2026-Q4</t>
        </is>
      </c>
      <c r="T59" s="172" t="inlineStr">
        <is>
          <t>landslide, rockfall</t>
        </is>
      </c>
      <c r="U59" s="160" t="n">
        <v>8</v>
      </c>
      <c r="V59" s="173" t="inlineStr">
        <is>
          <t>https://news.google.com/rss/articles/CBMiowFBVV95cUxOcHBPNmxZdjdpbGxsbjZhSzdva1E2dFNHWXJqSllLTGhLMmhoNjVUREZaNXlacEJzTUMxTmtSOXVKdl8wT0tpQkpMWlZUTzVvWG5NcVA0a2h1WmdCOXpSVEQ5eVVpc0U3UlpVeXNMMUFHRjNKa1czOVlEdlN2UTl3Ml9XT3I3MjdlcmREWUhRaXRraGJKN1dBb1pXYy1tS2Q1cEZj?oc=5</t>
        </is>
      </c>
      <c r="W59" s="174">
        <f>IF($B59="",0,IF(AND(OR(OR(Dashboard!$B$5="All themes",Dashboard!$B$5=""),$C59=Dashboard!$B$5),OR(OR(Dashboard!$G$5="All uses",Dashboard!$G$5=""),$E59=Dashboard!$G$5),N($D59)&gt;=Lists!$H$2,OR(OR(Dashboard!$N$5="All windows",Dashboard!$N$5=""),$S59=Dashboard!$N$5)),1,0))</f>
        <v/>
      </c>
      <c r="X59" s="175">
        <f>IF($W59=1,N($D59)*1E14+MIN(MAX(N($U59),0),9999)*1E10+MIN(N($K59),99999)*1E5+99999-MIN(ROW(),99999),"")</f>
        <v/>
      </c>
    </row>
    <row r="60" ht="65.5" customHeight="1">
      <c r="A60" s="160" t="n">
        <v>57</v>
      </c>
      <c r="B60" s="161" t="inlineStr">
        <is>
          <t>Spriana landslide: excavation of the bypass tunnel completed; councillors visit the Cossi Costruzioni Webuild site.</t>
        </is>
      </c>
      <c r="C60" s="162" t="inlineStr">
        <is>
          <t>Hazards &amp; Resilience</t>
        </is>
      </c>
      <c r="D60" s="163" t="n">
        <v>3</v>
      </c>
      <c r="E60" s="177" t="inlineStr">
        <is>
          <t>News brief</t>
        </is>
      </c>
      <c r="F60" s="165" t="inlineStr">
        <is>
          <t>To review</t>
        </is>
      </c>
      <c r="G60" s="166" t="n"/>
      <c r="H60" s="167" t="n"/>
      <c r="I60" s="168" t="inlineStr">
        <is>
          <t>How is a bypass tunnel excavated through an active landslide mass at Spriana, and what monitoring controls the ground during such works?</t>
        </is>
      </c>
      <c r="J60" s="168" t="inlineStr">
        <is>
          <t>Radio TSN</t>
        </is>
      </c>
      <c r="K60" s="169" t="n">
        <v>46325</v>
      </c>
      <c r="L60" s="168" t="inlineStr">
        <is>
          <t>Frana di Spriana: completato lo scavo della galleria del bypass. I consiglieri comunali in visita al cantiere della Cossi Costruzioni Webuild Group in località Gualtieri</t>
        </is>
      </c>
      <c r="M60" s="168" t="inlineStr">
        <is>
          <t>Cossi Costruzioni, Webuild Group</t>
        </is>
      </c>
      <c r="N60" s="170" t="inlineStr">
        <is>
          <t>Italy</t>
        </is>
      </c>
      <c r="O60" s="168" t="inlineStr">
        <is>
          <t>Spriana, Valtellina</t>
        </is>
      </c>
      <c r="P60" s="168" t="inlineStr">
        <is>
          <t>Spriana landslide bypass, Valtellina, Italy · Event · 2 reports</t>
        </is>
      </c>
      <c r="Q60" s="171" t="inlineStr">
        <is>
          <t>Italy</t>
        </is>
      </c>
      <c r="R60" s="169" t="n">
        <v>46325</v>
      </c>
      <c r="S60" s="170" t="inlineStr">
        <is>
          <t>2026-Q4</t>
        </is>
      </c>
      <c r="T60" s="172" t="inlineStr">
        <is>
          <t>landslide, excavation, tunnel</t>
        </is>
      </c>
      <c r="U60" s="160" t="n">
        <v>8</v>
      </c>
      <c r="V60" s="173" t="inlineStr">
        <is>
          <t>https://news.google.com/rss/articles/CBMitgJBVV95cUxNZFk2bjRVR2pZVEMzRzRITGFHT2tKYnloSkpBWm9SbkxYS09lZzBLNG5WcjNsR2JjNm56N3g4bHdGdnIwNlo4MDBZV1lSN1k5bW9SZlFZbVNlajJpYjVseENYU1oxWjFKeXQ3Y3Nsd3cxZ0NhRWFGekNELThRNFpUUllsaVVRZm0wdS1lZEtGQkhqaDVYYzVSdTNDXy12UHUzSGZoSnVNWkhaX2ptQnpUcFhFam9QbFNBV2hQdWh4WG9RbC1HbXN6NmI2NkZkSFlQQ09yMUNxLWpKOFJKVlZqcjlhbm5MajBGNFdYMXFyZEpqLS00N3VfVmhuclA2STYwb0pTT25JNk9iMzdpUjJGZ054Q0dWNVc2RTQwQjZ5M1ZDMjlQRkI3TGEycUpvNWVEU0RBUFp3?oc=5</t>
        </is>
      </c>
      <c r="W60" s="174">
        <f>IF($B60="",0,IF(AND(OR(OR(Dashboard!$B$5="All themes",Dashboard!$B$5=""),$C60=Dashboard!$B$5),OR(OR(Dashboard!$G$5="All uses",Dashboard!$G$5=""),$E60=Dashboard!$G$5),N($D60)&gt;=Lists!$H$2,OR(OR(Dashboard!$N$5="All windows",Dashboard!$N$5=""),$S60=Dashboard!$N$5)),1,0))</f>
        <v/>
      </c>
      <c r="X60" s="175">
        <f>IF($W60=1,N($D60)*1E14+MIN(MAX(N($U60),0),9999)*1E10+MIN(N($K60),99999)*1E5+99999-MIN(ROW(),99999),"")</f>
        <v/>
      </c>
    </row>
    <row r="61" ht="53" customHeight="1">
      <c r="A61" s="160" t="n">
        <v>58</v>
      </c>
      <c r="B61" s="161" t="inlineStr">
        <is>
          <t>Cliff collapse in Sukabumi threatens two houses in Kabandungan.</t>
        </is>
      </c>
      <c r="C61" s="162" t="inlineStr">
        <is>
          <t>Hazards &amp; Resilience</t>
        </is>
      </c>
      <c r="D61" s="163" t="n">
        <v>3</v>
      </c>
      <c r="E61" s="177" t="inlineStr">
        <is>
          <t>News brief</t>
        </is>
      </c>
      <c r="F61" s="165" t="inlineStr">
        <is>
          <t>To review</t>
        </is>
      </c>
      <c r="G61" s="166" t="n"/>
      <c r="H61" s="167" t="n"/>
      <c r="I61" s="168" t="inlineStr">
        <is>
          <t>What slope instability mechanisms threaten houses at the foot of this eroding cliff, and what emergency stabilisation is appropriate?</t>
        </is>
      </c>
      <c r="J61" s="168" t="inlineStr">
        <is>
          <t>Media Indonesia</t>
        </is>
      </c>
      <c r="K61" s="169" t="n">
        <v>46325</v>
      </c>
      <c r="L61" s="168" t="inlineStr">
        <is>
          <t>Tebing Longsor di Sukabumi, Dua Rumah di Kabandungan Terancam Ambruk</t>
        </is>
      </c>
      <c r="M61" s="168" t="inlineStr">
        <is>
          <t>BPBD Sukabumi regional disaster agency</t>
        </is>
      </c>
      <c r="N61" s="170" t="inlineStr">
        <is>
          <t>Indonesia</t>
        </is>
      </c>
      <c r="O61" s="168" t="inlineStr">
        <is>
          <t>Kabandungan, Sukabumi</t>
        </is>
      </c>
      <c r="P61" s="168" t="n"/>
      <c r="Q61" s="171" t="inlineStr">
        <is>
          <t>Indonesia</t>
        </is>
      </c>
      <c r="R61" s="169" t="n">
        <v>46324</v>
      </c>
      <c r="S61" s="170" t="inlineStr">
        <is>
          <t>2026-Q4</t>
        </is>
      </c>
      <c r="T61" s="172" t="inlineStr">
        <is>
          <t>landslide, slope, collapse</t>
        </is>
      </c>
      <c r="U61" s="160" t="n">
        <v>7</v>
      </c>
      <c r="V61" s="173" t="inlineStr">
        <is>
          <t>https://news.google.com/rss/articles/CBMisAFBVV95cUxNSGpDMkxmRW9iNVJ5N3R6NTlsb3ozZG9VWWRCVkZseGZIbHBtS0oyVHJOUG5LZ0F2RTVIdHM5d3EtV2dSTjUwazg1OEVUWTBEUmNSSmNpMVdhQjZDYmVGS21xakpvdlZWLUdsSzNDRWF5Z29JbHQ0emIyeUVOSF9KSGt1d0EwZWhOYWotZkVWWFVGV0tUcG5JY2VLOGJlVy1UeWZOUzFvWTVvRUZ2SFpqTg?oc=5</t>
        </is>
      </c>
      <c r="W61" s="174">
        <f>IF($B61="",0,IF(AND(OR(OR(Dashboard!$B$5="All themes",Dashboard!$B$5=""),$C61=Dashboard!$B$5),OR(OR(Dashboard!$G$5="All uses",Dashboard!$G$5=""),$E61=Dashboard!$G$5),N($D61)&gt;=Lists!$H$2,OR(OR(Dashboard!$N$5="All windows",Dashboard!$N$5=""),$S61=Dashboard!$N$5)),1,0))</f>
        <v/>
      </c>
      <c r="X61" s="175">
        <f>IF($W61=1,N($D61)*1E14+MIN(MAX(N($U61),0),9999)*1E10+MIN(N($K61),99999)*1E5+99999-MIN(ROW(),99999),"")</f>
        <v/>
      </c>
    </row>
    <row r="62" ht="53" customHeight="1">
      <c r="A62" s="160" t="n">
        <v>59</v>
      </c>
      <c r="B62" s="161" t="inlineStr">
        <is>
          <t>Krzyżowice: a sinkhole appears near a house in an area affected by mining damage.</t>
        </is>
      </c>
      <c r="C62" s="162" t="inlineStr">
        <is>
          <t>Hazards &amp; Resilience</t>
        </is>
      </c>
      <c r="D62" s="163" t="n">
        <v>3</v>
      </c>
      <c r="E62" s="177" t="inlineStr">
        <is>
          <t>News brief</t>
        </is>
      </c>
      <c r="F62" s="165" t="inlineStr">
        <is>
          <t>To review</t>
        </is>
      </c>
      <c r="G62" s="166" t="n"/>
      <c r="H62" s="167" t="n"/>
      <c r="I62" s="168" t="inlineStr">
        <is>
          <t>How do old mining workings produce sinkholes near houses, and what ground investigation should precede residential decisions in such areas?</t>
        </is>
      </c>
      <c r="J62" s="168" t="inlineStr">
        <is>
          <t>pless.pl</t>
        </is>
      </c>
      <c r="K62" s="169" t="n">
        <v>46325</v>
      </c>
      <c r="L62" s="168" t="inlineStr">
        <is>
          <t>Krzyżowice: w pobliżu domu pojawiło się zapadlisko. To teren ze szkodami górniczymi</t>
        </is>
      </c>
      <c r="M62" s="168" t="inlineStr">
        <is>
          <t>the mine operator and local district authority</t>
        </is>
      </c>
      <c r="N62" s="170" t="inlineStr">
        <is>
          <t>Poland</t>
        </is>
      </c>
      <c r="O62" s="168" t="inlineStr">
        <is>
          <t>Krzyżowice</t>
        </is>
      </c>
      <c r="P62" s="168" t="inlineStr">
        <is>
          <t>Krzyżowice mining-damage sinkhole, Poland (Oct 2026) · Update · 3 reports</t>
        </is>
      </c>
      <c r="Q62" s="171" t="inlineStr">
        <is>
          <t>Poland</t>
        </is>
      </c>
      <c r="R62" s="169" t="n">
        <v>46324</v>
      </c>
      <c r="S62" s="170" t="inlineStr">
        <is>
          <t>2026-Q4</t>
        </is>
      </c>
      <c r="T62" s="172" t="inlineStr">
        <is>
          <t>sinkhole, subsidence</t>
        </is>
      </c>
      <c r="U62" s="160" t="n">
        <v>7</v>
      </c>
      <c r="V62" s="173" t="inlineStr">
        <is>
          <t>https://news.google.com/rss/articles/CBMiygFBVV95cUxNQlVOODc4amxiMkMzZTlfeDlUNG5sdTlaMFltQ293MndDRF9YTXB3ZjJYc2RYX2xQOXRSZjBfd3dsU0VYTEJySzB1TlNzUlVsSVNmWVktaFJ6bWVzM3REN0M0ZU9WOThxS2NkRVZiNEdadlNxODFTM0NiMUJncVByR203cEsxS3RCeTk1RkJyNU1CeTRKSFBRTkJxSVdpQUt5Zkp4eDJPQ1BnSUtYODYwREk5ZlZuV3hYWXlfVnJzdEF1VnlaSHprVUhn?oc=5</t>
        </is>
      </c>
      <c r="W62" s="174">
        <f>IF($B62="",0,IF(AND(OR(OR(Dashboard!$B$5="All themes",Dashboard!$B$5=""),$C62=Dashboard!$B$5),OR(OR(Dashboard!$G$5="All uses",Dashboard!$G$5=""),$E62=Dashboard!$G$5),N($D62)&gt;=Lists!$H$2,OR(OR(Dashboard!$N$5="All windows",Dashboard!$N$5=""),$S62=Dashboard!$N$5)),1,0))</f>
        <v/>
      </c>
      <c r="X62" s="175">
        <f>IF($W62=1,N($D62)*1E14+MIN(MAX(N($U62),0),9999)*1E10+MIN(N($K62),99999)*1E5+99999-MIN(ROW(),99999),"")</f>
        <v/>
      </c>
    </row>
    <row r="63" ht="40.5" customHeight="1">
      <c r="A63" s="160" t="n">
        <v>60</v>
      </c>
      <c r="B63" s="161" t="inlineStr">
        <is>
          <t>The Boring Co. to launch 3rd tunnel boring machine in Nashville</t>
        </is>
      </c>
      <c r="C63" s="176" t="inlineStr">
        <is>
          <t>Infrastructure &amp; the Underground City</t>
        </is>
      </c>
      <c r="D63" s="163" t="n">
        <v>3</v>
      </c>
      <c r="E63" s="177" t="inlineStr">
        <is>
          <t>News brief</t>
        </is>
      </c>
      <c r="F63" s="165" t="inlineStr">
        <is>
          <t>To review</t>
        </is>
      </c>
      <c r="G63" s="166" t="n"/>
      <c r="H63" s="167" t="n"/>
      <c r="I63" s="168" t="inlineStr">
        <is>
          <t>What ground conditions and tunnelling methods are used for small-diameter private tunnel machines in Nashville's geology?</t>
        </is>
      </c>
      <c r="J63" s="168" t="inlineStr">
        <is>
          <t>Equipment World</t>
        </is>
      </c>
      <c r="K63" s="169" t="n">
        <v>46325</v>
      </c>
      <c r="L63" s="168" t="n"/>
      <c r="M63" s="168" t="inlineStr">
        <is>
          <t>The Boring Company</t>
        </is>
      </c>
      <c r="N63" s="170" t="inlineStr">
        <is>
          <t>United States</t>
        </is>
      </c>
      <c r="O63" s="168" t="inlineStr">
        <is>
          <t>Nashville, Tennessee</t>
        </is>
      </c>
      <c r="P63" s="168" t="n"/>
      <c r="Q63" s="171" t="inlineStr">
        <is>
          <t>United Kingdom</t>
        </is>
      </c>
      <c r="R63" s="169" t="n">
        <v>46324</v>
      </c>
      <c r="S63" s="170" t="inlineStr">
        <is>
          <t>2026-Q4</t>
        </is>
      </c>
      <c r="T63" s="172" t="inlineStr">
        <is>
          <t>tunnel boring machine, tunnel</t>
        </is>
      </c>
      <c r="U63" s="160" t="n">
        <v>6</v>
      </c>
      <c r="V63" s="173" t="inlineStr">
        <is>
          <t>https://news.google.com/rss/articles/CBMiwAFBVV95cUxOSkx1S0lMU09CLXo0ZVRvd2hFWTA0d29MT1c2cWxLdDloeVNDMWtUNmxXazBqNDd4YWpFcmpyNmYzY1l1a1p3UGg2QVlpbUdiTi1pNG45LVVKVDVmMWZTT3FnUkpINXotQWM2WlNKd0tUQVV6TE1kWVV2MC1wNTExaGRVTHQ4U1ZKM3FHZDZmRFVPOVRaNnNQYzUweHY4Qll2Y19GZ2ZIVWl2SkRZMWlocXZZUmNZVFJCV0FqN01OMW0?oc=5</t>
        </is>
      </c>
      <c r="W63" s="174">
        <f>IF($B63="",0,IF(AND(OR(OR(Dashboard!$B$5="All themes",Dashboard!$B$5=""),$C63=Dashboard!$B$5),OR(OR(Dashboard!$G$5="All uses",Dashboard!$G$5=""),$E63=Dashboard!$G$5),N($D63)&gt;=Lists!$H$2,OR(OR(Dashboard!$N$5="All windows",Dashboard!$N$5=""),$S63=Dashboard!$N$5)),1,0))</f>
        <v/>
      </c>
      <c r="X63" s="175">
        <f>IF($W63=1,N($D63)*1E14+MIN(MAX(N($U63),0),9999)*1E10+MIN(N($K63),99999)*1E5+99999-MIN(ROW(),99999),"")</f>
        <v/>
      </c>
    </row>
    <row r="64" ht="53" customHeight="1">
      <c r="A64" s="160" t="n">
        <v>61</v>
      </c>
      <c r="B64" s="161" t="inlineStr">
        <is>
          <t>Urgent alert: risk of sudden floods and landslides on Quang Ninh slopes on 30 October 2026.</t>
        </is>
      </c>
      <c r="C64" s="162" t="inlineStr">
        <is>
          <t>Hazards &amp; Resilience</t>
        </is>
      </c>
      <c r="D64" s="163" t="n">
        <v>3</v>
      </c>
      <c r="E64" s="179" t="inlineStr">
        <is>
          <t>Watch only</t>
        </is>
      </c>
      <c r="F64" s="165" t="inlineStr">
        <is>
          <t>To review</t>
        </is>
      </c>
      <c r="G64" s="166" t="n"/>
      <c r="H64" s="167" t="n"/>
      <c r="I64" s="168" t="inlineStr">
        <is>
          <t>How are flash-flood and landslide warnings issued for steep slopes in Quang Ninh, and what slope conditions raise the risk?</t>
        </is>
      </c>
      <c r="J64" s="168" t="inlineStr">
        <is>
          <t>Vietnam.vn</t>
        </is>
      </c>
      <c r="K64" s="169" t="n">
        <v>46325</v>
      </c>
      <c r="L64" s="168" t="inlineStr">
        <is>
          <t>Alerte urgente : Risque d'inondations soudaines et de glissements de terrain sur les pentes de la province de Quang Ninh le 30 octobre 2026.</t>
        </is>
      </c>
      <c r="M64" s="168" t="inlineStr">
        <is>
          <t>Quang Ninh provincial hydro-meteorological authority</t>
        </is>
      </c>
      <c r="N64" s="170" t="inlineStr">
        <is>
          <t>Vietnam</t>
        </is>
      </c>
      <c r="O64" s="168" t="inlineStr">
        <is>
          <t>Quang Ninh province</t>
        </is>
      </c>
      <c r="P64" s="168" t="n"/>
      <c r="Q64" s="171" t="inlineStr">
        <is>
          <t>France</t>
        </is>
      </c>
      <c r="R64" s="169" t="n">
        <v>46325</v>
      </c>
      <c r="S64" s="170" t="inlineStr">
        <is>
          <t>2026-Q4</t>
        </is>
      </c>
      <c r="T64" s="172" t="inlineStr">
        <is>
          <t>landslide, slope, flood</t>
        </is>
      </c>
      <c r="U64" s="160" t="n">
        <v>6</v>
      </c>
      <c r="V64" s="173" t="inlineStr">
        <is>
          <t>https://news.google.com/rss/articles/CBMitwFBVV95cUxPVjMwNkFTY1NaZDI5bVUxOVBqUURhU2o4c3BJV0JyMDZsV2dBWThrekdkOVhoX3FhUGVhc0FjQklmMDN6Und3UEFVb1F2THI1OERieXM2N0lQeVZDM1FEUkJmSXBtd2hla2g3ODJ4bkViUkw3TzFkRkxONTJKWk1kTzJ6TWp0bjB6RmdkbVpxUHNEYTQ5SjlsM1NUYm9CcTFhcEJVYm1uZG5yWW5CMk1OTmF6Tno5N00?oc=5</t>
        </is>
      </c>
      <c r="W64" s="174">
        <f>IF($B64="",0,IF(AND(OR(OR(Dashboard!$B$5="All themes",Dashboard!$B$5=""),$C64=Dashboard!$B$5),OR(OR(Dashboard!$G$5="All uses",Dashboard!$G$5=""),$E64=Dashboard!$G$5),N($D64)&gt;=Lists!$H$2,OR(OR(Dashboard!$N$5="All windows",Dashboard!$N$5=""),$S64=Dashboard!$N$5)),1,0))</f>
        <v/>
      </c>
      <c r="X64" s="175">
        <f>IF($W64=1,N($D64)*1E14+MIN(MAX(N($U64),0),9999)*1E10+MIN(N($K64),99999)*1E5+99999-MIN(ROW(),99999),"")</f>
        <v/>
      </c>
    </row>
    <row r="65" ht="53" customHeight="1">
      <c r="A65" s="160" t="n">
        <v>62</v>
      </c>
      <c r="B65" s="161" t="inlineStr">
        <is>
          <t>Residents feel relieved as a landslide-prone cliff in Cibalung village gets a retaining wall.</t>
        </is>
      </c>
      <c r="C65" s="162" t="inlineStr">
        <is>
          <t>Hazards &amp; Resilience</t>
        </is>
      </c>
      <c r="D65" s="163" t="n">
        <v>3</v>
      </c>
      <c r="E65" s="177" t="inlineStr">
        <is>
          <t>News brief</t>
        </is>
      </c>
      <c r="F65" s="165" t="inlineStr">
        <is>
          <t>To review</t>
        </is>
      </c>
      <c r="G65" s="166" t="n"/>
      <c r="H65" s="167" t="n"/>
      <c r="I65" s="168" t="inlineStr">
        <is>
          <t>How effective are retaining walls as remedial measures on landslide-prone cliffs in village settings, and what monitoring should follow?</t>
        </is>
      </c>
      <c r="J65" s="168" t="inlineStr">
        <is>
          <t>CYBER88</t>
        </is>
      </c>
      <c r="K65" s="169" t="n">
        <v>46325</v>
      </c>
      <c r="L65" s="168" t="inlineStr">
        <is>
          <t>Warga Merasa Lega, Tebing Rawan Longsor di Wilayah Desa Cibalung Dibangun Tembok Penahan Tanah</t>
        </is>
      </c>
      <c r="M65" s="168" t="inlineStr">
        <is>
          <t>local regency public works office</t>
        </is>
      </c>
      <c r="N65" s="170" t="inlineStr">
        <is>
          <t>Indonesia</t>
        </is>
      </c>
      <c r="O65" s="168" t="inlineStr">
        <is>
          <t>Cibalung village</t>
        </is>
      </c>
      <c r="P65" s="168" t="n"/>
      <c r="Q65" s="171" t="inlineStr">
        <is>
          <t>Indonesia</t>
        </is>
      </c>
      <c r="R65" s="169" t="n">
        <v>46325</v>
      </c>
      <c r="S65" s="170" t="inlineStr">
        <is>
          <t>2026-Q4</t>
        </is>
      </c>
      <c r="T65" s="172" t="inlineStr">
        <is>
          <t>landslide, slope</t>
        </is>
      </c>
      <c r="U65" s="160" t="n">
        <v>6</v>
      </c>
      <c r="V65" s="173" t="inlineStr">
        <is>
          <t>https://news.google.com/rss/articles/CBMi0wFBVV95cUxQajhWU2FXd3haanFsVEdDUFViU0dRSjcyenZJaXVucUJYNVllOTJxdEhLRl96SFY0cENGMF9sWkpWVVVkWnEwaXdJMnUxaFppakhTQllLYlJObFlZaDd6RlVNdjd6blA4U01qSFEyQkhFNG0wRnBHVWFjQXZYQnh4QlpTdS1wcTcxSDZsY19ndVVLXzVlbHlOQVc0Nml3aTBFcUF1dkV3TzdRcnFIZDh0a1VlT1FsM2g5cmZGdXlmZ1hrWE9Zb184dDNrOTZSSWoyR25B?oc=5</t>
        </is>
      </c>
      <c r="W65" s="174">
        <f>IF($B65="",0,IF(AND(OR(OR(Dashboard!$B$5="All themes",Dashboard!$B$5=""),$C65=Dashboard!$B$5),OR(OR(Dashboard!$G$5="All uses",Dashboard!$G$5=""),$E65=Dashboard!$G$5),N($D65)&gt;=Lists!$H$2,OR(OR(Dashboard!$N$5="All windows",Dashboard!$N$5=""),$S65=Dashboard!$N$5)),1,0))</f>
        <v/>
      </c>
      <c r="X65" s="175">
        <f>IF($W65=1,N($D65)*1E14+MIN(MAX(N($U65),0),9999)*1E10+MIN(N($K65),99999)*1E5+99999-MIN(ROW(),99999),"")</f>
        <v/>
      </c>
    </row>
    <row r="66" ht="53" customHeight="1">
      <c r="A66" s="160" t="n">
        <v>63</v>
      </c>
      <c r="B66" s="161" t="inlineStr">
        <is>
          <t>40-metre cliff landslide closes a district road in Garut; vehicles cannot pass.</t>
        </is>
      </c>
      <c r="C66" s="162" t="inlineStr">
        <is>
          <t>Hazards &amp; Resilience</t>
        </is>
      </c>
      <c r="D66" s="163" t="n">
        <v>3</v>
      </c>
      <c r="E66" s="177" t="inlineStr">
        <is>
          <t>News brief</t>
        </is>
      </c>
      <c r="F66" s="165" t="inlineStr">
        <is>
          <t>To review</t>
        </is>
      </c>
      <c r="G66" s="166" t="n"/>
      <c r="H66" s="167" t="n"/>
      <c r="I66" s="168" t="inlineStr">
        <is>
          <t>What failure mechanism produced a 40-metre cliff landslide blocking a regency road, and how should emergency slope clearance proceed?</t>
        </is>
      </c>
      <c r="J66" s="168" t="inlineStr">
        <is>
          <t>Harapan Rakyat</t>
        </is>
      </c>
      <c r="K66" s="169" t="n">
        <v>46325</v>
      </c>
      <c r="L66" s="168" t="inlineStr">
        <is>
          <t>Longsor Tebing 40 Meter Tutup Akses Jalan Kabupaten di Garut, Kendaraan Tidak Bisa Melintas</t>
        </is>
      </c>
      <c r="M66" s="168" t="inlineStr">
        <is>
          <t>Garut regency public works office</t>
        </is>
      </c>
      <c r="N66" s="170" t="inlineStr">
        <is>
          <t>Indonesia</t>
        </is>
      </c>
      <c r="O66" s="168" t="inlineStr">
        <is>
          <t>Garut, West Java</t>
        </is>
      </c>
      <c r="P66" s="168" t="n"/>
      <c r="Q66" s="171" t="inlineStr">
        <is>
          <t>Indonesia</t>
        </is>
      </c>
      <c r="R66" s="169" t="n">
        <v>46325</v>
      </c>
      <c r="S66" s="170" t="inlineStr">
        <is>
          <t>2026-Q4</t>
        </is>
      </c>
      <c r="T66" s="172" t="inlineStr">
        <is>
          <t>landslide, slope</t>
        </is>
      </c>
      <c r="U66" s="160" t="n">
        <v>6</v>
      </c>
      <c r="V66" s="173" t="inlineStr">
        <is>
          <t>https://news.google.com/rss/articles/CBMiyAFBVV95cUxORzhUeXZhcWJuNDVsYmJ4OERvdVIxV1NmM2hCeXRST3h6dDNLVS1YbjExbVpGRXNJdm00Y0ktTmNqU0FkSXJ3Ujg3c0ZfSm5NcEE1QlpmLXpUc0RORWpYQ0szaXpqUXpUbm1SeldydDBEckZINllmN0w5MEdWNHFKNzluZE5Yd181RjRFVVBrRDkwSmFiNWZ3UlNTdjVPR05YTVFnNF91T3YtX0x2NUQyaVVZQU5uY25ZT1YyanVHZ1JoT1NHXzQtTQ?oc=5</t>
        </is>
      </c>
      <c r="W66" s="174">
        <f>IF($B66="",0,IF(AND(OR(OR(Dashboard!$B$5="All themes",Dashboard!$B$5=""),$C66=Dashboard!$B$5),OR(OR(Dashboard!$G$5="All uses",Dashboard!$G$5=""),$E66=Dashboard!$G$5),N($D66)&gt;=Lists!$H$2,OR(OR(Dashboard!$N$5="All windows",Dashboard!$N$5=""),$S66=Dashboard!$N$5)),1,0))</f>
        <v/>
      </c>
      <c r="X66" s="175">
        <f>IF($W66=1,N($D66)*1E14+MIN(MAX(N($U66),0),9999)*1E10+MIN(N($K66),99999)*1E5+99999-MIN(ROW(),99999),"")</f>
        <v/>
      </c>
    </row>
    <row r="67" ht="53" customHeight="1">
      <c r="A67" s="160" t="n">
        <v>64</v>
      </c>
      <c r="B67" s="161" t="inlineStr">
        <is>
          <t>Relocating residents from landslide-prone areas and building foundations for sustainable settlement in Tra Leng.</t>
        </is>
      </c>
      <c r="C67" s="162" t="inlineStr">
        <is>
          <t>Hazards &amp; Resilience</t>
        </is>
      </c>
      <c r="D67" s="163" t="n">
        <v>3</v>
      </c>
      <c r="E67" s="183" t="inlineStr">
        <is>
          <t>Regional insight</t>
        </is>
      </c>
      <c r="F67" s="165" t="inlineStr">
        <is>
          <t>To review</t>
        </is>
      </c>
      <c r="G67" s="166" t="n"/>
      <c r="H67" s="167" t="n"/>
      <c r="I67" s="168" t="inlineStr">
        <is>
          <t>What site-selection and foundation criteria should govern resettlement from landslide-prone hillsides to build safer settlements?</t>
        </is>
      </c>
      <c r="J67" s="168" t="inlineStr">
        <is>
          <t>Vietnam.vn</t>
        </is>
      </c>
      <c r="K67" s="169" t="n">
        <v>46325</v>
      </c>
      <c r="L67" s="168" t="inlineStr">
        <is>
          <t>Merelokasi warga dari daerah rawan longsor dan menciptakan fondasi untuk pemukiman berkelanjutan di Tra Leng.</t>
        </is>
      </c>
      <c r="M67" s="168" t="inlineStr">
        <is>
          <t>Quang Ninh provincial people's committee</t>
        </is>
      </c>
      <c r="N67" s="170" t="inlineStr">
        <is>
          <t>Vietnam</t>
        </is>
      </c>
      <c r="O67" s="168" t="inlineStr">
        <is>
          <t>Tra Leng commune</t>
        </is>
      </c>
      <c r="P67" s="168" t="n"/>
      <c r="Q67" s="171" t="inlineStr">
        <is>
          <t>Indonesia</t>
        </is>
      </c>
      <c r="R67" s="169" t="n">
        <v>46324</v>
      </c>
      <c r="S67" s="170" t="inlineStr">
        <is>
          <t>2026-Q4</t>
        </is>
      </c>
      <c r="T67" s="172" t="inlineStr">
        <is>
          <t>landslide, foundation</t>
        </is>
      </c>
      <c r="U67" s="160" t="n">
        <v>6</v>
      </c>
      <c r="V67" s="173" t="inlineStr">
        <is>
          <t>https://news.google.com/rss/articles/CBMilwFBVV95cUxNcEg1VnBzNThJRzdsamVpcGlicEM4RjNDRzAxSVBmTGlEZGowMEVaa3pIV3QwRG15VmJoSkZBZUZDQzlTTU80MUx2TzZuRGNzVHJCWnNic0ROb05Tbkk4LXYwRmVWUHhpWDhFMU9kOEI2Z0NPaUF1ZzhhSkg4ZEFRd3lCMjMyWWFZZVRRd2NfT1BfYXFhRXJj?oc=5</t>
        </is>
      </c>
      <c r="W67" s="174">
        <f>IF($B67="",0,IF(AND(OR(OR(Dashboard!$B$5="All themes",Dashboard!$B$5=""),$C67=Dashboard!$B$5),OR(OR(Dashboard!$G$5="All uses",Dashboard!$G$5=""),$E67=Dashboard!$G$5),N($D67)&gt;=Lists!$H$2,OR(OR(Dashboard!$N$5="All windows",Dashboard!$N$5=""),$S67=Dashboard!$N$5)),1,0))</f>
        <v/>
      </c>
      <c r="X67" s="175">
        <f>IF($W67=1,N($D67)*1E14+MIN(MAX(N($U67),0),9999)*1E10+MIN(N($K67),99999)*1E5+99999-MIN(ROW(),99999),"")</f>
        <v/>
      </c>
    </row>
    <row r="68" ht="53" customHeight="1">
      <c r="A68" s="160" t="n">
        <v>65</v>
      </c>
      <c r="B68" s="161" t="inlineStr">
        <is>
          <t>Summerland landslides raise concerns after wildfire leaves slopes vulnerable</t>
        </is>
      </c>
      <c r="C68" s="162" t="inlineStr">
        <is>
          <t>Hazards &amp; Resilience</t>
        </is>
      </c>
      <c r="D68" s="163" t="n">
        <v>3</v>
      </c>
      <c r="E68" s="182" t="inlineStr">
        <is>
          <t>Academia-to-Industry topic</t>
        </is>
      </c>
      <c r="F68" s="165" t="inlineStr">
        <is>
          <t>To review</t>
        </is>
      </c>
      <c r="G68" s="166" t="n"/>
      <c r="H68" s="167" t="n"/>
      <c r="I68" s="168" t="inlineStr">
        <is>
          <t>How does wildfire burn severity change slope hydrology and soil strength, and what post-fire landslide hazard assessment should apply to developed hillsides?</t>
        </is>
      </c>
      <c r="J68" s="168" t="inlineStr">
        <is>
          <t>Global News</t>
        </is>
      </c>
      <c r="K68" s="169" t="n">
        <v>46325</v>
      </c>
      <c r="L68" s="168" t="n"/>
      <c r="M68" s="168" t="inlineStr">
        <is>
          <t>District of Summerland emergency management</t>
        </is>
      </c>
      <c r="N68" s="170" t="inlineStr">
        <is>
          <t>Canada</t>
        </is>
      </c>
      <c r="O68" s="168" t="inlineStr">
        <is>
          <t>Summerland, British Columbia</t>
        </is>
      </c>
      <c r="P68" s="168" t="n"/>
      <c r="Q68" s="171" t="inlineStr">
        <is>
          <t>United Kingdom</t>
        </is>
      </c>
      <c r="R68" s="169" t="n">
        <v>46325</v>
      </c>
      <c r="S68" s="170" t="inlineStr">
        <is>
          <t>2026-Q4</t>
        </is>
      </c>
      <c r="T68" s="172" t="inlineStr">
        <is>
          <t>landslide, slope</t>
        </is>
      </c>
      <c r="U68" s="160" t="n">
        <v>6</v>
      </c>
      <c r="V68" s="173" t="inlineStr">
        <is>
          <t>https://news.google.com/rss/articles/CBMimgFBVV95cUxNWXo1c0NxRnZsS0gxV0pEVkNRY1lDODd5ZmtkSUxMUlVFVkZ5aUNhWG8zcWU0REdOMXpTUjFpZ3pUZE5RdFdtR0pHTWM2XzlSN3I5S1N3VU11MUZ0bFBLQ2F0T3Y0UnVpX3h0ajN4OHJJeEotZk03NzduTmdTWHctU1VrTmJVZU9Nc3VhcU1fY1l3TlVpMnVrckl3?oc=5</t>
        </is>
      </c>
      <c r="W68" s="174">
        <f>IF($B68="",0,IF(AND(OR(OR(Dashboard!$B$5="All themes",Dashboard!$B$5=""),$C68=Dashboard!$B$5),OR(OR(Dashboard!$G$5="All uses",Dashboard!$G$5=""),$E68=Dashboard!$G$5),N($D68)&gt;=Lists!$H$2,OR(OR(Dashboard!$N$5="All windows",Dashboard!$N$5=""),$S68=Dashboard!$N$5)),1,0))</f>
        <v/>
      </c>
      <c r="X68" s="175">
        <f>IF($W68=1,N($D68)*1E14+MIN(MAX(N($U68),0),9999)*1E10+MIN(N($K68),99999)*1E5+99999-MIN(ROW(),99999),"")</f>
        <v/>
      </c>
    </row>
    <row r="69" ht="40.5" customHeight="1">
      <c r="A69" s="160" t="n">
        <v>66</v>
      </c>
      <c r="B69" s="161" t="inlineStr">
        <is>
          <t>Orica out to integrate geotechnical monitoring data in one environment with GEOExplorerIQ</t>
        </is>
      </c>
      <c r="C69" s="181" t="inlineStr">
        <is>
          <t>Digital Geotechnics</t>
        </is>
      </c>
      <c r="D69" s="163" t="n">
        <v>3</v>
      </c>
      <c r="E69" s="177" t="inlineStr">
        <is>
          <t>News brief</t>
        </is>
      </c>
      <c r="F69" s="165" t="inlineStr">
        <is>
          <t>To review</t>
        </is>
      </c>
      <c r="G69" s="166" t="n"/>
      <c r="H69" s="167" t="n"/>
      <c r="I69" s="168" t="inlineStr">
        <is>
          <t>How can geotechnical monitoring data from mine slopes be integrated into one environment to improve slope stability decisions?</t>
        </is>
      </c>
      <c r="J69" s="168" t="inlineStr">
        <is>
          <t>International Mining</t>
        </is>
      </c>
      <c r="K69" s="169" t="n">
        <v>46325</v>
      </c>
      <c r="L69" s="168" t="n"/>
      <c r="M69" s="168" t="inlineStr">
        <is>
          <t>Orica</t>
        </is>
      </c>
      <c r="N69" s="170" t="n"/>
      <c r="O69" s="168" t="n"/>
      <c r="P69" s="168" t="n"/>
      <c r="Q69" s="171" t="inlineStr">
        <is>
          <t>United Kingdom</t>
        </is>
      </c>
      <c r="R69" s="169" t="n">
        <v>46324</v>
      </c>
      <c r="S69" s="170" t="inlineStr">
        <is>
          <t>2026-Q4</t>
        </is>
      </c>
      <c r="T69" s="172" t="inlineStr">
        <is>
          <t>geotechnical</t>
        </is>
      </c>
      <c r="U69" s="160" t="n">
        <v>5</v>
      </c>
      <c r="V69" s="173" t="inlineStr">
        <is>
          <t>https://news.google.com/rss/articles/CBMiwAFBVV95cUxQd1J2MVdFWTkwRkNNdkZISlVLSFpqVV8zN0c5OXN0aGY1Yy1Fa1BQekNUWVMwaUJlb2dxNmV0blgzYlNibF84cXJLQ1lqNV9Cd2c3TlI1eDJicmtDR1o0bTdaLURlX1RxR1JDVFpuMk5pQU9rM1pOWWJobEpITk9XTU1OMV84aElPX3dYeEUxOW5YblE5SmczRm5tLTNLZjBWVTFDQ0JpVzFkVU12THA1d2tYTUk2YkZwOUVwX0NvaXE?oc=5</t>
        </is>
      </c>
      <c r="W69" s="174">
        <f>IF($B69="",0,IF(AND(OR(OR(Dashboard!$B$5="All themes",Dashboard!$B$5=""),$C69=Dashboard!$B$5),OR(OR(Dashboard!$G$5="All uses",Dashboard!$G$5=""),$E69=Dashboard!$G$5),N($D69)&gt;=Lists!$H$2,OR(OR(Dashboard!$N$5="All windows",Dashboard!$N$5=""),$S69=Dashboard!$N$5)),1,0))</f>
        <v/>
      </c>
      <c r="X69" s="175">
        <f>IF($W69=1,N($D69)*1E14+MIN(MAX(N($U69),0),9999)*1E10+MIN(N($K69),99999)*1E5+99999-MIN(ROW(),99999),"")</f>
        <v/>
      </c>
    </row>
    <row r="70" ht="40.5" customHeight="1">
      <c r="A70" s="160" t="n">
        <v>67</v>
      </c>
      <c r="B70" s="161" t="inlineStr">
        <is>
          <t>Thornton Road Bridge duplication: staging and geotechnical notes for engineers</t>
        </is>
      </c>
      <c r="C70" s="176" t="inlineStr">
        <is>
          <t>Infrastructure &amp; the Underground City</t>
        </is>
      </c>
      <c r="D70" s="163" t="n">
        <v>3</v>
      </c>
      <c r="E70" s="182" t="inlineStr">
        <is>
          <t>Academia-to-Industry topic</t>
        </is>
      </c>
      <c r="F70" s="165" t="inlineStr">
        <is>
          <t>To review</t>
        </is>
      </c>
      <c r="G70" s="166" t="n"/>
      <c r="H70" s="167" t="n"/>
      <c r="I70" s="168" t="inlineStr">
        <is>
          <t>How should bridge-widening foundations and staged excavation be designed next to an existing structure on this site?</t>
        </is>
      </c>
      <c r="J70" s="168" t="inlineStr">
        <is>
          <t>Geomechanics.io</t>
        </is>
      </c>
      <c r="K70" s="169" t="n">
        <v>46325</v>
      </c>
      <c r="L70" s="168" t="n"/>
      <c r="M70" s="168" t="n"/>
      <c r="N70" s="170" t="n"/>
      <c r="O70" s="168" t="inlineStr">
        <is>
          <t>Thornton Road Bridge</t>
        </is>
      </c>
      <c r="P70" s="168" t="n"/>
      <c r="Q70" s="171" t="inlineStr">
        <is>
          <t>United Kingdom</t>
        </is>
      </c>
      <c r="R70" s="169" t="n">
        <v>46324</v>
      </c>
      <c r="S70" s="170" t="inlineStr">
        <is>
          <t>2026-Q4</t>
        </is>
      </c>
      <c r="T70" s="172" t="inlineStr">
        <is>
          <t>geotechnical</t>
        </is>
      </c>
      <c r="U70" s="160" t="n">
        <v>5</v>
      </c>
      <c r="V70" s="173" t="inlineStr">
        <is>
          <t>https://news.google.com/rss/articles/CBMiugFBVV95cUxQdDVDQ0lfWG9Oa0EyVG55UGVoUHNxcmloS2pFbmRWZmpXWFFzMkx3WVdib3lWVEM3U19GN1d1eDhRM182TVViV1BSTHdheVBHVTY0ZVVBOU15T01ObTdUbzd3Wm4zdlNReEd6cU5XWGVEZ2lMMld2aUFzVWNueVZYcjEwTVVmZmtyU25XaFo3Q0ZkOTZvVlE5bllnT2pjUDNWcWhwVHU5WmVFRnl3cjdGa0FRVjNuM3BSOVE?oc=5</t>
        </is>
      </c>
      <c r="W70" s="174">
        <f>IF($B70="",0,IF(AND(OR(OR(Dashboard!$B$5="All themes",Dashboard!$B$5=""),$C70=Dashboard!$B$5),OR(OR(Dashboard!$G$5="All uses",Dashboard!$G$5=""),$E70=Dashboard!$G$5),N($D70)&gt;=Lists!$H$2,OR(OR(Dashboard!$N$5="All windows",Dashboard!$N$5=""),$S70=Dashboard!$N$5)),1,0))</f>
        <v/>
      </c>
      <c r="X70" s="175">
        <f>IF($W70=1,N($D70)*1E14+MIN(MAX(N($U70),0),9999)*1E10+MIN(N($K70),99999)*1E5+99999-MIN(ROW(),99999),"")</f>
        <v/>
      </c>
    </row>
    <row r="71" ht="53" customHeight="1">
      <c r="A71" s="160" t="n">
        <v>68</v>
      </c>
      <c r="B71" s="161" t="inlineStr">
        <is>
          <t>Video: rockfall at the 'Fairy Chimneys' kills three people in Turkey.</t>
        </is>
      </c>
      <c r="C71" s="162" t="inlineStr">
        <is>
          <t>Hazards &amp; Resilience</t>
        </is>
      </c>
      <c r="D71" s="163" t="n">
        <v>3</v>
      </c>
      <c r="E71" s="177" t="inlineStr">
        <is>
          <t>News brief</t>
        </is>
      </c>
      <c r="F71" s="165" t="inlineStr">
        <is>
          <t>To review</t>
        </is>
      </c>
      <c r="G71" s="166" t="n"/>
      <c r="H71" s="167" t="n"/>
      <c r="I71" s="168" t="inlineStr">
        <is>
          <t>What rock-mass weathering and erosion processes cause spire collapse at Cappadocia's fairy chimneys, and how should visitor areas be assessed?</t>
        </is>
      </c>
      <c r="J71" s="168" t="inlineStr">
        <is>
          <t>التلفزيون العربي</t>
        </is>
      </c>
      <c r="K71" s="169" t="n">
        <v>46325</v>
      </c>
      <c r="L71" s="168" t="inlineStr">
        <is>
          <t>فيديو.. انهيار صخري عند "مداخن الجنيات" يودي بحياة 3 أشخاص في تركيا | التلفزيون العربي</t>
        </is>
      </c>
      <c r="M71" s="168" t="inlineStr">
        <is>
          <t>AFAD disaster agency</t>
        </is>
      </c>
      <c r="N71" s="170" t="inlineStr">
        <is>
          <t>Türkiye</t>
        </is>
      </c>
      <c r="O71" s="168" t="inlineStr">
        <is>
          <t>Cappadocia</t>
        </is>
      </c>
      <c r="P71" s="168" t="n"/>
      <c r="Q71" s="171" t="inlineStr">
        <is>
          <t>Egypt</t>
        </is>
      </c>
      <c r="R71" s="169" t="n">
        <v>46325</v>
      </c>
      <c r="S71" s="170" t="inlineStr">
        <is>
          <t>2026-Q4</t>
        </is>
      </c>
      <c r="T71" s="172" t="inlineStr">
        <is>
          <t>rockfall, collapse</t>
        </is>
      </c>
      <c r="U71" s="160" t="n">
        <v>5</v>
      </c>
      <c r="V71" s="173" t="inlineStr">
        <is>
          <t>https://news.google.com/rss/articles/CBMi6wNBVV95cUxNWXFCSXRtMzVPS0hrdGhIM1c4ZlZscHl1bHV3RFh6aWp1ZXV3SnBvWlFtWlhOZ19UdmNUbXlVYXpxNF9sZHVVNUc2S0dtdkVLN05oc25uX2d4dWxwMFZ2VkotYXF5bHZDTmFSbmJLYnV0X3hNS1FfRWM5S2ZvWUlUM3dCZVlxU0pvc2pBdEpvSlZVSHVuckl4Ym90X09GR1FvbFJ0X25HWUVlS3RRZjRGS25ya3lTbXlpODhXMDBydllCUFFLS01qajJMUi1WLU90R2M5LVBOSmU1WnRZWVVkZ3U5a3E5UkRLWEt5bWFwck9pSlgtZ2ctUmQwTmJRRXBLb1YxWjY4NTBNRG5uOHgtblFwT1JLaXVhLXB1Mm8tQ0xFZTJRSUR2RFhqckRjbEFGbVV2V09LZ0RfTU5sVTJva3ZvVWVobW02M2lXVFhMWUxwbnFHN1NNZ294V1J6SGdLYUFBdjJpSm5kMkg2alhDUm9aVzVNRFBYbWRCb3dkd3prdl9zUUc2WE5DWFpjRVpRdXE3OFZWajdZZHJlSVJKUVJ5enVKcEdFamFuQ2wwclZmLU40MGtjNkthSlBoQ3dJZDFMdzFFNFJaQ0JrX3hKdU55UXNlNHltaFhYbExzR21WQUh6eFJkTEwyb9IB8ANBVV95cUxNSW1uV09WNXh3MV9ENHpXX1d6MXR5VWdOM1lVa0hkOTlTWjN3b1U1VHRRU01aTWxVa1V6Rm5PWGRmZ25WTEZlZHhTaGJLOUdiSXAzeVpXM0NzS2toT3R6bGhjdEptWHFhZm1PTi1oUURsRk1qczl6MGdZMWFvTHlJT1l6N3RlZDh3bEQwbG5vRldFbHl6Y1N0Y1pXOGw5NElfRjZJb0FEYW9pSVpmMy01ZkhEaEFMUDNlRUZsVXVyREMyV3VhaC0xb0R6VklOVlRrVGV3N3hOTXZ3cjBWWUhTWEJtQzVtczBGTml0RnJTVDR0LW9kcFE0LXNhNXdEUUxaN3I3ZjFLUW9GdVhJUWVXcWxhdHUwRXowSTNtUXFZZFVQeVo3cG1pd3BJOFE0M1RTTW92VDFCRTRDQjJrR1pUMWNyYWJ5eHNUVEkxTnd6UEJSaDgtMTFGWDlWWS00Q0kxbzQ5ZXdCYmkxeENiSUg0OUNxeTl1LTF4UUFZcUk3X2g1ajFPZGRJWDhxUlZYMDd0eEtXU1JWeEtUZzVZdFA1VHpSRVdHU0ZkTXNCTEprTWtKV2g3elNOMHNWTDk0N2F2Tm9Ha09UUXRUTXY2VXlHZGFTX3VKTzJPdnJERzFCM0JzQUxpUkxQLVFtY3UwN2xm?oc=5</t>
        </is>
      </c>
      <c r="W71" s="174">
        <f>IF($B71="",0,IF(AND(OR(OR(Dashboard!$B$5="All themes",Dashboard!$B$5=""),$C71=Dashboard!$B$5),OR(OR(Dashboard!$G$5="All uses",Dashboard!$G$5=""),$E71=Dashboard!$G$5),N($D71)&gt;=Lists!$H$2,OR(OR(Dashboard!$N$5="All windows",Dashboard!$N$5=""),$S71=Dashboard!$N$5)),1,0))</f>
        <v/>
      </c>
      <c r="X71" s="175">
        <f>IF($W71=1,N($D71)*1E14+MIN(MAX(N($U71),0),9999)*1E10+MIN(N($K71),99999)*1E5+99999-MIN(ROW(),99999),"")</f>
        <v/>
      </c>
    </row>
    <row r="72" ht="53" customHeight="1">
      <c r="A72" s="160" t="n">
        <v>69</v>
      </c>
      <c r="B72" s="161" t="inlineStr">
        <is>
          <t>Rockfall near a UNESCO-listed site in Turkey's Cappadocia kills at least two people.</t>
        </is>
      </c>
      <c r="C72" s="162" t="inlineStr">
        <is>
          <t>Hazards &amp; Resilience</t>
        </is>
      </c>
      <c r="D72" s="163" t="n">
        <v>3</v>
      </c>
      <c r="E72" s="179" t="inlineStr">
        <is>
          <t>Watch only</t>
        </is>
      </c>
      <c r="F72" s="165" t="inlineStr">
        <is>
          <t>To review</t>
        </is>
      </c>
      <c r="G72" s="166" t="n"/>
      <c r="H72" s="167" t="n"/>
      <c r="I72" s="168" t="inlineStr">
        <is>
          <t>What rock-mass weathering and erosion processes cause spire collapse at Cappadocia's fairy chimneys, and how should visitor areas be assessed?</t>
        </is>
      </c>
      <c r="J72" s="168" t="inlineStr">
        <is>
          <t>Al-Monitor</t>
        </is>
      </c>
      <c r="K72" s="169" t="n">
        <v>46325</v>
      </c>
      <c r="L72" s="168" t="inlineStr">
        <is>
          <t>انهيار صخري قرب موقع مدرج على قائمة اليونسكو في كابادوكيا التركية يودي بحياة شخصين على الأقل</t>
        </is>
      </c>
      <c r="M72" s="168" t="inlineStr">
        <is>
          <t>AFAD disaster agency</t>
        </is>
      </c>
      <c r="N72" s="170" t="inlineStr">
        <is>
          <t>Türkiye</t>
        </is>
      </c>
      <c r="O72" s="168" t="inlineStr">
        <is>
          <t>Cappadocia</t>
        </is>
      </c>
      <c r="P72" s="168" t="inlineStr">
        <is>
          <t>Cappadocia fairy chimney collapse, Turkey (Oct 2026) · Event · 2 reports</t>
        </is>
      </c>
      <c r="Q72" s="171" t="inlineStr">
        <is>
          <t>Egypt</t>
        </is>
      </c>
      <c r="R72" s="169" t="n">
        <v>46324</v>
      </c>
      <c r="S72" s="170" t="inlineStr">
        <is>
          <t>2026-Q4</t>
        </is>
      </c>
      <c r="T72" s="172" t="inlineStr">
        <is>
          <t>rockfall, collapse</t>
        </is>
      </c>
      <c r="U72" s="160" t="n">
        <v>5</v>
      </c>
      <c r="V72" s="173" t="inlineStr">
        <is>
          <t>https://news.google.com/rss/articles/CBMiwAFBVV95cUxOSzl3YkllaGZfTVJTdFR3cjN6d19lUzktSUQyLS1DeHFKZlYxSkxxSnM5RHFQMkNLWW5fSEMyRk81UU8teWhHd2J5Ujg4OXZVSWIxTndLUzl3T1BhNldlWkxDaTBZRnV2dkdjUXRNT1BwcFFNN0UwdWNjcjRiYmRYMEgyNTFSSWRKOUtHRlF0UG9NSnJoekVEeVEtak5nc1lVOWN1UUU1djNLOTZZUHJUXzY4T1dkcVhrVjJVbG5qS3U?oc=5</t>
        </is>
      </c>
      <c r="W72" s="174">
        <f>IF($B72="",0,IF(AND(OR(OR(Dashboard!$B$5="All themes",Dashboard!$B$5=""),$C72=Dashboard!$B$5),OR(OR(Dashboard!$G$5="All uses",Dashboard!$G$5=""),$E72=Dashboard!$G$5),N($D72)&gt;=Lists!$H$2,OR(OR(Dashboard!$N$5="All windows",Dashboard!$N$5=""),$S72=Dashboard!$N$5)),1,0))</f>
        <v/>
      </c>
      <c r="X72" s="175">
        <f>IF($W72=1,N($D72)*1E14+MIN(MAX(N($U72),0),9999)*1E10+MIN(N($K72),99999)*1E5+99999-MIN(ROW(),99999),"")</f>
        <v/>
      </c>
    </row>
    <row r="73" ht="53" customHeight="1">
      <c r="A73" s="160" t="n">
        <v>70</v>
      </c>
      <c r="B73" s="161" t="inlineStr">
        <is>
          <t>Petare home evacuated over collapse risk after a landslide.</t>
        </is>
      </c>
      <c r="C73" s="162" t="inlineStr">
        <is>
          <t>Hazards &amp; Resilience</t>
        </is>
      </c>
      <c r="D73" s="163" t="n">
        <v>3</v>
      </c>
      <c r="E73" s="177" t="inlineStr">
        <is>
          <t>News brief</t>
        </is>
      </c>
      <c r="F73" s="165" t="inlineStr">
        <is>
          <t>To review</t>
        </is>
      </c>
      <c r="G73" s="166" t="n"/>
      <c r="H73" s="167" t="n"/>
      <c r="I73" s="168" t="inlineStr">
        <is>
          <t>What slope movement after a landslide makes adjacent housing unsafe, and what ground investigation should decide re-occupation?</t>
        </is>
      </c>
      <c r="J73" s="168" t="inlineStr">
        <is>
          <t>La Prensa de Monagas</t>
        </is>
      </c>
      <c r="K73" s="169" t="n">
        <v>46325</v>
      </c>
      <c r="L73" s="168" t="inlineStr">
        <is>
          <t>Desalojan vivienda en Petare por riesgo de colapso tras deslizamiento</t>
        </is>
      </c>
      <c r="M73" s="168" t="inlineStr">
        <is>
          <t>Protección Civil Miranda</t>
        </is>
      </c>
      <c r="N73" s="170" t="inlineStr">
        <is>
          <t>Venezuela</t>
        </is>
      </c>
      <c r="O73" s="168" t="inlineStr">
        <is>
          <t>Petare, Miranda</t>
        </is>
      </c>
      <c r="P73" s="168" t="n"/>
      <c r="Q73" s="171" t="inlineStr">
        <is>
          <t>Mexico</t>
        </is>
      </c>
      <c r="R73" s="169" t="n">
        <v>46324</v>
      </c>
      <c r="S73" s="170" t="inlineStr">
        <is>
          <t>2026-Q4</t>
        </is>
      </c>
      <c r="T73" s="172" t="inlineStr">
        <is>
          <t>landslide, collapse</t>
        </is>
      </c>
      <c r="U73" s="160" t="n">
        <v>5</v>
      </c>
      <c r="V73" s="173" t="inlineStr">
        <is>
          <t>https://news.google.com/rss/articles/CBMiogFBVV95cUxPaHpydDdLdElQQS1JLTVWOVRyeURKejNhamM0OXc3aDY4Y0RDeVdEemhGUTduemZXeXdlYXRQdWNGNDB3cGdYaTVKZWxIdnlDOWl0Ymlld3MwZmpDQ2Y1U0V2Z0ZQTmNBUVVSMm9hZDNVYkVOZ2luNzdNLXQwaHhFRGpvU0ZPb1JhSjdXUmx4STYzQThvZkNoX1E4VGpvTkxxNGc?oc=5</t>
        </is>
      </c>
      <c r="W73" s="174">
        <f>IF($B73="",0,IF(AND(OR(OR(Dashboard!$B$5="All themes",Dashboard!$B$5=""),$C73=Dashboard!$B$5),OR(OR(Dashboard!$G$5="All uses",Dashboard!$G$5=""),$E73=Dashboard!$G$5),N($D73)&gt;=Lists!$H$2,OR(OR(Dashboard!$N$5="All windows",Dashboard!$N$5=""),$S73=Dashboard!$N$5)),1,0))</f>
        <v/>
      </c>
      <c r="X73" s="175">
        <f>IF($W73=1,N($D73)*1E14+MIN(MAX(N($U73),0),9999)*1E10+MIN(N($K73),99999)*1E5+99999-MIN(ROW(),99999),"")</f>
        <v/>
      </c>
    </row>
    <row r="74" ht="53" customHeight="1">
      <c r="A74" s="160" t="n">
        <v>71</v>
      </c>
      <c r="B74" s="161" t="inlineStr">
        <is>
          <t>Highly efficient piling with Liebherr</t>
        </is>
      </c>
      <c r="C74" s="184" t="inlineStr">
        <is>
          <t>Ground Improvement &amp; Innovation</t>
        </is>
      </c>
      <c r="D74" s="163" t="n">
        <v>3</v>
      </c>
      <c r="E74" s="179" t="inlineStr">
        <is>
          <t>Watch only</t>
        </is>
      </c>
      <c r="F74" s="165" t="inlineStr">
        <is>
          <t>To review</t>
        </is>
      </c>
      <c r="G74" s="166" t="n"/>
      <c r="H74" s="167" t="n"/>
      <c r="I74" s="168" t="inlineStr">
        <is>
          <t>How do noise-reduced multi-hammer piling methods affect production rates and the ground-engineering choices on urban foundation projects?</t>
        </is>
      </c>
      <c r="J74" s="168" t="inlineStr">
        <is>
          <t>World Highways</t>
        </is>
      </c>
      <c r="K74" s="169" t="n">
        <v>46325</v>
      </c>
      <c r="L74" s="168" t="n"/>
      <c r="M74" s="168" t="inlineStr">
        <is>
          <t>Liebherr</t>
        </is>
      </c>
      <c r="N74" s="170" t="n"/>
      <c r="O74" s="168" t="n"/>
      <c r="P74" s="168" t="n"/>
      <c r="Q74" s="171" t="n"/>
      <c r="R74" s="169" t="n">
        <v>46324</v>
      </c>
      <c r="S74" s="170" t="inlineStr">
        <is>
          <t>2026-Q4</t>
        </is>
      </c>
      <c r="T74" s="172" t="inlineStr">
        <is>
          <t>piling</t>
        </is>
      </c>
      <c r="U74" s="160" t="n">
        <v>4</v>
      </c>
      <c r="V74" s="173" t="inlineStr">
        <is>
          <t>https://globalhighways.com/highly-efficient-piling-with-liebherr/</t>
        </is>
      </c>
      <c r="W74" s="174">
        <f>IF($B74="",0,IF(AND(OR(OR(Dashboard!$B$5="All themes",Dashboard!$B$5=""),$C74=Dashboard!$B$5),OR(OR(Dashboard!$G$5="All uses",Dashboard!$G$5=""),$E74=Dashboard!$G$5),N($D74)&gt;=Lists!$H$2,OR(OR(Dashboard!$N$5="All windows",Dashboard!$N$5=""),$S74=Dashboard!$N$5)),1,0))</f>
        <v/>
      </c>
      <c r="X74" s="175">
        <f>IF($W74=1,N($D74)*1E14+MIN(MAX(N($U74),0),9999)*1E10+MIN(N($K74),99999)*1E5+99999-MIN(ROW(),99999),"")</f>
        <v/>
      </c>
    </row>
    <row r="75" ht="40.5" customHeight="1">
      <c r="A75" s="160" t="n">
        <v>72</v>
      </c>
      <c r="B75" s="161" t="inlineStr">
        <is>
          <t>Safety fences placed around 100-metre sinkhole on Mazatlán seafront</t>
        </is>
      </c>
      <c r="C75" s="185" t="inlineStr">
        <is>
          <t>Offshore, Coasts &amp; Water</t>
        </is>
      </c>
      <c r="D75" s="163" t="n">
        <v>3</v>
      </c>
      <c r="E75" s="183" t="inlineStr">
        <is>
          <t>Regional insight</t>
        </is>
      </c>
      <c r="F75" s="165" t="inlineStr">
        <is>
          <t>To review</t>
        </is>
      </c>
      <c r="G75" s="166" t="n"/>
      <c r="H75" s="167" t="n"/>
      <c r="I75" s="168" t="inlineStr">
        <is>
          <t>How do wave action and coastal groundwater undermine a promenade, and what stabilisation would prevent further ground loss?</t>
        </is>
      </c>
      <c r="J75" s="168" t="inlineStr">
        <is>
          <t>Debate</t>
        </is>
      </c>
      <c r="K75" s="169" t="n">
        <v>46325</v>
      </c>
      <c r="L75" s="168" t="inlineStr">
        <is>
          <t>Colocan vallas de seguridad en zona del socavón de 100 metros del malecón de Mazatlán</t>
        </is>
      </c>
      <c r="M75" s="168" t="inlineStr">
        <is>
          <t>the municipal public works department</t>
        </is>
      </c>
      <c r="N75" s="170" t="inlineStr">
        <is>
          <t>Mexico</t>
        </is>
      </c>
      <c r="O75" s="168" t="inlineStr">
        <is>
          <t>Malecón, Mazatlán</t>
        </is>
      </c>
      <c r="P75" s="168" t="inlineStr">
        <is>
          <t>Mazatlán malecón wave sinkhole, Mexico (Oct 2026) · Response &amp; recovery · 6 reports</t>
        </is>
      </c>
      <c r="Q75" s="171" t="inlineStr">
        <is>
          <t>Colombia</t>
        </is>
      </c>
      <c r="R75" s="169" t="n">
        <v>46325</v>
      </c>
      <c r="S75" s="170" t="inlineStr">
        <is>
          <t>2026-Q4</t>
        </is>
      </c>
      <c r="T75" s="172" t="inlineStr">
        <is>
          <t>sinkhole</t>
        </is>
      </c>
      <c r="U75" s="160" t="n">
        <v>4</v>
      </c>
      <c r="V75" s="173" t="inlineStr">
        <is>
          <t>https://news.google.com/rss/articles/CBMi4AFBVV95cUxNTk9pTFBNSFZYbUVsSGRYVDQtbngyTmtBazdRaExVRDBJMUFtcERGTmJ2U1NuOGU4ZlBxN24tYTFYX0lIVmFfYVVNRm5ySTB5aW81Q1NOc3BUaUZpMmlXcF8tZ2RCYlAtOVFtSDU5RkVabEREX0dQRnp2V3pKMkU5TDEyWnVEenJ0VVlNdjlTeGhHVTZsUnFrbGswUlBBVFRiN2JMaTltWXNrQnAzcnpxNVlSc3EwZi1SX2ZJcGlhUHlMcjFkOWx4U3AyeUhTNER1VGpKXzVzd19aazNEeDFWdQ?oc=5</t>
        </is>
      </c>
      <c r="W75" s="174">
        <f>IF($B75="",0,IF(AND(OR(OR(Dashboard!$B$5="All themes",Dashboard!$B$5=""),$C75=Dashboard!$B$5),OR(OR(Dashboard!$G$5="All uses",Dashboard!$G$5=""),$E75=Dashboard!$G$5),N($D75)&gt;=Lists!$H$2,OR(OR(Dashboard!$N$5="All windows",Dashboard!$N$5=""),$S75=Dashboard!$N$5)),1,0))</f>
        <v/>
      </c>
      <c r="X75" s="175">
        <f>IF($W75=1,N($D75)*1E14+MIN(MAX(N($U75),0),9999)*1E10+MIN(N($K75),99999)*1E5+99999-MIN(ROW(),99999),"")</f>
        <v/>
      </c>
    </row>
    <row r="76" ht="40.5" customHeight="1">
      <c r="A76" s="160" t="n">
        <v>73</v>
      </c>
      <c r="B76" s="161" t="inlineStr">
        <is>
          <t>Major repair of retaining walls on Admiral Oktyabrsky Street fully completed.</t>
        </is>
      </c>
      <c r="C76" s="176" t="inlineStr">
        <is>
          <t>Infrastructure &amp; the Underground City</t>
        </is>
      </c>
      <c r="D76" s="163" t="n">
        <v>3</v>
      </c>
      <c r="E76" s="177" t="inlineStr">
        <is>
          <t>News brief</t>
        </is>
      </c>
      <c r="F76" s="165" t="inlineStr">
        <is>
          <t>To review</t>
        </is>
      </c>
      <c r="G76" s="166" t="n"/>
      <c r="H76" s="167" t="n"/>
      <c r="I76" s="168" t="inlineStr">
        <is>
          <t>What design and construction choices make the retaining wall repair durable on a slope-supported urban street?</t>
        </is>
      </c>
      <c r="J76" s="168" t="inlineStr">
        <is>
          <t>Севастопольская газета Объектив. Новости Севастополя онлайн</t>
        </is>
      </c>
      <c r="K76" s="169" t="n">
        <v>46325</v>
      </c>
      <c r="L76" s="168" t="inlineStr">
        <is>
          <t>Капремонт подпорных стен на улице Адмирала Октябрьского полностью завершен</t>
        </is>
      </c>
      <c r="M76" s="168" t="inlineStr">
        <is>
          <t>Sevastopol city administration</t>
        </is>
      </c>
      <c r="N76" s="170" t="inlineStr">
        <is>
          <t>Ukraine</t>
        </is>
      </c>
      <c r="O76" s="168" t="inlineStr">
        <is>
          <t>Admiral Oktyabrsky Street, Sevastopol</t>
        </is>
      </c>
      <c r="P76" s="168" t="n"/>
      <c r="Q76" s="171" t="inlineStr">
        <is>
          <t>Russia</t>
        </is>
      </c>
      <c r="R76" s="169" t="n">
        <v>46324</v>
      </c>
      <c r="S76" s="170" t="inlineStr">
        <is>
          <t>2026-Q4</t>
        </is>
      </c>
      <c r="T76" s="172" t="inlineStr">
        <is>
          <t>retaining wall</t>
        </is>
      </c>
      <c r="U76" s="160" t="n">
        <v>4</v>
      </c>
      <c r="V76" s="173" t="inlineStr">
        <is>
          <t>https://news.google.com/rss/articles/CBMiqgFBVV95cUxORGl0ZnVjdEhJTEZzQjgxZm5OTUp6VUE0RlAzbVNyWTNobjU0N25zck5FMGtTSlFKQzhBYnhXV0RNT3RBdi1jbjhZdmQ5WVdtbUVJOXZSZTdMT2dJMlZQQlpHTVdoRWh2dldtVVZCdE85MzhzVWIwdkJkeUdqNlQyTVpiVGFhM1AtZGRtMVkzcVBfNWY3cWlSdXhjSExrMFd4ZTUtMmZLOUlTZw?oc=5</t>
        </is>
      </c>
      <c r="W76" s="174">
        <f>IF($B76="",0,IF(AND(OR(OR(Dashboard!$B$5="All themes",Dashboard!$B$5=""),$C76=Dashboard!$B$5),OR(OR(Dashboard!$G$5="All uses",Dashboard!$G$5=""),$E76=Dashboard!$G$5),N($D76)&gt;=Lists!$H$2,OR(OR(Dashboard!$N$5="All windows",Dashboard!$N$5=""),$S76=Dashboard!$N$5)),1,0))</f>
        <v/>
      </c>
      <c r="X76" s="175">
        <f>IF($W76=1,N($D76)*1E14+MIN(MAX(N($U76),0),9999)*1E10+MIN(N($K76),99999)*1E5+99999-MIN(ROW(),99999),"")</f>
        <v/>
      </c>
    </row>
    <row r="77" ht="53" customHeight="1">
      <c r="A77" s="160" t="n">
        <v>74</v>
      </c>
      <c r="B77" s="161" t="inlineStr">
        <is>
          <t>News - Outside the window - Retaining wall on Adasko Street in Istra: from emergency masonry to monolithic concrete.</t>
        </is>
      </c>
      <c r="C77" s="176" t="inlineStr">
        <is>
          <t>Infrastructure &amp; the Underground City</t>
        </is>
      </c>
      <c r="D77" s="163" t="n">
        <v>3</v>
      </c>
      <c r="E77" s="177" t="inlineStr">
        <is>
          <t>News brief</t>
        </is>
      </c>
      <c r="F77" s="165" t="inlineStr">
        <is>
          <t>To review</t>
        </is>
      </c>
      <c r="G77" s="166" t="n"/>
      <c r="H77" s="167" t="n"/>
      <c r="I77" s="168" t="inlineStr">
        <is>
          <t>What ground and drainage factors caused the masonry retaining wall to fail, and what does the switch to monolithic concrete imply for design?</t>
        </is>
      </c>
      <c r="J77" s="168" t="inlineStr">
        <is>
          <t>Истра.РФ</t>
        </is>
      </c>
      <c r="K77" s="169" t="n">
        <v>46325</v>
      </c>
      <c r="L77" s="168" t="inlineStr">
        <is>
          <t>Новости - За окном - Подпорная стена на улице Адасько в Истре: от аварийной кладки — к монолитному бетону</t>
        </is>
      </c>
      <c r="M77" s="168" t="inlineStr">
        <is>
          <t>Istra municipal administration</t>
        </is>
      </c>
      <c r="N77" s="170" t="inlineStr">
        <is>
          <t>Russia</t>
        </is>
      </c>
      <c r="O77" s="168" t="inlineStr">
        <is>
          <t>Adasko Street, Istra</t>
        </is>
      </c>
      <c r="P77" s="168" t="n"/>
      <c r="Q77" s="171" t="inlineStr">
        <is>
          <t>Russia</t>
        </is>
      </c>
      <c r="R77" s="169" t="n">
        <v>46324</v>
      </c>
      <c r="S77" s="170" t="inlineStr">
        <is>
          <t>2026-Q4</t>
        </is>
      </c>
      <c r="T77" s="172" t="inlineStr">
        <is>
          <t>retaining wall</t>
        </is>
      </c>
      <c r="U77" s="160" t="n">
        <v>4</v>
      </c>
      <c r="V77" s="173" t="inlineStr">
        <is>
          <t>https://news.google.com/rss/articles/CBMixAFBVV95cUxOMEhRWWV6c3kzZ2hrOFpfRnN2S241NE1IMjBGQmNSUW1WRms5aE1ibWlpb3JsRXl5MEVudUlJNGZORHZoaDEwUlF5V3EtQTlIRFNHS056djVrNlppVzdqM1ZtZ3JxNENOZzVOX1JCYXFNdDBkNEx2dlNCbjkzbnFSZFZjbzdXdzE0QzkxVllhZjlCWk8xcXJBaTZZV05DYVlYbzFkQ3pUNUxiMi1uQ0E2MllSM0IzbGFpbF84WFZ2dEZtZnZK?oc=5</t>
        </is>
      </c>
      <c r="W77" s="174">
        <f>IF($B77="",0,IF(AND(OR(OR(Dashboard!$B$5="All themes",Dashboard!$B$5=""),$C77=Dashboard!$B$5),OR(OR(Dashboard!$G$5="All uses",Dashboard!$G$5=""),$E77=Dashboard!$G$5),N($D77)&gt;=Lists!$H$2,OR(OR(Dashboard!$N$5="All windows",Dashboard!$N$5=""),$S77=Dashboard!$N$5)),1,0))</f>
        <v/>
      </c>
      <c r="X77" s="175">
        <f>IF($W77=1,N($D77)*1E14+MIN(MAX(N($U77),0),9999)*1E10+MIN(N($K77),99999)*1E5+99999-MIN(ROW(),99999),"")</f>
        <v/>
      </c>
    </row>
    <row r="78" ht="40.5" customHeight="1">
      <c r="A78" s="160" t="n">
        <v>75</v>
      </c>
      <c r="B78" s="161" t="inlineStr">
        <is>
          <t>Bhopal Metro underground tunnel construction: 400-metre tunnel work completed</t>
        </is>
      </c>
      <c r="C78" s="176" t="inlineStr">
        <is>
          <t>Infrastructure &amp; the Underground City</t>
        </is>
      </c>
      <c r="D78" s="163" t="n">
        <v>3</v>
      </c>
      <c r="E78" s="177" t="inlineStr">
        <is>
          <t>News brief</t>
        </is>
      </c>
      <c r="F78" s="165" t="inlineStr">
        <is>
          <t>To review</t>
        </is>
      </c>
      <c r="G78" s="166" t="n"/>
      <c r="H78" s="167" t="n"/>
      <c r="I78" s="168" t="inlineStr">
        <is>
          <t>What ground conditions and support measures govern progress in shallow urban metro tunnelling in this city?</t>
        </is>
      </c>
      <c r="J78" s="168" t="inlineStr">
        <is>
          <t>Raj Express</t>
        </is>
      </c>
      <c r="K78" s="169" t="n">
        <v>46325</v>
      </c>
      <c r="L78" s="168" t="inlineStr">
        <is>
          <t>भोपाल मेट्रो अंडरग्राउंड टनल निर्माण: 400 मीटर सुरंग का काम पूरा</t>
        </is>
      </c>
      <c r="M78" s="168" t="inlineStr">
        <is>
          <t>the Bhopal Metro Rail Corporation</t>
        </is>
      </c>
      <c r="N78" s="170" t="inlineStr">
        <is>
          <t>India</t>
        </is>
      </c>
      <c r="O78" s="168" t="inlineStr">
        <is>
          <t>Bhopal</t>
        </is>
      </c>
      <c r="P78" s="168" t="n"/>
      <c r="Q78" s="171" t="inlineStr">
        <is>
          <t>India</t>
        </is>
      </c>
      <c r="R78" s="169" t="n">
        <v>46323</v>
      </c>
      <c r="S78" s="170" t="inlineStr">
        <is>
          <t>2026-Q4</t>
        </is>
      </c>
      <c r="T78" s="172" t="inlineStr">
        <is>
          <t>tunnel</t>
        </is>
      </c>
      <c r="U78" s="160" t="n">
        <v>2</v>
      </c>
      <c r="V78" s="173" t="inlineStr">
        <is>
          <t>https://news.google.com/rss/articles/CBMimgFBVV95cUxNMUFpUXJmSVo4Y01USWtzaVdXOXQwT1RDa3RhQWpzdnkyQWlScXBkNmtDU0RnSmJGVmppZC1vRFMzdUZhWnZNU3N4UEwwWWRIbmVXMFBqb1ZPMmJ0aG0yLW04U0otbWpxdE42TkNBZ29rdmpZUWdZR0xncnBoWDRTcC1HOHdwbXlCZXIxT0JTSmZrU2dybGdUZkNn?oc=5</t>
        </is>
      </c>
      <c r="W78" s="174">
        <f>IF($B78="",0,IF(AND(OR(OR(Dashboard!$B$5="All themes",Dashboard!$B$5=""),$C78=Dashboard!$B$5),OR(OR(Dashboard!$G$5="All uses",Dashboard!$G$5=""),$E78=Dashboard!$G$5),N($D78)&gt;=Lists!$H$2,OR(OR(Dashboard!$N$5="All windows",Dashboard!$N$5=""),$S78=Dashboard!$N$5)),1,0))</f>
        <v/>
      </c>
      <c r="X78" s="175">
        <f>IF($W78=1,N($D78)*1E14+MIN(MAX(N($U78),0),9999)*1E10+MIN(N($K78),99999)*1E5+99999-MIN(ROW(),99999),"")</f>
        <v/>
      </c>
    </row>
    <row r="79" ht="40.5" customHeight="1">
      <c r="A79" s="160" t="n">
        <v>76</v>
      </c>
      <c r="B79" s="161" t="inlineStr">
        <is>
          <t>Pit at future park site in Arban frightens Abakan residents</t>
        </is>
      </c>
      <c r="C79" s="176" t="inlineStr">
        <is>
          <t>Infrastructure &amp; the Underground City</t>
        </is>
      </c>
      <c r="D79" s="163" t="n">
        <v>3</v>
      </c>
      <c r="E79" s="177" t="inlineStr">
        <is>
          <t>News brief</t>
        </is>
      </c>
      <c r="F79" s="165" t="inlineStr">
        <is>
          <t>To review</t>
        </is>
      </c>
      <c r="G79" s="166" t="n"/>
      <c r="H79" s="167" t="n"/>
      <c r="I79" s="168" t="inlineStr">
        <is>
          <t>What safety measures and retaining arrangements are needed for an open pit left beside a public park site?</t>
        </is>
      </c>
      <c r="J79" s="168" t="inlineStr">
        <is>
          <t>Телекомпания «Республиканская телевизионная сеть»</t>
        </is>
      </c>
      <c r="K79" s="169" t="n">
        <v>46325</v>
      </c>
      <c r="L79" s="168" t="inlineStr">
        <is>
          <t>Котлован на месте будущего парка в Арбане напугал жителей Абакана</t>
        </is>
      </c>
      <c r="M79" s="168" t="inlineStr">
        <is>
          <t>the Abakan city administration</t>
        </is>
      </c>
      <c r="N79" s="170" t="inlineStr">
        <is>
          <t>Russia</t>
        </is>
      </c>
      <c r="O79" s="168" t="inlineStr">
        <is>
          <t>Arban, Abakan</t>
        </is>
      </c>
      <c r="P79" s="168" t="n"/>
      <c r="Q79" s="171" t="inlineStr">
        <is>
          <t>Russia</t>
        </is>
      </c>
      <c r="R79" s="169" t="n">
        <v>46325</v>
      </c>
      <c r="S79" s="170" t="inlineStr">
        <is>
          <t>2026-Q4</t>
        </is>
      </c>
      <c r="T79" s="172" t="inlineStr">
        <is>
          <t>excavation</t>
        </is>
      </c>
      <c r="U79" s="160" t="n">
        <v>2</v>
      </c>
      <c r="V79" s="173" t="inlineStr">
        <is>
          <t>https://news.google.com/rss/articles/CBMilwFBVV95cUxNdmwzd2xZMU5MdXZ1Zk1rX0RDVlk5RTg2STdoQm9hSTdOTkZ4NTVUcmtwaFFMbVJJb3lwVUM4VkRtalhXQ3pjZXEwMFA2LVo5dnA4dlJ6cmtacFVRS3F2U2RJQ2lPMHltb1MyS044OWdCQnFZdlFha3MxS2tlOTJwckxIRnZ2MUxsUkdOcWo2VFlZZGhqdWVj?oc=5</t>
        </is>
      </c>
      <c r="W79" s="174">
        <f>IF($B79="",0,IF(AND(OR(OR(Dashboard!$B$5="All themes",Dashboard!$B$5=""),$C79=Dashboard!$B$5),OR(OR(Dashboard!$G$5="All uses",Dashboard!$G$5=""),$E79=Dashboard!$G$5),N($D79)&gt;=Lists!$H$2,OR(OR(Dashboard!$N$5="All windows",Dashboard!$N$5=""),$S79=Dashboard!$N$5)),1,0))</f>
        <v/>
      </c>
      <c r="X79" s="175">
        <f>IF($W79=1,N($D79)*1E14+MIN(MAX(N($U79),0),9999)*1E10+MIN(N($K79),99999)*1E5+99999-MIN(ROW(),99999),"")</f>
        <v/>
      </c>
    </row>
    <row r="80" ht="40.5" customHeight="1">
      <c r="A80" s="160" t="n">
        <v>77</v>
      </c>
      <c r="B80" s="161" t="inlineStr">
        <is>
          <t>Dangerous pit in courtyard of house in Durlești: authorities announce urgent measures after TV8 report</t>
        </is>
      </c>
      <c r="C80" s="176" t="inlineStr">
        <is>
          <t>Infrastructure &amp; the Underground City</t>
        </is>
      </c>
      <c r="D80" s="163" t="n">
        <v>3</v>
      </c>
      <c r="E80" s="177" t="inlineStr">
        <is>
          <t>News brief</t>
        </is>
      </c>
      <c r="F80" s="165" t="inlineStr">
        <is>
          <t>To review</t>
        </is>
      </c>
      <c r="G80" s="166" t="n"/>
      <c r="H80" s="167" t="n"/>
      <c r="I80" s="168" t="inlineStr">
        <is>
          <t>How should an excavation next to occupied housing be supported to prevent collapse and protect residents?</t>
        </is>
      </c>
      <c r="J80" s="168" t="inlineStr">
        <is>
          <t>noi.md</t>
        </is>
      </c>
      <c r="K80" s="169" t="n">
        <v>46325</v>
      </c>
      <c r="L80" s="168" t="inlineStr">
        <is>
          <t>Опасный котлован во дворе дома в Дурлештах: власти объявили о срочных мерах после репортажа TV8</t>
        </is>
      </c>
      <c r="M80" s="168" t="inlineStr">
        <is>
          <t>the local municipal authority</t>
        </is>
      </c>
      <c r="N80" s="170" t="inlineStr">
        <is>
          <t>Moldova</t>
        </is>
      </c>
      <c r="O80" s="168" t="inlineStr">
        <is>
          <t>Durlești, Chișinău</t>
        </is>
      </c>
      <c r="P80" s="168" t="n"/>
      <c r="Q80" s="171" t="inlineStr">
        <is>
          <t>Russia</t>
        </is>
      </c>
      <c r="R80" s="169" t="n">
        <v>46324</v>
      </c>
      <c r="S80" s="170" t="inlineStr">
        <is>
          <t>2026-Q4</t>
        </is>
      </c>
      <c r="T80" s="172" t="inlineStr">
        <is>
          <t>excavation</t>
        </is>
      </c>
      <c r="U80" s="160" t="n">
        <v>2</v>
      </c>
      <c r="V80" s="173" t="inlineStr">
        <is>
          <t>https://news.google.com/rss/articles/CBMixgFBVV95cUxPRzBTaWFtQkRvWDFZS0k3aWF6TkZFVzMzbktCN1BUWVE2M2RUOGJMdjh3QTBJTFV6YUd4X19reVF2cG5ReTdtbmhoOHVBZ2hEcmE2cTFEZU5yX2dzeVJEUzlvLWt1OFIzOTJVMV8xWjY5eE1ISV9BdjJGUXNKZV9pX2R2Q3JMbW5TdEZkTXRyRjQwakw4MV80Q09OeS1XWDRlTUJ0YjRGNE0xVTJSNERzVEw0dzd0cFhQM0ZzVkRCdmdpNDBudWc?oc=5</t>
        </is>
      </c>
      <c r="W80" s="174">
        <f>IF($B80="",0,IF(AND(OR(OR(Dashboard!$B$5="All themes",Dashboard!$B$5=""),$C80=Dashboard!$B$5),OR(OR(Dashboard!$G$5="All uses",Dashboard!$G$5=""),$E80=Dashboard!$G$5),N($D80)&gt;=Lists!$H$2,OR(OR(Dashboard!$N$5="All windows",Dashboard!$N$5=""),$S80=Dashboard!$N$5)),1,0))</f>
        <v/>
      </c>
      <c r="X80" s="175">
        <f>IF($W80=1,N($D80)*1E14+MIN(MAX(N($U80),0),9999)*1E10+MIN(N($K80),99999)*1E5+99999-MIN(ROW(),99999),"")</f>
        <v/>
      </c>
    </row>
    <row r="81" ht="40.5" customHeight="1">
      <c r="A81" s="160" t="n">
        <v>78</v>
      </c>
      <c r="B81" s="161" t="inlineStr">
        <is>
          <t>In Khirdalan, a two-metre pit dug beside houses: residents complain of cracks</t>
        </is>
      </c>
      <c r="C81" s="176" t="inlineStr">
        <is>
          <t>Infrastructure &amp; the Underground City</t>
        </is>
      </c>
      <c r="D81" s="163" t="n">
        <v>3</v>
      </c>
      <c r="E81" s="177" t="inlineStr">
        <is>
          <t>News brief</t>
        </is>
      </c>
      <c r="F81" s="165" t="inlineStr">
        <is>
          <t>To review</t>
        </is>
      </c>
      <c r="G81" s="166" t="n"/>
      <c r="H81" s="167" t="n"/>
      <c r="I81" s="168" t="inlineStr">
        <is>
          <t>Could a two-metre excavation beside houses be causing the cracks residents describe, and what monitoring would confirm it?</t>
        </is>
      </c>
      <c r="J81" s="168" t="inlineStr">
        <is>
          <t>Moderator.az xəbər portalı</t>
        </is>
      </c>
      <c r="K81" s="169" t="n">
        <v>46325</v>
      </c>
      <c r="L81" s="168" t="inlineStr">
        <is>
          <t>В Хырдалане рядом с домами вырыли двухметровый котлован: жители жалуются на трещины-ФОТО</t>
        </is>
      </c>
      <c r="M81" s="168" t="inlineStr">
        <is>
          <t>the local municipal authority</t>
        </is>
      </c>
      <c r="N81" s="170" t="inlineStr">
        <is>
          <t>Azerbaijan</t>
        </is>
      </c>
      <c r="O81" s="168" t="inlineStr">
        <is>
          <t>Khirdalan</t>
        </is>
      </c>
      <c r="P81" s="168" t="n"/>
      <c r="Q81" s="171" t="inlineStr">
        <is>
          <t>Russia</t>
        </is>
      </c>
      <c r="R81" s="169" t="n">
        <v>46324</v>
      </c>
      <c r="S81" s="170" t="inlineStr">
        <is>
          <t>2026-Q4</t>
        </is>
      </c>
      <c r="T81" s="172" t="inlineStr">
        <is>
          <t>excavation</t>
        </is>
      </c>
      <c r="U81" s="160" t="n">
        <v>2</v>
      </c>
      <c r="V81" s="173" t="inlineStr">
        <is>
          <t>https://news.google.com/rss/articles/CBMizAFBVV95cUxPRmJ5YVRBaVZvS0xMY1hYSFR1c1BzOTZWMlVDb0NpS2gzSENXaHFmU2U0U3hiajh4N256MUF2ZGFtbkJ5NnY0YXJhdlo0NGItWE0wbHlUU2ltU0hnZlVxMW9zM291dmthZXpSM2JuVWpIdnRvWXBTNU0tOXcwazNiWnVFM1luc0RCdVFHd1lhSGZyVl9ILURISktDUFpiWDU2TmdWRmk3Z2ROTnJ2bFVaZkdNR0o5MkxkbHo0VDdTc2dqV2hMdGc0Rm5NQzM?oc=5</t>
        </is>
      </c>
      <c r="W81" s="174">
        <f>IF($B81="",0,IF(AND(OR(OR(Dashboard!$B$5="All themes",Dashboard!$B$5=""),$C81=Dashboard!$B$5),OR(OR(Dashboard!$G$5="All uses",Dashboard!$G$5=""),$E81=Dashboard!$G$5),N($D81)&gt;=Lists!$H$2,OR(OR(Dashboard!$N$5="All windows",Dashboard!$N$5=""),$S81=Dashboard!$N$5)),1,0))</f>
        <v/>
      </c>
      <c r="X81" s="175">
        <f>IF($W81=1,N($D81)*1E14+MIN(MAX(N($U81),0),9999)*1E10+MIN(N($K81),99999)*1E5+99999-MIN(ROW(),99999),"")</f>
        <v/>
      </c>
    </row>
    <row r="82" ht="53" customHeight="1">
      <c r="A82" s="160" t="n">
        <v>79</v>
      </c>
      <c r="B82" s="161" t="inlineStr">
        <is>
          <t>Basement construction has caused road subsidence in Viet Hung neighbourhood, Hanoi</t>
        </is>
      </c>
      <c r="C82" s="176" t="inlineStr">
        <is>
          <t>Infrastructure &amp; the Underground City</t>
        </is>
      </c>
      <c r="D82" s="163" t="n">
        <v>3</v>
      </c>
      <c r="E82" s="164" t="inlineStr">
        <is>
          <t>Feature lead</t>
        </is>
      </c>
      <c r="F82" s="165" t="inlineStr">
        <is>
          <t>To review</t>
        </is>
      </c>
      <c r="G82" s="166" t="n"/>
      <c r="H82" s="167" t="n"/>
      <c r="I82" s="168" t="inlineStr">
        <is>
          <t>How does basement excavation in a dense urban district cause adjacent road subsidence, and what retaining and monitoring would prevent it?</t>
        </is>
      </c>
      <c r="J82" s="168" t="inlineStr">
        <is>
          <t>شبكة تواصل الإخبارية</t>
        </is>
      </c>
      <c r="K82" s="169" t="n">
        <v>46325</v>
      </c>
      <c r="L82" s="168" t="inlineStr">
        <is>
          <t>La construcción de un sótano ha provocado un hundimiento de la carretera en el barrio de Viet Hung, en Hanói.</t>
        </is>
      </c>
      <c r="M82" s="168" t="inlineStr">
        <is>
          <t>the Hanoi construction inspection authority</t>
        </is>
      </c>
      <c r="N82" s="170" t="inlineStr">
        <is>
          <t>Vietnam</t>
        </is>
      </c>
      <c r="O82" s="168" t="inlineStr">
        <is>
          <t>Viet Hung, Hanoi</t>
        </is>
      </c>
      <c r="P82" s="168" t="inlineStr">
        <is>
          <t>Viet Hung basement road subsidence, Hanoi (Oct 2026) · Event · 2 reports</t>
        </is>
      </c>
      <c r="Q82" s="171" t="inlineStr">
        <is>
          <t>Argentina</t>
        </is>
      </c>
      <c r="R82" s="169" t="n">
        <v>46324</v>
      </c>
      <c r="S82" s="170" t="inlineStr">
        <is>
          <t>2026-Q4</t>
        </is>
      </c>
      <c r="T82" s="172" t="n"/>
      <c r="U82" s="160" t="n">
        <v>0</v>
      </c>
      <c r="V82" s="173" t="inlineStr">
        <is>
          <t>https://news.google.com/rss/articles/CBMiU0FVX3lxTE9XY3g5UHRaSDBOczhYUFRVaHFfSHdBMEVoWnp4T1JCa1BzNHlKVVR1MGluYk5hU19PaFpNZ0xxVmZ0WFg4U1YwZHZwbmxGTFlGUjVR?oc=5</t>
        </is>
      </c>
      <c r="W82" s="174">
        <f>IF($B82="",0,IF(AND(OR(OR(Dashboard!$B$5="All themes",Dashboard!$B$5=""),$C82=Dashboard!$B$5),OR(OR(Dashboard!$G$5="All uses",Dashboard!$G$5=""),$E82=Dashboard!$G$5),N($D82)&gt;=Lists!$H$2,OR(OR(Dashboard!$N$5="All windows",Dashboard!$N$5=""),$S82=Dashboard!$N$5)),1,0))</f>
        <v/>
      </c>
      <c r="X82" s="175">
        <f>IF($W82=1,N($D82)*1E14+MIN(MAX(N($U82),0),9999)*1E10+MIN(N($K82),99999)*1E5+99999-MIN(ROW(),99999),"")</f>
        <v/>
      </c>
    </row>
    <row r="83" ht="53" customHeight="1">
      <c r="A83" s="160" t="n">
        <v>80</v>
      </c>
      <c r="B83" s="161" t="inlineStr">
        <is>
          <t>Young man dies trying to save buried colleague at Aichi construction site</t>
        </is>
      </c>
      <c r="C83" s="176" t="inlineStr">
        <is>
          <t>Infrastructure &amp; the Underground City</t>
        </is>
      </c>
      <c r="D83" s="163" t="n">
        <v>3</v>
      </c>
      <c r="E83" s="177" t="inlineStr">
        <is>
          <t>News brief</t>
        </is>
      </c>
      <c r="F83" s="165" t="inlineStr">
        <is>
          <t>To review</t>
        </is>
      </c>
      <c r="G83" s="166" t="n"/>
      <c r="H83" s="167" t="n"/>
      <c r="I83" s="168" t="inlineStr">
        <is>
          <t>Why did the excavation or trench at this small site collapse, and what do the shoring and rescue failures reveal about excavation safety practice?</t>
        </is>
      </c>
      <c r="J83" s="168" t="inlineStr">
        <is>
          <t>Portal Mie</t>
        </is>
      </c>
      <c r="K83" s="169" t="n">
        <v>46325</v>
      </c>
      <c r="L83" s="168" t="inlineStr">
        <is>
          <t>Jovem morre ao tentar salvar colega soterrado em obra em Aichi</t>
        </is>
      </c>
      <c r="M83" s="168" t="inlineStr">
        <is>
          <t>Aichi prefectural labour standards office and police</t>
        </is>
      </c>
      <c r="N83" s="170" t="inlineStr">
        <is>
          <t>Japan</t>
        </is>
      </c>
      <c r="O83" s="168" t="inlineStr">
        <is>
          <t>Aichi Prefecture</t>
        </is>
      </c>
      <c r="P83" s="168" t="n"/>
      <c r="Q83" s="171" t="inlineStr">
        <is>
          <t>Brazil</t>
        </is>
      </c>
      <c r="R83" s="169" t="n">
        <v>46324</v>
      </c>
      <c r="S83" s="170" t="inlineStr">
        <is>
          <t>2026-Q4</t>
        </is>
      </c>
      <c r="T83" s="172" t="n"/>
      <c r="U83" s="160" t="n">
        <v>0</v>
      </c>
      <c r="V83" s="173" t="inlineStr">
        <is>
          <t>https://news.google.com/rss/articles/CBMipwFBVV95cUxPR0tFYlBfMWYtbVhwaFRjWldGd1g4YWxTSHlkUlAycUZSa0JtelFmVWQ3ZVRReks2YUs1N0VybHhQVDFlZXA4NHc0a1RXRzZxeUo2Q29LTHZWQWdZaFVXWFBiSnk4a1U0SWF4bVFKZk9yX1VUR0NXT1hrSl9tVWc3a1VPb01Wc1dvMmo2T01rOGtENHo2YXNRQWlwYklRbHVmUlJ0MnNZbw?oc=5</t>
        </is>
      </c>
      <c r="W83" s="174">
        <f>IF($B83="",0,IF(AND(OR(OR(Dashboard!$B$5="All themes",Dashboard!$B$5=""),$C83=Dashboard!$B$5),OR(OR(Dashboard!$G$5="All uses",Dashboard!$G$5=""),$E83=Dashboard!$G$5),N($D83)&gt;=Lists!$H$2,OR(OR(Dashboard!$N$5="All windows",Dashboard!$N$5=""),$S83=Dashboard!$N$5)),1,0))</f>
        <v/>
      </c>
      <c r="X83" s="175">
        <f>IF($W83=1,N($D83)*1E14+MIN(MAX(N($U83),0),9999)*1E10+MIN(N($K83),99999)*1E5+99999-MIN(ROW(),99999),"")</f>
        <v/>
      </c>
    </row>
    <row r="84" ht="53" customHeight="1">
      <c r="A84" s="160" t="n">
        <v>81</v>
      </c>
      <c r="B84" s="161" t="inlineStr">
        <is>
          <t>In Canada, a new type of landslide: permafrost breaks away from slopes in huge blocks</t>
        </is>
      </c>
      <c r="C84" s="162" t="inlineStr">
        <is>
          <t>Hazards &amp; Resilience</t>
        </is>
      </c>
      <c r="D84" s="163" t="n">
        <v>4</v>
      </c>
      <c r="E84" s="164" t="inlineStr">
        <is>
          <t>Feature lead</t>
        </is>
      </c>
      <c r="F84" s="165" t="inlineStr">
        <is>
          <t>To review</t>
        </is>
      </c>
      <c r="G84" s="166" t="n"/>
      <c r="H84" s="167" t="n"/>
      <c r="I84" s="168" t="inlineStr">
        <is>
          <t>What failure mechanism lets warming permafrost slopes release large intact ice-rich blocks, and how should slope monitoring in cold regions change?</t>
        </is>
      </c>
      <c r="J84" s="168" t="inlineStr">
        <is>
          <t>NEWS.am</t>
        </is>
      </c>
      <c r="K84" s="169" t="n">
        <v>46324</v>
      </c>
      <c r="L84" s="168" t="inlineStr">
        <is>
          <t>В Канаде обнаружили новый тип оползней: вечная мерзлота срывается со склонов огромными глыбами</t>
        </is>
      </c>
      <c r="M84" s="168" t="inlineStr">
        <is>
          <t>Geological Survey of Canada and the study's authors</t>
        </is>
      </c>
      <c r="N84" s="170" t="inlineStr">
        <is>
          <t>Canada</t>
        </is>
      </c>
      <c r="O84" s="168" t="n"/>
      <c r="P84" s="168" t="inlineStr">
        <is>
          <t>Canadian permafrost landslide study (Oct 2026) · Investigation &amp; inquiry · 6 reports</t>
        </is>
      </c>
      <c r="Q84" s="171" t="inlineStr">
        <is>
          <t>Russia</t>
        </is>
      </c>
      <c r="R84" s="169" t="n">
        <v>46323</v>
      </c>
      <c r="S84" s="170" t="inlineStr">
        <is>
          <t>2026-Q4</t>
        </is>
      </c>
      <c r="T84" s="172" t="inlineStr">
        <is>
          <t>landslide, slope, permafrost</t>
        </is>
      </c>
      <c r="U84" s="160" t="n">
        <v>9</v>
      </c>
      <c r="V84" s="173" t="inlineStr">
        <is>
          <t>https://news.google.com/rss/articles/CBMiRkFVX3lxTE1yOEM5X19qcGxJa0VLVml2ZHpDNmxEdmtLcHZwY2ZJMTFUbFZ3MjFLa0sxTTNnMmxIREJ5WTJMallsaE5qRUE?oc=5</t>
        </is>
      </c>
      <c r="W84" s="174">
        <f>IF($B84="",0,IF(AND(OR(OR(Dashboard!$B$5="All themes",Dashboard!$B$5=""),$C84=Dashboard!$B$5),OR(OR(Dashboard!$G$5="All uses",Dashboard!$G$5=""),$E84=Dashboard!$G$5),N($D84)&gt;=Lists!$H$2,OR(OR(Dashboard!$N$5="All windows",Dashboard!$N$5=""),$S84=Dashboard!$N$5)),1,0))</f>
        <v/>
      </c>
      <c r="X84" s="175">
        <f>IF($W84=1,N($D84)*1E14+MIN(MAX(N($U84),0),9999)*1E10+MIN(N($K84),99999)*1E5+99999-MIN(ROW(),99999),"")</f>
        <v/>
      </c>
    </row>
    <row r="85" ht="53" customHeight="1">
      <c r="A85" s="160" t="n">
        <v>82</v>
      </c>
      <c r="B85" s="161" t="inlineStr">
        <is>
          <t>Construction begins on Ohio River wastewater tunnel</t>
        </is>
      </c>
      <c r="C85" s="176" t="inlineStr">
        <is>
          <t>Infrastructure &amp; the Underground City</t>
        </is>
      </c>
      <c r="D85" s="163" t="n">
        <v>4</v>
      </c>
      <c r="E85" s="177" t="inlineStr">
        <is>
          <t>News brief</t>
        </is>
      </c>
      <c r="F85" s="165" t="inlineStr">
        <is>
          <t>To review</t>
        </is>
      </c>
      <c r="G85" s="166" t="n"/>
      <c r="H85" s="167" t="n"/>
      <c r="I85" s="168" t="inlineStr">
        <is>
          <t>What ground conditions and tunnelling methods are being used to build a large deep wastewater tunnel beneath an urban river in Pittsburgh?</t>
        </is>
      </c>
      <c r="J85" s="168" t="inlineStr">
        <is>
          <t>Tunnelling Journal</t>
        </is>
      </c>
      <c r="K85" s="169" t="n">
        <v>46324</v>
      </c>
      <c r="L85" s="168" t="n"/>
      <c r="M85" s="168" t="inlineStr">
        <is>
          <t>Allegheny County Sanitary Authority (ALCOSAN)</t>
        </is>
      </c>
      <c r="N85" s="170" t="inlineStr">
        <is>
          <t>United States</t>
        </is>
      </c>
      <c r="O85" s="168" t="inlineStr">
        <is>
          <t>Pittsburgh, Pennsylvania</t>
        </is>
      </c>
      <c r="P85" s="168" t="n"/>
      <c r="Q85" s="171" t="n"/>
      <c r="R85" s="169" t="n">
        <v>46323</v>
      </c>
      <c r="S85" s="170" t="inlineStr">
        <is>
          <t>2026-Q4</t>
        </is>
      </c>
      <c r="T85" s="172" t="inlineStr">
        <is>
          <t>tunnelling, tunnel</t>
        </is>
      </c>
      <c r="U85" s="160" t="n">
        <v>7</v>
      </c>
      <c r="V85" s="173" t="inlineStr">
        <is>
          <t>https://tunnellingjournal.com/construction-begins-on-ohio-river-wastewater-tunnel/</t>
        </is>
      </c>
      <c r="W85" s="174">
        <f>IF($B85="",0,IF(AND(OR(OR(Dashboard!$B$5="All themes",Dashboard!$B$5=""),$C85=Dashboard!$B$5),OR(OR(Dashboard!$G$5="All uses",Dashboard!$G$5=""),$E85=Dashboard!$G$5),N($D85)&gt;=Lists!$H$2,OR(OR(Dashboard!$N$5="All windows",Dashboard!$N$5=""),$S85=Dashboard!$N$5)),1,0))</f>
        <v/>
      </c>
      <c r="X85" s="175">
        <f>IF($W85=1,N($D85)*1E14+MIN(MAX(N($U85),0),9999)*1E10+MIN(N($K85),99999)*1E5+99999-MIN(ROW(),99999),"")</f>
        <v/>
      </c>
    </row>
    <row r="86" ht="40.5" customHeight="1">
      <c r="A86" s="160" t="n">
        <v>83</v>
      </c>
      <c r="B86" s="161" t="inlineStr">
        <is>
          <t>Permafrost landslide in Canada reveals impact of climate warming</t>
        </is>
      </c>
      <c r="C86" s="162" t="inlineStr">
        <is>
          <t>Hazards &amp; Resilience</t>
        </is>
      </c>
      <c r="D86" s="163" t="n">
        <v>4</v>
      </c>
      <c r="E86" s="179" t="inlineStr">
        <is>
          <t>Watch only</t>
        </is>
      </c>
      <c r="F86" s="165" t="inlineStr">
        <is>
          <t>To review</t>
        </is>
      </c>
      <c r="G86" s="166" t="n"/>
      <c r="H86" s="167" t="n"/>
      <c r="I86" s="168" t="inlineStr">
        <is>
          <t>How does warming permafrost degradation change slope stability and the ground-ice failure mechanisms in Canadian terrain?</t>
        </is>
      </c>
      <c r="J86" s="168" t="inlineStr">
        <is>
          <t>Demokratis.co.id</t>
        </is>
      </c>
      <c r="K86" s="169" t="n">
        <v>46324</v>
      </c>
      <c r="L86" s="168" t="inlineStr">
        <is>
          <t>Longsor Permafrost Kanada Ungkap Dampak Pemanasan Iklim</t>
        </is>
      </c>
      <c r="M86" s="168" t="inlineStr">
        <is>
          <t>Geological Survey of Canada and the study's authors</t>
        </is>
      </c>
      <c r="N86" s="170" t="inlineStr">
        <is>
          <t>Canada</t>
        </is>
      </c>
      <c r="O86" s="168" t="n"/>
      <c r="P86" s="168" t="inlineStr">
        <is>
          <t>Canadian permafrost landslide study (Oct 2026) · Investigation &amp; inquiry · 6 reports</t>
        </is>
      </c>
      <c r="Q86" s="171" t="inlineStr">
        <is>
          <t>Indonesia</t>
        </is>
      </c>
      <c r="R86" s="169" t="n">
        <v>46323</v>
      </c>
      <c r="S86" s="170" t="inlineStr">
        <is>
          <t>2026-Q4</t>
        </is>
      </c>
      <c r="T86" s="172" t="inlineStr">
        <is>
          <t>landslide, permafrost</t>
        </is>
      </c>
      <c r="U86" s="160" t="n">
        <v>7</v>
      </c>
      <c r="V86" s="173" t="inlineStr">
        <is>
          <t>https://news.google.com/rss/articles/CBMidEFVX3lxTFBTeURGR3lYallhZzlGM0l1cmxzWUlvRkRMZnNZQVUwUW5LN2l4S0F6bmVHeVJGWDgyX3JDcG54anVoUWlUUkhOc01oSDZrV3lDbTJRRXdnT294czIyX3B1MlRyal9ZVFRqb0RiaTRPZUVHX3RZ?oc=5</t>
        </is>
      </c>
      <c r="W86" s="174">
        <f>IF($B86="",0,IF(AND(OR(OR(Dashboard!$B$5="All themes",Dashboard!$B$5=""),$C86=Dashboard!$B$5),OR(OR(Dashboard!$G$5="All uses",Dashboard!$G$5=""),$E86=Dashboard!$G$5),N($D86)&gt;=Lists!$H$2,OR(OR(Dashboard!$N$5="All windows",Dashboard!$N$5=""),$S86=Dashboard!$N$5)),1,0))</f>
        <v/>
      </c>
      <c r="X86" s="175">
        <f>IF($W86=1,N($D86)*1E14+MIN(MAX(N($U86),0),9999)*1E10+MIN(N($K86),99999)*1E5+99999-MIN(ROW(),99999),"")</f>
        <v/>
      </c>
    </row>
    <row r="87" ht="40.5" customHeight="1">
      <c r="A87" s="160" t="n">
        <v>84</v>
      </c>
      <c r="B87" s="161" t="inlineStr">
        <is>
          <t>Permafrost in Canada collapses, house-sized ice blocks fall uncontrolled</t>
        </is>
      </c>
      <c r="C87" s="162" t="inlineStr">
        <is>
          <t>Hazards &amp; Resilience</t>
        </is>
      </c>
      <c r="D87" s="163" t="n">
        <v>4</v>
      </c>
      <c r="E87" s="179" t="inlineStr">
        <is>
          <t>Watch only</t>
        </is>
      </c>
      <c r="F87" s="165" t="inlineStr">
        <is>
          <t>To review</t>
        </is>
      </c>
      <c r="G87" s="166" t="n"/>
      <c r="H87" s="167" t="n"/>
      <c r="I87" s="168" t="inlineStr">
        <is>
          <t>How does warming permafrost degradation change slope stability and the ground-ice failure mechanisms in Canadian terrain?</t>
        </is>
      </c>
      <c r="J87" s="168" t="inlineStr">
        <is>
          <t>detikInet</t>
        </is>
      </c>
      <c r="K87" s="169" t="n">
        <v>46324</v>
      </c>
      <c r="L87" s="168" t="inlineStr">
        <is>
          <t>Permafrost di Kanada Longsor, Bongkah Es Sebesar Rumah Jatuh Tak Terkendali</t>
        </is>
      </c>
      <c r="M87" s="168" t="inlineStr">
        <is>
          <t>Geological Survey of Canada and the study's authors</t>
        </is>
      </c>
      <c r="N87" s="170" t="inlineStr">
        <is>
          <t>Canada</t>
        </is>
      </c>
      <c r="O87" s="168" t="n"/>
      <c r="P87" s="168" t="inlineStr">
        <is>
          <t>Canadian permafrost landslide study (Oct 2026) · Investigation &amp; inquiry · 6 reports</t>
        </is>
      </c>
      <c r="Q87" s="171" t="inlineStr">
        <is>
          <t>Indonesia</t>
        </is>
      </c>
      <c r="R87" s="169" t="n">
        <v>46323</v>
      </c>
      <c r="S87" s="170" t="inlineStr">
        <is>
          <t>2026-Q4</t>
        </is>
      </c>
      <c r="T87" s="172" t="inlineStr">
        <is>
          <t>landslide, permafrost</t>
        </is>
      </c>
      <c r="U87" s="160" t="n">
        <v>7</v>
      </c>
      <c r="V87" s="173" t="inlineStr">
        <is>
          <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t>
        </is>
      </c>
      <c r="W87" s="174">
        <f>IF($B87="",0,IF(AND(OR(OR(Dashboard!$B$5="All themes",Dashboard!$B$5=""),$C87=Dashboard!$B$5),OR(OR(Dashboard!$G$5="All uses",Dashboard!$G$5=""),$E87=Dashboard!$G$5),N($D87)&gt;=Lists!$H$2,OR(OR(Dashboard!$N$5="All windows",Dashboard!$N$5=""),$S87=Dashboard!$N$5)),1,0))</f>
        <v/>
      </c>
      <c r="X87" s="175">
        <f>IF($W87=1,N($D87)*1E14+MIN(MAX(N($U87),0),9999)*1E10+MIN(N($K87),99999)*1E5+99999-MIN(ROW(),99999),"")</f>
        <v/>
      </c>
    </row>
    <row r="88" ht="40.5" customHeight="1">
      <c r="A88" s="160" t="n">
        <v>85</v>
      </c>
      <c r="B88" s="161" t="inlineStr">
        <is>
          <t>Permafrost landslide in Canada moves millions of cubic metres of soil</t>
        </is>
      </c>
      <c r="C88" s="162" t="inlineStr">
        <is>
          <t>Hazards &amp; Resilience</t>
        </is>
      </c>
      <c r="D88" s="163" t="n">
        <v>4</v>
      </c>
      <c r="E88" s="179" t="inlineStr">
        <is>
          <t>Watch only</t>
        </is>
      </c>
      <c r="F88" s="165" t="inlineStr">
        <is>
          <t>To review</t>
        </is>
      </c>
      <c r="G88" s="166" t="n"/>
      <c r="H88" s="167" t="n"/>
      <c r="I88" s="168" t="inlineStr">
        <is>
          <t>How does warming permafrost degradation change slope stability and the ground-ice failure mechanisms in Canadian terrain?</t>
        </is>
      </c>
      <c r="J88" s="168" t="inlineStr">
        <is>
          <t>SuaraGarut.ID</t>
        </is>
      </c>
      <c r="K88" s="169" t="n">
        <v>46324</v>
      </c>
      <c r="L88" s="168" t="inlineStr">
        <is>
          <t>Longsor Permafrost di Kanada Mengangkut Jutaan Meter Kubik Tanah</t>
        </is>
      </c>
      <c r="M88" s="168" t="inlineStr">
        <is>
          <t>Geological Survey of Canada and the study's authors</t>
        </is>
      </c>
      <c r="N88" s="170" t="inlineStr">
        <is>
          <t>Canada</t>
        </is>
      </c>
      <c r="O88" s="168" t="n"/>
      <c r="P88" s="168" t="inlineStr">
        <is>
          <t>Canadian permafrost landslide study (Oct 2026) · Investigation &amp; inquiry · 6 reports</t>
        </is>
      </c>
      <c r="Q88" s="171" t="inlineStr">
        <is>
          <t>Indonesia</t>
        </is>
      </c>
      <c r="R88" s="169" t="n">
        <v>46323</v>
      </c>
      <c r="S88" s="170" t="inlineStr">
        <is>
          <t>2026-Q4</t>
        </is>
      </c>
      <c r="T88" s="172" t="inlineStr">
        <is>
          <t>landslide, permafrost</t>
        </is>
      </c>
      <c r="U88" s="160" t="n">
        <v>7</v>
      </c>
      <c r="V88" s="173" t="inlineStr">
        <is>
          <t>https://news.google.com/rss/articles/CBMiW0FVX3lxTE9ydldBZWdDdE1qZ3VhclN1Q2E0c3JGdmZJSmU1REwtTzV2RVlQNGFONFFUbVlMUlFCUlh1SlM5NGlfdmNQYUdQSkg1T0dIZ3BtSXIxYmtzMUg3Z2c?oc=5</t>
        </is>
      </c>
      <c r="W88" s="174">
        <f>IF($B88="",0,IF(AND(OR(OR(Dashboard!$B$5="All themes",Dashboard!$B$5=""),$C88=Dashboard!$B$5),OR(OR(Dashboard!$G$5="All uses",Dashboard!$G$5=""),$E88=Dashboard!$G$5),N($D88)&gt;=Lists!$H$2,OR(OR(Dashboard!$N$5="All windows",Dashboard!$N$5=""),$S88=Dashboard!$N$5)),1,0))</f>
        <v/>
      </c>
      <c r="X88" s="175">
        <f>IF($W88=1,N($D88)*1E14+MIN(MAX(N($U88),0),9999)*1E10+MIN(N($K88),99999)*1E5+99999-MIN(ROW(),99999),"")</f>
        <v/>
      </c>
    </row>
    <row r="89" ht="40.5" customHeight="1">
      <c r="A89" s="160" t="n">
        <v>86</v>
      </c>
      <c r="B89" s="161" t="inlineStr">
        <is>
          <t>Canadian permafrost slides after warming and fire, 10 m frozen blocks slide down</t>
        </is>
      </c>
      <c r="C89" s="162" t="inlineStr">
        <is>
          <t>Hazards &amp; Resilience</t>
        </is>
      </c>
      <c r="D89" s="163" t="n">
        <v>4</v>
      </c>
      <c r="E89" s="179" t="inlineStr">
        <is>
          <t>Watch only</t>
        </is>
      </c>
      <c r="F89" s="165" t="inlineStr">
        <is>
          <t>To review</t>
        </is>
      </c>
      <c r="G89" s="166" t="n"/>
      <c r="H89" s="167" t="n"/>
      <c r="I89" s="168" t="inlineStr">
        <is>
          <t>How does warming permafrost degradation change slope stability and the ground-ice failure mechanisms in Canadian terrain?</t>
        </is>
      </c>
      <c r="J89" s="168" t="inlineStr">
        <is>
          <t>gadget.qoo10.co.id</t>
        </is>
      </c>
      <c r="K89" s="169" t="n">
        <v>46324</v>
      </c>
      <c r="L89" s="168" t="inlineStr">
        <is>
          <t>Permafrost Kanada Longsor Setelah Pemanasan dan Kebakaran, Bongkah Beku 10 Meter Meluncur</t>
        </is>
      </c>
      <c r="M89" s="168" t="inlineStr">
        <is>
          <t>Geological Survey of Canada and the study's authors</t>
        </is>
      </c>
      <c r="N89" s="170" t="inlineStr">
        <is>
          <t>Canada</t>
        </is>
      </c>
      <c r="O89" s="168" t="n"/>
      <c r="P89" s="168" t="n"/>
      <c r="Q89" s="171" t="inlineStr">
        <is>
          <t>Indonesia</t>
        </is>
      </c>
      <c r="R89" s="169" t="n">
        <v>46323</v>
      </c>
      <c r="S89" s="170" t="inlineStr">
        <is>
          <t>2026-Q4</t>
        </is>
      </c>
      <c r="T89" s="172" t="inlineStr">
        <is>
          <t>landslide, permafrost</t>
        </is>
      </c>
      <c r="U89" s="160" t="n">
        <v>7</v>
      </c>
      <c r="V89" s="173" t="inlineStr">
        <is>
          <t>https://news.google.com/rss/articles/CBMia0FVX3lxTFByd191ekQ3ZFIyQTR2aVNwVGFBWTNjb3dZLW1RaVZPeGRXU0paUG80a2VIbzhLYm9oZUphOHQ1LU45T2Y1WGNSMV80MDNsczFzTkdKTmxBMGNXUFRQdXptZkxyeUxLRGNRZ2VV?oc=5</t>
        </is>
      </c>
      <c r="W89" s="174">
        <f>IF($B89="",0,IF(AND(OR(OR(Dashboard!$B$5="All themes",Dashboard!$B$5=""),$C89=Dashboard!$B$5),OR(OR(Dashboard!$G$5="All uses",Dashboard!$G$5=""),$E89=Dashboard!$G$5),N($D89)&gt;=Lists!$H$2,OR(OR(Dashboard!$N$5="All windows",Dashboard!$N$5=""),$S89=Dashboard!$N$5)),1,0))</f>
        <v/>
      </c>
      <c r="X89" s="175">
        <f>IF($W89=1,N($D89)*1E14+MIN(MAX(N($U89),0),9999)*1E10+MIN(N($K89),99999)*1E5+99999-MIN(ROW(),99999),"")</f>
        <v/>
      </c>
    </row>
    <row r="90" ht="40.5" customHeight="1">
      <c r="A90" s="160" t="n">
        <v>87</v>
      </c>
      <c r="B90" s="161" t="inlineStr">
        <is>
          <t>Metroselskabet shortlists two bidders for M5 line</t>
        </is>
      </c>
      <c r="C90" s="176" t="inlineStr">
        <is>
          <t>Infrastructure &amp; the Underground City</t>
        </is>
      </c>
      <c r="D90" s="163" t="n">
        <v>4</v>
      </c>
      <c r="E90" s="177" t="inlineStr">
        <is>
          <t>News brief</t>
        </is>
      </c>
      <c r="F90" s="165" t="inlineStr">
        <is>
          <t>To review</t>
        </is>
      </c>
      <c r="G90" s="166" t="n"/>
      <c r="H90" s="167" t="n"/>
      <c r="I90" s="168" t="inlineStr">
        <is>
          <t>What ground risks do two bored tunnels and five underground stations in soft Copenhagen ground pose for the bidders' designs?</t>
        </is>
      </c>
      <c r="J90" s="168" t="inlineStr">
        <is>
          <t>Tunnels &amp; Tunnelling</t>
        </is>
      </c>
      <c r="K90" s="169" t="n">
        <v>46324</v>
      </c>
      <c r="L90" s="168" t="n"/>
      <c r="M90" s="168" t="inlineStr">
        <is>
          <t>Metroselskabet</t>
        </is>
      </c>
      <c r="N90" s="170" t="inlineStr">
        <is>
          <t>Denmark</t>
        </is>
      </c>
      <c r="O90" s="168" t="inlineStr">
        <is>
          <t>Copenhagen</t>
        </is>
      </c>
      <c r="P90" s="168" t="n"/>
      <c r="Q90" s="171" t="n"/>
      <c r="R90" s="169" t="n">
        <v>46323</v>
      </c>
      <c r="S90" s="170" t="inlineStr">
        <is>
          <t>2026-Q4</t>
        </is>
      </c>
      <c r="T90" s="172" t="inlineStr">
        <is>
          <t>tunnelling, tunnel</t>
        </is>
      </c>
      <c r="U90" s="160" t="n">
        <v>5</v>
      </c>
      <c r="V90" s="173" t="inlineStr">
        <is>
          <t>https://www.tunnelsandtunnelling.com/news/metroselskabet-shortlists-two-bidders-for-m5-line/</t>
        </is>
      </c>
      <c r="W90" s="174">
        <f>IF($B90="",0,IF(AND(OR(OR(Dashboard!$B$5="All themes",Dashboard!$B$5=""),$C90=Dashboard!$B$5),OR(OR(Dashboard!$G$5="All uses",Dashboard!$G$5=""),$E90=Dashboard!$G$5),N($D90)&gt;=Lists!$H$2,OR(OR(Dashboard!$N$5="All windows",Dashboard!$N$5=""),$S90=Dashboard!$N$5)),1,0))</f>
        <v/>
      </c>
      <c r="X90" s="175">
        <f>IF($W90=1,N($D90)*1E14+MIN(MAX(N($U90),0),9999)*1E10+MIN(N($K90),99999)*1E5+99999-MIN(ROW(),99999),"")</f>
        <v/>
      </c>
    </row>
    <row r="91" ht="53" customHeight="1">
      <c r="A91" s="160" t="n">
        <v>88</v>
      </c>
      <c r="B91" s="161" t="inlineStr">
        <is>
          <t>A year after efforts to repair the D'Ran pass landslide, the danger persists.</t>
        </is>
      </c>
      <c r="C91" s="162" t="inlineStr">
        <is>
          <t>Hazards &amp; Resilience</t>
        </is>
      </c>
      <c r="D91" s="163" t="n">
        <v>4</v>
      </c>
      <c r="E91" s="164" t="inlineStr">
        <is>
          <t>Feature lead</t>
        </is>
      </c>
      <c r="F91" s="165" t="inlineStr">
        <is>
          <t>To review</t>
        </is>
      </c>
      <c r="G91" s="166" t="n"/>
      <c r="H91" s="167" t="n"/>
      <c r="I91" s="168" t="inlineStr">
        <is>
          <t>Why did earlier repairs fail to stabilise this pass landslide, and what monitoring would show whether the slope is still moving?</t>
        </is>
      </c>
      <c r="J91" s="168" t="inlineStr">
        <is>
          <t>Vietnam.vn</t>
        </is>
      </c>
      <c r="K91" s="169" t="n">
        <v>46324</v>
      </c>
      <c r="L91" s="168" t="inlineStr">
        <is>
          <t>Un an après les efforts déployés pour réparer le glissement de terrain au col de D'Ran, le danger persiste.</t>
        </is>
      </c>
      <c r="M91" s="168" t="inlineStr">
        <is>
          <t>Vietnam Road Administration or Lam Dong provincial authorities</t>
        </is>
      </c>
      <c r="N91" s="170" t="inlineStr">
        <is>
          <t>Vietnam</t>
        </is>
      </c>
      <c r="O91" s="168" t="inlineStr">
        <is>
          <t>D'Ran pass, Lam Dong</t>
        </is>
      </c>
      <c r="P91" s="168" t="inlineStr">
        <is>
          <t>D'Ran pass landslide, Lam Dong, Vietnam · Event · 2 reports</t>
        </is>
      </c>
      <c r="Q91" s="171" t="inlineStr">
        <is>
          <t>France</t>
        </is>
      </c>
      <c r="R91" s="169" t="n">
        <v>46324</v>
      </c>
      <c r="S91" s="170" t="inlineStr">
        <is>
          <t>2026-Q4</t>
        </is>
      </c>
      <c r="T91" s="172" t="inlineStr">
        <is>
          <t>landslide</t>
        </is>
      </c>
      <c r="U91" s="160" t="n">
        <v>4</v>
      </c>
      <c r="V91" s="173" t="inlineStr">
        <is>
          <t>https://news.google.com/rss/articles/CBMihwFBVV95cUxOZHRNaWVsOHcxNWVqM3JzRWhwWjh1dVhGc1JWRFhnYjNZVllSUXo3R2VqRnotNjdlLXJ5RkFBeF9mQU03c3laelB4OVNBRkp0TEpVek82MHgyQ0N1M254X1laNXoyTDdhSDlxZGp2dHZyZU1pOHIxcWcyeVlOMURBaGl0dnBLS0E?oc=5</t>
        </is>
      </c>
      <c r="W91" s="174">
        <f>IF($B91="",0,IF(AND(OR(OR(Dashboard!$B$5="All themes",Dashboard!$B$5=""),$C91=Dashboard!$B$5),OR(OR(Dashboard!$G$5="All uses",Dashboard!$G$5=""),$E91=Dashboard!$G$5),N($D91)&gt;=Lists!$H$2,OR(OR(Dashboard!$N$5="All windows",Dashboard!$N$5=""),$S91=Dashboard!$N$5)),1,0))</f>
        <v/>
      </c>
      <c r="X91" s="175">
        <f>IF($W91=1,N($D91)*1E14+MIN(MAX(N($U91),0),9999)*1E10+MIN(N($K91),99999)*1E5+99999-MIN(ROW(),99999),"")</f>
        <v/>
      </c>
    </row>
    <row r="92" ht="53" customHeight="1">
      <c r="A92" s="160" t="n">
        <v>89</v>
      </c>
      <c r="B92" s="161" t="inlineStr">
        <is>
          <t>Heavy rains cause floods, landslides and disappearances in Haiti.</t>
        </is>
      </c>
      <c r="C92" s="162" t="inlineStr">
        <is>
          <t>Hazards &amp; Resilience</t>
        </is>
      </c>
      <c r="D92" s="163" t="n">
        <v>4</v>
      </c>
      <c r="E92" s="177" t="inlineStr">
        <is>
          <t>News brief</t>
        </is>
      </c>
      <c r="F92" s="165" t="inlineStr">
        <is>
          <t>To review</t>
        </is>
      </c>
      <c r="G92" s="166" t="n"/>
      <c r="H92" s="167" t="n"/>
      <c r="I92" s="168" t="inlineStr">
        <is>
          <t>How do intense rainfall events trigger widespread landslides in steep, deforested terrain and what early warning would reduce losses?</t>
        </is>
      </c>
      <c r="J92" s="168" t="inlineStr">
        <is>
          <t>The Haitian Times</t>
        </is>
      </c>
      <c r="K92" s="169" t="n">
        <v>46324</v>
      </c>
      <c r="L92" s="168" t="inlineStr">
        <is>
          <t>De fortes pluies provoquent des inondations, des glissements de terrain et des disparitions en Haïti.</t>
        </is>
      </c>
      <c r="M92" s="168" t="inlineStr">
        <is>
          <t>Haiti's civil protection agency (DPC)</t>
        </is>
      </c>
      <c r="N92" s="170" t="inlineStr">
        <is>
          <t>Haiti</t>
        </is>
      </c>
      <c r="O92" s="168" t="n"/>
      <c r="P92" s="168" t="n"/>
      <c r="Q92" s="171" t="inlineStr">
        <is>
          <t>France</t>
        </is>
      </c>
      <c r="R92" s="169" t="n">
        <v>46322</v>
      </c>
      <c r="S92" s="170" t="inlineStr">
        <is>
          <t>2026-Q4</t>
        </is>
      </c>
      <c r="T92" s="172" t="inlineStr">
        <is>
          <t>landslide, flood</t>
        </is>
      </c>
      <c r="U92" s="160" t="n">
        <v>4</v>
      </c>
      <c r="V92" s="173" t="inlineStr">
        <is>
          <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t>
        </is>
      </c>
      <c r="W92" s="174">
        <f>IF($B92="",0,IF(AND(OR(OR(Dashboard!$B$5="All themes",Dashboard!$B$5=""),$C92=Dashboard!$B$5),OR(OR(Dashboard!$G$5="All uses",Dashboard!$G$5=""),$E92=Dashboard!$G$5),N($D92)&gt;=Lists!$H$2,OR(OR(Dashboard!$N$5="All windows",Dashboard!$N$5=""),$S92=Dashboard!$N$5)),1,0))</f>
        <v/>
      </c>
      <c r="X92" s="175">
        <f>IF($W92=1,N($D92)*1E14+MIN(MAX(N($U92),0),9999)*1E10+MIN(N($K92),99999)*1E5+99999-MIN(ROW(),99999),"")</f>
        <v/>
      </c>
    </row>
    <row r="93" ht="40.5" customHeight="1">
      <c r="A93" s="160" t="n">
        <v>90</v>
      </c>
      <c r="B93" s="161" t="inlineStr">
        <is>
          <t>Landslide in California affects more than 245 properties.</t>
        </is>
      </c>
      <c r="C93" s="162" t="inlineStr">
        <is>
          <t>Hazards &amp; Resilience</t>
        </is>
      </c>
      <c r="D93" s="163" t="n">
        <v>4</v>
      </c>
      <c r="E93" s="164" t="inlineStr">
        <is>
          <t>Feature lead</t>
        </is>
      </c>
      <c r="F93" s="165" t="inlineStr">
        <is>
          <t>To review</t>
        </is>
      </c>
      <c r="G93" s="166" t="n"/>
      <c r="H93" s="167" t="n"/>
      <c r="I93" s="168" t="inlineStr">
        <is>
          <t>What mechanism is driving a landslide that affects hundreds of properties, and what mitigation suits such a large-scale slide?</t>
        </is>
      </c>
      <c r="J93" s="168" t="inlineStr">
        <is>
          <t>Periódico La Voz</t>
        </is>
      </c>
      <c r="K93" s="169" t="n">
        <v>46324</v>
      </c>
      <c r="L93" s="168" t="inlineStr">
        <is>
          <t>Deslizamiento de tierra en California afecta a más de 245 propiedades</t>
        </is>
      </c>
      <c r="M93" s="168" t="inlineStr">
        <is>
          <t>California Geological Survey</t>
        </is>
      </c>
      <c r="N93" s="170" t="inlineStr">
        <is>
          <t>United States</t>
        </is>
      </c>
      <c r="O93" s="168" t="inlineStr">
        <is>
          <t>California</t>
        </is>
      </c>
      <c r="P93" s="168" t="inlineStr">
        <is>
          <t>California landslide affecting 245 properties, US (Oct 2026) · Event · 2 reports</t>
        </is>
      </c>
      <c r="Q93" s="171" t="inlineStr">
        <is>
          <t>Mexico</t>
        </is>
      </c>
      <c r="R93" s="169" t="n">
        <v>46323</v>
      </c>
      <c r="S93" s="170" t="inlineStr">
        <is>
          <t>2026-Q4</t>
        </is>
      </c>
      <c r="T93" s="172" t="inlineStr">
        <is>
          <t>landslide</t>
        </is>
      </c>
      <c r="U93" s="160" t="n">
        <v>4</v>
      </c>
      <c r="V93" s="173" t="inlineStr">
        <is>
          <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t>
        </is>
      </c>
      <c r="W93" s="174">
        <f>IF($B93="",0,IF(AND(OR(OR(Dashboard!$B$5="All themes",Dashboard!$B$5=""),$C93=Dashboard!$B$5),OR(OR(Dashboard!$G$5="All uses",Dashboard!$G$5=""),$E93=Dashboard!$G$5),N($D93)&gt;=Lists!$H$2,OR(OR(Dashboard!$N$5="All windows",Dashboard!$N$5=""),$S93=Dashboard!$N$5)),1,0))</f>
        <v/>
      </c>
      <c r="X93" s="175">
        <f>IF($W93=1,N($D93)*1E14+MIN(MAX(N($U93),0),9999)*1E10+MIN(N($K93),99999)*1E5+99999-MIN(ROW(),99999),"")</f>
        <v/>
      </c>
    </row>
    <row r="94" ht="40.5" customHeight="1">
      <c r="A94" s="160" t="n">
        <v>91</v>
      </c>
      <c r="B94" s="161" t="inlineStr">
        <is>
          <t>Senapred maintains Red Alert for 10 communes of the Metropolitan Region due to mass movement risk.</t>
        </is>
      </c>
      <c r="C94" s="162" t="inlineStr">
        <is>
          <t>Hazards &amp; Resilience</t>
        </is>
      </c>
      <c r="D94" s="163" t="n">
        <v>4</v>
      </c>
      <c r="E94" s="177" t="inlineStr">
        <is>
          <t>News brief</t>
        </is>
      </c>
      <c r="F94" s="165" t="inlineStr">
        <is>
          <t>To review</t>
        </is>
      </c>
      <c r="G94" s="166" t="n"/>
      <c r="H94" s="167" t="n"/>
      <c r="I94" s="168" t="inlineStr">
        <is>
          <t>What criteria determine when a red alert for mass movement can be lifted across several communes?</t>
        </is>
      </c>
      <c r="J94" s="168" t="inlineStr">
        <is>
          <t>CNN Chile</t>
        </is>
      </c>
      <c r="K94" s="169" t="n">
        <v>46324</v>
      </c>
      <c r="L94" s="168" t="inlineStr">
        <is>
          <t>Senapred mantiene Alerta Roja para 10 comunas de la Región Metropolitana por riesgo de remoción en masa</t>
        </is>
      </c>
      <c r="M94" s="168" t="inlineStr">
        <is>
          <t>Senapred</t>
        </is>
      </c>
      <c r="N94" s="170" t="inlineStr">
        <is>
          <t>Chile</t>
        </is>
      </c>
      <c r="O94" s="168" t="inlineStr">
        <is>
          <t>Metropolitan Region, Chile</t>
        </is>
      </c>
      <c r="P94" s="168" t="inlineStr">
        <is>
          <t>Senapred declares Red Alert in the Metropolitan Region: the 10 commun… (Oct 2026) · Response &amp; recovery · 5 reports</t>
        </is>
      </c>
      <c r="Q94" s="171" t="inlineStr">
        <is>
          <t>Colombia</t>
        </is>
      </c>
      <c r="R94" s="169" t="n">
        <v>46323</v>
      </c>
      <c r="S94" s="170" t="inlineStr">
        <is>
          <t>2026-Q4</t>
        </is>
      </c>
      <c r="T94" s="172" t="inlineStr">
        <is>
          <t>landslide</t>
        </is>
      </c>
      <c r="U94" s="160" t="n">
        <v>4</v>
      </c>
      <c r="V94" s="173" t="inlineStr">
        <is>
          <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t>
        </is>
      </c>
      <c r="W94" s="174">
        <f>IF($B94="",0,IF(AND(OR(OR(Dashboard!$B$5="All themes",Dashboard!$B$5=""),$C94=Dashboard!$B$5),OR(OR(Dashboard!$G$5="All uses",Dashboard!$G$5=""),$E94=Dashboard!$G$5),N($D94)&gt;=Lists!$H$2,OR(OR(Dashboard!$N$5="All windows",Dashboard!$N$5=""),$S94=Dashboard!$N$5)),1,0))</f>
        <v/>
      </c>
      <c r="X94" s="175">
        <f>IF($W94=1,N($D94)*1E14+MIN(MAX(N($U94),0),9999)*1E10+MIN(N($K94),99999)*1E5+99999-MIN(ROW(),99999),"")</f>
        <v/>
      </c>
    </row>
    <row r="95" ht="53" customHeight="1">
      <c r="A95" s="160" t="n">
        <v>92</v>
      </c>
      <c r="B95" s="161" t="inlineStr">
        <is>
          <t>From mud to dust: heat complicates clean-up after debris flows as new storms threaten central zone.</t>
        </is>
      </c>
      <c r="C95" s="162" t="inlineStr">
        <is>
          <t>Hazards &amp; Resilience</t>
        </is>
      </c>
      <c r="D95" s="163" t="n">
        <v>4</v>
      </c>
      <c r="E95" s="164" t="inlineStr">
        <is>
          <t>Feature lead</t>
        </is>
      </c>
      <c r="F95" s="165" t="inlineStr">
        <is>
          <t>To review</t>
        </is>
      </c>
      <c r="G95" s="166" t="n"/>
      <c r="H95" s="167" t="n"/>
      <c r="I95" s="168" t="inlineStr">
        <is>
          <t>How should post-debris-flow clean-up and ground recovery be managed when new storms threaten the same area?</t>
        </is>
      </c>
      <c r="J95" s="168" t="inlineStr">
        <is>
          <t>La Tercera</t>
        </is>
      </c>
      <c r="K95" s="169" t="n">
        <v>46324</v>
      </c>
      <c r="L95" s="168" t="inlineStr">
        <is>
          <t>Del barro al polvo: calor complica las labores de limpieza tras los aluviones y nuevas tormentas amenazan a la zona central</t>
        </is>
      </c>
      <c r="M95" s="168" t="inlineStr">
        <is>
          <t>Senapred</t>
        </is>
      </c>
      <c r="N95" s="170" t="inlineStr">
        <is>
          <t>Chile</t>
        </is>
      </c>
      <c r="O95" s="168" t="inlineStr">
        <is>
          <t>Central zone, Chile</t>
        </is>
      </c>
      <c r="P95" s="168" t="inlineStr">
        <is>
          <t>Santiago debris flows, Chile (Oct 2026) · Response &amp; recovery · 2 reports</t>
        </is>
      </c>
      <c r="Q95" s="171" t="inlineStr">
        <is>
          <t>Chile</t>
        </is>
      </c>
      <c r="R95" s="169" t="n">
        <v>46323</v>
      </c>
      <c r="S95" s="170" t="inlineStr">
        <is>
          <t>2026-Q4</t>
        </is>
      </c>
      <c r="T95" s="172" t="inlineStr">
        <is>
          <t>debris flow</t>
        </is>
      </c>
      <c r="U95" s="160" t="n">
        <v>4</v>
      </c>
      <c r="V95" s="173" t="inlineStr">
        <is>
          <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t>
        </is>
      </c>
      <c r="W95" s="174">
        <f>IF($B95="",0,IF(AND(OR(OR(Dashboard!$B$5="All themes",Dashboard!$B$5=""),$C95=Dashboard!$B$5),OR(OR(Dashboard!$G$5="All uses",Dashboard!$G$5=""),$E95=Dashboard!$G$5),N($D95)&gt;=Lists!$H$2,OR(OR(Dashboard!$N$5="All windows",Dashboard!$N$5=""),$S95=Dashboard!$N$5)),1,0))</f>
        <v/>
      </c>
      <c r="X95" s="175">
        <f>IF($W95=1,N($D95)*1E14+MIN(MAX(N($U95),0),9999)*1E10+MIN(N($K95),99999)*1E5+99999-MIN(ROW(),99999),"")</f>
        <v/>
      </c>
    </row>
    <row r="96" ht="53" customHeight="1">
      <c r="A96" s="160" t="n">
        <v>93</v>
      </c>
      <c r="B96" s="161" t="inlineStr">
        <is>
          <t>Intense rain in Santiago leaves flooded homes, evacuations and debris flows: 10 communes under Red Alert</t>
        </is>
      </c>
      <c r="C96" s="162" t="inlineStr">
        <is>
          <t>Hazards &amp; Resilience</t>
        </is>
      </c>
      <c r="D96" s="163" t="n">
        <v>4</v>
      </c>
      <c r="E96" s="177" t="inlineStr">
        <is>
          <t>News brief</t>
        </is>
      </c>
      <c r="F96" s="165" t="inlineStr">
        <is>
          <t>To review</t>
        </is>
      </c>
      <c r="G96" s="166" t="n"/>
      <c r="H96" s="167" t="n"/>
      <c r="I96" s="168" t="inlineStr">
        <is>
          <t>Which slopes and watercourses in the ten red-alert communes produced the debris flows, and how were their ground conditions assessed before evacuations?</t>
        </is>
      </c>
      <c r="J96" s="168" t="inlineStr">
        <is>
          <t>Revista Digital Minera REDIMIN</t>
        </is>
      </c>
      <c r="K96" s="169" t="n">
        <v>46324</v>
      </c>
      <c r="L96" s="168" t="inlineStr">
        <is>
          <t>Intensas lluvias en Santiago dejan viviendas inundadas, evacuaciones y aluviones: 10 comunas bajo Alerta Roja</t>
        </is>
      </c>
      <c r="M96" s="168" t="inlineStr">
        <is>
          <t>Senapred, Chile's national emergency service</t>
        </is>
      </c>
      <c r="N96" s="170" t="inlineStr">
        <is>
          <t>Chile</t>
        </is>
      </c>
      <c r="O96" s="168" t="inlineStr">
        <is>
          <t>Santiago, Región Metropolitana</t>
        </is>
      </c>
      <c r="P96" s="168" t="inlineStr">
        <is>
          <t>Senapred declares Red Alert in the Metropolitan Region: the 10 commun… (Oct 2026) · Event · 5 reports</t>
        </is>
      </c>
      <c r="Q96" s="171" t="inlineStr">
        <is>
          <t>Chile</t>
        </is>
      </c>
      <c r="R96" s="169" t="n">
        <v>46322</v>
      </c>
      <c r="S96" s="170" t="inlineStr">
        <is>
          <t>2026-Q4</t>
        </is>
      </c>
      <c r="T96" s="172" t="inlineStr">
        <is>
          <t>debris flow</t>
        </is>
      </c>
      <c r="U96" s="160" t="n">
        <v>4</v>
      </c>
      <c r="V96" s="173" t="inlineStr">
        <is>
          <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t>
        </is>
      </c>
      <c r="W96" s="174">
        <f>IF($B96="",0,IF(AND(OR(OR(Dashboard!$B$5="All themes",Dashboard!$B$5=""),$C96=Dashboard!$B$5),OR(OR(Dashboard!$G$5="All uses",Dashboard!$G$5=""),$E96=Dashboard!$G$5),N($D96)&gt;=Lists!$H$2,OR(OR(Dashboard!$N$5="All windows",Dashboard!$N$5=""),$S96=Dashboard!$N$5)),1,0))</f>
        <v/>
      </c>
      <c r="X96" s="175">
        <f>IF($W96=1,N($D96)*1E14+MIN(MAX(N($U96),0),9999)*1E10+MIN(N($K96),99999)*1E5+99999-MIN(ROW(),99999),"")</f>
        <v/>
      </c>
    </row>
    <row r="97" ht="53" customHeight="1">
      <c r="A97" s="160" t="n">
        <v>94</v>
      </c>
      <c r="B97" s="161" t="inlineStr">
        <is>
          <t>Metro tunnelling completed in Lima</t>
        </is>
      </c>
      <c r="C97" s="176" t="inlineStr">
        <is>
          <t>Infrastructure &amp; the Underground City</t>
        </is>
      </c>
      <c r="D97" s="163" t="n">
        <v>4</v>
      </c>
      <c r="E97" s="164" t="inlineStr">
        <is>
          <t>Feature lead</t>
        </is>
      </c>
      <c r="F97" s="165" t="inlineStr">
        <is>
          <t>To review</t>
        </is>
      </c>
      <c r="G97" s="166" t="n"/>
      <c r="H97" s="167" t="n"/>
      <c r="I97" s="168" t="inlineStr">
        <is>
          <t>What ground conditions did the tunnel boring machines encounter in Lima, and how were settlement and face stability controlled during excavation?</t>
        </is>
      </c>
      <c r="J97" s="168" t="inlineStr">
        <is>
          <t>International Railway Journal</t>
        </is>
      </c>
      <c r="K97" s="169" t="n">
        <v>46324</v>
      </c>
      <c r="L97" s="168" t="n"/>
      <c r="M97" s="168" t="inlineStr">
        <is>
          <t>Metro de Lima Línea 2 consortium</t>
        </is>
      </c>
      <c r="N97" s="170" t="inlineStr">
        <is>
          <t>Peru</t>
        </is>
      </c>
      <c r="O97" s="168" t="inlineStr">
        <is>
          <t>Lima</t>
        </is>
      </c>
      <c r="P97" s="168" t="inlineStr">
        <is>
          <t>Lima Metro Line 4 tunnelling, Peru · Update · 2 reports</t>
        </is>
      </c>
      <c r="Q97" s="171" t="inlineStr">
        <is>
          <t>United Kingdom</t>
        </is>
      </c>
      <c r="R97" s="169" t="n">
        <v>46323</v>
      </c>
      <c r="S97" s="170" t="inlineStr">
        <is>
          <t>2026-Q4</t>
        </is>
      </c>
      <c r="T97" s="172" t="inlineStr">
        <is>
          <t>tunnelling</t>
        </is>
      </c>
      <c r="U97" s="160" t="n">
        <v>3</v>
      </c>
      <c r="V97" s="173" t="inlineStr">
        <is>
          <t>https://news.google.com/rss/articles/CBMihwFBVV95cUxNV0xxZXdWMFNYTFdPUmNDcGdrcEE0Rzc1TnNfcEJzaDVtSGxKWUFVOUdLMThDOEJIZy11MElISFRZc0R1dk5obTd3aVhPZTRVS3ZvVFdod3phQUN4RDlEM2tLeHpoS3gxRlRBdzBfOTUyVW1iLWNiczYwRGhZemk5cWxkQ2xkQ2c?oc=5</t>
        </is>
      </c>
      <c r="W97" s="174">
        <f>IF($B97="",0,IF(AND(OR(OR(Dashboard!$B$5="All themes",Dashboard!$B$5=""),$C97=Dashboard!$B$5),OR(OR(Dashboard!$G$5="All uses",Dashboard!$G$5=""),$E97=Dashboard!$G$5),N($D97)&gt;=Lists!$H$2,OR(OR(Dashboard!$N$5="All windows",Dashboard!$N$5=""),$S97=Dashboard!$N$5)),1,0))</f>
        <v/>
      </c>
      <c r="X97" s="175">
        <f>IF($W97=1,N($D97)*1E14+MIN(MAX(N($U97),0),9999)*1E10+MIN(N($K97),99999)*1E5+99999-MIN(ROW(),99999),"")</f>
        <v/>
      </c>
    </row>
    <row r="98" ht="53" customHeight="1">
      <c r="A98" s="160" t="n">
        <v>95</v>
      </c>
      <c r="B98" s="161" t="inlineStr">
        <is>
          <t>Parts of Tibetan Plateau's frozen ground are gaining ice despite warming</t>
        </is>
      </c>
      <c r="C98" s="162" t="inlineStr">
        <is>
          <t>Hazards &amp; Resilience</t>
        </is>
      </c>
      <c r="D98" s="163" t="n">
        <v>4</v>
      </c>
      <c r="E98" s="182" t="inlineStr">
        <is>
          <t>Academia-to-Industry topic</t>
        </is>
      </c>
      <c r="F98" s="165" t="inlineStr">
        <is>
          <t>To review</t>
        </is>
      </c>
      <c r="G98" s="166" t="n"/>
      <c r="H98" s="167" t="n"/>
      <c r="I98" s="168" t="inlineStr">
        <is>
          <t>How does permafrost ice gain on the Qinghai-Xizang Plateau affect the thermal and bearing behaviour assumed in foundation design for infrastructure there?</t>
        </is>
      </c>
      <c r="J98" s="168" t="inlineStr">
        <is>
          <t>Phys.org Earth Sciences</t>
        </is>
      </c>
      <c r="K98" s="169" t="n">
        <v>46324</v>
      </c>
      <c r="L98" s="168" t="n"/>
      <c r="M98" s="168" t="n"/>
      <c r="N98" s="170" t="inlineStr">
        <is>
          <t>China</t>
        </is>
      </c>
      <c r="O98" s="168" t="inlineStr">
        <is>
          <t>Qinghai-Xizang Plateau</t>
        </is>
      </c>
      <c r="P98" s="168" t="n"/>
      <c r="Q98" s="171" t="n"/>
      <c r="R98" s="169" t="n">
        <v>46323</v>
      </c>
      <c r="S98" s="170" t="inlineStr">
        <is>
          <t>2026-Q4</t>
        </is>
      </c>
      <c r="T98" s="172" t="inlineStr">
        <is>
          <t>permafrost</t>
        </is>
      </c>
      <c r="U98" s="160" t="n">
        <v>3</v>
      </c>
      <c r="V98" s="173" t="inlineStr">
        <is>
          <t>https://phys.org/news/2026-10-tibetan-plateau-frozen-ground-gaining.html</t>
        </is>
      </c>
      <c r="W98" s="174">
        <f>IF($B98="",0,IF(AND(OR(OR(Dashboard!$B$5="All themes",Dashboard!$B$5=""),$C98=Dashboard!$B$5),OR(OR(Dashboard!$G$5="All uses",Dashboard!$G$5=""),$E98=Dashboard!$G$5),N($D98)&gt;=Lists!$H$2,OR(OR(Dashboard!$N$5="All windows",Dashboard!$N$5=""),$S98=Dashboard!$N$5)),1,0))</f>
        <v/>
      </c>
      <c r="X98" s="175">
        <f>IF($W98=1,N($D98)*1E14+MIN(MAX(N($U98),0),9999)*1E10+MIN(N($K98),99999)*1E5+99999-MIN(ROW(),99999),"")</f>
        <v/>
      </c>
    </row>
    <row r="99" ht="53" customHeight="1">
      <c r="A99" s="160" t="n">
        <v>96</v>
      </c>
      <c r="B99" s="161" t="inlineStr">
        <is>
          <t>On Grand Paris Express Line 15 West, diaphragm wall works for the future Saint-Cloud station had to fit a tight site</t>
        </is>
      </c>
      <c r="C99" s="176" t="inlineStr">
        <is>
          <t>Infrastructure &amp; the Underground City</t>
        </is>
      </c>
      <c r="D99" s="163" t="n">
        <v>4</v>
      </c>
      <c r="E99" s="164" t="inlineStr">
        <is>
          <t>Feature lead</t>
        </is>
      </c>
      <c r="F99" s="165" t="inlineStr">
        <is>
          <t>To review</t>
        </is>
      </c>
      <c r="G99" s="166" t="n"/>
      <c r="H99" s="167" t="n"/>
      <c r="I99" s="168" t="inlineStr">
        <is>
          <t>How are diaphragm walls designed and sequenced for a deep station excavation on a very confined urban site with neighbouring structures?</t>
        </is>
      </c>
      <c r="J99" s="168" t="inlineStr">
        <is>
          <t>Le Moniteur</t>
        </is>
      </c>
      <c r="K99" s="169" t="n">
        <v>46324</v>
      </c>
      <c r="L99" s="168" t="inlineStr">
        <is>
          <t>Sur la ligne 15 ouest du Grand Paris Express, le chantier des parois moulées de la future gare de Saint-Cloud a dû se glisser dans un mouchoir de poche</t>
        </is>
      </c>
      <c r="M99" s="168" t="inlineStr">
        <is>
          <t>Société du Grand Paris</t>
        </is>
      </c>
      <c r="N99" s="170" t="inlineStr">
        <is>
          <t>France</t>
        </is>
      </c>
      <c r="O99" s="168" t="inlineStr">
        <is>
          <t>Saint-Cloud station, Grand Paris Express Line 15 West</t>
        </is>
      </c>
      <c r="P99" s="168" t="n"/>
      <c r="Q99" s="171" t="inlineStr">
        <is>
          <t>Senegal</t>
        </is>
      </c>
      <c r="R99" s="169" t="n">
        <v>46324</v>
      </c>
      <c r="S99" s="170" t="inlineStr">
        <is>
          <t>2026-Q4</t>
        </is>
      </c>
      <c r="T99" s="172" t="n"/>
      <c r="U99" s="160" t="n">
        <v>0</v>
      </c>
      <c r="V99" s="173" t="inlineStr">
        <is>
          <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t>
        </is>
      </c>
      <c r="W99" s="174">
        <f>IF($B99="",0,IF(AND(OR(OR(Dashboard!$B$5="All themes",Dashboard!$B$5=""),$C99=Dashboard!$B$5),OR(OR(Dashboard!$G$5="All uses",Dashboard!$G$5=""),$E99=Dashboard!$G$5),N($D99)&gt;=Lists!$H$2,OR(OR(Dashboard!$N$5="All windows",Dashboard!$N$5=""),$S99=Dashboard!$N$5)),1,0))</f>
        <v/>
      </c>
      <c r="X99" s="175">
        <f>IF($W99=1,N($D99)*1E14+MIN(MAX(N($U99),0),9999)*1E10+MIN(N($K99),99999)*1E5+99999-MIN(ROW(),99999),"")</f>
        <v/>
      </c>
    </row>
    <row r="100" ht="53" customHeight="1">
      <c r="A100" s="160" t="n">
        <v>97</v>
      </c>
      <c r="B100" s="161" t="inlineStr">
        <is>
          <t>Prenn Pass has collapsed 8 times, reinforced with steel mesh and 6 m long anchors</t>
        </is>
      </c>
      <c r="C100" s="162" t="inlineStr">
        <is>
          <t>Hazards &amp; Resilience</t>
        </is>
      </c>
      <c r="D100" s="163" t="n">
        <v>4</v>
      </c>
      <c r="E100" s="164" t="inlineStr">
        <is>
          <t>Feature lead</t>
        </is>
      </c>
      <c r="F100" s="165" t="inlineStr">
        <is>
          <t>To review</t>
        </is>
      </c>
      <c r="G100" s="166" t="n"/>
      <c r="H100" s="167" t="n"/>
      <c r="I100" s="168" t="inlineStr">
        <is>
          <t>How effective are steel mesh and long rock anchors at stabilising a road slope that has collapsed repeatedly, and what monitoring confirms their performance?</t>
        </is>
      </c>
      <c r="J100" s="168" t="inlineStr">
        <is>
          <t>Laodong.vn</t>
        </is>
      </c>
      <c r="K100" s="169" t="n">
        <v>46324</v>
      </c>
      <c r="L100" s="168" t="inlineStr">
        <is>
          <t>Le col de Prenn s'est effondré 8 fois, renforcé par un filet d'acier et des ancres de 6 m de long</t>
        </is>
      </c>
      <c r="M100" s="168" t="inlineStr">
        <is>
          <t>Lam Dong provincial road authority</t>
        </is>
      </c>
      <c r="N100" s="170" t="inlineStr">
        <is>
          <t>Vietnam</t>
        </is>
      </c>
      <c r="O100" s="168" t="inlineStr">
        <is>
          <t>Prenn Pass, Đà Lạt</t>
        </is>
      </c>
      <c r="P100" s="168" t="inlineStr">
        <is>
          <t>Prenn Pass slope collapses, Da Lat, Vietnam · Repair &amp; reconstruction · 3 reports</t>
        </is>
      </c>
      <c r="Q100" s="171" t="inlineStr">
        <is>
          <t>France</t>
        </is>
      </c>
      <c r="R100" s="169" t="n">
        <v>46324</v>
      </c>
      <c r="S100" s="170" t="inlineStr">
        <is>
          <t>2026-Q4</t>
        </is>
      </c>
      <c r="T100" s="172" t="n"/>
      <c r="U100" s="160" t="n">
        <v>0</v>
      </c>
      <c r="V100" s="173" t="inlineStr">
        <is>
          <t>https://news.google.com/rss/articles/CBMiswFBVV95cUxQSU15MUxYYnZmTU1vdUJxZEFEeW5ub24zWGpkdFo4R21iZnduNjB0Sy1sSXVlbW1mQzd6Y0gydktNM2xnU1dlQ2x0UXNBNHdCVHJxMXFwMnd2bWF2blVzUG15REYwdkgwbi1DU1VoYkVtclpKX2pIRE5Xcnp0OEZDUEZDT3AwNDB6WDRjNWVTWXd4NmRNb3AtaWtzOTdUUW5vVkFqWnQ0VUVRQ3YwbHZhRmIyUQ?oc=5</t>
        </is>
      </c>
      <c r="W100" s="174">
        <f>IF($B100="",0,IF(AND(OR(OR(Dashboard!$B$5="All themes",Dashboard!$B$5=""),$C100=Dashboard!$B$5),OR(OR(Dashboard!$G$5="All uses",Dashboard!$G$5=""),$E100=Dashboard!$G$5),N($D100)&gt;=Lists!$H$2,OR(OR(Dashboard!$N$5="All windows",Dashboard!$N$5=""),$S100=Dashboard!$N$5)),1,0))</f>
        <v/>
      </c>
      <c r="X100" s="175">
        <f>IF($W100=1,N($D100)*1E14+MIN(MAX(N($U100),0),9999)*1E10+MIN(N($K100),99999)*1E5+99999-MIN(ROW(),99999),"")</f>
        <v/>
      </c>
    </row>
    <row r="101" ht="40.5" customHeight="1">
      <c r="A101" s="160" t="n">
        <v>98</v>
      </c>
      <c r="B101" s="161" t="inlineStr">
        <is>
          <t>Technical paper│Steel cased driven piles in cohesive soils</t>
        </is>
      </c>
      <c r="C101" s="180" t="inlineStr">
        <is>
          <t>Characterisation &amp; Modelling</t>
        </is>
      </c>
      <c r="D101" s="163" t="n">
        <v>3</v>
      </c>
      <c r="E101" s="182" t="inlineStr">
        <is>
          <t>Academia-to-Industry topic</t>
        </is>
      </c>
      <c r="F101" s="165" t="inlineStr">
        <is>
          <t>To review</t>
        </is>
      </c>
      <c r="G101" s="166" t="n"/>
      <c r="H101" s="167" t="n"/>
      <c r="I101" s="168" t="inlineStr">
        <is>
          <t>Do uncorrected field SPT N-values and N60 normalisation remain reliable inputs for empirical pile design in cohesive soils?</t>
        </is>
      </c>
      <c r="J101" s="168" t="inlineStr">
        <is>
          <t>Ground Engineering</t>
        </is>
      </c>
      <c r="K101" s="169" t="n">
        <v>46324</v>
      </c>
      <c r="L101" s="168" t="n"/>
      <c r="M101" s="168" t="n"/>
      <c r="N101" s="170" t="n"/>
      <c r="O101" s="168" t="n"/>
      <c r="P101" s="168" t="n"/>
      <c r="Q101" s="171" t="n"/>
      <c r="R101" s="169" t="n">
        <v>46323</v>
      </c>
      <c r="S101" s="170" t="inlineStr">
        <is>
          <t>2026-Q4</t>
        </is>
      </c>
      <c r="T101" s="172" t="inlineStr">
        <is>
          <t>geotechnical, pile, soil</t>
        </is>
      </c>
      <c r="U101" s="160" t="n">
        <v>12</v>
      </c>
      <c r="V101" s="173" t="inlineStr">
        <is>
          <t>https://www.geplus.co.uk/technical-paper/technical-paper%e2%94%82steel-cased-driven-piles-in-cohesive-soils-28-10-2026/</t>
        </is>
      </c>
      <c r="W101" s="174">
        <f>IF($B101="",0,IF(AND(OR(OR(Dashboard!$B$5="All themes",Dashboard!$B$5=""),$C101=Dashboard!$B$5),OR(OR(Dashboard!$G$5="All uses",Dashboard!$G$5=""),$E101=Dashboard!$G$5),N($D101)&gt;=Lists!$H$2,OR(OR(Dashboard!$N$5="All windows",Dashboard!$N$5=""),$S101=Dashboard!$N$5)),1,0))</f>
        <v/>
      </c>
      <c r="X101" s="175">
        <f>IF($W101=1,N($D101)*1E14+MIN(MAX(N($U101),0),9999)*1E10+MIN(N($K101),99999)*1E5+99999-MIN(ROW(),99999),"")</f>
        <v/>
      </c>
    </row>
    <row r="102" ht="53" customHeight="1">
      <c r="A102" s="160" t="n">
        <v>99</v>
      </c>
      <c r="B102" s="161" t="inlineStr">
        <is>
          <t>Autostrada installs new Herrenknecht equipment for Kyiv Metro TBM</t>
        </is>
      </c>
      <c r="C102" s="176" t="inlineStr">
        <is>
          <t>Infrastructure &amp; the Underground City</t>
        </is>
      </c>
      <c r="D102" s="163" t="n">
        <v>3</v>
      </c>
      <c r="E102" s="177" t="inlineStr">
        <is>
          <t>News brief</t>
        </is>
      </c>
      <c r="F102" s="165" t="inlineStr">
        <is>
          <t>To review</t>
        </is>
      </c>
      <c r="G102" s="166" t="n"/>
      <c r="H102" s="167" t="n"/>
      <c r="I102" s="168" t="inlineStr">
        <is>
          <t>How does TBM assembly and equipment choice affect ground control and settlement risk during running-tunnel excavation under a dense urban centre?</t>
        </is>
      </c>
      <c r="J102" s="168" t="inlineStr">
        <is>
          <t>Tunnelling Journal</t>
        </is>
      </c>
      <c r="K102" s="169" t="n">
        <v>46324</v>
      </c>
      <c r="L102" s="168" t="n"/>
      <c r="M102" s="168" t="inlineStr">
        <is>
          <t>Kyiv Metropoliten and contractor Autostrada</t>
        </is>
      </c>
      <c r="N102" s="170" t="inlineStr">
        <is>
          <t>Ukraine</t>
        </is>
      </c>
      <c r="O102" s="168" t="inlineStr">
        <is>
          <t>Kyiv</t>
        </is>
      </c>
      <c r="P102" s="168" t="n"/>
      <c r="Q102" s="171" t="n"/>
      <c r="R102" s="169" t="n">
        <v>46323</v>
      </c>
      <c r="S102" s="170" t="inlineStr">
        <is>
          <t>2026-Q4</t>
        </is>
      </c>
      <c r="T102" s="172" t="inlineStr">
        <is>
          <t>tbm, tunnelling, tunnel</t>
        </is>
      </c>
      <c r="U102" s="160" t="n">
        <v>10</v>
      </c>
      <c r="V102" s="173" t="inlineStr">
        <is>
          <t>https://tunnellingjournal.com/autostrada-installs-new-herrenknecht-equipment-for-kyiv-metro-tbm/</t>
        </is>
      </c>
      <c r="W102" s="174">
        <f>IF($B102="",0,IF(AND(OR(OR(Dashboard!$B$5="All themes",Dashboard!$B$5=""),$C102=Dashboard!$B$5),OR(OR(Dashboard!$G$5="All uses",Dashboard!$G$5=""),$E102=Dashboard!$G$5),N($D102)&gt;=Lists!$H$2,OR(OR(Dashboard!$N$5="All windows",Dashboard!$N$5=""),$S102=Dashboard!$N$5)),1,0))</f>
        <v/>
      </c>
      <c r="X102" s="175">
        <f>IF($W102=1,N($D102)*1E14+MIN(MAX(N($U102),0),9999)*1E10+MIN(N($K102),99999)*1E5+99999-MIN(ROW(),99999),"")</f>
        <v/>
      </c>
    </row>
    <row r="103" ht="53" customHeight="1">
      <c r="A103" s="160" t="n">
        <v>100</v>
      </c>
      <c r="B103" s="161" t="inlineStr">
        <is>
          <t>Talking Point with Angela Hillman – Unlocking the value in subsurface data</t>
        </is>
      </c>
      <c r="C103" s="181" t="inlineStr">
        <is>
          <t>Digital Geotechnics</t>
        </is>
      </c>
      <c r="D103" s="163" t="n">
        <v>3</v>
      </c>
      <c r="E103" s="164" t="inlineStr">
        <is>
          <t>Feature lead</t>
        </is>
      </c>
      <c r="F103" s="165" t="inlineStr">
        <is>
          <t>To review</t>
        </is>
      </c>
      <c r="G103" s="166" t="n"/>
      <c r="H103" s="167" t="n"/>
      <c r="I103" s="168" t="inlineStr">
        <is>
          <t>How can a national standardised AGS ground investigation data repository make legacy subsurface data usable for railway geotechnical design and asset management?</t>
        </is>
      </c>
      <c r="J103" s="168" t="inlineStr">
        <is>
          <t>Ground Engineering</t>
        </is>
      </c>
      <c r="K103" s="169" t="n">
        <v>46324</v>
      </c>
      <c r="L103" s="168" t="n"/>
      <c r="M103" s="168" t="inlineStr">
        <is>
          <t>Network Rail</t>
        </is>
      </c>
      <c r="N103" s="170" t="inlineStr">
        <is>
          <t>United Kingdom</t>
        </is>
      </c>
      <c r="O103" s="168" t="inlineStr">
        <is>
          <t>UK rail network</t>
        </is>
      </c>
      <c r="P103" s="168" t="n"/>
      <c r="Q103" s="171" t="n"/>
      <c r="R103" s="169" t="n">
        <v>46324</v>
      </c>
      <c r="S103" s="170" t="inlineStr">
        <is>
          <t>2026-Q4</t>
        </is>
      </c>
      <c r="T103" s="172" t="inlineStr">
        <is>
          <t>geotechnical</t>
        </is>
      </c>
      <c r="U103" s="160" t="n">
        <v>8</v>
      </c>
      <c r="V103" s="173" t="inlineStr">
        <is>
          <t>https://www.geplus.co.uk/opinion/talking-point-with-angela-hillman-unlocking-the-value-in-subsurface-data-29-10-2026/</t>
        </is>
      </c>
      <c r="W103" s="174">
        <f>IF($B103="",0,IF(AND(OR(OR(Dashboard!$B$5="All themes",Dashboard!$B$5=""),$C103=Dashboard!$B$5),OR(OR(Dashboard!$G$5="All uses",Dashboard!$G$5=""),$E103=Dashboard!$G$5),N($D103)&gt;=Lists!$H$2,OR(OR(Dashboard!$N$5="All windows",Dashboard!$N$5=""),$S103=Dashboard!$N$5)),1,0))</f>
        <v/>
      </c>
      <c r="X103" s="175">
        <f>IF($W103=1,N($D103)*1E14+MIN(MAX(N($U103),0),9999)*1E10+MIN(N($K103),99999)*1E5+99999-MIN(ROW(),99999),"")</f>
        <v/>
      </c>
    </row>
    <row r="104" ht="53" customHeight="1">
      <c r="A104" s="160" t="n">
        <v>101</v>
      </c>
      <c r="B104" s="161" t="inlineStr">
        <is>
          <t>Costa Azul retaining wall cracks; residents fear mudslide</t>
        </is>
      </c>
      <c r="C104" s="162" t="inlineStr">
        <is>
          <t>Hazards &amp; Resilience</t>
        </is>
      </c>
      <c r="D104" s="163" t="n">
        <v>3</v>
      </c>
      <c r="E104" s="177" t="inlineStr">
        <is>
          <t>News brief</t>
        </is>
      </c>
      <c r="F104" s="165" t="inlineStr">
        <is>
          <t>To review</t>
        </is>
      </c>
      <c r="G104" s="166" t="n"/>
      <c r="H104" s="167" t="n"/>
      <c r="I104" s="168" t="inlineStr">
        <is>
          <t>What do cracks in a retaining wall indicate about slope movement, and what monitoring should trigger evacuation near a hillside settlement?</t>
        </is>
      </c>
      <c r="J104" s="168" t="inlineStr">
        <is>
          <t>El Sol de México</t>
        </is>
      </c>
      <c r="K104" s="169" t="n">
        <v>46324</v>
      </c>
      <c r="L104" s="168" t="inlineStr">
        <is>
          <t>Muro de contención de Costa Azul se agrieta; ciudadanos temen deslave</t>
        </is>
      </c>
      <c r="M104" s="168" t="inlineStr">
        <is>
          <t>Acapulco civil protection and city government</t>
        </is>
      </c>
      <c r="N104" s="170" t="inlineStr">
        <is>
          <t>Mexico</t>
        </is>
      </c>
      <c r="O104" s="168" t="inlineStr">
        <is>
          <t>Costa Azul, Acapulco</t>
        </is>
      </c>
      <c r="P104" s="168" t="n"/>
      <c r="Q104" s="171" t="inlineStr">
        <is>
          <t>Mexico</t>
        </is>
      </c>
      <c r="R104" s="169" t="n">
        <v>46323</v>
      </c>
      <c r="S104" s="170" t="inlineStr">
        <is>
          <t>2026-Q4</t>
        </is>
      </c>
      <c r="T104" s="172" t="inlineStr">
        <is>
          <t>landslide, retaining wall</t>
        </is>
      </c>
      <c r="U104" s="160" t="n">
        <v>8</v>
      </c>
      <c r="V104" s="173" t="inlineStr">
        <is>
          <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t>
        </is>
      </c>
      <c r="W104" s="174">
        <f>IF($B104="",0,IF(AND(OR(OR(Dashboard!$B$5="All themes",Dashboard!$B$5=""),$C104=Dashboard!$B$5),OR(OR(Dashboard!$G$5="All uses",Dashboard!$G$5=""),$E104=Dashboard!$G$5),N($D104)&gt;=Lists!$H$2,OR(OR(Dashboard!$N$5="All windows",Dashboard!$N$5=""),$S104=Dashboard!$N$5)),1,0))</f>
        <v/>
      </c>
      <c r="X104" s="175">
        <f>IF($W104=1,N($D104)*1E14+MIN(MAX(N($U104),0),9999)*1E10+MIN(N($K104),99999)*1E5+99999-MIN(ROW(),99999),"")</f>
        <v/>
      </c>
    </row>
    <row r="105" ht="53" customHeight="1">
      <c r="A105" s="160" t="n">
        <v>102</v>
      </c>
      <c r="B105" s="161" t="inlineStr">
        <is>
          <t>Sinkhole appears next to a house in Krzyżowice, in an area of mining damage</t>
        </is>
      </c>
      <c r="C105" s="162" t="inlineStr">
        <is>
          <t>Hazards &amp; Resilience</t>
        </is>
      </c>
      <c r="D105" s="163" t="n">
        <v>3</v>
      </c>
      <c r="E105" s="177" t="inlineStr">
        <is>
          <t>News brief</t>
        </is>
      </c>
      <c r="F105" s="165" t="inlineStr">
        <is>
          <t>To review</t>
        </is>
      </c>
      <c r="G105" s="166" t="n"/>
      <c r="H105" s="167" t="n"/>
      <c r="I105" s="168" t="inlineStr">
        <is>
          <t>How do mining-induced subsidence and sinkholes develop beneath houses, and what investigation is needed before residents return?</t>
        </is>
      </c>
      <c r="J105" s="168" t="inlineStr">
        <is>
          <t>Radio 90</t>
        </is>
      </c>
      <c r="K105" s="169" t="n">
        <v>46324</v>
      </c>
      <c r="L105" s="168" t="inlineStr">
        <is>
          <t>Zapadlisko w Krzyżowicach. Powstało przy jednym z domów. W miejscu, gdzie są szkody górnicze</t>
        </is>
      </c>
      <c r="M105" s="168" t="inlineStr">
        <is>
          <t>the mine operator and the local municipality</t>
        </is>
      </c>
      <c r="N105" s="170" t="inlineStr">
        <is>
          <t>Poland</t>
        </is>
      </c>
      <c r="O105" s="168" t="inlineStr">
        <is>
          <t>Krzyżowice</t>
        </is>
      </c>
      <c r="P105" s="168" t="inlineStr">
        <is>
          <t>Krzyżowice mining-damage sinkhole, Poland (Oct 2026) · Event · 3 reports</t>
        </is>
      </c>
      <c r="Q105" s="171" t="inlineStr">
        <is>
          <t>Poland</t>
        </is>
      </c>
      <c r="R105" s="169" t="n">
        <v>46324</v>
      </c>
      <c r="S105" s="170" t="inlineStr">
        <is>
          <t>2026-Q4</t>
        </is>
      </c>
      <c r="T105" s="172" t="inlineStr">
        <is>
          <t>sinkhole, subsidence</t>
        </is>
      </c>
      <c r="U105" s="160" t="n">
        <v>7</v>
      </c>
      <c r="V105" s="173" t="inlineStr">
        <is>
          <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t>
        </is>
      </c>
      <c r="W105" s="174">
        <f>IF($B105="",0,IF(AND(OR(OR(Dashboard!$B$5="All themes",Dashboard!$B$5=""),$C105=Dashboard!$B$5),OR(OR(Dashboard!$G$5="All uses",Dashboard!$G$5=""),$E105=Dashboard!$G$5),N($D105)&gt;=Lists!$H$2,OR(OR(Dashboard!$N$5="All windows",Dashboard!$N$5=""),$S105=Dashboard!$N$5)),1,0))</f>
        <v/>
      </c>
      <c r="X105" s="175">
        <f>IF($W105=1,N($D105)*1E14+MIN(MAX(N($U105),0),9999)*1E10+MIN(N($K105),99999)*1E5+99999-MIN(ROW(),99999),"")</f>
        <v/>
      </c>
    </row>
    <row r="106" ht="53" customHeight="1">
      <c r="A106" s="160" t="n">
        <v>103</v>
      </c>
      <c r="B106" s="161" t="inlineStr">
        <is>
          <t>Corn Cob Ash and Ferric Chloride Stabilize Expansive Soil, RSM Study Finds</t>
        </is>
      </c>
      <c r="C106" s="184" t="inlineStr">
        <is>
          <t>Ground Improvement &amp; Innovation</t>
        </is>
      </c>
      <c r="D106" s="163" t="n">
        <v>3</v>
      </c>
      <c r="E106" s="182" t="inlineStr">
        <is>
          <t>Academia-to-Industry topic</t>
        </is>
      </c>
      <c r="F106" s="165" t="inlineStr">
        <is>
          <t>To review</t>
        </is>
      </c>
      <c r="G106" s="166" t="n"/>
      <c r="H106" s="167" t="n"/>
      <c r="I106" s="168" t="inlineStr">
        <is>
          <t>Can industrial by-product binders like corn cob ash with ferric chloride give practical stabilisation of expansive clay, and how should swell be tested?</t>
        </is>
      </c>
      <c r="J106" s="168" t="inlineStr">
        <is>
          <t>Bioengineer.org</t>
        </is>
      </c>
      <c r="K106" s="169" t="n">
        <v>46324</v>
      </c>
      <c r="L106" s="168" t="n"/>
      <c r="M106" s="168" t="inlineStr">
        <is>
          <t>the study's authors and publishing journal</t>
        </is>
      </c>
      <c r="N106" s="170" t="n"/>
      <c r="O106" s="168" t="n"/>
      <c r="P106" s="168" t="n"/>
      <c r="Q106" s="171" t="inlineStr">
        <is>
          <t>United Kingdom</t>
        </is>
      </c>
      <c r="R106" s="169" t="n">
        <v>46323</v>
      </c>
      <c r="S106" s="170" t="inlineStr">
        <is>
          <t>2026-Q4</t>
        </is>
      </c>
      <c r="T106" s="172" t="inlineStr">
        <is>
          <t>expansive soil, soil</t>
        </is>
      </c>
      <c r="U106" s="160" t="n">
        <v>6</v>
      </c>
      <c r="V106" s="173" t="inlineStr">
        <is>
          <t>https://news.google.com/rss/articles/CBMinwFBVV95cUxNMURzUXhkQU9qSWhzS3diaWF5Vk5wUnR4Vk55eUMzWWR2aW1qaXpZamdUSHlOSWRVRFdHcE02UkMyc2tfV0pmWnFkRXFkMHNRNEJNdzBERUpOLUxncTFhb3BpcVZhWE5uU0wyRWs1WURzU3RTRmJTY01RWHhYWHQwUExJRVZRaEx6RXpJSkFoeWJsc1JjVkNobENzQkw1czA?oc=5</t>
        </is>
      </c>
      <c r="W106" s="174">
        <f>IF($B106="",0,IF(AND(OR(OR(Dashboard!$B$5="All themes",Dashboard!$B$5=""),$C106=Dashboard!$B$5),OR(OR(Dashboard!$G$5="All uses",Dashboard!$G$5=""),$E106=Dashboard!$G$5),N($D106)&gt;=Lists!$H$2,OR(OR(Dashboard!$N$5="All windows",Dashboard!$N$5=""),$S106=Dashboard!$N$5)),1,0))</f>
        <v/>
      </c>
      <c r="X106" s="175">
        <f>IF($W106=1,N($D106)*1E14+MIN(MAX(N($U106),0),9999)*1E10+MIN(N($K106),99999)*1E5+99999-MIN(ROW(),99999),"")</f>
        <v/>
      </c>
    </row>
    <row r="107" ht="53" customHeight="1">
      <c r="A107" s="160" t="n">
        <v>104</v>
      </c>
      <c r="B107" s="161" t="inlineStr">
        <is>
          <t>Wire mesh wraps cut slope that has collapsed 8 times on Prenn pass</t>
        </is>
      </c>
      <c r="C107" s="162" t="inlineStr">
        <is>
          <t>Hazards &amp; Resilience</t>
        </is>
      </c>
      <c r="D107" s="163" t="n">
        <v>3</v>
      </c>
      <c r="E107" s="177" t="inlineStr">
        <is>
          <t>News brief</t>
        </is>
      </c>
      <c r="F107" s="165" t="inlineStr">
        <is>
          <t>To review</t>
        </is>
      </c>
      <c r="G107" s="166" t="n"/>
      <c r="H107" s="167" t="n"/>
      <c r="I107" s="168" t="inlineStr">
        <is>
          <t>Why does a cut slope on a mountain pass keep failing after repeated collapses, and is wire mesh enough or is a deeper stabilisation needed?</t>
        </is>
      </c>
      <c r="J107" s="168" t="inlineStr">
        <is>
          <t>VnExpress</t>
        </is>
      </c>
      <c r="K107" s="169" t="n">
        <v>46324</v>
      </c>
      <c r="L107" s="168" t="inlineStr">
        <is>
          <t>Bọc lưới thép đoạn taluy 8 lần bị sạt lở trên đèo Prenn</t>
        </is>
      </c>
      <c r="M107" s="168" t="inlineStr">
        <is>
          <t>Lâm Đồng provincial transport or road authority</t>
        </is>
      </c>
      <c r="N107" s="170" t="inlineStr">
        <is>
          <t>Vietnam</t>
        </is>
      </c>
      <c r="O107" s="168" t="inlineStr">
        <is>
          <t>Prenn Pass, Lâm Đồng</t>
        </is>
      </c>
      <c r="P107" s="168" t="inlineStr">
        <is>
          <t>Prenn Pass slope collapses, Da Lat, Vietnam · Repair &amp; reconstruction · 3 reports</t>
        </is>
      </c>
      <c r="Q107" s="171" t="inlineStr">
        <is>
          <t>Vietnam</t>
        </is>
      </c>
      <c r="R107" s="169" t="n">
        <v>46324</v>
      </c>
      <c r="S107" s="170" t="inlineStr">
        <is>
          <t>2026-Q4</t>
        </is>
      </c>
      <c r="T107" s="172" t="inlineStr">
        <is>
          <t>landslide, slope</t>
        </is>
      </c>
      <c r="U107" s="160" t="n">
        <v>6</v>
      </c>
      <c r="V107" s="173" t="inlineStr">
        <is>
          <t>https://news.google.com/rss/articles/CBMiekFVX3lxTFB0VTdiLVo5UUZfSF91bWdmSElTcHFDbVVBUFBNazdjMmtsaW5vYUtnOUN3akdGQm1KUzI5QUN2YXNIMG04SG52Z0hxZ3lqSDIwbkRkTGNhSEFyQ1dnU2JWalFORmpYLTlYTzdGS2J0czBxcHdIUDl0Y19n?oc=5</t>
        </is>
      </c>
      <c r="W107" s="174">
        <f>IF($B107="",0,IF(AND(OR(OR(Dashboard!$B$5="All themes",Dashboard!$B$5=""),$C107=Dashboard!$B$5),OR(OR(Dashboard!$G$5="All uses",Dashboard!$G$5=""),$E107=Dashboard!$G$5),N($D107)&gt;=Lists!$H$2,OR(OR(Dashboard!$N$5="All windows",Dashboard!$N$5=""),$S107=Dashboard!$N$5)),1,0))</f>
        <v/>
      </c>
      <c r="X107" s="175">
        <f>IF($W107=1,N($D107)*1E14+MIN(MAX(N($U107),0),9999)*1E10+MIN(N($K107),99999)*1E5+99999-MIN(ROW(),99999),"")</f>
        <v/>
      </c>
    </row>
    <row r="108" ht="53" customHeight="1">
      <c r="A108" s="160" t="n">
        <v>105</v>
      </c>
      <c r="B108" s="161" t="inlineStr">
        <is>
          <t>'Delight' as repair work to begin inside tunnel after landslip</t>
        </is>
      </c>
      <c r="C108" s="162" t="inlineStr">
        <is>
          <t>Hazards &amp; Resilience</t>
        </is>
      </c>
      <c r="D108" s="163" t="n">
        <v>3</v>
      </c>
      <c r="E108" s="177" t="inlineStr">
        <is>
          <t>News brief</t>
        </is>
      </c>
      <c r="F108" s="165" t="inlineStr">
        <is>
          <t>To review</t>
        </is>
      </c>
      <c r="G108" s="166" t="n"/>
      <c r="H108" s="167" t="n"/>
      <c r="I108" s="168" t="inlineStr">
        <is>
          <t>What caused the landslip inside the tunnel, and what ground investigation and monitoring are needed before repair works proceed?</t>
        </is>
      </c>
      <c r="J108" s="168" t="inlineStr">
        <is>
          <t>Bridport News</t>
        </is>
      </c>
      <c r="K108" s="169" t="n">
        <v>46324</v>
      </c>
      <c r="L108" s="168" t="n"/>
      <c r="M108" s="168" t="inlineStr">
        <is>
          <t>Network Rail or Dorset Council, to be confirmed</t>
        </is>
      </c>
      <c r="N108" s="170" t="inlineStr">
        <is>
          <t>United Kingdom</t>
        </is>
      </c>
      <c r="O108" s="168" t="inlineStr">
        <is>
          <t>Bridport, Dorset</t>
        </is>
      </c>
      <c r="P108" s="168" t="n"/>
      <c r="Q108" s="171" t="inlineStr">
        <is>
          <t>United Kingdom</t>
        </is>
      </c>
      <c r="R108" s="169" t="n">
        <v>46324</v>
      </c>
      <c r="S108" s="170" t="inlineStr">
        <is>
          <t>2026-Q4</t>
        </is>
      </c>
      <c r="T108" s="172" t="inlineStr">
        <is>
          <t>landslip, tunnel</t>
        </is>
      </c>
      <c r="U108" s="160" t="n">
        <v>6</v>
      </c>
      <c r="V108" s="173" t="inlineStr">
        <is>
          <t>https://news.google.com/rss/articles/CBMimgFBVV95cUxOeE5TMEtUUkk1RFpSY3ZoRDEwWkhlSlc4MGc5RlpSOGtZMWNtb2ZpQktVbmlwNlJDUHpGWUFYYmlIYThHdEs0Nk5ISkhCMWlXOUZfMG5mdmJudHVZWC1OVmlzVld3VG1fam5mMHBNazgxREQ3bzdyNk5QREtCZUVVbHZTVmowY09lTFg1MzV4M191YmFvT1VCSFFn?oc=5</t>
        </is>
      </c>
      <c r="W108" s="174">
        <f>IF($B108="",0,IF(AND(OR(OR(Dashboard!$B$5="All themes",Dashboard!$B$5=""),$C108=Dashboard!$B$5),OR(OR(Dashboard!$G$5="All uses",Dashboard!$G$5=""),$E108=Dashboard!$G$5),N($D108)&gt;=Lists!$H$2,OR(OR(Dashboard!$N$5="All windows",Dashboard!$N$5=""),$S108=Dashboard!$N$5)),1,0))</f>
        <v/>
      </c>
      <c r="X108" s="175">
        <f>IF($W108=1,N($D108)*1E14+MIN(MAX(N($U108),0),9999)*1E10+MIN(N($K108),99999)*1E5+99999-MIN(ROW(),99999),"")</f>
        <v/>
      </c>
    </row>
    <row r="109" ht="40.5" customHeight="1">
      <c r="A109" s="160" t="n">
        <v>106</v>
      </c>
      <c r="B109" s="161" t="inlineStr">
        <is>
          <t>USACE carries out geotechnical work for Tampa Harbor deepening project</t>
        </is>
      </c>
      <c r="C109" s="185" t="inlineStr">
        <is>
          <t>Offshore, Coasts &amp; Water</t>
        </is>
      </c>
      <c r="D109" s="163" t="n">
        <v>3</v>
      </c>
      <c r="E109" s="177" t="inlineStr">
        <is>
          <t>News brief</t>
        </is>
      </c>
      <c r="F109" s="165" t="inlineStr">
        <is>
          <t>To review</t>
        </is>
      </c>
      <c r="G109" s="166" t="n"/>
      <c r="H109" s="167" t="n"/>
      <c r="I109" s="168" t="inlineStr">
        <is>
          <t>What subsurface investigation is needed to assess dredging feasibility and seabed behaviour for a deepened harbour channel?</t>
        </is>
      </c>
      <c r="J109" s="168" t="inlineStr">
        <is>
          <t>Baird Maritime</t>
        </is>
      </c>
      <c r="K109" s="169" t="n">
        <v>46324</v>
      </c>
      <c r="L109" s="168" t="n"/>
      <c r="M109" s="168" t="inlineStr">
        <is>
          <t>US Army Corps of Engineers Jacksonville District</t>
        </is>
      </c>
      <c r="N109" s="170" t="inlineStr">
        <is>
          <t>United States</t>
        </is>
      </c>
      <c r="O109" s="168" t="inlineStr">
        <is>
          <t>Tampa Harbor, Florida</t>
        </is>
      </c>
      <c r="P109" s="168" t="n"/>
      <c r="Q109" s="171" t="inlineStr">
        <is>
          <t>United Kingdom</t>
        </is>
      </c>
      <c r="R109" s="169" t="n">
        <v>46323</v>
      </c>
      <c r="S109" s="170" t="inlineStr">
        <is>
          <t>2026-Q4</t>
        </is>
      </c>
      <c r="T109" s="172" t="inlineStr">
        <is>
          <t>geotechnical</t>
        </is>
      </c>
      <c r="U109" s="160" t="n">
        <v>5</v>
      </c>
      <c r="V109" s="173" t="inlineStr">
        <is>
          <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t>
        </is>
      </c>
      <c r="W109" s="174">
        <f>IF($B109="",0,IF(AND(OR(OR(Dashboard!$B$5="All themes",Dashboard!$B$5=""),$C109=Dashboard!$B$5),OR(OR(Dashboard!$G$5="All uses",Dashboard!$G$5=""),$E109=Dashboard!$G$5),N($D109)&gt;=Lists!$H$2,OR(OR(Dashboard!$N$5="All windows",Dashboard!$N$5=""),$S109=Dashboard!$N$5)),1,0))</f>
        <v/>
      </c>
      <c r="X109" s="175">
        <f>IF($W109=1,N($D109)*1E14+MIN(MAX(N($U109),0),9999)*1E10+MIN(N($K109),99999)*1E5+99999-MIN(ROW(),99999),"")</f>
        <v/>
      </c>
    </row>
    <row r="110" ht="53" customHeight="1">
      <c r="A110" s="160" t="n">
        <v>107</v>
      </c>
      <c r="B110" s="161" t="inlineStr">
        <is>
          <t>Jones Bros’ construction milestone at Sanquhar II Wind Farm</t>
        </is>
      </c>
      <c r="C110" s="178" t="inlineStr">
        <is>
          <t>Sustainability &amp; the Energy Transition</t>
        </is>
      </c>
      <c r="D110" s="163" t="n">
        <v>3</v>
      </c>
      <c r="E110" s="177" t="inlineStr">
        <is>
          <t>News brief</t>
        </is>
      </c>
      <c r="F110" s="165" t="inlineStr">
        <is>
          <t>To review</t>
        </is>
      </c>
      <c r="G110" s="166" t="n"/>
      <c r="H110" s="167" t="n"/>
      <c r="I110" s="168" t="inlineStr">
        <is>
          <t>What ground investigation and foundation design choices were needed to install foundations for a large onshore wind farm in upland Scotland?</t>
        </is>
      </c>
      <c r="J110" s="168" t="inlineStr">
        <is>
          <t>Ground Engineering</t>
        </is>
      </c>
      <c r="K110" s="169" t="n">
        <v>46324</v>
      </c>
      <c r="L110" s="168" t="n"/>
      <c r="M110" s="168" t="inlineStr">
        <is>
          <t>Jones Bros Civil Engineering UK</t>
        </is>
      </c>
      <c r="N110" s="170" t="inlineStr">
        <is>
          <t>United Kingdom</t>
        </is>
      </c>
      <c r="O110" s="168" t="inlineStr">
        <is>
          <t>Sanquhar, Dumfries and Galloway</t>
        </is>
      </c>
      <c r="P110" s="168" t="n"/>
      <c r="Q110" s="171" t="n"/>
      <c r="R110" s="169" t="n">
        <v>46322</v>
      </c>
      <c r="S110" s="170" t="inlineStr">
        <is>
          <t>2026-Q4</t>
        </is>
      </c>
      <c r="T110" s="172" t="inlineStr">
        <is>
          <t>foundation</t>
        </is>
      </c>
      <c r="U110" s="160" t="n">
        <v>5</v>
      </c>
      <c r="V110" s="173" t="inlineStr">
        <is>
          <t>https://www.geplus.co.uk/news/project-news/jones-bros-construction-milestone-at-sanquhar-ii-wind-farm-27-10-2026/</t>
        </is>
      </c>
      <c r="W110" s="174">
        <f>IF($B110="",0,IF(AND(OR(OR(Dashboard!$B$5="All themes",Dashboard!$B$5=""),$C110=Dashboard!$B$5),OR(OR(Dashboard!$G$5="All uses",Dashboard!$G$5=""),$E110=Dashboard!$G$5),N($D110)&gt;=Lists!$H$2,OR(OR(Dashboard!$N$5="All windows",Dashboard!$N$5=""),$S110=Dashboard!$N$5)),1,0))</f>
        <v/>
      </c>
      <c r="X110" s="175">
        <f>IF($W110=1,N($D110)*1E14+MIN(MAX(N($U110),0),9999)*1E10+MIN(N($K110),99999)*1E5+99999-MIN(ROW(),99999),"")</f>
        <v/>
      </c>
    </row>
    <row r="111" ht="53" customHeight="1">
      <c r="A111" s="160" t="n">
        <v>108</v>
      </c>
      <c r="B111" s="161" t="inlineStr">
        <is>
          <t>'Blank' concerns and city finances: residents divided over liquefaction countermeasures in Niigata mayoral race</t>
        </is>
      </c>
      <c r="C111" s="186" t="inlineStr">
        <is>
          <t>Geotechnics &amp; Society</t>
        </is>
      </c>
      <c r="D111" s="163" t="n">
        <v>3</v>
      </c>
      <c r="E111" s="183" t="inlineStr">
        <is>
          <t>Regional insight</t>
        </is>
      </c>
      <c r="F111" s="165" t="inlineStr">
        <is>
          <t>To review</t>
        </is>
      </c>
      <c r="G111" s="166" t="n"/>
      <c r="H111" s="167" t="n"/>
      <c r="I111" s="168" t="inlineStr">
        <is>
          <t>How should a city weigh liquefaction countermeasure costs against residents' burden-sharing when mitigation is only partly effective?</t>
        </is>
      </c>
      <c r="J111" s="168" t="inlineStr">
        <is>
          <t>新潟日報</t>
        </is>
      </c>
      <c r="K111" s="169" t="n">
        <v>46324</v>
      </c>
      <c r="L111" s="168" t="inlineStr">
        <is>
          <t>“空白化”懸念、市の財政考慮…住民負担の賛否割れる液状化対策、対象地域内外で温度差も［新潟市長選挙2026］</t>
        </is>
      </c>
      <c r="M111" s="168" t="inlineStr">
        <is>
          <t>Niigata City government</t>
        </is>
      </c>
      <c r="N111" s="170" t="inlineStr">
        <is>
          <t>Japan</t>
        </is>
      </c>
      <c r="O111" s="168" t="inlineStr">
        <is>
          <t>Niigata City</t>
        </is>
      </c>
      <c r="P111" s="168" t="n"/>
      <c r="Q111" s="171" t="inlineStr">
        <is>
          <t>Japan</t>
        </is>
      </c>
      <c r="R111" s="169" t="n">
        <v>46324</v>
      </c>
      <c r="S111" s="170" t="inlineStr">
        <is>
          <t>2026-Q4</t>
        </is>
      </c>
      <c r="T111" s="172" t="inlineStr">
        <is>
          <t>liquefaction</t>
        </is>
      </c>
      <c r="U111" s="160" t="n">
        <v>5</v>
      </c>
      <c r="V111" s="173" t="inlineStr">
        <is>
          <t>https://news.google.com/rss/articles/CBMiXkFVX3lxTFBmV2hsZVdoU1hIS1BWTzNIRFpremRjRE9tWnpON3VjQTBJRWR1UVZFZzgwYjFPZU1RYmFmaUVLNzVzWXdUSnNXMVlrbVFUTWZTdzNGeWdMMmRuUXZsTmc?oc=5</t>
        </is>
      </c>
      <c r="W111" s="174">
        <f>IF($B111="",0,IF(AND(OR(OR(Dashboard!$B$5="All themes",Dashboard!$B$5=""),$C111=Dashboard!$B$5),OR(OR(Dashboard!$G$5="All uses",Dashboard!$G$5=""),$E111=Dashboard!$G$5),N($D111)&gt;=Lists!$H$2,OR(OR(Dashboard!$N$5="All windows",Dashboard!$N$5=""),$S111=Dashboard!$N$5)),1,0))</f>
        <v/>
      </c>
      <c r="X111" s="175">
        <f>IF($W111=1,N($D111)*1E14+MIN(MAX(N($U111),0),9999)*1E10+MIN(N($K111),99999)*1E5+99999-MIN(ROW(),99999),"")</f>
        <v/>
      </c>
    </row>
    <row r="112" ht="53" customHeight="1">
      <c r="A112" s="160" t="n">
        <v>109</v>
      </c>
      <c r="B112" s="161" t="inlineStr">
        <is>
          <t>Deeper Foundation Treatment Increases Uneven Settlement in Coastal Soil Model</t>
        </is>
      </c>
      <c r="C112" s="180" t="inlineStr">
        <is>
          <t>Characterisation &amp; Modelling</t>
        </is>
      </c>
      <c r="D112" s="163" t="n">
        <v>3</v>
      </c>
      <c r="E112" s="182" t="inlineStr">
        <is>
          <t>Academia-to-Industry topic</t>
        </is>
      </c>
      <c r="F112" s="165" t="inlineStr">
        <is>
          <t>To review</t>
        </is>
      </c>
      <c r="G112" s="166" t="n"/>
      <c r="H112" s="167" t="n"/>
      <c r="I112" s="168" t="inlineStr">
        <is>
          <t>Does deepening ground treatment in coastal soils reduce or increase differential settlement, and how should models capture this?</t>
        </is>
      </c>
      <c r="J112" s="168" t="inlineStr">
        <is>
          <t>Bioengineer.org</t>
        </is>
      </c>
      <c r="K112" s="169" t="n">
        <v>46324</v>
      </c>
      <c r="L112" s="168" t="n"/>
      <c r="M112" s="168" t="inlineStr">
        <is>
          <t>the study's authors and publishing journal</t>
        </is>
      </c>
      <c r="N112" s="170" t="n"/>
      <c r="O112" s="168" t="n"/>
      <c r="P112" s="168" t="n"/>
      <c r="Q112" s="171" t="inlineStr">
        <is>
          <t>United Kingdom</t>
        </is>
      </c>
      <c r="R112" s="169" t="n">
        <v>46322</v>
      </c>
      <c r="S112" s="170" t="inlineStr">
        <is>
          <t>2026-Q4</t>
        </is>
      </c>
      <c r="T112" s="172" t="inlineStr">
        <is>
          <t>settlement, foundation, soil</t>
        </is>
      </c>
      <c r="U112" s="160" t="n">
        <v>5</v>
      </c>
      <c r="V112" s="173" t="inlineStr">
        <is>
          <t>https://news.google.com/rss/articles/CBMipAFBVV95cUxQcVlLS0FhVm1JQTdRQVp6cG9tVEpyZ3RXeGo1WldLWXNiYS1yVXRDQ1VJN3Zha1pxV0ZzUTc2OV9pQ1BOUjUtbmpCb2dIU3E5OEU2ckJBZWU0TTJkVkM1SDhjSmNBQjNicndQTTBuVU9reHNtcXB3dG54NlN5ZEtMX0Q2R0oxSUs0NFRZeGZSM01SLTY2X0stMDhiUHQxdTVkME5JLQ?oc=5</t>
        </is>
      </c>
      <c r="W112" s="174">
        <f>IF($B112="",0,IF(AND(OR(OR(Dashboard!$B$5="All themes",Dashboard!$B$5=""),$C112=Dashboard!$B$5),OR(OR(Dashboard!$G$5="All uses",Dashboard!$G$5=""),$E112=Dashboard!$G$5),N($D112)&gt;=Lists!$H$2,OR(OR(Dashboard!$N$5="All windows",Dashboard!$N$5=""),$S112=Dashboard!$N$5)),1,0))</f>
        <v/>
      </c>
      <c r="X112" s="175">
        <f>IF($W112=1,N($D112)*1E14+MIN(MAX(N($U112),0),9999)*1E10+MIN(N($K112),99999)*1E5+99999-MIN(ROW(),99999),"")</f>
        <v/>
      </c>
    </row>
    <row r="113" ht="40.5" customHeight="1">
      <c r="A113" s="160" t="n">
        <v>110</v>
      </c>
      <c r="B113" s="161" t="inlineStr">
        <is>
          <t>Studies start this week on largest sinkhole on Mazatlán seafront: Public Works.</t>
        </is>
      </c>
      <c r="C113" s="185" t="inlineStr">
        <is>
          <t>Offshore, Coasts &amp; Water</t>
        </is>
      </c>
      <c r="D113" s="163" t="n">
        <v>3</v>
      </c>
      <c r="E113" s="177" t="inlineStr">
        <is>
          <t>News brief</t>
        </is>
      </c>
      <c r="F113" s="165" t="inlineStr">
        <is>
          <t>To review</t>
        </is>
      </c>
      <c r="G113" s="166" t="n"/>
      <c r="H113" s="167" t="n"/>
      <c r="I113" s="168" t="inlineStr">
        <is>
          <t>What is causing this seafront sinkhole near the seawall and promenade, and what investigation will identify the mechanism?</t>
        </is>
      </c>
      <c r="J113" s="168" t="inlineStr">
        <is>
          <t>www.noroeste.com.mx</t>
        </is>
      </c>
      <c r="K113" s="169" t="n">
        <v>46324</v>
      </c>
      <c r="L113" s="168" t="inlineStr">
        <is>
          <t>Iniciarán esta semana estudios en socavón más grande en malecón de Mazatlán: Obras Públicas</t>
        </is>
      </c>
      <c r="M113" s="168" t="inlineStr">
        <is>
          <t>Mazatlán Public Works department (Obras Públicas)</t>
        </is>
      </c>
      <c r="N113" s="170" t="inlineStr">
        <is>
          <t>Mexico</t>
        </is>
      </c>
      <c r="O113" s="168" t="inlineStr">
        <is>
          <t>Malecón, Mazatlán</t>
        </is>
      </c>
      <c r="P113" s="168" t="inlineStr">
        <is>
          <t>Mazatlán malecón wave sinkhole, Mexico (Oct 2026) · Investigation &amp; inquiry · 6 reports</t>
        </is>
      </c>
      <c r="Q113" s="171" t="inlineStr">
        <is>
          <t>Colombia</t>
        </is>
      </c>
      <c r="R113" s="169" t="n">
        <v>46321</v>
      </c>
      <c r="S113" s="170" t="inlineStr">
        <is>
          <t>2026-Q4</t>
        </is>
      </c>
      <c r="T113" s="172" t="inlineStr">
        <is>
          <t>sinkhole</t>
        </is>
      </c>
      <c r="U113" s="160" t="n">
        <v>4</v>
      </c>
      <c r="V113" s="173" t="inlineStr">
        <is>
          <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113" s="174">
        <f>IF($B113="",0,IF(AND(OR(OR(Dashboard!$B$5="All themes",Dashboard!$B$5=""),$C113=Dashboard!$B$5),OR(OR(Dashboard!$G$5="All uses",Dashboard!$G$5=""),$E113=Dashboard!$G$5),N($D113)&gt;=Lists!$H$2,OR(OR(Dashboard!$N$5="All windows",Dashboard!$N$5=""),$S113=Dashboard!$N$5)),1,0))</f>
        <v/>
      </c>
      <c r="X113" s="175">
        <f>IF($W113=1,N($D113)*1E14+MIN(MAX(N($U113),0),9999)*1E10+MIN(N($K113),99999)*1E5+99999-MIN(ROW(),99999),"")</f>
        <v/>
      </c>
    </row>
    <row r="114" ht="53" customHeight="1">
      <c r="A114" s="160" t="n">
        <v>111</v>
      </c>
      <c r="B114" s="161" t="inlineStr">
        <is>
          <t>Platform created that simulates debris flows and maps evacuation routes in risk zones</t>
        </is>
      </c>
      <c r="C114" s="180" t="inlineStr">
        <is>
          <t>Characterisation &amp; Modelling</t>
        </is>
      </c>
      <c r="D114" s="163" t="n">
        <v>3</v>
      </c>
      <c r="E114" s="182" t="inlineStr">
        <is>
          <t>Academia-to-Industry topic</t>
        </is>
      </c>
      <c r="F114" s="165" t="inlineStr">
        <is>
          <t>To review</t>
        </is>
      </c>
      <c r="G114" s="166" t="n"/>
      <c r="H114" s="167" t="n"/>
      <c r="I114" s="168" t="inlineStr">
        <is>
          <t>How reliable are simulation tools for debris-flow runout in hazard zones, and what input data on terrain and soils do they require?</t>
        </is>
      </c>
      <c r="J114" s="168" t="inlineStr">
        <is>
          <t>24horas</t>
        </is>
      </c>
      <c r="K114" s="169" t="n">
        <v>46324</v>
      </c>
      <c r="L114" s="168" t="inlineStr">
        <is>
          <t>Crean plataforma que simula aluviones y traza rutas de evacuación en zonas de riesgo</t>
        </is>
      </c>
      <c r="M114" s="168" t="n"/>
      <c r="N114" s="170" t="inlineStr">
        <is>
          <t>Chile</t>
        </is>
      </c>
      <c r="O114" s="168" t="n"/>
      <c r="P114" s="168" t="n"/>
      <c r="Q114" s="171" t="inlineStr">
        <is>
          <t>Chile</t>
        </is>
      </c>
      <c r="R114" s="169" t="n">
        <v>46323</v>
      </c>
      <c r="S114" s="170" t="inlineStr">
        <is>
          <t>2026-Q4</t>
        </is>
      </c>
      <c r="T114" s="172" t="inlineStr">
        <is>
          <t>debris flow</t>
        </is>
      </c>
      <c r="U114" s="160" t="n">
        <v>4</v>
      </c>
      <c r="V114" s="173" t="inlineStr">
        <is>
          <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t>
        </is>
      </c>
      <c r="W114" s="174">
        <f>IF($B114="",0,IF(AND(OR(OR(Dashboard!$B$5="All themes",Dashboard!$B$5=""),$C114=Dashboard!$B$5),OR(OR(Dashboard!$G$5="All uses",Dashboard!$G$5=""),$E114=Dashboard!$G$5),N($D114)&gt;=Lists!$H$2,OR(OR(Dashboard!$N$5="All windows",Dashboard!$N$5=""),$S114=Dashboard!$N$5)),1,0))</f>
        <v/>
      </c>
      <c r="X114" s="175">
        <f>IF($W114=1,N($D114)*1E14+MIN(MAX(N($U114),0),9999)*1E10+MIN(N($K114),99999)*1E5+99999-MIN(ROW(),99999),"")</f>
        <v/>
      </c>
    </row>
    <row r="115" ht="40.5" customHeight="1">
      <c r="A115" s="160" t="n">
        <v>112</v>
      </c>
      <c r="B115" s="161" t="inlineStr">
        <is>
          <t>Seongnam councillor Kim Jong-hwan inspects Unjung-dong reinforced soil retaining wall and bridge repairs</t>
        </is>
      </c>
      <c r="C115" s="176" t="inlineStr">
        <is>
          <t>Infrastructure &amp; the Underground City</t>
        </is>
      </c>
      <c r="D115" s="163" t="n">
        <v>3</v>
      </c>
      <c r="E115" s="177" t="inlineStr">
        <is>
          <t>News brief</t>
        </is>
      </c>
      <c r="F115" s="165" t="inlineStr">
        <is>
          <t>To review</t>
        </is>
      </c>
      <c r="G115" s="166" t="n"/>
      <c r="H115" s="167" t="n"/>
      <c r="I115" s="168" t="inlineStr">
        <is>
          <t>How are reinforced soil retaining walls inspected and repaired once they show distress alongside bridge works?</t>
        </is>
      </c>
      <c r="J115" s="168" t="inlineStr">
        <is>
          <t>매일일보</t>
        </is>
      </c>
      <c r="K115" s="169" t="n">
        <v>46324</v>
      </c>
      <c r="L115" s="168" t="inlineStr">
        <is>
          <t>김종환 성남시의원, 운중동 녹화보강토 옹벽과 교량 보수 현장 점검</t>
        </is>
      </c>
      <c r="M115" s="168" t="inlineStr">
        <is>
          <t>Seongnam City Council</t>
        </is>
      </c>
      <c r="N115" s="170" t="inlineStr">
        <is>
          <t>South Korea</t>
        </is>
      </c>
      <c r="O115" s="168" t="inlineStr">
        <is>
          <t>Unjung-dong, Seongnam</t>
        </is>
      </c>
      <c r="P115" s="168" t="n"/>
      <c r="Q115" s="171" t="inlineStr">
        <is>
          <t>South Korea</t>
        </is>
      </c>
      <c r="R115" s="169" t="n">
        <v>46324</v>
      </c>
      <c r="S115" s="170" t="inlineStr">
        <is>
          <t>2026-Q4</t>
        </is>
      </c>
      <c r="T115" s="172" t="inlineStr">
        <is>
          <t>retaining wall</t>
        </is>
      </c>
      <c r="U115" s="160" t="n">
        <v>4</v>
      </c>
      <c r="V115" s="173" t="inlineStr">
        <is>
          <t>https://news.google.com/rss/articles/CBMiZEFVX3lxTE1CUmIydVdOaDEwMktSRzJkYk05aWxLQ3JuNW5iWUppdTgyZnJBcU9KZjhOTXoxRmpNb2lvdzluTmo5QTdycXIxX0VfNVpRT193aWw0TjlMWEhqWF9ySEpxZDhLOEw?oc=5</t>
        </is>
      </c>
      <c r="W115" s="174">
        <f>IF($B115="",0,IF(AND(OR(OR(Dashboard!$B$5="All themes",Dashboard!$B$5=""),$C115=Dashboard!$B$5),OR(OR(Dashboard!$G$5="All uses",Dashboard!$G$5=""),$E115=Dashboard!$G$5),N($D115)&gt;=Lists!$H$2,OR(OR(Dashboard!$N$5="All windows",Dashboard!$N$5=""),$S115=Dashboard!$N$5)),1,0))</f>
        <v/>
      </c>
      <c r="X115" s="175">
        <f>IF($W115=1,N($D115)*1E14+MIN(MAX(N($U115),0),9999)*1E10+MIN(N($K115),99999)*1E5+99999-MIN(ROW(),99999),"")</f>
        <v/>
      </c>
    </row>
    <row r="116" ht="53" customHeight="1">
      <c r="A116" s="160" t="n">
        <v>113</v>
      </c>
      <c r="B116" s="161" t="inlineStr">
        <is>
          <t>Demolition pit at future metro shaft site being completed on Shuvalovsky Avenue</t>
        </is>
      </c>
      <c r="C116" s="176" t="inlineStr">
        <is>
          <t>Infrastructure &amp; the Underground City</t>
        </is>
      </c>
      <c r="D116" s="163" t="n">
        <v>3</v>
      </c>
      <c r="E116" s="177" t="inlineStr">
        <is>
          <t>News brief</t>
        </is>
      </c>
      <c r="F116" s="165" t="inlineStr">
        <is>
          <t>To review</t>
        </is>
      </c>
      <c r="G116" s="166" t="n"/>
      <c r="H116" s="167" t="n"/>
      <c r="I116" s="168" t="inlineStr">
        <is>
          <t>How is the deep excavation for the future metro shaft being retained and supported in the soft ground of this St Petersburg avenue?</t>
        </is>
      </c>
      <c r="J116" s="168" t="inlineStr">
        <is>
          <t>78.ru</t>
        </is>
      </c>
      <c r="K116" s="169" t="n">
        <v>46324</v>
      </c>
      <c r="L116" s="168" t="inlineStr">
        <is>
          <t>Демонтажный котлован на месте будущей шахты метро завершают на Шуваловском проспекте</t>
        </is>
      </c>
      <c r="M116" s="168" t="inlineStr">
        <is>
          <t>St Petersburg Metro operator Metropoliten</t>
        </is>
      </c>
      <c r="N116" s="170" t="inlineStr">
        <is>
          <t>Russia</t>
        </is>
      </c>
      <c r="O116" s="168" t="inlineStr">
        <is>
          <t>Shuvalovsky Prospekt, St Petersburg</t>
        </is>
      </c>
      <c r="P116" s="168" t="inlineStr">
        <is>
          <t>Shuvalovsky Avenue metro shaft, St Petersburg · Update · 2 reports</t>
        </is>
      </c>
      <c r="Q116" s="171" t="inlineStr">
        <is>
          <t>Russia</t>
        </is>
      </c>
      <c r="R116" s="169" t="n">
        <v>46324</v>
      </c>
      <c r="S116" s="170" t="inlineStr">
        <is>
          <t>2026-Q4</t>
        </is>
      </c>
      <c r="T116" s="172" t="inlineStr">
        <is>
          <t>excavation, metro line</t>
        </is>
      </c>
      <c r="U116" s="160" t="n">
        <v>2</v>
      </c>
      <c r="V116" s="173" t="inlineStr">
        <is>
          <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t>
        </is>
      </c>
      <c r="W116" s="174">
        <f>IF($B116="",0,IF(AND(OR(OR(Dashboard!$B$5="All themes",Dashboard!$B$5=""),$C116=Dashboard!$B$5),OR(OR(Dashboard!$G$5="All uses",Dashboard!$G$5=""),$E116=Dashboard!$G$5),N($D116)&gt;=Lists!$H$2,OR(OR(Dashboard!$N$5="All windows",Dashboard!$N$5=""),$S116=Dashboard!$N$5)),1,0))</f>
        <v/>
      </c>
      <c r="X116" s="175">
        <f>IF($W116=1,N($D116)*1E14+MIN(MAX(N($U116),0),9999)*1E10+MIN(N($K116),99999)*1E5+99999-MIN(ROW(),99999),"")</f>
        <v/>
      </c>
    </row>
    <row r="117" ht="53" customHeight="1">
      <c r="A117" s="160" t="n">
        <v>114</v>
      </c>
      <c r="B117" s="161" t="inlineStr">
        <is>
          <t>Excavation for the new National Centre 'Russia' building nearing completion</t>
        </is>
      </c>
      <c r="C117" s="176" t="inlineStr">
        <is>
          <t>Infrastructure &amp; the Underground City</t>
        </is>
      </c>
      <c r="D117" s="163" t="n">
        <v>3</v>
      </c>
      <c r="E117" s="177" t="inlineStr">
        <is>
          <t>News brief</t>
        </is>
      </c>
      <c r="F117" s="165" t="inlineStr">
        <is>
          <t>To review</t>
        </is>
      </c>
      <c r="G117" s="166" t="n"/>
      <c r="H117" s="167" t="n"/>
      <c r="I117" s="168" t="inlineStr">
        <is>
          <t>What retaining and dewatering measures are needed for this deep building pit in central Moscow, and how are adjacent structures protected?</t>
        </is>
      </c>
      <c r="J117" s="168" t="inlineStr">
        <is>
          <t>The World Inform</t>
        </is>
      </c>
      <c r="K117" s="169" t="n">
        <v>46324</v>
      </c>
      <c r="L117" s="168" t="inlineStr">
        <is>
          <t>Завершается устройство котлована нового здания НЦ «Россия»</t>
        </is>
      </c>
      <c r="M117" s="168" t="n"/>
      <c r="N117" s="170" t="inlineStr">
        <is>
          <t>Russia</t>
        </is>
      </c>
      <c r="O117" s="168" t="inlineStr">
        <is>
          <t>National Centre Rossiya, Moscow</t>
        </is>
      </c>
      <c r="P117" s="168" t="inlineStr">
        <is>
          <t>National Centre Rossiya excavation, Moscow · Update · 2 reports</t>
        </is>
      </c>
      <c r="Q117" s="171" t="inlineStr">
        <is>
          <t>Russia</t>
        </is>
      </c>
      <c r="R117" s="169" t="n">
        <v>46323</v>
      </c>
      <c r="S117" s="170" t="inlineStr">
        <is>
          <t>2026-Q4</t>
        </is>
      </c>
      <c r="T117" s="172" t="inlineStr">
        <is>
          <t>excavation</t>
        </is>
      </c>
      <c r="U117" s="160" t="n">
        <v>2</v>
      </c>
      <c r="V117" s="173" t="inlineStr">
        <is>
          <t>https://news.google.com/rss/articles/CBMiogFBVV95cUxQS0htSTlVTEs0RzN0Ri1BZVBCdFNyYy02eWJHa2hBdWxUTFZ2c1FPR1cyMm1aNTB4MFAtTEZUbEN4UnlhdGRlT3pJSThoTWlZdjlDLVJrRkRoODV4RTRQblI2U0FrdkplSTRDNDFhTU8xdjA4YzFpclZfN2FUemFIWkE1bEpRaXlSeWViTU9zU3BXWk5aWm9XNGswaXBfUWZZSHc?oc=5</t>
        </is>
      </c>
      <c r="W117" s="174">
        <f>IF($B117="",0,IF(AND(OR(OR(Dashboard!$B$5="All themes",Dashboard!$B$5=""),$C117=Dashboard!$B$5),OR(OR(Dashboard!$G$5="All uses",Dashboard!$G$5=""),$E117=Dashboard!$G$5),N($D117)&gt;=Lists!$H$2,OR(OR(Dashboard!$N$5="All windows",Dashboard!$N$5=""),$S117=Dashboard!$N$5)),1,0))</f>
        <v/>
      </c>
      <c r="X117" s="175">
        <f>IF($W117=1,N($D117)*1E14+MIN(MAX(N($U117),0),9999)*1E10+MIN(N($K117),99999)*1E5+99999-MIN(ROW(),99999),"")</f>
        <v/>
      </c>
    </row>
    <row r="118" ht="53" customHeight="1">
      <c r="A118" s="160" t="n">
        <v>115</v>
      </c>
      <c r="B118" s="161" t="inlineStr">
        <is>
          <t>Works to stop leaks and sinking of Cangas pedestrian street Alcalde Díaz Penedela</t>
        </is>
      </c>
      <c r="C118" s="176" t="inlineStr">
        <is>
          <t>Infrastructure &amp; the Underground City</t>
        </is>
      </c>
      <c r="D118" s="163" t="n">
        <v>3</v>
      </c>
      <c r="E118" s="177" t="inlineStr">
        <is>
          <t>News brief</t>
        </is>
      </c>
      <c r="F118" s="165" t="inlineStr">
        <is>
          <t>To review</t>
        </is>
      </c>
      <c r="G118" s="166" t="n"/>
      <c r="H118" s="167" t="n"/>
      <c r="I118" s="168" t="inlineStr">
        <is>
          <t>How leaking services under a pedestrian street lead to subsidence, and what the repair works reveal about the ground beneath the paving.</t>
        </is>
      </c>
      <c r="J118" s="168" t="inlineStr">
        <is>
          <t>La Nueva España</t>
        </is>
      </c>
      <c r="K118" s="169" t="n">
        <v>46324</v>
      </c>
      <c r="L118" s="168" t="inlineStr">
        <is>
          <t>Obras para acabar con las filtraciones y el hundimiento de la céntrica calle peatonal canguesa Alcalde Díaz Penedela</t>
        </is>
      </c>
      <c r="M118" s="168" t="inlineStr">
        <is>
          <t>Cangas town council</t>
        </is>
      </c>
      <c r="N118" s="170" t="inlineStr">
        <is>
          <t>Spain</t>
        </is>
      </c>
      <c r="O118" s="168" t="inlineStr">
        <is>
          <t>Alcalde Díaz Penedela street, Cangas</t>
        </is>
      </c>
      <c r="P118" s="168" t="n"/>
      <c r="Q118" s="171" t="inlineStr">
        <is>
          <t>Argentina</t>
        </is>
      </c>
      <c r="R118" s="169" t="n">
        <v>46323</v>
      </c>
      <c r="S118" s="170" t="inlineStr">
        <is>
          <t>2026-Q4</t>
        </is>
      </c>
      <c r="T118" s="172" t="n"/>
      <c r="U118" s="160" t="n">
        <v>0</v>
      </c>
      <c r="V118" s="173" t="inlineStr">
        <is>
          <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t>
        </is>
      </c>
      <c r="W118" s="174">
        <f>IF($B118="",0,IF(AND(OR(OR(Dashboard!$B$5="All themes",Dashboard!$B$5=""),$C118=Dashboard!$B$5),OR(OR(Dashboard!$G$5="All uses",Dashboard!$G$5=""),$E118=Dashboard!$G$5),N($D118)&gt;=Lists!$H$2,OR(OR(Dashboard!$N$5="All windows",Dashboard!$N$5=""),$S118=Dashboard!$N$5)),1,0))</f>
        <v/>
      </c>
      <c r="X118" s="175">
        <f>IF($W118=1,N($D118)*1E14+MIN(MAX(N($U118),0),9999)*1E10+MIN(N($K118),99999)*1E5+99999-MIN(ROW(),99999),"")</f>
        <v/>
      </c>
    </row>
    <row r="119" ht="53" customHeight="1">
      <c r="A119" s="160" t="n">
        <v>116</v>
      </c>
      <c r="B119" s="161" t="inlineStr">
        <is>
          <t>Section of N-435 closed over possible sinking of a runoff culvert</t>
        </is>
      </c>
      <c r="C119" s="176" t="inlineStr">
        <is>
          <t>Infrastructure &amp; the Underground City</t>
        </is>
      </c>
      <c r="D119" s="163" t="n">
        <v>3</v>
      </c>
      <c r="E119" s="177" t="inlineStr">
        <is>
          <t>News brief</t>
        </is>
      </c>
      <c r="F119" s="165" t="inlineStr">
        <is>
          <t>To review</t>
        </is>
      </c>
      <c r="G119" s="166" t="n"/>
      <c r="H119" s="167" t="n"/>
      <c r="I119" s="168" t="inlineStr">
        <is>
          <t>How a failing drainage culvert under a main road can cause surface subsidence, and what inspection and repair methods suit such buried pipes.</t>
        </is>
      </c>
      <c r="J119" s="168" t="inlineStr">
        <is>
          <t>Andalucía Información</t>
        </is>
      </c>
      <c r="K119" s="169" t="n">
        <v>46324</v>
      </c>
      <c r="L119" s="168" t="inlineStr">
        <is>
          <t>Cerrado un tramo de la N-435 por posible hundimiento de un tubo de correntías</t>
        </is>
      </c>
      <c r="M119" s="168" t="inlineStr">
        <is>
          <t>Andalusian regional roads authority</t>
        </is>
      </c>
      <c r="N119" s="170" t="inlineStr">
        <is>
          <t>Spain</t>
        </is>
      </c>
      <c r="O119" s="168" t="inlineStr">
        <is>
          <t>N-435, La Nava, Huelva</t>
        </is>
      </c>
      <c r="P119" s="168" t="n"/>
      <c r="Q119" s="171" t="inlineStr">
        <is>
          <t>Argentina</t>
        </is>
      </c>
      <c r="R119" s="169" t="n">
        <v>46322</v>
      </c>
      <c r="S119" s="170" t="inlineStr">
        <is>
          <t>2026-Q4</t>
        </is>
      </c>
      <c r="T119" s="172" t="n"/>
      <c r="U119" s="160" t="n">
        <v>0</v>
      </c>
      <c r="V119" s="173" t="inlineStr">
        <is>
          <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t>
        </is>
      </c>
      <c r="W119" s="174">
        <f>IF($B119="",0,IF(AND(OR(OR(Dashboard!$B$5="All themes",Dashboard!$B$5=""),$C119=Dashboard!$B$5),OR(OR(Dashboard!$G$5="All uses",Dashboard!$G$5=""),$E119=Dashboard!$G$5),N($D119)&gt;=Lists!$H$2,OR(OR(Dashboard!$N$5="All windows",Dashboard!$N$5=""),$S119=Dashboard!$N$5)),1,0))</f>
        <v/>
      </c>
      <c r="X119" s="175">
        <f>IF($W119=1,N($D119)*1E14+MIN(MAX(N($U119),0),9999)*1E10+MIN(N($K119),99999)*1E5+99999-MIN(ROW(),99999),"")</f>
        <v/>
      </c>
    </row>
    <row r="120" ht="53" customHeight="1">
      <c r="A120" s="160" t="n">
        <v>117</v>
      </c>
      <c r="B120" s="161" t="inlineStr">
        <is>
          <t>Road collapses near a construction site in Hanoi.</t>
        </is>
      </c>
      <c r="C120" s="176" t="inlineStr">
        <is>
          <t>Infrastructure &amp; the Underground City</t>
        </is>
      </c>
      <c r="D120" s="163" t="n">
        <v>3</v>
      </c>
      <c r="E120" s="177" t="inlineStr">
        <is>
          <t>News brief</t>
        </is>
      </c>
      <c r="F120" s="165" t="inlineStr">
        <is>
          <t>To review</t>
        </is>
      </c>
      <c r="G120" s="166" t="n"/>
      <c r="H120" s="167" t="n"/>
      <c r="I120" s="168" t="inlineStr">
        <is>
          <t>How excavation for a nearby building site can undermine a road and what support and monitoring measures would have prevented the collapse.</t>
        </is>
      </c>
      <c r="J120" s="168" t="inlineStr">
        <is>
          <t>Vietnam.vn</t>
        </is>
      </c>
      <c r="K120" s="169" t="n">
        <v>46324</v>
      </c>
      <c r="L120" s="168" t="inlineStr">
        <is>
          <t>Hundimiento de la carretera en las inmediaciones de una obra en construcción en Hanói.</t>
        </is>
      </c>
      <c r="M120" s="168" t="inlineStr">
        <is>
          <t>Hanoi city authorities and the construction contractor</t>
        </is>
      </c>
      <c r="N120" s="170" t="inlineStr">
        <is>
          <t>Vietnam</t>
        </is>
      </c>
      <c r="O120" s="168" t="inlineStr">
        <is>
          <t>Hanoi</t>
        </is>
      </c>
      <c r="P120" s="168" t="inlineStr">
        <is>
          <t>Viet Hung basement road subsidence, Hanoi (Oct 2026) · Event · 2 reports</t>
        </is>
      </c>
      <c r="Q120" s="171" t="inlineStr">
        <is>
          <t>Argentina</t>
        </is>
      </c>
      <c r="R120" s="169" t="n">
        <v>46323</v>
      </c>
      <c r="S120" s="170" t="inlineStr">
        <is>
          <t>2026-Q4</t>
        </is>
      </c>
      <c r="T120" s="172" t="n"/>
      <c r="U120" s="160" t="n">
        <v>0</v>
      </c>
      <c r="V120" s="173" t="inlineStr">
        <is>
          <t>https://news.google.com/rss/articles/CBMihwFBVV95cUxObGszSGNGQ0dfcGR2cUx5TFZOY2hLWHBVX3h4bmZDQ08wVkJGaVdidzZQQVlwQVh4LWZQeEdHVjBMTTZFRGVfTHFfQ2QwX29oUnNXUVZ5OHV0ME5UU3JkVW1JbWtMY3lIV3VveXUzY0tQcmI5TktKUmtPTm1XZHdzWU8xUGNZWW8?oc=5</t>
        </is>
      </c>
      <c r="W120" s="174">
        <f>IF($B120="",0,IF(AND(OR(OR(Dashboard!$B$5="All themes",Dashboard!$B$5=""),$C120=Dashboard!$B$5),OR(OR(Dashboard!$G$5="All uses",Dashboard!$G$5=""),$E120=Dashboard!$G$5),N($D120)&gt;=Lists!$H$2,OR(OR(Dashboard!$N$5="All windows",Dashboard!$N$5=""),$S120=Dashboard!$N$5)),1,0))</f>
        <v/>
      </c>
      <c r="X120" s="175">
        <f>IF($W120=1,N($D120)*1E14+MIN(MAX(N($U120),0),9999)*1E10+MIN(N($K120),99999)*1E5+99999-MIN(ROW(),99999),"")</f>
        <v/>
      </c>
    </row>
    <row r="121" ht="40.5" customHeight="1">
      <c r="A121" s="160" t="n">
        <v>118</v>
      </c>
      <c r="B121" s="161" t="inlineStr">
        <is>
          <t>N-435 closed to traffic at La Nava due to sinking risk</t>
        </is>
      </c>
      <c r="C121" s="176" t="inlineStr">
        <is>
          <t>Infrastructure &amp; the Underground City</t>
        </is>
      </c>
      <c r="D121" s="163" t="n">
        <v>3</v>
      </c>
      <c r="E121" s="177" t="inlineStr">
        <is>
          <t>News brief</t>
        </is>
      </c>
      <c r="F121" s="165" t="inlineStr">
        <is>
          <t>To review</t>
        </is>
      </c>
      <c r="G121" s="166" t="n"/>
      <c r="H121" s="167" t="n"/>
      <c r="I121" s="168" t="inlineStr">
        <is>
          <t>What signs of ground movement under a rural road justify closure, and how a local authority should investigate the cause.</t>
        </is>
      </c>
      <c r="J121" s="168" t="inlineStr">
        <is>
          <t>Teleonuba</t>
        </is>
      </c>
      <c r="K121" s="169" t="n">
        <v>46324</v>
      </c>
      <c r="L121" s="168" t="inlineStr">
        <is>
          <t>La N-435, cortada al tráfico a la altura de La Nava por riesgo de hundimiento</t>
        </is>
      </c>
      <c r="M121" s="168" t="inlineStr">
        <is>
          <t>Andalusian regional roads authority</t>
        </is>
      </c>
      <c r="N121" s="170" t="inlineStr">
        <is>
          <t>Spain</t>
        </is>
      </c>
      <c r="O121" s="168" t="inlineStr">
        <is>
          <t>N-435, La Nava, Huelva</t>
        </is>
      </c>
      <c r="P121" s="168" t="n"/>
      <c r="Q121" s="171" t="inlineStr">
        <is>
          <t>Argentina</t>
        </is>
      </c>
      <c r="R121" s="169" t="n">
        <v>46323</v>
      </c>
      <c r="S121" s="170" t="inlineStr">
        <is>
          <t>2026-Q4</t>
        </is>
      </c>
      <c r="T121" s="172" t="n"/>
      <c r="U121" s="160" t="n">
        <v>0</v>
      </c>
      <c r="V121" s="173" t="inlineStr">
        <is>
          <t>https://news.google.com/rss/articles/CBMinwFBVV95cUxPZW1DOEVJblVuTzkzUDFyYW5ybTZlMzNTeEJNUnJmUGt3bjVKX0czQ0N0MTlsRE5nTnlzTy0ybTdIWUdrQ2RZWUM5RGdrdmZ5UGFjQWwwZzZnMmFDVTBEMkhfUHdqQ0tfbEN3WUJxZEFCTDBmNVBiWVlNTmVyU0tYcVFCTG9KYndWbld5dlBMeHIxRFhmUnk5R1NidGpjRUE?oc=5</t>
        </is>
      </c>
      <c r="W121" s="174">
        <f>IF($B121="",0,IF(AND(OR(OR(Dashboard!$B$5="All themes",Dashboard!$B$5=""),$C121=Dashboard!$B$5),OR(OR(Dashboard!$G$5="All uses",Dashboard!$G$5=""),$E121=Dashboard!$G$5),N($D121)&gt;=Lists!$H$2,OR(OR(Dashboard!$N$5="All windows",Dashboard!$N$5=""),$S121=Dashboard!$N$5)),1,0))</f>
        <v/>
      </c>
      <c r="X121" s="175">
        <f>IF($W121=1,N($D121)*1E14+MIN(MAX(N($U121),0),9999)*1E10+MIN(N($K121),99999)*1E5+99999-MIN(ROW(),99999),"")</f>
        <v/>
      </c>
    </row>
    <row r="122" ht="40.5" customHeight="1">
      <c r="A122" s="160" t="n">
        <v>119</v>
      </c>
      <c r="B122" s="161" t="inlineStr">
        <is>
          <t>First Yonge North Subway Extension TBM arrives</t>
        </is>
      </c>
      <c r="C122" s="176" t="inlineStr">
        <is>
          <t>Infrastructure &amp; the Underground City</t>
        </is>
      </c>
      <c r="D122" s="163" t="n">
        <v>4</v>
      </c>
      <c r="E122" s="177" t="inlineStr">
        <is>
          <t>News brief</t>
        </is>
      </c>
      <c r="F122" s="165" t="inlineStr">
        <is>
          <t>To review</t>
        </is>
      </c>
      <c r="G122" s="166" t="n"/>
      <c r="H122" s="167" t="n"/>
      <c r="I122" s="168" t="inlineStr">
        <is>
          <t>How ground conditions at a deep launch shaft affect TBM launch and early advance on a dense urban subway extension.</t>
        </is>
      </c>
      <c r="J122" s="168" t="inlineStr">
        <is>
          <t>Tunnels &amp; Tunnelling</t>
        </is>
      </c>
      <c r="K122" s="169" t="n">
        <v>46323</v>
      </c>
      <c r="L122" s="168" t="n"/>
      <c r="M122" s="168" t="inlineStr">
        <is>
          <t>Toronto Transit Commission</t>
        </is>
      </c>
      <c r="N122" s="170" t="inlineStr">
        <is>
          <t>Canada</t>
        </is>
      </c>
      <c r="O122" s="168" t="inlineStr">
        <is>
          <t>Yonge North Subway Extension, Toronto</t>
        </is>
      </c>
      <c r="P122" s="168" t="inlineStr">
        <is>
          <t>Yonge North Subway Extension, Toronto, Canada · Update · 2 reports</t>
        </is>
      </c>
      <c r="Q122" s="171" t="n"/>
      <c r="R122" s="169" t="n">
        <v>46322</v>
      </c>
      <c r="S122" s="170" t="inlineStr">
        <is>
          <t>2026-Q4</t>
        </is>
      </c>
      <c r="T122" s="172" t="inlineStr">
        <is>
          <t>excavation, tbm, tunnelling, tunnel, shaft</t>
        </is>
      </c>
      <c r="U122" s="160" t="n">
        <v>11</v>
      </c>
      <c r="V122" s="173" t="inlineStr">
        <is>
          <t>https://www.tunnelsandtunnelling.com/news/first-yonge-north-subway-extension-tbm-arrives/</t>
        </is>
      </c>
      <c r="W122" s="174">
        <f>IF($B122="",0,IF(AND(OR(OR(Dashboard!$B$5="All themes",Dashboard!$B$5=""),$C122=Dashboard!$B$5),OR(OR(Dashboard!$G$5="All uses",Dashboard!$G$5=""),$E122=Dashboard!$G$5),N($D122)&gt;=Lists!$H$2,OR(OR(Dashboard!$N$5="All windows",Dashboard!$N$5=""),$S122=Dashboard!$N$5)),1,0))</f>
        <v/>
      </c>
      <c r="X122" s="175">
        <f>IF($W122=1,N($D122)*1E14+MIN(MAX(N($U122),0),9999)*1E10+MIN(N($K122),99999)*1E5+99999-MIN(ROW(),99999),"")</f>
        <v/>
      </c>
    </row>
    <row r="123" ht="53" customHeight="1">
      <c r="A123" s="160" t="n">
        <v>120</v>
      </c>
      <c r="B123" s="161" t="inlineStr">
        <is>
          <t>Samancor Dikwena tailings dam collapse: Early warnings ignored</t>
        </is>
      </c>
      <c r="C123" s="162" t="inlineStr">
        <is>
          <t>Hazards &amp; Resilience</t>
        </is>
      </c>
      <c r="D123" s="163" t="n">
        <v>4</v>
      </c>
      <c r="E123" s="164" t="inlineStr">
        <is>
          <t>Feature lead</t>
        </is>
      </c>
      <c r="F123" s="165" t="inlineStr">
        <is>
          <t>To review</t>
        </is>
      </c>
      <c r="G123" s="166" t="n"/>
      <c r="H123" s="167" t="n"/>
      <c r="I123" s="168" t="inlineStr">
        <is>
          <t>Why early warning signs of tailings dam instability were not acted on, and what monitoring thresholds should trigger intervention at mine tailings facilities.</t>
        </is>
      </c>
      <c r="J123" s="168" t="inlineStr">
        <is>
          <t>The Citizen</t>
        </is>
      </c>
      <c r="K123" s="169" t="n">
        <v>46323</v>
      </c>
      <c r="L123" s="168" t="n"/>
      <c r="M123" s="168" t="inlineStr">
        <is>
          <t>Samancor Manganese and the South African mine safety regulator</t>
        </is>
      </c>
      <c r="N123" s="170" t="inlineStr">
        <is>
          <t>South Africa</t>
        </is>
      </c>
      <c r="O123" s="168" t="inlineStr">
        <is>
          <t>Dikwena, Northern Cape</t>
        </is>
      </c>
      <c r="P123" s="168" t="n"/>
      <c r="Q123" s="171" t="inlineStr">
        <is>
          <t>United Kingdom</t>
        </is>
      </c>
      <c r="R123" s="169" t="n">
        <v>46322</v>
      </c>
      <c r="S123" s="170" t="inlineStr">
        <is>
          <t>2026-Q4</t>
        </is>
      </c>
      <c r="T123" s="172" t="inlineStr">
        <is>
          <t>tailings, dam, dam failure, collapse</t>
        </is>
      </c>
      <c r="U123" s="160" t="n">
        <v>10</v>
      </c>
      <c r="V123" s="173" t="inlineStr">
        <is>
          <t>https://news.google.com/rss/articles/CBMimAFBVV95cUxPWFNOQUYwRzFTaHpnM2VBUVFLcm1WNTZ1TTFMY1dJX1VycGpraVdtelhTV1lleklvc0ZMNmhNQzVOMlJtMkJFcmFSdDhpck9KWkxLMkRpU3YxZUY3RGJrX1lDR01KWlNhYjUyekJhT0NfVG4zUWotRjJKcHlqLTZzLXBkZnhyNE1OUS1vS0hHM1VIM2RhSDFnWQ?oc=5</t>
        </is>
      </c>
      <c r="W123" s="174">
        <f>IF($B123="",0,IF(AND(OR(OR(Dashboard!$B$5="All themes",Dashboard!$B$5=""),$C123=Dashboard!$B$5),OR(OR(Dashboard!$G$5="All uses",Dashboard!$G$5=""),$E123=Dashboard!$G$5),N($D123)&gt;=Lists!$H$2,OR(OR(Dashboard!$N$5="All windows",Dashboard!$N$5=""),$S123=Dashboard!$N$5)),1,0))</f>
        <v/>
      </c>
      <c r="X123" s="175">
        <f>IF($W123=1,N($D123)*1E14+MIN(MAX(N($U123),0),9999)*1E10+MIN(N($K123),99999)*1E5+99999-MIN(ROW(),99999),"")</f>
        <v/>
      </c>
    </row>
    <row r="124" ht="40.5" customHeight="1">
      <c r="A124" s="160" t="n">
        <v>121</v>
      </c>
      <c r="B124" s="161" t="inlineStr">
        <is>
          <t>Herrenknecht TBM completes 4.5km Panama Canal tunnel drive</t>
        </is>
      </c>
      <c r="C124" s="176" t="inlineStr">
        <is>
          <t>Infrastructure &amp; the Underground City</t>
        </is>
      </c>
      <c r="D124" s="163" t="n">
        <v>4</v>
      </c>
      <c r="E124" s="177" t="inlineStr">
        <is>
          <t>News brief</t>
        </is>
      </c>
      <c r="F124" s="165" t="inlineStr">
        <is>
          <t>To review</t>
        </is>
      </c>
      <c r="G124" s="166" t="n"/>
      <c r="H124" s="167" t="n"/>
      <c r="I124" s="168" t="inlineStr">
        <is>
          <t>How a large-diameter TBM drive beneath a waterway manages ground and groundwater pressures over 4.5 km of mixed ground.</t>
        </is>
      </c>
      <c r="J124" s="168" t="inlineStr">
        <is>
          <t>Tunnelling Journal</t>
        </is>
      </c>
      <c r="K124" s="169" t="n">
        <v>46323</v>
      </c>
      <c r="L124" s="168" t="n"/>
      <c r="M124" s="168" t="inlineStr">
        <is>
          <t>Panama Canal Authority</t>
        </is>
      </c>
      <c r="N124" s="170" t="inlineStr">
        <is>
          <t>Panama</t>
        </is>
      </c>
      <c r="O124" s="168" t="inlineStr">
        <is>
          <t>Panama Canal, Panama</t>
        </is>
      </c>
      <c r="P124" s="168" t="inlineStr">
        <is>
          <t>Panama Metro Line 3 canal tunnel, Panama · Event · 3 reports</t>
        </is>
      </c>
      <c r="Q124" s="171" t="n"/>
      <c r="R124" s="169" t="n">
        <v>46322</v>
      </c>
      <c r="S124" s="170" t="inlineStr">
        <is>
          <t>2026-Q4</t>
        </is>
      </c>
      <c r="T124" s="172" t="inlineStr">
        <is>
          <t>tbm, tunnelling, tunnel</t>
        </is>
      </c>
      <c r="U124" s="160" t="n">
        <v>10</v>
      </c>
      <c r="V124" s="173" t="inlineStr">
        <is>
          <t>https://tunnellingjournal.com/herrenknecht-tbm-completes-4-5km-panama-canal-tunnel-drive/</t>
        </is>
      </c>
      <c r="W124" s="174">
        <f>IF($B124="",0,IF(AND(OR(OR(Dashboard!$B$5="All themes",Dashboard!$B$5=""),$C124=Dashboard!$B$5),OR(OR(Dashboard!$G$5="All uses",Dashboard!$G$5=""),$E124=Dashboard!$G$5),N($D124)&gt;=Lists!$H$2,OR(OR(Dashboard!$N$5="All windows",Dashboard!$N$5=""),$S124=Dashboard!$N$5)),1,0))</f>
        <v/>
      </c>
      <c r="X124" s="175">
        <f>IF($W124=1,N($D124)*1E14+MIN(MAX(N($U124),0),9999)*1E10+MIN(N($K124),99999)*1E5+99999-MIN(ROW(),99999),"")</f>
        <v/>
      </c>
    </row>
    <row r="125" ht="53" customHeight="1">
      <c r="A125" s="160" t="n">
        <v>122</v>
      </c>
      <c r="B125" s="161" t="inlineStr">
        <is>
          <t>Orascom achieves first TBM breakthrough on Cairo Metro Line 4</t>
        </is>
      </c>
      <c r="C125" s="176" t="inlineStr">
        <is>
          <t>Infrastructure &amp; the Underground City</t>
        </is>
      </c>
      <c r="D125" s="163" t="n">
        <v>4</v>
      </c>
      <c r="E125" s="177" t="inlineStr">
        <is>
          <t>News brief</t>
        </is>
      </c>
      <c r="F125" s="165" t="inlineStr">
        <is>
          <t>To review</t>
        </is>
      </c>
      <c r="G125" s="166" t="n"/>
      <c r="H125" s="167" t="n"/>
      <c r="I125" s="168" t="inlineStr">
        <is>
          <t>How TBM performance and ground behaviour in Cairo's alluvium and urban settings shape schedule and settlement control on the metro extension.</t>
        </is>
      </c>
      <c r="J125" s="168" t="inlineStr">
        <is>
          <t>Tunnelling Journal</t>
        </is>
      </c>
      <c r="K125" s="169" t="n">
        <v>46323</v>
      </c>
      <c r="L125" s="168" t="n"/>
      <c r="M125" s="168" t="inlineStr">
        <is>
          <t>National Authority for Tunnels</t>
        </is>
      </c>
      <c r="N125" s="170" t="inlineStr">
        <is>
          <t>Egypt</t>
        </is>
      </c>
      <c r="O125" s="168" t="inlineStr">
        <is>
          <t>Cairo Metro Line 4, Cairo</t>
        </is>
      </c>
      <c r="P125" s="168" t="n"/>
      <c r="Q125" s="171" t="n"/>
      <c r="R125" s="169" t="n">
        <v>46322</v>
      </c>
      <c r="S125" s="170" t="inlineStr">
        <is>
          <t>2026-Q4</t>
        </is>
      </c>
      <c r="T125" s="172" t="inlineStr">
        <is>
          <t>tbm, tunnelling, metro line</t>
        </is>
      </c>
      <c r="U125" s="160" t="n">
        <v>8</v>
      </c>
      <c r="V125" s="173" t="inlineStr">
        <is>
          <t>https://tunnellingjournal.com/orascom-achieves-first-tbm-breakthrough-on-cairo-metro-line-4/</t>
        </is>
      </c>
      <c r="W125" s="174">
        <f>IF($B125="",0,IF(AND(OR(OR(Dashboard!$B$5="All themes",Dashboard!$B$5=""),$C125=Dashboard!$B$5),OR(OR(Dashboard!$G$5="All uses",Dashboard!$G$5=""),$E125=Dashboard!$G$5),N($D125)&gt;=Lists!$H$2,OR(OR(Dashboard!$N$5="All windows",Dashboard!$N$5=""),$S125=Dashboard!$N$5)),1,0))</f>
        <v/>
      </c>
      <c r="X125" s="175">
        <f>IF($W125=1,N($D125)*1E14+MIN(MAX(N($U125),0),9999)*1E10+MIN(N($K125),99999)*1E5+99999-MIN(ROW(),99999),"")</f>
        <v/>
      </c>
    </row>
    <row r="126" ht="40.5" customHeight="1">
      <c r="A126" s="160" t="n">
        <v>123</v>
      </c>
      <c r="B126" s="161" t="inlineStr">
        <is>
          <t>Kumamoto earthquake: 96% of intensity 6-upper sites re-liquefied; experts urge advance countermeasures</t>
        </is>
      </c>
      <c r="C126" s="162" t="inlineStr">
        <is>
          <t>Hazards &amp; Resilience</t>
        </is>
      </c>
      <c r="D126" s="163" t="n">
        <v>4</v>
      </c>
      <c r="E126" s="164" t="inlineStr">
        <is>
          <t>Feature lead</t>
        </is>
      </c>
      <c r="F126" s="165" t="inlineStr">
        <is>
          <t>To review</t>
        </is>
      </c>
      <c r="G126" s="166" t="n"/>
      <c r="H126" s="167" t="n"/>
      <c r="I126" s="168" t="inlineStr">
        <is>
          <t>Why the same sites liquefy again after repeated shaking, and when pre-event ground improvement is justified for urban areas.</t>
        </is>
      </c>
      <c r="J126" s="168" t="inlineStr">
        <is>
          <t>Yahoo!ニュース</t>
        </is>
      </c>
      <c r="K126" s="169" t="n">
        <v>46323</v>
      </c>
      <c r="L126" s="168" t="inlineStr">
        <is>
          <t>熊本地震「震度６強」の９６％が再液状化…繰り返される被害、専門家は事前対策訴え（読売新聞オンライン）</t>
        </is>
      </c>
      <c r="M126" s="168" t="n"/>
      <c r="N126" s="170" t="inlineStr">
        <is>
          <t>Japan</t>
        </is>
      </c>
      <c r="O126" s="168" t="inlineStr">
        <is>
          <t>Kumamoto</t>
        </is>
      </c>
      <c r="P126" s="168" t="inlineStr">
        <is>
          <t>Kumamoto earthquake re-liquefaction study, Japan · Investigation &amp; inquiry · 5 reports</t>
        </is>
      </c>
      <c r="Q126" s="171" t="inlineStr">
        <is>
          <t>Japan</t>
        </is>
      </c>
      <c r="R126" s="169" t="n">
        <v>46320</v>
      </c>
      <c r="S126" s="170" t="inlineStr">
        <is>
          <t>2026-Q4</t>
        </is>
      </c>
      <c r="T126" s="172" t="inlineStr">
        <is>
          <t>liquefaction, earthquake</t>
        </is>
      </c>
      <c r="U126" s="160" t="n">
        <v>7</v>
      </c>
      <c r="V126" s="173" t="inlineStr">
        <is>
          <t>https://news.google.com/rss/articles/CBMif0FVX3lxTE9VZVpXTTFHZkFaSlVIbV8zRXAtU3ZmT3pRTEdYdTAxX3hqT2FvT1RuUUtSY3NSVjRnczVieWFWZ1l1bHJ6amw3Z0syOFVHZUp0ZU5tZHhEYi1sQmxLSmR0UjVnU0c5aU1hNE92b1gxUHphU3NwU3ltQ0FzVU80WXc?oc=5</t>
        </is>
      </c>
      <c r="W126" s="174">
        <f>IF($B126="",0,IF(AND(OR(OR(Dashboard!$B$5="All themes",Dashboard!$B$5=""),$C126=Dashboard!$B$5),OR(OR(Dashboard!$G$5="All uses",Dashboard!$G$5=""),$E126=Dashboard!$G$5),N($D126)&gt;=Lists!$H$2,OR(OR(Dashboard!$N$5="All windows",Dashboard!$N$5=""),$S126=Dashboard!$N$5)),1,0))</f>
        <v/>
      </c>
      <c r="X126" s="175">
        <f>IF($W126=1,N($D126)*1E14+MIN(MAX(N($U126),0),9999)*1E10+MIN(N($K126),99999)*1E5+99999-MIN(ROW(),99999),"")</f>
        <v/>
      </c>
    </row>
    <row r="127" ht="53" customHeight="1">
      <c r="A127" s="160" t="n">
        <v>124</v>
      </c>
      <c r="B127" s="161" t="inlineStr">
        <is>
          <t>MBPP advised project consultant on slope safety months before fatal landslide</t>
        </is>
      </c>
      <c r="C127" s="162" t="inlineStr">
        <is>
          <t>Hazards &amp; Resilience</t>
        </is>
      </c>
      <c r="D127" s="163" t="n">
        <v>4</v>
      </c>
      <c r="E127" s="164" t="inlineStr">
        <is>
          <t>Feature lead</t>
        </is>
      </c>
      <c r="F127" s="165" t="inlineStr">
        <is>
          <t>To review</t>
        </is>
      </c>
      <c r="G127" s="166" t="n"/>
      <c r="H127" s="167" t="n"/>
      <c r="I127" s="168" t="inlineStr">
        <is>
          <t>What slope safety advice given to a project consultant should have triggered, and how consultants should respond to slope warnings.</t>
        </is>
      </c>
      <c r="J127" s="168" t="inlineStr">
        <is>
          <t>NST Online</t>
        </is>
      </c>
      <c r="K127" s="169" t="n">
        <v>46323</v>
      </c>
      <c r="L127" s="168" t="n"/>
      <c r="M127" s="168" t="inlineStr">
        <is>
          <t>Penang Municipal Council (MBPP)</t>
        </is>
      </c>
      <c r="N127" s="170" t="inlineStr">
        <is>
          <t>Malaysia</t>
        </is>
      </c>
      <c r="O127" s="168" t="inlineStr">
        <is>
          <t>Paya Terubong, Penang</t>
        </is>
      </c>
      <c r="P127" s="168" t="inlineStr">
        <is>
          <t>Paya Terubong landslide, Penang, Malaysia (Oct 2026) · Investigation &amp; inquiry · 9 reports</t>
        </is>
      </c>
      <c r="Q127" s="171" t="inlineStr">
        <is>
          <t>United Kingdom</t>
        </is>
      </c>
      <c r="R127" s="169" t="n">
        <v>46322</v>
      </c>
      <c r="S127" s="170" t="inlineStr">
        <is>
          <t>2026-Q4</t>
        </is>
      </c>
      <c r="T127" s="172" t="inlineStr">
        <is>
          <t>landslide, slope</t>
        </is>
      </c>
      <c r="U127" s="160" t="n">
        <v>6</v>
      </c>
      <c r="V127" s="173" t="inlineStr">
        <is>
          <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t>
        </is>
      </c>
      <c r="W127" s="174">
        <f>IF($B127="",0,IF(AND(OR(OR(Dashboard!$B$5="All themes",Dashboard!$B$5=""),$C127=Dashboard!$B$5),OR(OR(Dashboard!$G$5="All uses",Dashboard!$G$5=""),$E127=Dashboard!$G$5),N($D127)&gt;=Lists!$H$2,OR(OR(Dashboard!$N$5="All windows",Dashboard!$N$5=""),$S127=Dashboard!$N$5)),1,0))</f>
        <v/>
      </c>
      <c r="X127" s="175">
        <f>IF($W127=1,N($D127)*1E14+MIN(MAX(N($U127),0),9999)*1E10+MIN(N($K127),99999)*1E5+99999-MIN(ROW(),99999),"")</f>
        <v/>
      </c>
    </row>
    <row r="128" ht="53" customHeight="1">
      <c r="A128" s="160" t="n">
        <v>125</v>
      </c>
      <c r="B128" s="161" t="inlineStr">
        <is>
          <t>Anakkampoyil Tunnel Road Faces Safety Review After Landslide</t>
        </is>
      </c>
      <c r="C128" s="176" t="inlineStr">
        <is>
          <t>Infrastructure &amp; the Underground City</t>
        </is>
      </c>
      <c r="D128" s="163" t="n">
        <v>4</v>
      </c>
      <c r="E128" s="164" t="inlineStr">
        <is>
          <t>Feature lead</t>
        </is>
      </c>
      <c r="F128" s="165" t="inlineStr">
        <is>
          <t>To review</t>
        </is>
      </c>
      <c r="G128" s="166" t="n"/>
      <c r="H128" s="167" t="n"/>
      <c r="I128" s="168" t="inlineStr">
        <is>
          <t>How slope instability in the Western Ghats should inform portal location, ground investigation and monitoring for a road tunnel through landslide-prone terrain.</t>
        </is>
      </c>
      <c r="J128" s="168" t="inlineStr">
        <is>
          <t>Urban Acres</t>
        </is>
      </c>
      <c r="K128" s="169" t="n">
        <v>46323</v>
      </c>
      <c r="L128" s="168" t="n"/>
      <c r="M128" s="168" t="inlineStr">
        <is>
          <t>Kerala Public Works Department</t>
        </is>
      </c>
      <c r="N128" s="170" t="inlineStr">
        <is>
          <t>India</t>
        </is>
      </c>
      <c r="O128" s="168" t="inlineStr">
        <is>
          <t>Anakkampoyil, Wayanad, Kerala</t>
        </is>
      </c>
      <c r="P128" s="168" t="n"/>
      <c r="Q128" s="171" t="inlineStr">
        <is>
          <t>United Kingdom</t>
        </is>
      </c>
      <c r="R128" s="169" t="n">
        <v>46322</v>
      </c>
      <c r="S128" s="170" t="inlineStr">
        <is>
          <t>2026-Q4</t>
        </is>
      </c>
      <c r="T128" s="172" t="inlineStr">
        <is>
          <t>landslide, tunnel</t>
        </is>
      </c>
      <c r="U128" s="160" t="n">
        <v>6</v>
      </c>
      <c r="V128" s="173" t="inlineStr">
        <is>
          <t>https://news.google.com/rss/articles/CBMiiwFBVV95cUxPTTFsYVFrT3ZIZUFLVWZHa0s2THJZSWFsR1pWWFBubU9wTDU3TTc1Vk1jcXM4bnhRSU9tMTItQ085LTAwQUpDZDBJbE9zNFdkdlRza2JiM25mM2drNGJ6XzYwQlBUSW5TQWZxNTRmRlhGVVYxb0pycWE5cmtsX28xZG1DSW84cTk0M01N?oc=5</t>
        </is>
      </c>
      <c r="W128" s="174">
        <f>IF($B128="",0,IF(AND(OR(OR(Dashboard!$B$5="All themes",Dashboard!$B$5=""),$C128=Dashboard!$B$5),OR(OR(Dashboard!$G$5="All uses",Dashboard!$G$5=""),$E128=Dashboard!$G$5),N($D128)&gt;=Lists!$H$2,OR(OR(Dashboard!$N$5="All windows",Dashboard!$N$5=""),$S128=Dashboard!$N$5)),1,0))</f>
        <v/>
      </c>
      <c r="X128" s="175">
        <f>IF($W128=1,N($D128)*1E14+MIN(MAX(N($U128),0),9999)*1E10+MIN(N($K128),99999)*1E5+99999-MIN(ROW(),99999),"")</f>
        <v/>
      </c>
    </row>
    <row r="129" ht="53" customHeight="1">
      <c r="A129" s="160" t="n">
        <v>126</v>
      </c>
      <c r="B129" s="161" t="inlineStr">
        <is>
          <t>Anakkampoyil tunnel project to continue, says Keralam CM after Wayanad landslide</t>
        </is>
      </c>
      <c r="C129" s="176" t="inlineStr">
        <is>
          <t>Infrastructure &amp; the Underground City</t>
        </is>
      </c>
      <c r="D129" s="163" t="n">
        <v>4</v>
      </c>
      <c r="E129" s="164" t="inlineStr">
        <is>
          <t>Feature lead</t>
        </is>
      </c>
      <c r="F129" s="165" t="inlineStr">
        <is>
          <t>To review</t>
        </is>
      </c>
      <c r="G129" s="166" t="n"/>
      <c r="H129" s="167" t="n"/>
      <c r="I129" s="168" t="inlineStr">
        <is>
          <t>Whether a tunnel alignment through landslide-prone Wayanad terrain can be made safe, and what ground investigation it would need.</t>
        </is>
      </c>
      <c r="J129" s="168" t="inlineStr">
        <is>
          <t>The Federal</t>
        </is>
      </c>
      <c r="K129" s="169" t="n">
        <v>46323</v>
      </c>
      <c r="L129" s="168" t="n"/>
      <c r="M129" s="168" t="inlineStr">
        <is>
          <t>Kerala state government</t>
        </is>
      </c>
      <c r="N129" s="170" t="inlineStr">
        <is>
          <t>India</t>
        </is>
      </c>
      <c r="O129" s="168" t="inlineStr">
        <is>
          <t>Anakkampoyil, Wayanad, Kerala</t>
        </is>
      </c>
      <c r="P129" s="168" t="n"/>
      <c r="Q129" s="171" t="inlineStr">
        <is>
          <t>United Kingdom</t>
        </is>
      </c>
      <c r="R129" s="169" t="n">
        <v>46322</v>
      </c>
      <c r="S129" s="170" t="inlineStr">
        <is>
          <t>2026-Q4</t>
        </is>
      </c>
      <c r="T129" s="172" t="inlineStr">
        <is>
          <t>landslide, tunnel</t>
        </is>
      </c>
      <c r="U129" s="160" t="n">
        <v>6</v>
      </c>
      <c r="V129" s="173" t="inlineStr">
        <is>
          <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t>
        </is>
      </c>
      <c r="W129" s="174">
        <f>IF($B129="",0,IF(AND(OR(OR(Dashboard!$B$5="All themes",Dashboard!$B$5=""),$C129=Dashboard!$B$5),OR(OR(Dashboard!$G$5="All uses",Dashboard!$G$5=""),$E129=Dashboard!$G$5),N($D129)&gt;=Lists!$H$2,OR(OR(Dashboard!$N$5="All windows",Dashboard!$N$5=""),$S129=Dashboard!$N$5)),1,0))</f>
        <v/>
      </c>
      <c r="X129" s="175">
        <f>IF($W129=1,N($D129)*1E14+MIN(MAX(N($U129),0),9999)*1E10+MIN(N($K129),99999)*1E5+99999-MIN(ROW(),99999),"")</f>
        <v/>
      </c>
    </row>
    <row r="130" ht="53" customHeight="1">
      <c r="A130" s="160" t="n">
        <v>127</v>
      </c>
      <c r="B130" s="161" t="inlineStr">
        <is>
          <t>Evaluating geogrid creep – traditional and accelerated testing</t>
        </is>
      </c>
      <c r="C130" s="184" t="inlineStr">
        <is>
          <t>Ground Improvement &amp; Innovation</t>
        </is>
      </c>
      <c r="D130" s="163" t="n">
        <v>4</v>
      </c>
      <c r="E130" s="182" t="inlineStr">
        <is>
          <t>Academia-to-Industry topic</t>
        </is>
      </c>
      <c r="F130" s="165" t="inlineStr">
        <is>
          <t>To review</t>
        </is>
      </c>
      <c r="G130" s="166" t="n"/>
      <c r="H130" s="167" t="n"/>
      <c r="I130" s="168" t="inlineStr">
        <is>
          <t>How accelerated creep testing compares with traditional long-term tests, and whether it can support reliable geogrid design life.</t>
        </is>
      </c>
      <c r="J130" s="168" t="inlineStr">
        <is>
          <t>Geosynthetics Magazine</t>
        </is>
      </c>
      <c r="K130" s="169" t="n">
        <v>46323</v>
      </c>
      <c r="L130" s="168" t="n"/>
      <c r="M130" s="168" t="n"/>
      <c r="N130" s="170" t="n"/>
      <c r="O130" s="168" t="n"/>
      <c r="P130" s="168" t="n"/>
      <c r="Q130" s="171" t="inlineStr">
        <is>
          <t>United States</t>
        </is>
      </c>
      <c r="R130" s="169" t="n">
        <v>46322</v>
      </c>
      <c r="S130" s="170" t="inlineStr">
        <is>
          <t>2026-Q4</t>
        </is>
      </c>
      <c r="T130" s="172" t="inlineStr">
        <is>
          <t>geogrid</t>
        </is>
      </c>
      <c r="U130" s="160" t="n">
        <v>4</v>
      </c>
      <c r="V130" s="173" t="inlineStr">
        <is>
          <t>https://news.google.com/rss/articles/CBMiqgFBVV95cUxQRXg5allQdTRXRlhnRXl4WjRIRVBnSTJsVnBuY1RVOVlVaFhPbzZiUEdTQzctazhXRW94YlRRdEZIWDVvM1o5VXlEejNjbUV6VkNSTzNFSWloUmttN1dFM0xSVHBFQ2lTdlFQVVhwLWUzU1BZLTFBZXp5MU1lQS1xYml1TzJ3bTFUbGQ4YV9FeThXY2FUMThHc0pvUXZDVWl4T1VZbXEtVGNWUQ?oc=5</t>
        </is>
      </c>
      <c r="W130" s="174">
        <f>IF($B130="",0,IF(AND(OR(OR(Dashboard!$B$5="All themes",Dashboard!$B$5=""),$C130=Dashboard!$B$5),OR(OR(Dashboard!$G$5="All uses",Dashboard!$G$5=""),$E130=Dashboard!$G$5),N($D130)&gt;=Lists!$H$2,OR(OR(Dashboard!$N$5="All windows",Dashboard!$N$5=""),$S130=Dashboard!$N$5)),1,0))</f>
        <v/>
      </c>
      <c r="X130" s="175">
        <f>IF($W130=1,N($D130)*1E14+MIN(MAX(N($U130),0),9999)*1E10+MIN(N($K130),99999)*1E5+99999-MIN(ROW(),99999),"")</f>
        <v/>
      </c>
    </row>
    <row r="131" ht="53" customHeight="1">
      <c r="A131" s="160" t="n">
        <v>128</v>
      </c>
      <c r="B131" s="161" t="inlineStr">
        <is>
          <t>Shaking Table Tests Reveal How Prestressed Basalt Fiber Geogrids Stabilize Railway Transitions</t>
        </is>
      </c>
      <c r="C131" s="184" t="inlineStr">
        <is>
          <t>Ground Improvement &amp; Innovation</t>
        </is>
      </c>
      <c r="D131" s="163" t="n">
        <v>4</v>
      </c>
      <c r="E131" s="182" t="inlineStr">
        <is>
          <t>Academia-to-Industry topic</t>
        </is>
      </c>
      <c r="F131" s="165" t="inlineStr">
        <is>
          <t>To review</t>
        </is>
      </c>
      <c r="G131" s="166" t="n"/>
      <c r="H131" s="167" t="n"/>
      <c r="I131" s="168" t="inlineStr">
        <is>
          <t>How prestressed reinforcement at railway transitions reduces differential settlement under dynamic loading, and how shaking table results translate to design.</t>
        </is>
      </c>
      <c r="J131" s="168" t="inlineStr">
        <is>
          <t>Bioengineer.org</t>
        </is>
      </c>
      <c r="K131" s="169" t="n">
        <v>46323</v>
      </c>
      <c r="L131" s="168" t="n"/>
      <c r="M131" s="168" t="n"/>
      <c r="N131" s="170" t="n"/>
      <c r="O131" s="168" t="n"/>
      <c r="P131" s="168" t="n"/>
      <c r="Q131" s="171" t="inlineStr">
        <is>
          <t>United States</t>
        </is>
      </c>
      <c r="R131" s="169" t="n">
        <v>46323</v>
      </c>
      <c r="S131" s="170" t="inlineStr">
        <is>
          <t>2026-Q4</t>
        </is>
      </c>
      <c r="T131" s="172" t="inlineStr">
        <is>
          <t>geogrid, railway</t>
        </is>
      </c>
      <c r="U131" s="160" t="n">
        <v>4</v>
      </c>
      <c r="V131" s="173" t="inlineStr">
        <is>
          <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t>
        </is>
      </c>
      <c r="W131" s="174">
        <f>IF($B131="",0,IF(AND(OR(OR(Dashboard!$B$5="All themes",Dashboard!$B$5=""),$C131=Dashboard!$B$5),OR(OR(Dashboard!$G$5="All uses",Dashboard!$G$5=""),$E131=Dashboard!$G$5),N($D131)&gt;=Lists!$H$2,OR(OR(Dashboard!$N$5="All windows",Dashboard!$N$5=""),$S131=Dashboard!$N$5)),1,0))</f>
        <v/>
      </c>
      <c r="X131" s="175">
        <f>IF($W131=1,N($D131)*1E14+MIN(MAX(N($U131),0),9999)*1E10+MIN(N($K131),99999)*1E5+99999-MIN(ROW(),99999),"")</f>
        <v/>
      </c>
    </row>
    <row r="132" ht="53" customHeight="1">
      <c r="A132" s="160" t="n">
        <v>129</v>
      </c>
      <c r="B132" s="161" t="inlineStr">
        <is>
          <t>Senapred declares red alert for mass movement in ten communes of Metropolitan Region</t>
        </is>
      </c>
      <c r="C132" s="162" t="inlineStr">
        <is>
          <t>Hazards &amp; Resilience</t>
        </is>
      </c>
      <c r="D132" s="163" t="n">
        <v>4</v>
      </c>
      <c r="E132" s="164" t="inlineStr">
        <is>
          <t>Feature lead</t>
        </is>
      </c>
      <c r="F132" s="165" t="inlineStr">
        <is>
          <t>To review</t>
        </is>
      </c>
      <c r="G132" s="166" t="n"/>
      <c r="H132" s="167" t="n"/>
      <c r="I132" s="168" t="inlineStr">
        <is>
          <t>What rainfall and slope conditions justify a red alert for mass movement across a whole metropolitan region, and how is risk zoning used?</t>
        </is>
      </c>
      <c r="J132" s="168" t="inlineStr">
        <is>
          <t>laconexion.cl</t>
        </is>
      </c>
      <c r="K132" s="169" t="n">
        <v>46323</v>
      </c>
      <c r="L132" s="168" t="inlineStr">
        <is>
          <t>Senapred declara Alerta Roja por remoción en masa en diez comunas de la Región Metropolitana</t>
        </is>
      </c>
      <c r="M132" s="168" t="inlineStr">
        <is>
          <t>Senapred</t>
        </is>
      </c>
      <c r="N132" s="170" t="inlineStr">
        <is>
          <t>Chile</t>
        </is>
      </c>
      <c r="O132" s="168" t="inlineStr">
        <is>
          <t>Metropolitan Region, Santiago</t>
        </is>
      </c>
      <c r="P132" s="168" t="inlineStr">
        <is>
          <t>Senapred declares Red Alert in the Metropolitan Region: the 10 commun… (Oct 2026) · Response &amp; recovery · 5 reports</t>
        </is>
      </c>
      <c r="Q132" s="171" t="inlineStr">
        <is>
          <t>Colombia</t>
        </is>
      </c>
      <c r="R132" s="169" t="n">
        <v>46322</v>
      </c>
      <c r="S132" s="170" t="inlineStr">
        <is>
          <t>2026-Q4</t>
        </is>
      </c>
      <c r="T132" s="172" t="inlineStr">
        <is>
          <t>landslide</t>
        </is>
      </c>
      <c r="U132" s="160" t="n">
        <v>4</v>
      </c>
      <c r="V132" s="173" t="inlineStr">
        <is>
          <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t>
        </is>
      </c>
      <c r="W132" s="174">
        <f>IF($B132="",0,IF(AND(OR(OR(Dashboard!$B$5="All themes",Dashboard!$B$5=""),$C132=Dashboard!$B$5),OR(OR(Dashboard!$G$5="All uses",Dashboard!$G$5=""),$E132=Dashboard!$G$5),N($D132)&gt;=Lists!$H$2,OR(OR(Dashboard!$N$5="All windows",Dashboard!$N$5=""),$S132=Dashboard!$N$5)),1,0))</f>
        <v/>
      </c>
      <c r="X132" s="175">
        <f>IF($W132=1,N($D132)*1E14+MIN(MAX(N($U132),0),9999)*1E10+MIN(N($K132),99999)*1E5+99999-MIN(ROW(),99999),"")</f>
        <v/>
      </c>
    </row>
    <row r="133" ht="53" customHeight="1">
      <c r="A133" s="160" t="n">
        <v>130</v>
      </c>
      <c r="B133" s="161" t="inlineStr">
        <is>
          <t>Fear spreads among neighbours of L9 sinkhole in Barcelona: 'We don't know if the houses are safe'</t>
        </is>
      </c>
      <c r="C133" s="176" t="inlineStr">
        <is>
          <t>Infrastructure &amp; the Underground City</t>
        </is>
      </c>
      <c r="D133" s="163" t="n">
        <v>4</v>
      </c>
      <c r="E133" s="164" t="inlineStr">
        <is>
          <t>Feature lead</t>
        </is>
      </c>
      <c r="F133" s="165" t="inlineStr">
        <is>
          <t>To review</t>
        </is>
      </c>
      <c r="G133" s="166" t="n"/>
      <c r="H133" s="167" t="n"/>
      <c r="I133" s="168" t="inlineStr">
        <is>
          <t>How can tunnelling for a metro line cause ground collapse beneath housing, and what monitoring should protect residents during construction?</t>
        </is>
      </c>
      <c r="J133" s="168" t="inlineStr">
        <is>
          <t>COPE</t>
        </is>
      </c>
      <c r="K133" s="169" t="n">
        <v>46323</v>
      </c>
      <c r="L133" s="168" t="inlineStr">
        <is>
          <t>El miedo se instala entre los vecinos del socavón de la L9 en Barcelona: "No sabemos si las casas son seguras"</t>
        </is>
      </c>
      <c r="M133" s="168" t="inlineStr">
        <is>
          <t>TMB and Barcelona city council</t>
        </is>
      </c>
      <c r="N133" s="170" t="inlineStr">
        <is>
          <t>Spain</t>
        </is>
      </c>
      <c r="O133" s="168" t="inlineStr">
        <is>
          <t>L9 metro, Barcelona</t>
        </is>
      </c>
      <c r="P133" s="168" t="n"/>
      <c r="Q133" s="171" t="inlineStr">
        <is>
          <t>Colombia</t>
        </is>
      </c>
      <c r="R133" s="169" t="n">
        <v>46322</v>
      </c>
      <c r="S133" s="170" t="inlineStr">
        <is>
          <t>2026-Q4</t>
        </is>
      </c>
      <c r="T133" s="172" t="inlineStr">
        <is>
          <t>sinkhole</t>
        </is>
      </c>
      <c r="U133" s="160" t="n">
        <v>4</v>
      </c>
      <c r="V133" s="173" t="inlineStr">
        <is>
          <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t>
        </is>
      </c>
      <c r="W133" s="174">
        <f>IF($B133="",0,IF(AND(OR(OR(Dashboard!$B$5="All themes",Dashboard!$B$5=""),$C133=Dashboard!$B$5),OR(OR(Dashboard!$G$5="All uses",Dashboard!$G$5=""),$E133=Dashboard!$G$5),N($D133)&gt;=Lists!$H$2,OR(OR(Dashboard!$N$5="All windows",Dashboard!$N$5=""),$S133=Dashboard!$N$5)),1,0))</f>
        <v/>
      </c>
      <c r="X133" s="175">
        <f>IF($W133=1,N($D133)*1E14+MIN(MAX(N($U133),0),9999)*1E10+MIN(N($K133),99999)*1E5+99999-MIN(ROW(),99999),"")</f>
        <v/>
      </c>
    </row>
    <row r="134" ht="53" customHeight="1">
      <c r="A134" s="160" t="n">
        <v>131</v>
      </c>
      <c r="B134" s="161" t="inlineStr">
        <is>
          <t>Machine Learning Reads TBM Data to Classify Rock Mass Automatically</t>
        </is>
      </c>
      <c r="C134" s="181" t="inlineStr">
        <is>
          <t>Digital Geotechnics</t>
        </is>
      </c>
      <c r="D134" s="163" t="n">
        <v>4</v>
      </c>
      <c r="E134" s="182" t="inlineStr">
        <is>
          <t>Academia-to-Industry topic</t>
        </is>
      </c>
      <c r="F134" s="165" t="inlineStr">
        <is>
          <t>To review</t>
        </is>
      </c>
      <c r="G134" s="166" t="n"/>
      <c r="H134" s="167" t="n"/>
      <c r="I134" s="168" t="inlineStr">
        <is>
          <t>Can machine learning on TBM operating data reliably classify rock mass quality in real time, and how should it be validated against conventional mapping?</t>
        </is>
      </c>
      <c r="J134" s="168" t="inlineStr">
        <is>
          <t>Bioengineer.org</t>
        </is>
      </c>
      <c r="K134" s="169" t="n">
        <v>46323</v>
      </c>
      <c r="L134" s="168" t="n"/>
      <c r="M134" s="168" t="n"/>
      <c r="N134" s="170" t="n"/>
      <c r="O134" s="168" t="n"/>
      <c r="P134" s="168" t="n"/>
      <c r="Q134" s="171" t="inlineStr">
        <is>
          <t>United Kingdom</t>
        </is>
      </c>
      <c r="R134" s="169" t="n">
        <v>46323</v>
      </c>
      <c r="S134" s="170" t="inlineStr">
        <is>
          <t>2026-Q4</t>
        </is>
      </c>
      <c r="T134" s="172" t="inlineStr">
        <is>
          <t>tbm</t>
        </is>
      </c>
      <c r="U134" s="160" t="n">
        <v>3</v>
      </c>
      <c r="V134" s="173" t="inlineStr">
        <is>
          <t>https://news.google.com/rss/articles/CBMilwFBVV95cUxQZWZYQXdJUkhuSE9ISE9YU2hrWUJrVUwzdlM0bkN1dkRjaEppSm1TeExibHgzZUIwUWRIQl82MGZtRTYwNVR1NS1JWXQ0ZkZDNENuNE5PSEFodDFXZzhDMG5fWkljd0JPUWh2SDFpVTA1NGFRQ2tnYmFyTTR2WGhISjRTLU1vT3ptTnBvdEN2ZWR3UEFBVVM0?oc=5</t>
        </is>
      </c>
      <c r="W134" s="174">
        <f>IF($B134="",0,IF(AND(OR(OR(Dashboard!$B$5="All themes",Dashboard!$B$5=""),$C134=Dashboard!$B$5),OR(OR(Dashboard!$G$5="All uses",Dashboard!$G$5=""),$E134=Dashboard!$G$5),N($D134)&gt;=Lists!$H$2,OR(OR(Dashboard!$N$5="All windows",Dashboard!$N$5=""),$S134=Dashboard!$N$5)),1,0))</f>
        <v/>
      </c>
      <c r="X134" s="175">
        <f>IF($W134=1,N($D134)*1E14+MIN(MAX(N($U134),0),9999)*1E10+MIN(N($K134),99999)*1E5+99999-MIN(ROW(),99999),"")</f>
        <v/>
      </c>
    </row>
    <row r="135" ht="53" customHeight="1">
      <c r="A135" s="160" t="n">
        <v>132</v>
      </c>
      <c r="B135" s="161" t="inlineStr">
        <is>
          <t>Modern monitoring technology to be installed in Hanogi tunnel on Kiratpur-Manali four-lane to detect geological movement and cracks</t>
        </is>
      </c>
      <c r="C135" s="181" t="inlineStr">
        <is>
          <t>Digital Geotechnics</t>
        </is>
      </c>
      <c r="D135" s="163" t="n">
        <v>4</v>
      </c>
      <c r="E135" s="164" t="inlineStr">
        <is>
          <t>Feature lead</t>
        </is>
      </c>
      <c r="F135" s="165" t="inlineStr">
        <is>
          <t>To review</t>
        </is>
      </c>
      <c r="G135" s="166" t="n"/>
      <c r="H135" s="167" t="n"/>
      <c r="I135" s="168" t="inlineStr">
        <is>
          <t>How can monitoring systems detect geological movement and cracking in a tunnel on a mountain highway, and what should be measured to give early warning?</t>
        </is>
      </c>
      <c r="J135" s="168" t="inlineStr">
        <is>
          <t>Jagran</t>
        </is>
      </c>
      <c r="K135" s="169" t="n">
        <v>46323</v>
      </c>
      <c r="L135" s="168" t="inlineStr">
        <is>
          <t>कीरतपुर-मनाली फोरलेन पर हणोगी टनल में लगेगी आधुनिक निगरानी तकनीक, भूगर्भीय हलचल और दरारों का पता चलेगा</t>
        </is>
      </c>
      <c r="M135" s="168" t="inlineStr">
        <is>
          <t>National Highways Authority of India</t>
        </is>
      </c>
      <c r="N135" s="170" t="inlineStr">
        <is>
          <t>India</t>
        </is>
      </c>
      <c r="O135" s="168" t="inlineStr">
        <is>
          <t>Hanogi tunnel, Kiratpur-Manali highway</t>
        </is>
      </c>
      <c r="P135" s="168" t="n"/>
      <c r="Q135" s="171" t="inlineStr">
        <is>
          <t>India</t>
        </is>
      </c>
      <c r="R135" s="169" t="n">
        <v>46323</v>
      </c>
      <c r="S135" s="170" t="inlineStr">
        <is>
          <t>2026-Q4</t>
        </is>
      </c>
      <c r="T135" s="172" t="n"/>
      <c r="U135" s="160" t="n">
        <v>0</v>
      </c>
      <c r="V135" s="173" t="inlineStr">
        <is>
          <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t>
        </is>
      </c>
      <c r="W135" s="174">
        <f>IF($B135="",0,IF(AND(OR(OR(Dashboard!$B$5="All themes",Dashboard!$B$5=""),$C135=Dashboard!$B$5),OR(OR(Dashboard!$G$5="All uses",Dashboard!$G$5=""),$E135=Dashboard!$G$5),N($D135)&gt;=Lists!$H$2,OR(OR(Dashboard!$N$5="All windows",Dashboard!$N$5=""),$S135=Dashboard!$N$5)),1,0))</f>
        <v/>
      </c>
      <c r="X135" s="175">
        <f>IF($W135=1,N($D135)*1E14+MIN(MAX(N($U135),0),9999)*1E10+MIN(N($K135),99999)*1E5+99999-MIN(ROW(),99999),"")</f>
        <v/>
      </c>
    </row>
    <row r="136" ht="53" customHeight="1">
      <c r="A136" s="160" t="n">
        <v>133</v>
      </c>
      <c r="B136" s="161" t="inlineStr">
        <is>
          <t>UNAM warns of subsidence of up to 40 centimetres a year in the Historic Centre</t>
        </is>
      </c>
      <c r="C136" s="162" t="inlineStr">
        <is>
          <t>Hazards &amp; Resilience</t>
        </is>
      </c>
      <c r="D136" s="163" t="n">
        <v>4</v>
      </c>
      <c r="E136" s="164" t="inlineStr">
        <is>
          <t>Feature lead</t>
        </is>
      </c>
      <c r="F136" s="165" t="inlineStr">
        <is>
          <t>To review</t>
        </is>
      </c>
      <c r="G136" s="166" t="n"/>
      <c r="H136" s="167" t="n"/>
      <c r="I136" s="168" t="inlineStr">
        <is>
          <t>How does groundwater extraction and clay consolidation drive decimetre-scale annual subsidence in a historic city centre, and what mitigation works are feasible?</t>
        </is>
      </c>
      <c r="J136" s="168" t="inlineStr">
        <is>
          <t>El Financiero</t>
        </is>
      </c>
      <c r="K136" s="169" t="n">
        <v>46323</v>
      </c>
      <c r="L136" s="168" t="inlineStr">
        <is>
          <t>UNAM advierte hundimiento de hasta 40 centímetros al año en el Centro Histórico</t>
        </is>
      </c>
      <c r="M136" s="168" t="inlineStr">
        <is>
          <t>UNAM</t>
        </is>
      </c>
      <c r="N136" s="170" t="inlineStr">
        <is>
          <t>Mexico</t>
        </is>
      </c>
      <c r="O136" s="168" t="inlineStr">
        <is>
          <t>Centro Histórico, Mexico City</t>
        </is>
      </c>
      <c r="P136" s="168" t="n"/>
      <c r="Q136" s="171" t="inlineStr">
        <is>
          <t>Argentina</t>
        </is>
      </c>
      <c r="R136" s="169" t="n">
        <v>46323</v>
      </c>
      <c r="S136" s="170" t="inlineStr">
        <is>
          <t>2026-Q4</t>
        </is>
      </c>
      <c r="T136" s="172" t="n"/>
      <c r="U136" s="160" t="n">
        <v>0</v>
      </c>
      <c r="V136" s="173" t="inlineStr">
        <is>
          <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t>
        </is>
      </c>
      <c r="W136" s="174">
        <f>IF($B136="",0,IF(AND(OR(OR(Dashboard!$B$5="All themes",Dashboard!$B$5=""),$C136=Dashboard!$B$5),OR(OR(Dashboard!$G$5="All uses",Dashboard!$G$5=""),$E136=Dashboard!$G$5),N($D136)&gt;=Lists!$H$2,OR(OR(Dashboard!$N$5="All windows",Dashboard!$N$5=""),$S136=Dashboard!$N$5)),1,0))</f>
        <v/>
      </c>
      <c r="X136" s="175">
        <f>IF($W136=1,N($D136)*1E14+MIN(MAX(N($U136),0),9999)*1E10+MIN(N($K136),99999)*1E5+99999-MIN(ROW(),99999),"")</f>
        <v/>
      </c>
    </row>
    <row r="137" ht="40.5" customHeight="1">
      <c r="A137" s="160" t="n">
        <v>134</v>
      </c>
      <c r="B137" s="161" t="inlineStr">
        <is>
          <t>Landslide in Santa Fe: official cause and damage left by slope collapse revealed</t>
        </is>
      </c>
      <c r="C137" s="162" t="inlineStr">
        <is>
          <t>Hazards &amp; Resilience</t>
        </is>
      </c>
      <c r="D137" s="163" t="n">
        <v>3</v>
      </c>
      <c r="E137" s="177" t="inlineStr">
        <is>
          <t>News brief</t>
        </is>
      </c>
      <c r="F137" s="165" t="inlineStr">
        <is>
          <t>To review</t>
        </is>
      </c>
      <c r="G137" s="166" t="n"/>
      <c r="H137" s="167" t="n"/>
      <c r="I137" s="168" t="inlineStr">
        <is>
          <t>What caused a cut slope to collapse next to an urban development, and what the slope stability check should have caught.</t>
        </is>
      </c>
      <c r="J137" s="168" t="inlineStr">
        <is>
          <t>Tele Urban</t>
        </is>
      </c>
      <c r="K137" s="169" t="n">
        <v>46323</v>
      </c>
      <c r="L137" s="168" t="inlineStr">
        <is>
          <t>Deslave en Santa Fe: Revelan la causa oficial y los daños que dejó el colapso del talud</t>
        </is>
      </c>
      <c r="M137" s="168" t="inlineStr">
        <is>
          <t>Mexico City civil protection authority</t>
        </is>
      </c>
      <c r="N137" s="170" t="inlineStr">
        <is>
          <t>Mexico</t>
        </is>
      </c>
      <c r="O137" s="168" t="inlineStr">
        <is>
          <t>Santa Fe, Mexico City</t>
        </is>
      </c>
      <c r="P137" s="168" t="inlineStr">
        <is>
          <t>Centro Santa Fe slope collapse, Mexico City (Oct 2026) · Investigation &amp; inquiry · 2 reports</t>
        </is>
      </c>
      <c r="Q137" s="171" t="inlineStr">
        <is>
          <t>Mexico</t>
        </is>
      </c>
      <c r="R137" s="169" t="n">
        <v>46321</v>
      </c>
      <c r="S137" s="170" t="inlineStr">
        <is>
          <t>2026-Q4</t>
        </is>
      </c>
      <c r="T137" s="172" t="inlineStr">
        <is>
          <t>landslide, retaining wall, collapse</t>
        </is>
      </c>
      <c r="U137" s="160" t="n">
        <v>9</v>
      </c>
      <c r="V137" s="173" t="inlineStr">
        <is>
          <t>https://news.google.com/rss/articles/CBMiXEFVX3lxTFBlWUozdmRXR3htQzE2bXRDMk50ZjNZdUNOdXhOQVhaZmRLVkowMnNoWVRyTWNvWlMtY0NyYTFtTW5WdmFQRDcwQVVtekFXeFRld0RCN1RuanBVUUd4?oc=5</t>
        </is>
      </c>
      <c r="W137" s="174">
        <f>IF($B137="",0,IF(AND(OR(OR(Dashboard!$B$5="All themes",Dashboard!$B$5=""),$C137=Dashboard!$B$5),OR(OR(Dashboard!$G$5="All uses",Dashboard!$G$5=""),$E137=Dashboard!$G$5),N($D137)&gt;=Lists!$H$2,OR(OR(Dashboard!$N$5="All windows",Dashboard!$N$5=""),$S137=Dashboard!$N$5)),1,0))</f>
        <v/>
      </c>
      <c r="X137" s="175">
        <f>IF($W137=1,N($D137)*1E14+MIN(MAX(N($U137),0),9999)*1E10+MIN(N($K137),99999)*1E5+99999-MIN(ROW(),99999),"")</f>
        <v/>
      </c>
    </row>
    <row r="138" ht="53" customHeight="1">
      <c r="A138" s="160" t="n">
        <v>135</v>
      </c>
      <c r="B138" s="161" t="inlineStr">
        <is>
          <t>Rain hits Santander roads: loss of road shoulder and rockfall reported</t>
        </is>
      </c>
      <c r="C138" s="162" t="inlineStr">
        <is>
          <t>Hazards &amp; Resilience</t>
        </is>
      </c>
      <c r="D138" s="163" t="n">
        <v>3</v>
      </c>
      <c r="E138" s="177" t="inlineStr">
        <is>
          <t>News brief</t>
        </is>
      </c>
      <c r="F138" s="165" t="inlineStr">
        <is>
          <t>To review</t>
        </is>
      </c>
      <c r="G138" s="166" t="n"/>
      <c r="H138" s="167" t="n"/>
      <c r="I138" s="168" t="inlineStr">
        <is>
          <t>How rainfall triggers loss of road shoulder and rockfall on mountain roads, and what slope monitoring could have prevented closures.</t>
        </is>
      </c>
      <c r="J138" s="168" t="inlineStr">
        <is>
          <t>Blu Radio</t>
        </is>
      </c>
      <c r="K138" s="169" t="n">
        <v>46323</v>
      </c>
      <c r="L138" s="168" t="inlineStr">
        <is>
          <t>Lluvias golpean vías de Santander: reportan pérdida de banca y caída de rocas</t>
        </is>
      </c>
      <c r="M138" s="168" t="inlineStr">
        <is>
          <t>INVIAS national road agency</t>
        </is>
      </c>
      <c r="N138" s="170" t="inlineStr">
        <is>
          <t>Colombia</t>
        </is>
      </c>
      <c r="O138" s="168" t="inlineStr">
        <is>
          <t>Santander, Colombia</t>
        </is>
      </c>
      <c r="P138" s="168" t="n"/>
      <c r="Q138" s="171" t="inlineStr">
        <is>
          <t>Colombia</t>
        </is>
      </c>
      <c r="R138" s="169" t="n">
        <v>46322</v>
      </c>
      <c r="S138" s="170" t="inlineStr">
        <is>
          <t>2026-Q4</t>
        </is>
      </c>
      <c r="T138" s="172" t="inlineStr">
        <is>
          <t>rockfall, embankment</t>
        </is>
      </c>
      <c r="U138" s="160" t="n">
        <v>7</v>
      </c>
      <c r="V138" s="173" t="inlineStr">
        <is>
          <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t>
        </is>
      </c>
      <c r="W138" s="174">
        <f>IF($B138="",0,IF(AND(OR(OR(Dashboard!$B$5="All themes",Dashboard!$B$5=""),$C138=Dashboard!$B$5),OR(OR(Dashboard!$G$5="All uses",Dashboard!$G$5=""),$E138=Dashboard!$G$5),N($D138)&gt;=Lists!$H$2,OR(OR(Dashboard!$N$5="All windows",Dashboard!$N$5=""),$S138=Dashboard!$N$5)),1,0))</f>
        <v/>
      </c>
      <c r="X138" s="175">
        <f>IF($W138=1,N($D138)*1E14+MIN(MAX(N($U138),0),9999)*1E10+MIN(N($K138),99999)*1E5+99999-MIN(ROW(),99999),"")</f>
        <v/>
      </c>
    </row>
    <row r="139" ht="53" customHeight="1">
      <c r="A139" s="160" t="n">
        <v>136</v>
      </c>
      <c r="B139" s="161" t="inlineStr">
        <is>
          <t>Liquefaction damaged school building: Nishiarai Elementary lost in Noto earthquake and children's return to learning</t>
        </is>
      </c>
      <c r="C139" s="162" t="inlineStr">
        <is>
          <t>Hazards &amp; Resilience</t>
        </is>
      </c>
      <c r="D139" s="163" t="n">
        <v>3</v>
      </c>
      <c r="E139" s="183" t="inlineStr">
        <is>
          <t>Regional insight</t>
        </is>
      </c>
      <c r="F139" s="165" t="inlineStr">
        <is>
          <t>To review</t>
        </is>
      </c>
      <c r="G139" s="166" t="n"/>
      <c r="H139" s="167" t="n"/>
      <c r="I139" s="168" t="inlineStr">
        <is>
          <t>How liquefaction damage to public buildings in Noto shapes decisions on rebuilding and relocating schools on susceptible ground.</t>
        </is>
      </c>
      <c r="J139" s="168" t="inlineStr">
        <is>
          <t>中日新聞Web</t>
        </is>
      </c>
      <c r="K139" s="169" t="n">
        <v>46323</v>
      </c>
      <c r="L139" s="168" t="inlineStr">
        <is>
          <t>液状化で校舎が被災、能登半島地震で消えた西荒屋小学校の風景 にしっこが学びやに戻るまで</t>
        </is>
      </c>
      <c r="M139" s="168" t="inlineStr">
        <is>
          <t>Ishikawa Prefecture education authority</t>
        </is>
      </c>
      <c r="N139" s="170" t="inlineStr">
        <is>
          <t>Japan</t>
        </is>
      </c>
      <c r="O139" s="168" t="inlineStr">
        <is>
          <t>Noto Peninsula, Ishikawa</t>
        </is>
      </c>
      <c r="P139" s="168" t="n"/>
      <c r="Q139" s="171" t="inlineStr">
        <is>
          <t>Japan</t>
        </is>
      </c>
      <c r="R139" s="169" t="n">
        <v>46323</v>
      </c>
      <c r="S139" s="170" t="inlineStr">
        <is>
          <t>2026-Q4</t>
        </is>
      </c>
      <c r="T139" s="172" t="inlineStr">
        <is>
          <t>liquefaction, earthquake</t>
        </is>
      </c>
      <c r="U139" s="160" t="n">
        <v>7</v>
      </c>
      <c r="V139" s="173" t="inlineStr">
        <is>
          <t>https://news.google.com/rss/articles/CBMiVEFVX3lxTE5KVW9FRHdOT0x1WTJvVUhhOEp3V05OQWJVZnIxcFpkZ2NLSDRlQTNfX2RicFRPOVdNMGIxQklrVkNKQjZmU0JKU0E4LWI0RkNpdnJKeA?oc=5</t>
        </is>
      </c>
      <c r="W139" s="174">
        <f>IF($B139="",0,IF(AND(OR(OR(Dashboard!$B$5="All themes",Dashboard!$B$5=""),$C139=Dashboard!$B$5),OR(OR(Dashboard!$G$5="All uses",Dashboard!$G$5=""),$E139=Dashboard!$G$5),N($D139)&gt;=Lists!$H$2,OR(OR(Dashboard!$N$5="All windows",Dashboard!$N$5=""),$S139=Dashboard!$N$5)),1,0))</f>
        <v/>
      </c>
      <c r="X139" s="175">
        <f>IF($W139=1,N($D139)*1E14+MIN(MAX(N($U139),0),9999)*1E10+MIN(N($K139),99999)*1E5+99999-MIN(ROW(),99999),"")</f>
        <v/>
      </c>
    </row>
    <row r="140" ht="53" customHeight="1">
      <c r="A140" s="160" t="n">
        <v>137</v>
      </c>
      <c r="B140" s="161" t="inlineStr">
        <is>
          <t>Raganatar cliff in Sikka collapses; residents evacuate to avoid follow-up landslides</t>
        </is>
      </c>
      <c r="C140" s="162" t="inlineStr">
        <is>
          <t>Hazards &amp; Resilience</t>
        </is>
      </c>
      <c r="D140" s="163" t="n">
        <v>3</v>
      </c>
      <c r="E140" s="177" t="inlineStr">
        <is>
          <t>News brief</t>
        </is>
      </c>
      <c r="F140" s="165" t="inlineStr">
        <is>
          <t>To review</t>
        </is>
      </c>
      <c r="G140" s="166" t="n"/>
      <c r="H140" s="167" t="n"/>
      <c r="I140" s="168" t="inlineStr">
        <is>
          <t>Why a collapsed cliff continues to threaten residents with follow-up slides and what slope assessment should set evacuation limits.</t>
        </is>
      </c>
      <c r="J140" s="168" t="inlineStr">
        <is>
          <t>Kompas.com</t>
        </is>
      </c>
      <c r="K140" s="169" t="n">
        <v>46323</v>
      </c>
      <c r="L140" s="168" t="inlineStr">
        <is>
          <t>Tebing Raganatar di Sikka Longsor, Warga Mengungsi Hindari Longsor Susulan</t>
        </is>
      </c>
      <c r="M140" s="168" t="inlineStr">
        <is>
          <t>Sikka regional disaster management agency</t>
        </is>
      </c>
      <c r="N140" s="170" t="inlineStr">
        <is>
          <t>Indonesia</t>
        </is>
      </c>
      <c r="O140" s="168" t="inlineStr">
        <is>
          <t>Raganatar, Sikka, East Nusa Tenggara</t>
        </is>
      </c>
      <c r="P140" s="168" t="n"/>
      <c r="Q140" s="171" t="inlineStr">
        <is>
          <t>Indonesia</t>
        </is>
      </c>
      <c r="R140" s="169" t="n">
        <v>46323</v>
      </c>
      <c r="S140" s="170" t="inlineStr">
        <is>
          <t>2026-Q4</t>
        </is>
      </c>
      <c r="T140" s="172" t="inlineStr">
        <is>
          <t>landslide, slope</t>
        </is>
      </c>
      <c r="U140" s="160" t="n">
        <v>6</v>
      </c>
      <c r="V140" s="173" t="inlineStr">
        <is>
          <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t>
        </is>
      </c>
      <c r="W140" s="174">
        <f>IF($B140="",0,IF(AND(OR(OR(Dashboard!$B$5="All themes",Dashboard!$B$5=""),$C140=Dashboard!$B$5),OR(OR(Dashboard!$G$5="All uses",Dashboard!$G$5=""),$E140=Dashboard!$G$5),N($D140)&gt;=Lists!$H$2,OR(OR(Dashboard!$N$5="All windows",Dashboard!$N$5=""),$S140=Dashboard!$N$5)),1,0))</f>
        <v/>
      </c>
      <c r="X140" s="175">
        <f>IF($W140=1,N($D140)*1E14+MIN(MAX(N($U140),0),9999)*1E10+MIN(N($K140),99999)*1E5+99999-MIN(ROW(),99999),"")</f>
        <v/>
      </c>
    </row>
    <row r="141" ht="40.5" customHeight="1">
      <c r="A141" s="160" t="n">
        <v>138</v>
      </c>
      <c r="B141" s="161" t="inlineStr">
        <is>
          <t>Urgent repair of slope at risk of collapse on Prenn Pass, Da Lat</t>
        </is>
      </c>
      <c r="C141" s="162" t="inlineStr">
        <is>
          <t>Hazards &amp; Resilience</t>
        </is>
      </c>
      <c r="D141" s="163" t="n">
        <v>3</v>
      </c>
      <c r="E141" s="177" t="inlineStr">
        <is>
          <t>News brief</t>
        </is>
      </c>
      <c r="F141" s="165" t="inlineStr">
        <is>
          <t>To review</t>
        </is>
      </c>
      <c r="G141" s="166" t="n"/>
      <c r="H141" s="167" t="n"/>
      <c r="I141" s="168" t="inlineStr">
        <is>
          <t>How urgent slope repair on a mountain pass should be designed to prevent further failure of a cut slope above a road.</t>
        </is>
      </c>
      <c r="J141" s="168" t="inlineStr">
        <is>
          <t>Trung tâm Nội dung số và Truyền thông</t>
        </is>
      </c>
      <c r="K141" s="169" t="n">
        <v>46323</v>
      </c>
      <c r="L141" s="168" t="inlineStr">
        <is>
          <t>Gấp rút khắc phục bờ taluy nguy cơ sạt lở trên đèo Prenn - Đà Lạt</t>
        </is>
      </c>
      <c r="M141" s="168" t="inlineStr">
        <is>
          <t>Lam Dong provincial transport department</t>
        </is>
      </c>
      <c r="N141" s="170" t="inlineStr">
        <is>
          <t>Vietnam</t>
        </is>
      </c>
      <c r="O141" s="168" t="inlineStr">
        <is>
          <t>Prenn Pass, Da Lat</t>
        </is>
      </c>
      <c r="P141" s="168" t="inlineStr">
        <is>
          <t>Prenn Pass slope collapses, Da Lat, Vietnam · Event · 3 reports</t>
        </is>
      </c>
      <c r="Q141" s="171" t="inlineStr">
        <is>
          <t>Vietnam</t>
        </is>
      </c>
      <c r="R141" s="169" t="n">
        <v>46322</v>
      </c>
      <c r="S141" s="170" t="inlineStr">
        <is>
          <t>2026-Q4</t>
        </is>
      </c>
      <c r="T141" s="172" t="inlineStr">
        <is>
          <t>landslide, slope</t>
        </is>
      </c>
      <c r="U141" s="160" t="n">
        <v>6</v>
      </c>
      <c r="V141" s="173" t="inlineStr">
        <is>
          <t>https://news.google.com/rss/articles/CBMisAFBVV95cUxNMlZkeV9PWi1yS0N1R1NQd2tKWk9lWHIzQTM1YURONWgwSENiSnp4elh5YjA2YVE4U2JGbC1heURsUFkxUkhrSzR2WXlrM3o1RnVISWl4dU9sQWlxeGdMbHgtS0VhNUFuakJMdEt2YVNIUjE5aERIbjVDaUpWV3BDQVVsV0Ixc2Q4ZzlrZmpwaU9LclJSdFlTbzFHNTg5YVdWUUQtWW5Hb0pwTXkwR1ZOZg?oc=5</t>
        </is>
      </c>
      <c r="W141" s="174">
        <f>IF($B141="",0,IF(AND(OR(OR(Dashboard!$B$5="All themes",Dashboard!$B$5=""),$C141=Dashboard!$B$5),OR(OR(Dashboard!$G$5="All uses",Dashboard!$G$5=""),$E141=Dashboard!$G$5),N($D141)&gt;=Lists!$H$2,OR(OR(Dashboard!$N$5="All windows",Dashboard!$N$5=""),$S141=Dashboard!$N$5)),1,0))</f>
        <v/>
      </c>
      <c r="X141" s="175">
        <f>IF($W141=1,N($D141)*1E14+MIN(MAX(N($U141),0),9999)*1E10+MIN(N($K141),99999)*1E5+99999-MIN(ROW(),99999),"")</f>
        <v/>
      </c>
    </row>
    <row r="142" ht="40.5" customHeight="1">
      <c r="A142" s="160" t="n">
        <v>139</v>
      </c>
      <c r="B142" s="161" t="inlineStr">
        <is>
          <t>A new rockfall at the Gornal tunnel again limits the service of the Llobregat-Anoia line of FGC</t>
        </is>
      </c>
      <c r="C142" s="162" t="inlineStr">
        <is>
          <t>Hazards &amp; Resilience</t>
        </is>
      </c>
      <c r="D142" s="163" t="n">
        <v>3</v>
      </c>
      <c r="E142" s="177" t="inlineStr">
        <is>
          <t>News brief</t>
        </is>
      </c>
      <c r="F142" s="165" t="inlineStr">
        <is>
          <t>To review</t>
        </is>
      </c>
      <c r="G142" s="166" t="n"/>
      <c r="H142" s="167" t="n"/>
      <c r="I142" s="168" t="inlineStr">
        <is>
          <t>Why repeated rockfall at the same tunnel portal calls for a review of rock mass characterisation and rockfall protection.</t>
        </is>
      </c>
      <c r="J142" s="168" t="inlineStr">
        <is>
          <t>Diari ARA</t>
        </is>
      </c>
      <c r="K142" s="169" t="n">
        <v>46323</v>
      </c>
      <c r="L142" s="168" t="n"/>
      <c r="M142" s="168" t="inlineStr">
        <is>
          <t>FGC (Ferrocarrils de la Generalitat de Catalunya)</t>
        </is>
      </c>
      <c r="N142" s="170" t="inlineStr">
        <is>
          <t>Spain</t>
        </is>
      </c>
      <c r="O142" s="168" t="inlineStr">
        <is>
          <t>Gornal tunnel, Llobregat-Anoia line</t>
        </is>
      </c>
      <c r="P142" s="168" t="n"/>
      <c r="Q142" s="171" t="inlineStr">
        <is>
          <t>United Kingdom</t>
        </is>
      </c>
      <c r="R142" s="169" t="n">
        <v>46322</v>
      </c>
      <c r="S142" s="170" t="inlineStr">
        <is>
          <t>2026-Q4</t>
        </is>
      </c>
      <c r="T142" s="172" t="inlineStr">
        <is>
          <t>rockfall, tunnel</t>
        </is>
      </c>
      <c r="U142" s="160" t="n">
        <v>6</v>
      </c>
      <c r="V142" s="173" t="inlineStr">
        <is>
          <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t>
        </is>
      </c>
      <c r="W142" s="174">
        <f>IF($B142="",0,IF(AND(OR(OR(Dashboard!$B$5="All themes",Dashboard!$B$5=""),$C142=Dashboard!$B$5),OR(OR(Dashboard!$G$5="All uses",Dashboard!$G$5=""),$E142=Dashboard!$G$5),N($D142)&gt;=Lists!$H$2,OR(OR(Dashboard!$N$5="All windows",Dashboard!$N$5=""),$S142=Dashboard!$N$5)),1,0))</f>
        <v/>
      </c>
      <c r="X142" s="175">
        <f>IF($W142=1,N($D142)*1E14+MIN(MAX(N($U142),0),9999)*1E10+MIN(N($K142),99999)*1E5+99999-MIN(ROW(),99999),"")</f>
        <v/>
      </c>
    </row>
    <row r="143" ht="40.5" customHeight="1">
      <c r="A143" s="160" t="n">
        <v>140</v>
      </c>
      <c r="B143" s="161" t="inlineStr">
        <is>
          <t>Paya Terubong landslide: Evacuated Penang residents can return once slopes are safe</t>
        </is>
      </c>
      <c r="C143" s="162" t="inlineStr">
        <is>
          <t>Hazards &amp; Resilience</t>
        </is>
      </c>
      <c r="D143" s="163" t="n">
        <v>3</v>
      </c>
      <c r="E143" s="177" t="inlineStr">
        <is>
          <t>News brief</t>
        </is>
      </c>
      <c r="F143" s="165" t="inlineStr">
        <is>
          <t>To review</t>
        </is>
      </c>
      <c r="G143" s="166" t="n"/>
      <c r="H143" s="167" t="n"/>
      <c r="I143" s="168" t="inlineStr">
        <is>
          <t>What criteria should establish that slopes after a landslide are stable enough for evacuated residents to return.</t>
        </is>
      </c>
      <c r="J143" s="168" t="inlineStr">
        <is>
          <t>NST Online</t>
        </is>
      </c>
      <c r="K143" s="169" t="n">
        <v>46323</v>
      </c>
      <c r="L143" s="168" t="n"/>
      <c r="M143" s="168" t="inlineStr">
        <is>
          <t>Penang state government</t>
        </is>
      </c>
      <c r="N143" s="170" t="inlineStr">
        <is>
          <t>Malaysia</t>
        </is>
      </c>
      <c r="O143" s="168" t="inlineStr">
        <is>
          <t>Paya Terubong, Penang</t>
        </is>
      </c>
      <c r="P143" s="168" t="inlineStr">
        <is>
          <t>Paya Terubong landslide, Penang, Malaysia (Oct 2026) · Response &amp; recovery · 9 reports</t>
        </is>
      </c>
      <c r="Q143" s="171" t="inlineStr">
        <is>
          <t>Australia</t>
        </is>
      </c>
      <c r="R143" s="169" t="n">
        <v>46322</v>
      </c>
      <c r="S143" s="170" t="inlineStr">
        <is>
          <t>2026-Q4</t>
        </is>
      </c>
      <c r="T143" s="172" t="inlineStr">
        <is>
          <t>landslide, slope</t>
        </is>
      </c>
      <c r="U143" s="160" t="n">
        <v>6</v>
      </c>
      <c r="V143" s="173" t="inlineStr">
        <is>
          <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t>
        </is>
      </c>
      <c r="W143" s="174">
        <f>IF($B143="",0,IF(AND(OR(OR(Dashboard!$B$5="All themes",Dashboard!$B$5=""),$C143=Dashboard!$B$5),OR(OR(Dashboard!$G$5="All uses",Dashboard!$G$5=""),$E143=Dashboard!$G$5),N($D143)&gt;=Lists!$H$2,OR(OR(Dashboard!$N$5="All windows",Dashboard!$N$5=""),$S143=Dashboard!$N$5)),1,0))</f>
        <v/>
      </c>
      <c r="X143" s="175">
        <f>IF($W143=1,N($D143)*1E14+MIN(MAX(N($U143),0),9999)*1E10+MIN(N($K143),99999)*1E5+99999-MIN(ROW(),99999),"")</f>
        <v/>
      </c>
    </row>
    <row r="144" ht="40.5" customHeight="1">
      <c r="A144" s="160" t="n">
        <v>141</v>
      </c>
      <c r="B144" s="161" t="inlineStr">
        <is>
          <t>Eden Project unveils Silver Staircase to stabilise landslide-hit slope</t>
        </is>
      </c>
      <c r="C144" s="162" t="inlineStr">
        <is>
          <t>Hazards &amp; Resilience</t>
        </is>
      </c>
      <c r="D144" s="163" t="n">
        <v>3</v>
      </c>
      <c r="E144" s="164" t="inlineStr">
        <is>
          <t>Feature lead</t>
        </is>
      </c>
      <c r="F144" s="165" t="inlineStr">
        <is>
          <t>To review</t>
        </is>
      </c>
      <c r="G144" s="166" t="n"/>
      <c r="H144" s="167" t="n"/>
      <c r="I144" s="168" t="inlineStr">
        <is>
          <t>How a stepped structure can be used to stabilise a landslide-affected slope while preserving public access and drainage.</t>
        </is>
      </c>
      <c r="J144" s="168" t="inlineStr">
        <is>
          <t>Falmouth Packet</t>
        </is>
      </c>
      <c r="K144" s="169" t="n">
        <v>46323</v>
      </c>
      <c r="L144" s="168" t="n"/>
      <c r="M144" s="168" t="inlineStr">
        <is>
          <t>Eden Project</t>
        </is>
      </c>
      <c r="N144" s="170" t="inlineStr">
        <is>
          <t>United Kingdom</t>
        </is>
      </c>
      <c r="O144" s="168" t="inlineStr">
        <is>
          <t>Eden Project, Cornwall</t>
        </is>
      </c>
      <c r="P144" s="168" t="n"/>
      <c r="Q144" s="171" t="inlineStr">
        <is>
          <t>United Arab Emirates</t>
        </is>
      </c>
      <c r="R144" s="169" t="n">
        <v>46322</v>
      </c>
      <c r="S144" s="170" t="inlineStr">
        <is>
          <t>2026-Q4</t>
        </is>
      </c>
      <c r="T144" s="172" t="inlineStr">
        <is>
          <t>landslide, slope</t>
        </is>
      </c>
      <c r="U144" s="160" t="n">
        <v>6</v>
      </c>
      <c r="V144" s="173" t="inlineStr">
        <is>
          <t>https://news.google.com/rss/articles/CBMinwFBVV95cUxQOXpYVTk1eWc3TWdhREtDMVA1UXY3LWxjdTZ4OGNka3pOMFlHdzRNd3RmUk8zUFM5eFg1eVQzbEdGSDNmWG43Q0l2RlhKdFVtMDRFc1VCdHlMY25LV1oyNEhPS3FsdFFxckJ5S25Zb3k0ckVMc2xCRzFmdUcwUUlDT2I4SkthNW9vV1dnaHJndUhkRmJwYUVNY1ROdFBDOXc?oc=5</t>
        </is>
      </c>
      <c r="W144" s="174">
        <f>IF($B144="",0,IF(AND(OR(OR(Dashboard!$B$5="All themes",Dashboard!$B$5=""),$C144=Dashboard!$B$5),OR(OR(Dashboard!$G$5="All uses",Dashboard!$G$5=""),$E144=Dashboard!$G$5),N($D144)&gt;=Lists!$H$2,OR(OR(Dashboard!$N$5="All windows",Dashboard!$N$5=""),$S144=Dashboard!$N$5)),1,0))</f>
        <v/>
      </c>
      <c r="X144" s="175">
        <f>IF($W144=1,N($D144)*1E14+MIN(MAX(N($U144),0),9999)*1E10+MIN(N($K144),99999)*1E5+99999-MIN(ROW(),99999),"")</f>
        <v/>
      </c>
    </row>
    <row r="145" ht="40.5" customHeight="1">
      <c r="A145" s="160" t="n">
        <v>142</v>
      </c>
      <c r="B145" s="161" t="inlineStr">
        <is>
          <t>ECL sets up geotechnical lab to strengthen mine safety testing</t>
        </is>
      </c>
      <c r="C145" s="180" t="inlineStr">
        <is>
          <t>Characterisation &amp; Modelling</t>
        </is>
      </c>
      <c r="D145" s="163" t="n">
        <v>3</v>
      </c>
      <c r="E145" s="177" t="inlineStr">
        <is>
          <t>News brief</t>
        </is>
      </c>
      <c r="F145" s="165" t="inlineStr">
        <is>
          <t>To review</t>
        </is>
      </c>
      <c r="G145" s="166" t="n"/>
      <c r="H145" s="167" t="n"/>
      <c r="I145" s="168" t="inlineStr">
        <is>
          <t>What role a dedicated geotechnical laboratory plays in improving testing reliability for mine slope and ground safety.</t>
        </is>
      </c>
      <c r="J145" s="168" t="inlineStr">
        <is>
          <t>PSU Watch</t>
        </is>
      </c>
      <c r="K145" s="169" t="n">
        <v>46323</v>
      </c>
      <c r="L145" s="168" t="n"/>
      <c r="M145" s="168" t="inlineStr">
        <is>
          <t>Eastern Coalfields Limited</t>
        </is>
      </c>
      <c r="N145" s="170" t="inlineStr">
        <is>
          <t>India</t>
        </is>
      </c>
      <c r="O145" s="168" t="inlineStr">
        <is>
          <t>Sanctoria, Eastern Coalfields</t>
        </is>
      </c>
      <c r="P145" s="168" t="n"/>
      <c r="Q145" s="171" t="inlineStr">
        <is>
          <t>United Kingdom</t>
        </is>
      </c>
      <c r="R145" s="169" t="n">
        <v>46322</v>
      </c>
      <c r="S145" s="170" t="inlineStr">
        <is>
          <t>2026-Q4</t>
        </is>
      </c>
      <c r="T145" s="172" t="inlineStr">
        <is>
          <t>geotechnical</t>
        </is>
      </c>
      <c r="U145" s="160" t="n">
        <v>5</v>
      </c>
      <c r="V145" s="173" t="inlineStr">
        <is>
          <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t>
        </is>
      </c>
      <c r="W145" s="174">
        <f>IF($B145="",0,IF(AND(OR(OR(Dashboard!$B$5="All themes",Dashboard!$B$5=""),$C145=Dashboard!$B$5),OR(OR(Dashboard!$G$5="All uses",Dashboard!$G$5=""),$E145=Dashboard!$G$5),N($D145)&gt;=Lists!$H$2,OR(OR(Dashboard!$N$5="All windows",Dashboard!$N$5=""),$S145=Dashboard!$N$5)),1,0))</f>
        <v/>
      </c>
      <c r="X145" s="175">
        <f>IF($W145=1,N($D145)*1E14+MIN(MAX(N($U145),0),9999)*1E10+MIN(N($K145),99999)*1E5+99999-MIN(ROW(),99999),"")</f>
        <v/>
      </c>
    </row>
    <row r="146" ht="53" customHeight="1">
      <c r="A146" s="160" t="n">
        <v>143</v>
      </c>
      <c r="B146" s="161" t="inlineStr">
        <is>
          <t>ECL Inaugurates Coal India’s First Subsidiary-Level Geotechnical Lab at Sanctoria</t>
        </is>
      </c>
      <c r="C146" s="180" t="inlineStr">
        <is>
          <t>Characterisation &amp; Modelling</t>
        </is>
      </c>
      <c r="D146" s="163" t="n">
        <v>3</v>
      </c>
      <c r="E146" s="177" t="inlineStr">
        <is>
          <t>News brief</t>
        </is>
      </c>
      <c r="F146" s="165" t="inlineStr">
        <is>
          <t>To review</t>
        </is>
      </c>
      <c r="G146" s="166" t="n"/>
      <c r="H146" s="167" t="n"/>
      <c r="I146" s="168" t="inlineStr">
        <is>
          <t>What testing capability a subsidiary-level geotechnical lab brings to mine safety and how its results should feed slope design.</t>
        </is>
      </c>
      <c r="J146" s="168" t="inlineStr">
        <is>
          <t>PSU Connect</t>
        </is>
      </c>
      <c r="K146" s="169" t="n">
        <v>46323</v>
      </c>
      <c r="L146" s="168" t="n"/>
      <c r="M146" s="168" t="inlineStr">
        <is>
          <t>Eastern Coalfields Limited</t>
        </is>
      </c>
      <c r="N146" s="170" t="inlineStr">
        <is>
          <t>India</t>
        </is>
      </c>
      <c r="O146" s="168" t="inlineStr">
        <is>
          <t>Sanctoria, Eastern Coalfields</t>
        </is>
      </c>
      <c r="P146" s="168" t="n"/>
      <c r="Q146" s="171" t="inlineStr">
        <is>
          <t>United Kingdom</t>
        </is>
      </c>
      <c r="R146" s="169" t="n">
        <v>46322</v>
      </c>
      <c r="S146" s="170" t="inlineStr">
        <is>
          <t>2026-Q4</t>
        </is>
      </c>
      <c r="T146" s="172" t="inlineStr">
        <is>
          <t>geotechnical</t>
        </is>
      </c>
      <c r="U146" s="160" t="n">
        <v>5</v>
      </c>
      <c r="V146" s="173" t="inlineStr">
        <is>
          <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t>
        </is>
      </c>
      <c r="W146" s="174">
        <f>IF($B146="",0,IF(AND(OR(OR(Dashboard!$B$5="All themes",Dashboard!$B$5=""),$C146=Dashboard!$B$5),OR(OR(Dashboard!$G$5="All uses",Dashboard!$G$5=""),$E146=Dashboard!$G$5),N($D146)&gt;=Lists!$H$2,OR(OR(Dashboard!$N$5="All windows",Dashboard!$N$5=""),$S146=Dashboard!$N$5)),1,0))</f>
        <v/>
      </c>
      <c r="X146" s="175">
        <f>IF($W146=1,N($D146)*1E14+MIN(MAX(N($U146),0),9999)*1E10+MIN(N($K146),99999)*1E5+99999-MIN(ROW(),99999),"")</f>
        <v/>
      </c>
    </row>
    <row r="147" ht="40.5" customHeight="1">
      <c r="A147" s="160" t="n">
        <v>144</v>
      </c>
      <c r="B147" s="161" t="inlineStr">
        <is>
          <t>Quang Ngai: urgent construction of dykes to prevent erosion along Dak Snghe River</t>
        </is>
      </c>
      <c r="C147" s="162" t="inlineStr">
        <is>
          <t>Hazards &amp; Resilience</t>
        </is>
      </c>
      <c r="D147" s="163" t="n">
        <v>3</v>
      </c>
      <c r="E147" s="177" t="inlineStr">
        <is>
          <t>News brief</t>
        </is>
      </c>
      <c r="F147" s="165" t="inlineStr">
        <is>
          <t>To review</t>
        </is>
      </c>
      <c r="G147" s="166" t="n"/>
      <c r="H147" s="167" t="n"/>
      <c r="I147" s="168" t="inlineStr">
        <is>
          <t>How river bank erosion should be assessed to design dykes that protect settlements and farmland along a mountain river.</t>
        </is>
      </c>
      <c r="J147" s="168" t="inlineStr">
        <is>
          <t>Vietnam.vn</t>
        </is>
      </c>
      <c r="K147" s="169" t="n">
        <v>46323</v>
      </c>
      <c r="L147" s="168" t="inlineStr">
        <is>
          <t>Quang Ngai : Construction urgente de digues pour prévenir l'érosion le long de la rivière Dak Snghe.</t>
        </is>
      </c>
      <c r="M147" s="168" t="inlineStr">
        <is>
          <t>Quang Ngai provincial people's committee</t>
        </is>
      </c>
      <c r="N147" s="170" t="inlineStr">
        <is>
          <t>Vietnam</t>
        </is>
      </c>
      <c r="O147" s="168" t="inlineStr">
        <is>
          <t>Dak Snghe River, Quang Ngai</t>
        </is>
      </c>
      <c r="P147" s="168" t="n"/>
      <c r="Q147" s="171" t="inlineStr">
        <is>
          <t>France</t>
        </is>
      </c>
      <c r="R147" s="169" t="n">
        <v>46322</v>
      </c>
      <c r="S147" s="170" t="inlineStr">
        <is>
          <t>2026-Q4</t>
        </is>
      </c>
      <c r="T147" s="172" t="inlineStr">
        <is>
          <t>embankment, erosion</t>
        </is>
      </c>
      <c r="U147" s="160" t="n">
        <v>5</v>
      </c>
      <c r="V147" s="173" t="inlineStr">
        <is>
          <t>https://news.google.com/rss/articles/CBMiiwFBVV95cUxOQzZzQVR1blhwRHg3VHdhc1JsN1pRY0QySEpVNlNFcFVmelFYTURvdFI4MkNNNWZtOXJvNlJNXzRndmNneWpQa1FWUWdwSHlnb0dKYUxJcDRQU2dXaW5uY3cwbFZ2OXVMQU9hcUk5UGt1dHhsQlZwNXdfMjRLdGRWMnVvcGhDcDRHNW9J?oc=5</t>
        </is>
      </c>
      <c r="W147" s="174">
        <f>IF($B147="",0,IF(AND(OR(OR(Dashboard!$B$5="All themes",Dashboard!$B$5=""),$C147=Dashboard!$B$5),OR(OR(Dashboard!$G$5="All uses",Dashboard!$G$5=""),$E147=Dashboard!$G$5),N($D147)&gt;=Lists!$H$2,OR(OR(Dashboard!$N$5="All windows",Dashboard!$N$5=""),$S147=Dashboard!$N$5)),1,0))</f>
        <v/>
      </c>
      <c r="X147" s="175">
        <f>IF($W147=1,N($D147)*1E14+MIN(MAX(N($U147),0),9999)*1E10+MIN(N($K147),99999)*1E5+99999-MIN(ROW(),99999),"")</f>
        <v/>
      </c>
    </row>
    <row r="148" ht="40.5" customHeight="1">
      <c r="A148" s="160" t="n">
        <v>145</v>
      </c>
      <c r="B148" s="161" t="inlineStr">
        <is>
          <t>Moment retaining wall collapses in San Pedro Sula (video)</t>
        </is>
      </c>
      <c r="C148" s="162" t="inlineStr">
        <is>
          <t>Hazards &amp; Resilience</t>
        </is>
      </c>
      <c r="D148" s="163" t="n">
        <v>3</v>
      </c>
      <c r="E148" s="177" t="inlineStr">
        <is>
          <t>News brief</t>
        </is>
      </c>
      <c r="F148" s="165" t="inlineStr">
        <is>
          <t>To review</t>
        </is>
      </c>
      <c r="G148" s="166" t="n"/>
      <c r="H148" s="167" t="n"/>
      <c r="I148" s="168" t="inlineStr">
        <is>
          <t>What caused a retaining wall to fail in an urban setting and what inspection regime would prevent similar collapses.</t>
        </is>
      </c>
      <c r="J148" s="168" t="inlineStr">
        <is>
          <t>Diario La Tribuna</t>
        </is>
      </c>
      <c r="K148" s="169" t="n">
        <v>46323</v>
      </c>
      <c r="L148" s="168" t="inlineStr">
        <is>
          <t>Momento del derrumbe del muro de contención en San Pedro Sula (Video)</t>
        </is>
      </c>
      <c r="M148" s="168" t="n"/>
      <c r="N148" s="170" t="inlineStr">
        <is>
          <t>Honduras</t>
        </is>
      </c>
      <c r="O148" s="168" t="inlineStr">
        <is>
          <t>San Pedro Sula</t>
        </is>
      </c>
      <c r="P148" s="168" t="n"/>
      <c r="Q148" s="171" t="inlineStr">
        <is>
          <t>Mexico</t>
        </is>
      </c>
      <c r="R148" s="169" t="n">
        <v>46323</v>
      </c>
      <c r="S148" s="170" t="inlineStr">
        <is>
          <t>2026-Q4</t>
        </is>
      </c>
      <c r="T148" s="172" t="inlineStr">
        <is>
          <t>retaining wall, collapse</t>
        </is>
      </c>
      <c r="U148" s="160" t="n">
        <v>5</v>
      </c>
      <c r="V148" s="173" t="inlineStr">
        <is>
          <t>https://news.google.com/rss/articles/CBMipwFBVV95cUxNNy1pSFktcXV5VnRhRkE1bWNDX1UyLThWWUdqUzBCZFg0UHU0VFRJTTFZUV8tSDB6NXBjcjJDRlc2ZWJ6SzRqTm5aR1lWT2JXRHg1eE1qNUFrSHRzU1gycHF1azQ0aHVjWGlQQjhPeHhmWUJTQzRtSG9waDVPLWl3RGI0UldVZWpPZzJpeDBsb0h5SmFKZHVuNjM3aGdrMkNrUXFQbF95OA?oc=5</t>
        </is>
      </c>
      <c r="W148" s="174">
        <f>IF($B148="",0,IF(AND(OR(OR(Dashboard!$B$5="All themes",Dashboard!$B$5=""),$C148=Dashboard!$B$5),OR(OR(Dashboard!$G$5="All uses",Dashboard!$G$5=""),$E148=Dashboard!$G$5),N($D148)&gt;=Lists!$H$2,OR(OR(Dashboard!$N$5="All windows",Dashboard!$N$5=""),$S148=Dashboard!$N$5)),1,0))</f>
        <v/>
      </c>
      <c r="X148" s="175">
        <f>IF($W148=1,N($D148)*1E14+MIN(MAX(N($U148),0),9999)*1E10+MIN(N($K148),99999)*1E5+99999-MIN(ROW(),99999),"")</f>
        <v/>
      </c>
    </row>
    <row r="149" ht="40.5" customHeight="1">
      <c r="A149" s="160" t="n">
        <v>146</v>
      </c>
      <c r="B149" s="161" t="inlineStr">
        <is>
          <t>New disaster prevention base: Ishikawa fire school relocation site selection policy confirmed, liquefaction costs considered</t>
        </is>
      </c>
      <c r="C149" s="162" t="inlineStr">
        <is>
          <t>Hazards &amp; Resilience</t>
        </is>
      </c>
      <c r="D149" s="163" t="n">
        <v>3</v>
      </c>
      <c r="E149" s="183" t="inlineStr">
        <is>
          <t>Regional insight</t>
        </is>
      </c>
      <c r="F149" s="165" t="inlineStr">
        <is>
          <t>To review</t>
        </is>
      </c>
      <c r="G149" s="166" t="n"/>
      <c r="H149" s="167" t="n"/>
      <c r="I149" s="168" t="inlineStr">
        <is>
          <t>How liquefaction risk and countermeasure costs should weigh in choosing sites for public disaster-response facilities.</t>
        </is>
      </c>
      <c r="J149" s="168" t="inlineStr">
        <is>
          <t>Yahoo!ニュース</t>
        </is>
      </c>
      <c r="K149" s="169" t="n">
        <v>46323</v>
      </c>
      <c r="L149" s="168" t="inlineStr">
        <is>
          <t>新防災拠点 石川県消防学校等の移転整備 候補地の選定方針を確認 液状化対策費などの経済面も考慮 (テレビ金沢)</t>
        </is>
      </c>
      <c r="M149" s="168" t="inlineStr">
        <is>
          <t>Ishikawa Prefecture</t>
        </is>
      </c>
      <c r="N149" s="170" t="inlineStr">
        <is>
          <t>Japan</t>
        </is>
      </c>
      <c r="O149" s="168" t="inlineStr">
        <is>
          <t>Ishikawa Prefecture</t>
        </is>
      </c>
      <c r="P149" s="168" t="n"/>
      <c r="Q149" s="171" t="inlineStr">
        <is>
          <t>Japan</t>
        </is>
      </c>
      <c r="R149" s="169" t="n">
        <v>46321</v>
      </c>
      <c r="S149" s="170" t="inlineStr">
        <is>
          <t>2026-Q4</t>
        </is>
      </c>
      <c r="T149" s="172" t="inlineStr">
        <is>
          <t>liquefaction</t>
        </is>
      </c>
      <c r="U149" s="160" t="n">
        <v>5</v>
      </c>
      <c r="V149" s="173" t="inlineStr">
        <is>
          <t>https://news.google.com/rss/articles/CBMijgFBVV95cUxNMmhMWmFIUHVXVGlxY0ZqcWkyTG4xWkhTZ0tVRElPaDZuMnRNSWNHSTdsQVFsWE9yNFRwZm1wdjJaUDlmM3VZQy1zYWZUakZjZVROSVlLMmQxdTVCOElfZklucmZLbDBLNUlkbHNXQ0x0bjV5MFZXT1QwamxkS3ROVG5sZFRtMmpBa0thb0tR?oc=5</t>
        </is>
      </c>
      <c r="W149" s="174">
        <f>IF($B149="",0,IF(AND(OR(OR(Dashboard!$B$5="All themes",Dashboard!$B$5=""),$C149=Dashboard!$B$5),OR(OR(Dashboard!$G$5="All uses",Dashboard!$G$5=""),$E149=Dashboard!$G$5),N($D149)&gt;=Lists!$H$2,OR(OR(Dashboard!$N$5="All windows",Dashboard!$N$5=""),$S149=Dashboard!$N$5)),1,0))</f>
        <v/>
      </c>
      <c r="X149" s="175">
        <f>IF($W149=1,N($D149)*1E14+MIN(MAX(N($U149),0),9999)*1E10+MIN(N($K149),99999)*1E5+99999-MIN(ROW(),99999),"")</f>
        <v/>
      </c>
    </row>
    <row r="150" ht="40.5" customHeight="1">
      <c r="A150" s="160" t="n">
        <v>147</v>
      </c>
      <c r="B150" s="161" t="inlineStr">
        <is>
          <t>In Alupka, bus route No. 1 changed after retaining wall collapse</t>
        </is>
      </c>
      <c r="C150" s="162" t="inlineStr">
        <is>
          <t>Hazards &amp; Resilience</t>
        </is>
      </c>
      <c r="D150" s="163" t="n">
        <v>3</v>
      </c>
      <c r="E150" s="177" t="inlineStr">
        <is>
          <t>News brief</t>
        </is>
      </c>
      <c r="F150" s="165" t="inlineStr">
        <is>
          <t>To review</t>
        </is>
      </c>
      <c r="G150" s="166" t="n"/>
      <c r="H150" s="167" t="n"/>
      <c r="I150" s="168" t="inlineStr">
        <is>
          <t>What caused a retaining wall to collapse on a coastal slope and how that affects the stability of the road above it.</t>
        </is>
      </c>
      <c r="J150" s="168" t="inlineStr">
        <is>
          <t>c-inform</t>
        </is>
      </c>
      <c r="K150" s="169" t="n">
        <v>46323</v>
      </c>
      <c r="L150" s="168" t="inlineStr">
        <is>
          <t>В Алупке изменили маршрут автобуса № 1 из-за обрушения подпорной стены</t>
        </is>
      </c>
      <c r="M150" s="168" t="n"/>
      <c r="N150" s="170" t="inlineStr">
        <is>
          <t>Ukraine</t>
        </is>
      </c>
      <c r="O150" s="168" t="inlineStr">
        <is>
          <t>Alupka, Crimea</t>
        </is>
      </c>
      <c r="P150" s="168" t="n"/>
      <c r="Q150" s="171" t="inlineStr">
        <is>
          <t>Russia</t>
        </is>
      </c>
      <c r="R150" s="169" t="n">
        <v>46322</v>
      </c>
      <c r="S150" s="170" t="inlineStr">
        <is>
          <t>2026-Q4</t>
        </is>
      </c>
      <c r="T150" s="172" t="inlineStr">
        <is>
          <t>retaining wall, collapse</t>
        </is>
      </c>
      <c r="U150" s="160" t="n">
        <v>5</v>
      </c>
      <c r="V150" s="173" t="inlineStr">
        <is>
          <t>https://news.google.com/rss/articles/CBMiUkFVX3lxTE90bTY5LUpITmh0ZjZOV01PU3NsWDRqdlpSVFIwUy1RQlA1MHR4U1h1NUMtY2RJX1A2UTFjaW5rTGg0UF91NG1wNjlpbTFFOHpGZ3c?oc=5</t>
        </is>
      </c>
      <c r="W150" s="174">
        <f>IF($B150="",0,IF(AND(OR(OR(Dashboard!$B$5="All themes",Dashboard!$B$5=""),$C150=Dashboard!$B$5),OR(OR(Dashboard!$G$5="All uses",Dashboard!$G$5=""),$E150=Dashboard!$G$5),N($D150)&gt;=Lists!$H$2,OR(OR(Dashboard!$N$5="All windows",Dashboard!$N$5=""),$S150=Dashboard!$N$5)),1,0))</f>
        <v/>
      </c>
      <c r="X150" s="175">
        <f>IF($W150=1,N($D150)*1E14+MIN(MAX(N($U150),0),9999)*1E10+MIN(N($K150),99999)*1E5+99999-MIN(ROW(),99999),"")</f>
        <v/>
      </c>
    </row>
    <row r="151" ht="53" customHeight="1">
      <c r="A151" s="160" t="n">
        <v>148</v>
      </c>
      <c r="B151" s="161" t="inlineStr">
        <is>
          <t>Oburu cites greed in Eastleigh building collapse, proposes three safety measures</t>
        </is>
      </c>
      <c r="C151" s="162" t="inlineStr">
        <is>
          <t>Hazards &amp; Resilience</t>
        </is>
      </c>
      <c r="D151" s="163" t="n">
        <v>3</v>
      </c>
      <c r="E151" s="177" t="inlineStr">
        <is>
          <t>News brief</t>
        </is>
      </c>
      <c r="F151" s="165" t="inlineStr">
        <is>
          <t>To review</t>
        </is>
      </c>
      <c r="G151" s="166" t="n"/>
      <c r="H151" s="167" t="n"/>
      <c r="I151" s="168" t="inlineStr">
        <is>
          <t>Whether excavation and foundation practice contributed to a building collapse and which safety measures would address ground-related causes.</t>
        </is>
      </c>
      <c r="J151" s="168" t="inlineStr">
        <is>
          <t>The Eastleigh Voice</t>
        </is>
      </c>
      <c r="K151" s="169" t="n">
        <v>46323</v>
      </c>
      <c r="L151" s="168" t="n"/>
      <c r="M151" s="168" t="inlineStr">
        <is>
          <t>Nairobi City County government</t>
        </is>
      </c>
      <c r="N151" s="170" t="inlineStr">
        <is>
          <t>Kenya</t>
        </is>
      </c>
      <c r="O151" s="168" t="inlineStr">
        <is>
          <t>Eastleigh, Nairobi</t>
        </is>
      </c>
      <c r="P151" s="168" t="n"/>
      <c r="Q151" s="171" t="inlineStr">
        <is>
          <t>Nigeria</t>
        </is>
      </c>
      <c r="R151" s="169" t="n">
        <v>46322</v>
      </c>
      <c r="S151" s="170" t="inlineStr">
        <is>
          <t>2026-Q4</t>
        </is>
      </c>
      <c r="T151" s="172" t="inlineStr">
        <is>
          <t>collapse</t>
        </is>
      </c>
      <c r="U151" s="160" t="n">
        <v>5</v>
      </c>
      <c r="V151" s="173" t="inlineStr">
        <is>
          <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t>
        </is>
      </c>
      <c r="W151" s="174">
        <f>IF($B151="",0,IF(AND(OR(OR(Dashboard!$B$5="All themes",Dashboard!$B$5=""),$C151=Dashboard!$B$5),OR(OR(Dashboard!$G$5="All uses",Dashboard!$G$5=""),$E151=Dashboard!$G$5),N($D151)&gt;=Lists!$H$2,OR(OR(Dashboard!$N$5="All windows",Dashboard!$N$5=""),$S151=Dashboard!$N$5)),1,0))</f>
        <v/>
      </c>
      <c r="X151" s="175">
        <f>IF($W151=1,N($D151)*1E14+MIN(MAX(N($U151),0),9999)*1E10+MIN(N($K151),99999)*1E5+99999-MIN(ROW(),99999),"")</f>
        <v/>
      </c>
    </row>
    <row r="152" ht="40.5" customHeight="1">
      <c r="A152" s="160" t="n">
        <v>149</v>
      </c>
      <c r="B152" s="161" t="inlineStr">
        <is>
          <t>Strange black mark on the map and the man who found a 120-metre-deep pit in Vietnam</t>
        </is>
      </c>
      <c r="C152" s="180" t="inlineStr">
        <is>
          <t>Characterisation &amp; Modelling</t>
        </is>
      </c>
      <c r="D152" s="163" t="n">
        <v>3</v>
      </c>
      <c r="E152" s="179" t="inlineStr">
        <is>
          <t>Watch only</t>
        </is>
      </c>
      <c r="F152" s="165" t="inlineStr">
        <is>
          <t>To review</t>
        </is>
      </c>
      <c r="G152" s="166" t="n"/>
      <c r="H152" s="167" t="n"/>
      <c r="I152" s="168" t="inlineStr">
        <is>
          <t>What geological processes could produce a 120-metre-deep pit, and how should such features be investigated for ground hazards?</t>
        </is>
      </c>
      <c r="J152" s="168" t="inlineStr">
        <is>
          <t>Vietnam.vn</t>
        </is>
      </c>
      <c r="K152" s="169" t="n">
        <v>46323</v>
      </c>
      <c r="L152" s="168" t="inlineStr">
        <is>
          <t>علامة سوداء غريبة على الخريطة وقصة الشخص الذي عثر على حفرة عميقة يبلغ عمقها 120 متراً في فيتنام.</t>
        </is>
      </c>
      <c r="M152" s="168" t="n"/>
      <c r="N152" s="170" t="inlineStr">
        <is>
          <t>Vietnam</t>
        </is>
      </c>
      <c r="O152" s="168" t="n"/>
      <c r="P152" s="168" t="inlineStr">
        <is>
          <t>Phong Nha-Ke Bang 120 m sinkhole discovery, Vietnam · Update · 5 reports</t>
        </is>
      </c>
      <c r="Q152" s="171" t="inlineStr">
        <is>
          <t>Egypt</t>
        </is>
      </c>
      <c r="R152" s="169" t="n">
        <v>46321</v>
      </c>
      <c r="S152" s="170" t="inlineStr">
        <is>
          <t>2026-Q4</t>
        </is>
      </c>
      <c r="T152" s="172" t="inlineStr">
        <is>
          <t>sinkhole</t>
        </is>
      </c>
      <c r="U152" s="160" t="n">
        <v>4</v>
      </c>
      <c r="V152" s="173" t="inlineStr">
        <is>
          <t>https://news.google.com/rss/articles/CBMiogFBVV95cUxPSS1Gazctc1NPc214VThHeWlyYnNULWZNVDA5aWJ5WU5WMDVVdFJkOHdwVU02Q3JUYUhmWl9aNk1nWWhNUm45Ql85S0RXV1RUQjlJMVQzTS1PMW5GczJtaWNTR0xVcU9JM0VyZUVVQnd5OFhtM20tYXZDc1ZkUzd6eFY5M3F3dENCQnJlT1lwU29waGdnTUktX1RvWmR2U2lqbFE?oc=5</t>
        </is>
      </c>
      <c r="W152" s="174">
        <f>IF($B152="",0,IF(AND(OR(OR(Dashboard!$B$5="All themes",Dashboard!$B$5=""),$C152=Dashboard!$B$5),OR(OR(Dashboard!$G$5="All uses",Dashboard!$G$5=""),$E152=Dashboard!$G$5),N($D152)&gt;=Lists!$H$2,OR(OR(Dashboard!$N$5="All windows",Dashboard!$N$5=""),$S152=Dashboard!$N$5)),1,0))</f>
        <v/>
      </c>
      <c r="X152" s="175">
        <f>IF($W152=1,N($D152)*1E14+MIN(MAX(N($U152),0),9999)*1E10+MIN(N($K152),99999)*1E5+99999-MIN(ROW(),99999),"")</f>
        <v/>
      </c>
    </row>
    <row r="153" ht="40.5" customHeight="1">
      <c r="A153" s="160" t="n">
        <v>150</v>
      </c>
      <c r="B153" s="161" t="inlineStr">
        <is>
          <t>Landslide forces partial closure of road between Tolima and Quindío at Alto de La Línea</t>
        </is>
      </c>
      <c r="C153" s="176" t="inlineStr">
        <is>
          <t>Infrastructure &amp; the Underground City</t>
        </is>
      </c>
      <c r="D153" s="163" t="n">
        <v>3</v>
      </c>
      <c r="E153" s="177" t="inlineStr">
        <is>
          <t>News brief</t>
        </is>
      </c>
      <c r="F153" s="165" t="inlineStr">
        <is>
          <t>To review</t>
        </is>
      </c>
      <c r="G153" s="166" t="n"/>
      <c r="H153" s="167" t="n"/>
      <c r="I153" s="168" t="inlineStr">
        <is>
          <t>What slope stability problems keep a mountain highway vulnerable to landslides, and how should partial closures be managed?</t>
        </is>
      </c>
      <c r="J153" s="168" t="inlineStr">
        <is>
          <t>Tolima Online</t>
        </is>
      </c>
      <c r="K153" s="169" t="n">
        <v>46323</v>
      </c>
      <c r="L153" s="168" t="inlineStr">
        <is>
          <t>Deslizamiento obliga al cierre parcial de la vía entre Tolima y Quindío por el Alto de La Línea</t>
        </is>
      </c>
      <c r="M153" s="168" t="inlineStr">
        <is>
          <t>Invías national road agency</t>
        </is>
      </c>
      <c r="N153" s="170" t="inlineStr">
        <is>
          <t>Colombia</t>
        </is>
      </c>
      <c r="O153" s="168" t="inlineStr">
        <is>
          <t>Alto de La Línea, Tolima</t>
        </is>
      </c>
      <c r="P153" s="168" t="n"/>
      <c r="Q153" s="171" t="inlineStr">
        <is>
          <t>Spain</t>
        </is>
      </c>
      <c r="R153" s="169" t="n">
        <v>46321</v>
      </c>
      <c r="S153" s="170" t="inlineStr">
        <is>
          <t>2026-Q4</t>
        </is>
      </c>
      <c r="T153" s="172" t="inlineStr">
        <is>
          <t>landslide</t>
        </is>
      </c>
      <c r="U153" s="160" t="n">
        <v>4</v>
      </c>
      <c r="V153" s="173" t="inlineStr">
        <is>
          <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t>
        </is>
      </c>
      <c r="W153" s="174">
        <f>IF($B153="",0,IF(AND(OR(OR(Dashboard!$B$5="All themes",Dashboard!$B$5=""),$C153=Dashboard!$B$5),OR(OR(Dashboard!$G$5="All uses",Dashboard!$G$5=""),$E153=Dashboard!$G$5),N($D153)&gt;=Lists!$H$2,OR(OR(Dashboard!$N$5="All windows",Dashboard!$N$5=""),$S153=Dashboard!$N$5)),1,0))</f>
        <v/>
      </c>
      <c r="X153" s="175">
        <f>IF($W153=1,N($D153)*1E14+MIN(MAX(N($U153),0),9999)*1E10+MIN(N($K153),99999)*1E5+99999-MIN(ROW(),99999),"")</f>
        <v/>
      </c>
    </row>
    <row r="154" ht="53" customHeight="1">
      <c r="A154" s="160" t="n">
        <v>151</v>
      </c>
      <c r="B154" s="161" t="inlineStr">
        <is>
          <t>Sinkhole at Tapaila bridge suspends traffic on Rioverde-Esmeraldas road</t>
        </is>
      </c>
      <c r="C154" s="176" t="inlineStr">
        <is>
          <t>Infrastructure &amp; the Underground City</t>
        </is>
      </c>
      <c r="D154" s="163" t="n">
        <v>3</v>
      </c>
      <c r="E154" s="177" t="inlineStr">
        <is>
          <t>News brief</t>
        </is>
      </c>
      <c r="F154" s="165" t="inlineStr">
        <is>
          <t>To review</t>
        </is>
      </c>
      <c r="G154" s="166" t="n"/>
      <c r="H154" s="167" t="n"/>
      <c r="I154" s="168" t="inlineStr">
        <is>
          <t>What ground loss beneath a bridge approach could produce a sinkhole, and how should foundations be inspected after such failures?</t>
        </is>
      </c>
      <c r="J154" s="168" t="inlineStr">
        <is>
          <t>El Universo</t>
        </is>
      </c>
      <c r="K154" s="169" t="n">
        <v>46323</v>
      </c>
      <c r="L154" s="168" t="inlineStr">
        <is>
          <t>Socavón en el puente de Tapaila suspende el tránsito en la vía Rioverde-Esmeraldas</t>
        </is>
      </c>
      <c r="M154" s="168" t="inlineStr">
        <is>
          <t>Ecuador's transport ministry (MTOP)</t>
        </is>
      </c>
      <c r="N154" s="170" t="inlineStr">
        <is>
          <t>Ecuador</t>
        </is>
      </c>
      <c r="O154" s="168" t="inlineStr">
        <is>
          <t>Tapaila bridge, Rioverde, Esmeraldas</t>
        </is>
      </c>
      <c r="P154" s="168" t="n"/>
      <c r="Q154" s="171" t="inlineStr">
        <is>
          <t>Colombia</t>
        </is>
      </c>
      <c r="R154" s="169" t="n">
        <v>46322</v>
      </c>
      <c r="S154" s="170" t="inlineStr">
        <is>
          <t>2026-Q4</t>
        </is>
      </c>
      <c r="T154" s="172" t="inlineStr">
        <is>
          <t>sinkhole</t>
        </is>
      </c>
      <c r="U154" s="160" t="n">
        <v>4</v>
      </c>
      <c r="V154" s="173" t="inlineStr">
        <is>
          <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t>
        </is>
      </c>
      <c r="W154" s="174">
        <f>IF($B154="",0,IF(AND(OR(OR(Dashboard!$B$5="All themes",Dashboard!$B$5=""),$C154=Dashboard!$B$5),OR(OR(Dashboard!$G$5="All uses",Dashboard!$G$5=""),$E154=Dashboard!$G$5),N($D154)&gt;=Lists!$H$2,OR(OR(Dashboard!$N$5="All windows",Dashboard!$N$5=""),$S154=Dashboard!$N$5)),1,0))</f>
        <v/>
      </c>
      <c r="X154" s="175">
        <f>IF($W154=1,N($D154)*1E14+MIN(MAX(N($U154),0),9999)*1E10+MIN(N($K154),99999)*1E5+99999-MIN(ROW(),99999),"")</f>
        <v/>
      </c>
    </row>
    <row r="155" ht="40.5" customHeight="1">
      <c r="A155" s="160" t="n">
        <v>152</v>
      </c>
      <c r="B155" s="161" t="inlineStr">
        <is>
          <t>Sinkhole on General I. Martínez street poses risk to drivers in San Luis Potosí</t>
        </is>
      </c>
      <c r="C155" s="176" t="inlineStr">
        <is>
          <t>Infrastructure &amp; the Underground City</t>
        </is>
      </c>
      <c r="D155" s="163" t="n">
        <v>3</v>
      </c>
      <c r="E155" s="177" t="inlineStr">
        <is>
          <t>News brief</t>
        </is>
      </c>
      <c r="F155" s="165" t="inlineStr">
        <is>
          <t>To review</t>
        </is>
      </c>
      <c r="G155" s="166" t="n"/>
      <c r="H155" s="167" t="n"/>
      <c r="I155" s="168" t="inlineStr">
        <is>
          <t>What causes urban sinkholes from leaking pipes and erosion beneath streets, and how should they be investigated?</t>
        </is>
      </c>
      <c r="J155" s="168" t="inlineStr">
        <is>
          <t>El Sol de México</t>
        </is>
      </c>
      <c r="K155" s="169" t="n">
        <v>46323</v>
      </c>
      <c r="L155" s="168" t="inlineStr">
        <is>
          <t>Socavón en la calle General I. Martínez representa riesgo para automovilistas en SLP</t>
        </is>
      </c>
      <c r="M155" s="168" t="inlineStr">
        <is>
          <t>San Luis Potosí municipal government</t>
        </is>
      </c>
      <c r="N155" s="170" t="inlineStr">
        <is>
          <t>Mexico</t>
        </is>
      </c>
      <c r="O155" s="168" t="inlineStr">
        <is>
          <t>General I. Martínez street, San Luis Potosí</t>
        </is>
      </c>
      <c r="P155" s="168" t="n"/>
      <c r="Q155" s="171" t="inlineStr">
        <is>
          <t>Colombia</t>
        </is>
      </c>
      <c r="R155" s="169" t="n">
        <v>46323</v>
      </c>
      <c r="S155" s="170" t="inlineStr">
        <is>
          <t>2026-Q4</t>
        </is>
      </c>
      <c r="T155" s="172" t="inlineStr">
        <is>
          <t>sinkhole</t>
        </is>
      </c>
      <c r="U155" s="160" t="n">
        <v>4</v>
      </c>
      <c r="V155" s="173" t="inlineStr">
        <is>
          <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t>
        </is>
      </c>
      <c r="W155" s="174">
        <f>IF($B155="",0,IF(AND(OR(OR(Dashboard!$B$5="All themes",Dashboard!$B$5=""),$C155=Dashboard!$B$5),OR(OR(Dashboard!$G$5="All uses",Dashboard!$G$5=""),$E155=Dashboard!$G$5),N($D155)&gt;=Lists!$H$2,OR(OR(Dashboard!$N$5="All windows",Dashboard!$N$5=""),$S155=Dashboard!$N$5)),1,0))</f>
        <v/>
      </c>
      <c r="X155" s="175">
        <f>IF($W155=1,N($D155)*1E14+MIN(MAX(N($U155),0),9999)*1E10+MIN(N($K155),99999)*1E5+99999-MIN(ROW(),99999),"")</f>
        <v/>
      </c>
    </row>
    <row r="156" ht="40.5" customHeight="1">
      <c r="A156" s="160" t="n">
        <v>153</v>
      </c>
      <c r="B156" s="161" t="inlineStr">
        <is>
          <t>Agua y Drenaje sinkhole still causing traffic chaos in Santa Catarina a month later</t>
        </is>
      </c>
      <c r="C156" s="176" t="inlineStr">
        <is>
          <t>Infrastructure &amp; the Underground City</t>
        </is>
      </c>
      <c r="D156" s="163" t="n">
        <v>3</v>
      </c>
      <c r="E156" s="177" t="inlineStr">
        <is>
          <t>News brief</t>
        </is>
      </c>
      <c r="F156" s="165" t="inlineStr">
        <is>
          <t>To review</t>
        </is>
      </c>
      <c r="G156" s="166" t="n"/>
      <c r="H156" s="167" t="n"/>
      <c r="I156" s="168" t="inlineStr">
        <is>
          <t>Why do utility-trench sinkholes persist for weeks, and what repair and backfill practices shorten closure times?</t>
        </is>
      </c>
      <c r="J156" s="168" t="inlineStr">
        <is>
          <t>MVS Noticias</t>
        </is>
      </c>
      <c r="K156" s="169" t="n">
        <v>46323</v>
      </c>
      <c r="L156" s="168" t="inlineStr">
        <is>
          <t>El socavón de Agua y Drenaje sigue causando caos vial en Santa Catarina un mes después</t>
        </is>
      </c>
      <c r="M156" s="168" t="inlineStr">
        <is>
          <t>Agua y Drenaje de Monterrey water utility</t>
        </is>
      </c>
      <c r="N156" s="170" t="inlineStr">
        <is>
          <t>Mexico</t>
        </is>
      </c>
      <c r="O156" s="168" t="inlineStr">
        <is>
          <t>Santa Catarina, Nuevo León</t>
        </is>
      </c>
      <c r="P156" s="168" t="n"/>
      <c r="Q156" s="171" t="inlineStr">
        <is>
          <t>Colombia</t>
        </is>
      </c>
      <c r="R156" s="169" t="n">
        <v>46322</v>
      </c>
      <c r="S156" s="170" t="inlineStr">
        <is>
          <t>2026-Q4</t>
        </is>
      </c>
      <c r="T156" s="172" t="inlineStr">
        <is>
          <t>sinkhole</t>
        </is>
      </c>
      <c r="U156" s="160" t="n">
        <v>4</v>
      </c>
      <c r="V156" s="173" t="inlineStr">
        <is>
          <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t>
        </is>
      </c>
      <c r="W156" s="174">
        <f>IF($B156="",0,IF(AND(OR(OR(Dashboard!$B$5="All themes",Dashboard!$B$5=""),$C156=Dashboard!$B$5),OR(OR(Dashboard!$G$5="All uses",Dashboard!$G$5=""),$E156=Dashboard!$G$5),N($D156)&gt;=Lists!$H$2,OR(OR(Dashboard!$N$5="All windows",Dashboard!$N$5=""),$S156=Dashboard!$N$5)),1,0))</f>
        <v/>
      </c>
      <c r="X156" s="175">
        <f>IF($W156=1,N($D156)*1E14+MIN(MAX(N($U156),0),9999)*1E10+MIN(N($K156),99999)*1E5+99999-MIN(ROW(),99999),"")</f>
        <v/>
      </c>
    </row>
    <row r="157" ht="40.5" customHeight="1">
      <c r="A157" s="160" t="n">
        <v>154</v>
      </c>
      <c r="B157" s="161" t="inlineStr">
        <is>
          <t>Sinkhole threatens a house in Barragán urbanisation, Santo Domingo</t>
        </is>
      </c>
      <c r="C157" s="176" t="inlineStr">
        <is>
          <t>Infrastructure &amp; the Underground City</t>
        </is>
      </c>
      <c r="D157" s="163" t="n">
        <v>3</v>
      </c>
      <c r="E157" s="177" t="inlineStr">
        <is>
          <t>News brief</t>
        </is>
      </c>
      <c r="F157" s="165" t="inlineStr">
        <is>
          <t>To review</t>
        </is>
      </c>
      <c r="G157" s="166" t="n"/>
      <c r="H157" s="167" t="n"/>
      <c r="I157" s="168" t="inlineStr">
        <is>
          <t>What causes a sinkhole to approach a house foundation in an urbanisation, and what investigation is needed before repair?</t>
        </is>
      </c>
      <c r="J157" s="168" t="inlineStr">
        <is>
          <t>El Diario Ecuador</t>
        </is>
      </c>
      <c r="K157" s="169" t="n">
        <v>46323</v>
      </c>
      <c r="L157" s="168" t="inlineStr">
        <is>
          <t>Socavón amenaza una vivienda en la urbanización Barragán, en Santo Domingo</t>
        </is>
      </c>
      <c r="M157" s="168" t="inlineStr">
        <is>
          <t>Santo Domingo municipal government</t>
        </is>
      </c>
      <c r="N157" s="170" t="inlineStr">
        <is>
          <t>Ecuador</t>
        </is>
      </c>
      <c r="O157" s="168" t="inlineStr">
        <is>
          <t>Barragán, Santo Domingo</t>
        </is>
      </c>
      <c r="P157" s="168" t="n"/>
      <c r="Q157" s="171" t="inlineStr">
        <is>
          <t>Colombia</t>
        </is>
      </c>
      <c r="R157" s="169" t="n">
        <v>46322</v>
      </c>
      <c r="S157" s="170" t="inlineStr">
        <is>
          <t>2026-Q4</t>
        </is>
      </c>
      <c r="T157" s="172" t="inlineStr">
        <is>
          <t>sinkhole</t>
        </is>
      </c>
      <c r="U157" s="160" t="n">
        <v>4</v>
      </c>
      <c r="V157" s="173" t="inlineStr">
        <is>
          <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t>
        </is>
      </c>
      <c r="W157" s="174">
        <f>IF($B157="",0,IF(AND(OR(OR(Dashboard!$B$5="All themes",Dashboard!$B$5=""),$C157=Dashboard!$B$5),OR(OR(Dashboard!$G$5="All uses",Dashboard!$G$5=""),$E157=Dashboard!$G$5),N($D157)&gt;=Lists!$H$2,OR(OR(Dashboard!$N$5="All windows",Dashboard!$N$5=""),$S157=Dashboard!$N$5)),1,0))</f>
        <v/>
      </c>
      <c r="X157" s="175">
        <f>IF($W157=1,N($D157)*1E14+MIN(MAX(N($U157),0),9999)*1E10+MIN(N($K157),99999)*1E5+99999-MIN(ROW(),99999),"")</f>
        <v/>
      </c>
    </row>
    <row r="158" ht="40.5" customHeight="1">
      <c r="A158" s="160" t="n">
        <v>155</v>
      </c>
      <c r="B158" s="161" t="inlineStr">
        <is>
          <t>Pickup truck falls into sinkhole on Alfredo Orta street</t>
        </is>
      </c>
      <c r="C158" s="176" t="inlineStr">
        <is>
          <t>Infrastructure &amp; the Underground City</t>
        </is>
      </c>
      <c r="D158" s="163" t="n">
        <v>3</v>
      </c>
      <c r="E158" s="177" t="inlineStr">
        <is>
          <t>News brief</t>
        </is>
      </c>
      <c r="F158" s="165" t="inlineStr">
        <is>
          <t>To review</t>
        </is>
      </c>
      <c r="G158" s="166" t="n"/>
      <c r="H158" s="167" t="n"/>
      <c r="I158" s="168" t="inlineStr">
        <is>
          <t>What caused the road to collapse under a vehicle, and what subsurface survey would confirm the cavity?</t>
        </is>
      </c>
      <c r="J158" s="168" t="inlineStr">
        <is>
          <t>Norte de Ciudad Juárez</t>
        </is>
      </c>
      <c r="K158" s="169" t="n">
        <v>46323</v>
      </c>
      <c r="L158" s="168" t="inlineStr">
        <is>
          <t>Cae camioneta en socavón de calle Alfredo Orta</t>
        </is>
      </c>
      <c r="M158" s="168" t="inlineStr">
        <is>
          <t>Ciudad Juárez municipal government</t>
        </is>
      </c>
      <c r="N158" s="170" t="inlineStr">
        <is>
          <t>Mexico</t>
        </is>
      </c>
      <c r="O158" s="168" t="inlineStr">
        <is>
          <t>Alfredo Orta street, Ciudad Juárez</t>
        </is>
      </c>
      <c r="P158" s="168" t="n"/>
      <c r="Q158" s="171" t="inlineStr">
        <is>
          <t>Colombia</t>
        </is>
      </c>
      <c r="R158" s="169" t="n">
        <v>46323</v>
      </c>
      <c r="S158" s="170" t="inlineStr">
        <is>
          <t>2026-Q4</t>
        </is>
      </c>
      <c r="T158" s="172" t="inlineStr">
        <is>
          <t>sinkhole</t>
        </is>
      </c>
      <c r="U158" s="160" t="n">
        <v>4</v>
      </c>
      <c r="V158" s="173" t="inlineStr">
        <is>
          <t>https://news.google.com/rss/articles/CBMie0FVX3lxTE5GT0hOSk44NkYxSFFNa1JialNNa3hsNWRaSGxUV05LemV4RmhMd0lfQ2o5ZWlzVkJQM2Vtc2tteEh6Q3RSTzU2QlhobHhjUGp0SDV4SEI4b2hLN0MtWXY5N0tDNnpxVFAtMk0zTzRRVzBMWVV4ajF4aWRubw?oc=5</t>
        </is>
      </c>
      <c r="W158" s="174">
        <f>IF($B158="",0,IF(AND(OR(OR(Dashboard!$B$5="All themes",Dashboard!$B$5=""),$C158=Dashboard!$B$5),OR(OR(Dashboard!$G$5="All uses",Dashboard!$G$5=""),$E158=Dashboard!$G$5),N($D158)&gt;=Lists!$H$2,OR(OR(Dashboard!$N$5="All windows",Dashboard!$N$5=""),$S158=Dashboard!$N$5)),1,0))</f>
        <v/>
      </c>
      <c r="X158" s="175">
        <f>IF($W158=1,N($D158)*1E14+MIN(MAX(N($U158),0),9999)*1E10+MIN(N($K158),99999)*1E5+99999-MIN(ROW(),99999),"")</f>
        <v/>
      </c>
    </row>
    <row r="159" ht="40.5" customHeight="1">
      <c r="A159" s="160" t="n">
        <v>156</v>
      </c>
      <c r="B159" s="161" t="inlineStr">
        <is>
          <t>Sinkhole alert in Huauchinango; residents demand urgent attention</t>
        </is>
      </c>
      <c r="C159" s="176" t="inlineStr">
        <is>
          <t>Infrastructure &amp; the Underground City</t>
        </is>
      </c>
      <c r="D159" s="163" t="n">
        <v>3</v>
      </c>
      <c r="E159" s="177" t="inlineStr">
        <is>
          <t>News brief</t>
        </is>
      </c>
      <c r="F159" s="165" t="inlineStr">
        <is>
          <t>To review</t>
        </is>
      </c>
      <c r="G159" s="166" t="n"/>
      <c r="H159" s="167" t="n"/>
      <c r="I159" s="168" t="inlineStr">
        <is>
          <t>What subsurface conditions could cause this sinkhole, and how should the municipality prioritise investigation and repair?</t>
        </is>
      </c>
      <c r="J159" s="168" t="inlineStr">
        <is>
          <t>El Popular, periodismo con causa</t>
        </is>
      </c>
      <c r="K159" s="169" t="n">
        <v>46323</v>
      </c>
      <c r="L159" s="168" t="inlineStr">
        <is>
          <t>Alerta por socavón en Huauchinango; vecinos exigen atención urgente</t>
        </is>
      </c>
      <c r="M159" s="168" t="inlineStr">
        <is>
          <t>Huauchinango municipal government</t>
        </is>
      </c>
      <c r="N159" s="170" t="inlineStr">
        <is>
          <t>Mexico</t>
        </is>
      </c>
      <c r="O159" s="168" t="inlineStr">
        <is>
          <t>Huauchinango, Puebla</t>
        </is>
      </c>
      <c r="P159" s="168" t="n"/>
      <c r="Q159" s="171" t="inlineStr">
        <is>
          <t>Colombia</t>
        </is>
      </c>
      <c r="R159" s="169" t="n">
        <v>46322</v>
      </c>
      <c r="S159" s="170" t="inlineStr">
        <is>
          <t>2026-Q4</t>
        </is>
      </c>
      <c r="T159" s="172" t="inlineStr">
        <is>
          <t>sinkhole</t>
        </is>
      </c>
      <c r="U159" s="160" t="n">
        <v>4</v>
      </c>
      <c r="V159" s="173" t="inlineStr">
        <is>
          <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t>
        </is>
      </c>
      <c r="W159" s="174">
        <f>IF($B159="",0,IF(AND(OR(OR(Dashboard!$B$5="All themes",Dashboard!$B$5=""),$C159=Dashboard!$B$5),OR(OR(Dashboard!$G$5="All uses",Dashboard!$G$5=""),$E159=Dashboard!$G$5),N($D159)&gt;=Lists!$H$2,OR(OR(Dashboard!$N$5="All windows",Dashboard!$N$5=""),$S159=Dashboard!$N$5)),1,0))</f>
        <v/>
      </c>
      <c r="X159" s="175">
        <f>IF($W159=1,N($D159)*1E14+MIN(MAX(N($U159),0),9999)*1E10+MIN(N($K159),99999)*1E5+99999-MIN(ROW(),99999),"")</f>
        <v/>
      </c>
    </row>
    <row r="160" ht="40.5" customHeight="1">
      <c r="A160" s="160" t="n">
        <v>157</v>
      </c>
      <c r="B160" s="161" t="inlineStr">
        <is>
          <t>Sinkhole of over 100 metres in Mazatlán still unguarded</t>
        </is>
      </c>
      <c r="C160" s="176" t="inlineStr">
        <is>
          <t>Infrastructure &amp; the Underground City</t>
        </is>
      </c>
      <c r="D160" s="163" t="n">
        <v>3</v>
      </c>
      <c r="E160" s="177" t="inlineStr">
        <is>
          <t>News brief</t>
        </is>
      </c>
      <c r="F160" s="165" t="inlineStr">
        <is>
          <t>To review</t>
        </is>
      </c>
      <c r="G160" s="166" t="n"/>
      <c r="H160" s="167" t="n"/>
      <c r="I160" s="168" t="inlineStr">
        <is>
          <t>How should unguarded large sinkholes be assessed and fenced while their cause and extent remain unknown?</t>
        </is>
      </c>
      <c r="J160" s="168" t="inlineStr">
        <is>
          <t>Debate</t>
        </is>
      </c>
      <c r="K160" s="169" t="n">
        <v>46323</v>
      </c>
      <c r="L160" s="168" t="inlineStr">
        <is>
          <t>Aún sin vigilancia la zona del socavón de más de 100 metros en Mazatlán</t>
        </is>
      </c>
      <c r="M160" s="168" t="inlineStr">
        <is>
          <t>Mazatlán municipal government</t>
        </is>
      </c>
      <c r="N160" s="170" t="inlineStr">
        <is>
          <t>Mexico</t>
        </is>
      </c>
      <c r="O160" s="168" t="inlineStr">
        <is>
          <t>Mazatlán, Sinaloa</t>
        </is>
      </c>
      <c r="P160" s="168" t="inlineStr">
        <is>
          <t>JUMAPAM and Pemex evaluate underground network after sinkhole on Emil… (Oct 2026) · Update · 2 reports</t>
        </is>
      </c>
      <c r="Q160" s="171" t="inlineStr">
        <is>
          <t>Colombia</t>
        </is>
      </c>
      <c r="R160" s="169" t="n">
        <v>46323</v>
      </c>
      <c r="S160" s="170" t="inlineStr">
        <is>
          <t>2026-Q4</t>
        </is>
      </c>
      <c r="T160" s="172" t="inlineStr">
        <is>
          <t>sinkhole</t>
        </is>
      </c>
      <c r="U160" s="160" t="n">
        <v>4</v>
      </c>
      <c r="V160" s="173" t="inlineStr">
        <is>
          <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t>
        </is>
      </c>
      <c r="W160" s="174">
        <f>IF($B160="",0,IF(AND(OR(OR(Dashboard!$B$5="All themes",Dashboard!$B$5=""),$C160=Dashboard!$B$5),OR(OR(Dashboard!$G$5="All uses",Dashboard!$G$5=""),$E160=Dashboard!$G$5),N($D160)&gt;=Lists!$H$2,OR(OR(Dashboard!$N$5="All windows",Dashboard!$N$5=""),$S160=Dashboard!$N$5)),1,0))</f>
        <v/>
      </c>
      <c r="X160" s="175">
        <f>IF($W160=1,N($D160)*1E14+MIN(MAX(N($U160),0),9999)*1E10+MIN(N($K160),99999)*1E5+99999-MIN(ROW(),99999),"")</f>
        <v/>
      </c>
    </row>
    <row r="161" ht="40.5" customHeight="1">
      <c r="A161" s="160" t="n">
        <v>158</v>
      </c>
      <c r="B161" s="161" t="inlineStr">
        <is>
          <t>'Forgotten' risky sinkhole in Guadalupe for two years!</t>
        </is>
      </c>
      <c r="C161" s="176" t="inlineStr">
        <is>
          <t>Infrastructure &amp; the Underground City</t>
        </is>
      </c>
      <c r="D161" s="163" t="n">
        <v>3</v>
      </c>
      <c r="E161" s="177" t="inlineStr">
        <is>
          <t>News brief</t>
        </is>
      </c>
      <c r="F161" s="165" t="inlineStr">
        <is>
          <t>To review</t>
        </is>
      </c>
      <c r="G161" s="166" t="n"/>
      <c r="H161" s="167" t="n"/>
      <c r="I161" s="168" t="inlineStr">
        <is>
          <t>Why does a known sinkhole remain unrepaired for two years, and what risk assessment should have prompted action?</t>
        </is>
      </c>
      <c r="J161" s="168" t="inlineStr">
        <is>
          <t>El Norte</t>
        </is>
      </c>
      <c r="K161" s="169" t="n">
        <v>46323</v>
      </c>
      <c r="L161" s="168" t="inlineStr">
        <is>
          <t>'Olvidan' socavón de riesgo en Guadalupe ¡por 2 años!</t>
        </is>
      </c>
      <c r="M161" s="168" t="inlineStr">
        <is>
          <t>Guadalupe municipal government</t>
        </is>
      </c>
      <c r="N161" s="170" t="inlineStr">
        <is>
          <t>Mexico</t>
        </is>
      </c>
      <c r="O161" s="168" t="inlineStr">
        <is>
          <t>Guadalupe, Nuevo León</t>
        </is>
      </c>
      <c r="P161" s="168" t="n"/>
      <c r="Q161" s="171" t="inlineStr">
        <is>
          <t>Colombia</t>
        </is>
      </c>
      <c r="R161" s="169" t="n">
        <v>46322</v>
      </c>
      <c r="S161" s="170" t="inlineStr">
        <is>
          <t>2026-Q4</t>
        </is>
      </c>
      <c r="T161" s="172" t="inlineStr">
        <is>
          <t>sinkhole</t>
        </is>
      </c>
      <c r="U161" s="160" t="n">
        <v>4</v>
      </c>
      <c r="V161" s="173" t="inlineStr">
        <is>
          <t>https://news.google.com/rss/articles/CBMiiwFBVV95cUxQMXN1cTdPR3lPN2M1UWlPNWhtdHhseEhweW5kOV9vQTRTV3djN2prSXhPRWNjQ09aMlFqdFJvellOSlR2R0xEbHFhYmRENTF3RVBjeE9KT3Q5UUZLV19MSkRoMF9JdnN4VWVKR3BnWVpNdWxfU25qVkVFYVhJWFpqUzBjMVFYTUxrWXFJ?oc=5</t>
        </is>
      </c>
      <c r="W161" s="174">
        <f>IF($B161="",0,IF(AND(OR(OR(Dashboard!$B$5="All themes",Dashboard!$B$5=""),$C161=Dashboard!$B$5),OR(OR(Dashboard!$G$5="All uses",Dashboard!$G$5=""),$E161=Dashboard!$G$5),N($D161)&gt;=Lists!$H$2,OR(OR(Dashboard!$N$5="All windows",Dashboard!$N$5=""),$S161=Dashboard!$N$5)),1,0))</f>
        <v/>
      </c>
      <c r="X161" s="175">
        <f>IF($W161=1,N($D161)*1E14+MIN(MAX(N($U161),0),9999)*1E10+MIN(N($K161),99999)*1E5+99999-MIN(ROW(),99999),"")</f>
        <v/>
      </c>
    </row>
    <row r="162" ht="40.5" customHeight="1">
      <c r="A162" s="160" t="n">
        <v>159</v>
      </c>
      <c r="B162" s="161" t="inlineStr">
        <is>
          <t>Sinkhole swallows garbage truck in Campestre Virreyes</t>
        </is>
      </c>
      <c r="C162" s="176" t="inlineStr">
        <is>
          <t>Infrastructure &amp; the Underground City</t>
        </is>
      </c>
      <c r="D162" s="163" t="n">
        <v>3</v>
      </c>
      <c r="E162" s="177" t="inlineStr">
        <is>
          <t>News brief</t>
        </is>
      </c>
      <c r="F162" s="165" t="inlineStr">
        <is>
          <t>To review</t>
        </is>
      </c>
      <c r="G162" s="166" t="n"/>
      <c r="H162" s="167" t="n"/>
      <c r="I162" s="168" t="inlineStr">
        <is>
          <t>What ground voids could swallow a heavy truck on a residential street, and how should such cavities be detected?</t>
        </is>
      </c>
      <c r="J162" s="168" t="inlineStr">
        <is>
          <t>El Diario</t>
        </is>
      </c>
      <c r="K162" s="169" t="n">
        <v>46323</v>
      </c>
      <c r="L162" s="168" t="inlineStr">
        <is>
          <t>Socavón se 'traga' un camión de basura en Campestre Virreyes</t>
        </is>
      </c>
      <c r="M162" s="168" t="inlineStr">
        <is>
          <t>municipal government</t>
        </is>
      </c>
      <c r="N162" s="170" t="inlineStr">
        <is>
          <t>Mexico</t>
        </is>
      </c>
      <c r="O162" s="168" t="inlineStr">
        <is>
          <t>Campestre Virreyes</t>
        </is>
      </c>
      <c r="P162" s="168" t="n"/>
      <c r="Q162" s="171" t="inlineStr">
        <is>
          <t>Colombia</t>
        </is>
      </c>
      <c r="R162" s="169" t="n">
        <v>46322</v>
      </c>
      <c r="S162" s="170" t="inlineStr">
        <is>
          <t>2026-Q4</t>
        </is>
      </c>
      <c r="T162" s="172" t="inlineStr">
        <is>
          <t>sinkhole</t>
        </is>
      </c>
      <c r="U162" s="160" t="n">
        <v>4</v>
      </c>
      <c r="V162" s="173" t="inlineStr">
        <is>
          <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t>
        </is>
      </c>
      <c r="W162" s="174">
        <f>IF($B162="",0,IF(AND(OR(OR(Dashboard!$B$5="All themes",Dashboard!$B$5=""),$C162=Dashboard!$B$5),OR(OR(Dashboard!$G$5="All uses",Dashboard!$G$5=""),$E162=Dashboard!$G$5),N($D162)&gt;=Lists!$H$2,OR(OR(Dashboard!$N$5="All windows",Dashboard!$N$5=""),$S162=Dashboard!$N$5)),1,0))</f>
        <v/>
      </c>
      <c r="X162" s="175">
        <f>IF($W162=1,N($D162)*1E14+MIN(MAX(N($U162),0),9999)*1E10+MIN(N($K162),99999)*1E5+99999-MIN(ROW(),99999),"")</f>
        <v/>
      </c>
    </row>
    <row r="163" ht="40.5" customHeight="1">
      <c r="A163" s="160" t="n">
        <v>160</v>
      </c>
      <c r="B163" s="161" t="inlineStr">
        <is>
          <t>How long? Sinkhole unrepaired for three months on Avenida del Mar, complicating traffic in La Serena</t>
        </is>
      </c>
      <c r="C163" s="176" t="inlineStr">
        <is>
          <t>Infrastructure &amp; the Underground City</t>
        </is>
      </c>
      <c r="D163" s="163" t="n">
        <v>3</v>
      </c>
      <c r="E163" s="177" t="inlineStr">
        <is>
          <t>News brief</t>
        </is>
      </c>
      <c r="F163" s="165" t="inlineStr">
        <is>
          <t>To review</t>
        </is>
      </c>
      <c r="G163" s="166" t="n"/>
      <c r="H163" s="167" t="n"/>
      <c r="I163" s="168" t="inlineStr">
        <is>
          <t>Why does a sinkhole remain unrepaired for three months on an urban avenue, and what temporary stabilisation is needed?</t>
        </is>
      </c>
      <c r="J163" s="168" t="inlineStr">
        <is>
          <t>Mi Radio</t>
        </is>
      </c>
      <c r="K163" s="169" t="n">
        <v>46323</v>
      </c>
      <c r="L163" s="168" t="inlineStr">
        <is>
          <t>¿Hasta cuándo? Socavón lleva tres meses sin reparación en Avenida del Mar y complica el tránsito en La Serena</t>
        </is>
      </c>
      <c r="M163" s="168" t="inlineStr">
        <is>
          <t>La Serena municipality</t>
        </is>
      </c>
      <c r="N163" s="170" t="inlineStr">
        <is>
          <t>Chile</t>
        </is>
      </c>
      <c r="O163" s="168" t="inlineStr">
        <is>
          <t>Avenida del Mar, La Serena</t>
        </is>
      </c>
      <c r="P163" s="168" t="n"/>
      <c r="Q163" s="171" t="inlineStr">
        <is>
          <t>Colombia</t>
        </is>
      </c>
      <c r="R163" s="169" t="n">
        <v>46322</v>
      </c>
      <c r="S163" s="170" t="inlineStr">
        <is>
          <t>2026-Q4</t>
        </is>
      </c>
      <c r="T163" s="172" t="inlineStr">
        <is>
          <t>sinkhole</t>
        </is>
      </c>
      <c r="U163" s="160" t="n">
        <v>4</v>
      </c>
      <c r="V163" s="173" t="inlineStr">
        <is>
          <t>https://news.google.com/rss/articles/CBMiiAFBVV95cUxOUmRfTjBaOWM1NWRrRzVGenNxUXRwWHdaWFp6RlhoYWRMSGZXai1nU0RuTjJraFRnZHJGbDJHd1FPSnpqMTVRWVh5eEVWTG9iMGk0bk1nMVZPSTUtU0J2VHVkR0lxbVlTNW9rdnd0UlRTTkVWNzFmUk9GQ2R2U0d5bk5Hekw5M1J4?oc=5</t>
        </is>
      </c>
      <c r="W163" s="174">
        <f>IF($B163="",0,IF(AND(OR(OR(Dashboard!$B$5="All themes",Dashboard!$B$5=""),$C163=Dashboard!$B$5),OR(OR(Dashboard!$G$5="All uses",Dashboard!$G$5=""),$E163=Dashboard!$G$5),N($D163)&gt;=Lists!$H$2,OR(OR(Dashboard!$N$5="All windows",Dashboard!$N$5=""),$S163=Dashboard!$N$5)),1,0))</f>
        <v/>
      </c>
      <c r="X163" s="175">
        <f>IF($W163=1,N($D163)*1E14+MIN(MAX(N($U163),0),9999)*1E10+MIN(N($K163),99999)*1E5+99999-MIN(ROW(),99999),"")</f>
        <v/>
      </c>
    </row>
    <row r="164" ht="53" customHeight="1">
      <c r="A164" s="160" t="n">
        <v>161</v>
      </c>
      <c r="B164" s="161" t="inlineStr">
        <is>
          <t>Thanh Hoa: urgent completion of two key dyke projects before 31 December.</t>
        </is>
      </c>
      <c r="C164" s="185" t="inlineStr">
        <is>
          <t>Offshore, Coasts &amp; Water</t>
        </is>
      </c>
      <c r="D164" s="163" t="n">
        <v>3</v>
      </c>
      <c r="E164" s="177" t="inlineStr">
        <is>
          <t>News brief</t>
        </is>
      </c>
      <c r="F164" s="165" t="inlineStr">
        <is>
          <t>To review</t>
        </is>
      </c>
      <c r="G164" s="166" t="n"/>
      <c r="H164" s="167" t="n"/>
      <c r="I164" s="168" t="inlineStr">
        <is>
          <t>What geotechnical checks are needed on embankment foundations and soft ground before urgent dyke works are rushed to a year-end deadline?</t>
        </is>
      </c>
      <c r="J164" s="168" t="inlineStr">
        <is>
          <t>Vietnam.vn</t>
        </is>
      </c>
      <c r="K164" s="169" t="n">
        <v>46323</v>
      </c>
      <c r="L164" s="168" t="inlineStr">
        <is>
          <t>Thanh Hoa: Penyelesaian mendesak dua proyek tanggul penting sebelum 31 Desember.</t>
        </is>
      </c>
      <c r="M164" s="168" t="inlineStr">
        <is>
          <t>Thanh Hoa provincial people's committee</t>
        </is>
      </c>
      <c r="N164" s="170" t="inlineStr">
        <is>
          <t>Vietnam</t>
        </is>
      </c>
      <c r="O164" s="168" t="inlineStr">
        <is>
          <t>Thanh Hoa province</t>
        </is>
      </c>
      <c r="P164" s="168" t="n"/>
      <c r="Q164" s="171" t="inlineStr">
        <is>
          <t>Indonesia</t>
        </is>
      </c>
      <c r="R164" s="169" t="n">
        <v>46321</v>
      </c>
      <c r="S164" s="170" t="inlineStr">
        <is>
          <t>2026-Q4</t>
        </is>
      </c>
      <c r="T164" s="172" t="inlineStr">
        <is>
          <t>embankment</t>
        </is>
      </c>
      <c r="U164" s="160" t="n">
        <v>3</v>
      </c>
      <c r="V164" s="173" t="inlineStr">
        <is>
          <t>https://news.google.com/rss/articles/CBMimAFBVV95cUxPTVduWTY1czVqa0Y1bXBOMGZrdnhocG9KeFIyMDNQUWticGo0N3VUWGk3aVlvc3NuUkZKZDBvZkM4dlZZRDJHaWhPdFdsZFFrZS14RVZQQzJLQXJGODNPbjhsZEhQYU9GRUQwU1BMeW53Y3czUHQ5QVpqRHdyTDNPVEthMW1LcnB6R25yT0oxbXZmUEtWVHRMQg?oc=5</t>
        </is>
      </c>
      <c r="W164" s="174">
        <f>IF($B164="",0,IF(AND(OR(OR(Dashboard!$B$5="All themes",Dashboard!$B$5=""),$C164=Dashboard!$B$5),OR(OR(Dashboard!$G$5="All uses",Dashboard!$G$5=""),$E164=Dashboard!$G$5),N($D164)&gt;=Lists!$H$2,OR(OR(Dashboard!$N$5="All windows",Dashboard!$N$5=""),$S164=Dashboard!$N$5)),1,0))</f>
        <v/>
      </c>
      <c r="X164" s="175">
        <f>IF($W164=1,N($D164)*1E14+MIN(MAX(N($U164),0),9999)*1E10+MIN(N($K164),99999)*1E5+99999-MIN(ROW(),99999),"")</f>
        <v/>
      </c>
    </row>
    <row r="165" ht="53" customHeight="1">
      <c r="A165" s="160" t="n">
        <v>162</v>
      </c>
      <c r="B165" s="161" t="inlineStr">
        <is>
          <t>Demolition pit for future metro shaft nearing completion on Shuvalovsky Avenue</t>
        </is>
      </c>
      <c r="C165" s="176" t="inlineStr">
        <is>
          <t>Infrastructure &amp; the Underground City</t>
        </is>
      </c>
      <c r="D165" s="163" t="n">
        <v>3</v>
      </c>
      <c r="E165" s="177" t="inlineStr">
        <is>
          <t>News brief</t>
        </is>
      </c>
      <c r="F165" s="165" t="inlineStr">
        <is>
          <t>To review</t>
        </is>
      </c>
      <c r="G165" s="166" t="n"/>
      <c r="H165" s="167" t="n"/>
      <c r="I165" s="168" t="inlineStr">
        <is>
          <t>How is the support of a deep demolition excavation adjacent to a future metro shaft designed to limit ground movement in soft St Petersburg soils?</t>
        </is>
      </c>
      <c r="J165" s="168" t="inlineStr">
        <is>
          <t>78.ru</t>
        </is>
      </c>
      <c r="K165" s="169" t="n">
        <v>46323</v>
      </c>
      <c r="L165" s="168" t="inlineStr">
        <is>
          <t>Демонтажный котлован на месте будущей шахты метро завершают на Шуваловском проспекте</t>
        </is>
      </c>
      <c r="M165" s="168" t="inlineStr">
        <is>
          <t>St Petersburg metro construction authority</t>
        </is>
      </c>
      <c r="N165" s="170" t="inlineStr">
        <is>
          <t>Russia</t>
        </is>
      </c>
      <c r="O165" s="168" t="inlineStr">
        <is>
          <t>Shuvalovsky Avenue, St Petersburg</t>
        </is>
      </c>
      <c r="P165" s="168" t="inlineStr">
        <is>
          <t>Shuvalovsky Avenue metro shaft, St Petersburg · Event · 2 reports</t>
        </is>
      </c>
      <c r="Q165" s="171" t="inlineStr">
        <is>
          <t>Russia</t>
        </is>
      </c>
      <c r="R165" s="169" t="n">
        <v>46323</v>
      </c>
      <c r="S165" s="170" t="inlineStr">
        <is>
          <t>2026-Q4</t>
        </is>
      </c>
      <c r="T165" s="172" t="inlineStr">
        <is>
          <t>excavation, metro line</t>
        </is>
      </c>
      <c r="U165" s="160" t="n">
        <v>2</v>
      </c>
      <c r="V165" s="173" t="inlineStr">
        <is>
          <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t>
        </is>
      </c>
      <c r="W165" s="174">
        <f>IF($B165="",0,IF(AND(OR(OR(Dashboard!$B$5="All themes",Dashboard!$B$5=""),$C165=Dashboard!$B$5),OR(OR(Dashboard!$G$5="All uses",Dashboard!$G$5=""),$E165=Dashboard!$G$5),N($D165)&gt;=Lists!$H$2,OR(OR(Dashboard!$N$5="All windows",Dashboard!$N$5=""),$S165=Dashboard!$N$5)),1,0))</f>
        <v/>
      </c>
      <c r="X165" s="175">
        <f>IF($W165=1,N($D165)*1E14+MIN(MAX(N($U165),0),9999)*1E10+MIN(N($K165),99999)*1E5+99999-MIN(ROW(),99999),"")</f>
        <v/>
      </c>
    </row>
    <row r="166" ht="53" customHeight="1">
      <c r="A166" s="160" t="n">
        <v>163</v>
      </c>
      <c r="B166" s="161" t="inlineStr">
        <is>
          <t>Compensations related to the dam collapse of Vale and BHP’s joint venture in Brazil reach US$16.52 billion</t>
        </is>
      </c>
      <c r="C166" s="162" t="inlineStr">
        <is>
          <t>Hazards &amp; Resilience</t>
        </is>
      </c>
      <c r="D166" s="163" t="n">
        <v>5</v>
      </c>
      <c r="E166" s="164" t="inlineStr">
        <is>
          <t>Feature lead</t>
        </is>
      </c>
      <c r="F166" s="165" t="inlineStr">
        <is>
          <t>To review</t>
        </is>
      </c>
      <c r="G166" s="166" t="n"/>
      <c r="H166" s="167" t="n"/>
      <c r="I166" s="168" t="inlineStr">
        <is>
          <t>What geotechnical failure mechanisms and tailings dam design lessons emerge from the Mariana collapse, years after compensation was agreed?</t>
        </is>
      </c>
      <c r="J166" s="168" t="inlineStr">
        <is>
          <t>BNamericas</t>
        </is>
      </c>
      <c r="K166" s="169" t="n">
        <v>46322</v>
      </c>
      <c r="L166" s="168" t="n"/>
      <c r="M166" s="168" t="inlineStr">
        <is>
          <t>Samarco, Vale and BHP; Brazilian court records</t>
        </is>
      </c>
      <c r="N166" s="170" t="inlineStr">
        <is>
          <t>Brazil</t>
        </is>
      </c>
      <c r="O166" s="168" t="inlineStr">
        <is>
          <t>Mariana, Minas Gerais</t>
        </is>
      </c>
      <c r="P166" s="168" t="n"/>
      <c r="Q166" s="171" t="inlineStr">
        <is>
          <t>United Kingdom</t>
        </is>
      </c>
      <c r="R166" s="169" t="n">
        <v>46321</v>
      </c>
      <c r="S166" s="170" t="inlineStr">
        <is>
          <t>2026-Q4</t>
        </is>
      </c>
      <c r="T166" s="172" t="inlineStr">
        <is>
          <t>dam, dam failure, collapse</t>
        </is>
      </c>
      <c r="U166" s="160" t="n">
        <v>7</v>
      </c>
      <c r="V166" s="173" t="inlineStr">
        <is>
          <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t>
        </is>
      </c>
      <c r="W166" s="174">
        <f>IF($B166="",0,IF(AND(OR(OR(Dashboard!$B$5="All themes",Dashboard!$B$5=""),$C166=Dashboard!$B$5),OR(OR(Dashboard!$G$5="All uses",Dashboard!$G$5=""),$E166=Dashboard!$G$5),N($D166)&gt;=Lists!$H$2,OR(OR(Dashboard!$N$5="All windows",Dashboard!$N$5=""),$S166=Dashboard!$N$5)),1,0))</f>
        <v/>
      </c>
      <c r="X166" s="175">
        <f>IF($W166=1,N($D166)*1E14+MIN(MAX(N($U166),0),9999)*1E10+MIN(N($K166),99999)*1E5+99999-MIN(ROW(),99999),"")</f>
        <v/>
      </c>
    </row>
    <row r="167" ht="53" customHeight="1">
      <c r="A167" s="160" t="n">
        <v>164</v>
      </c>
      <c r="B167" s="161" t="inlineStr">
        <is>
          <t>Breakthrough completes 12.18km Jinyang Highway Tunnel in China</t>
        </is>
      </c>
      <c r="C167" s="176" t="inlineStr">
        <is>
          <t>Infrastructure &amp; the Underground City</t>
        </is>
      </c>
      <c r="D167" s="163" t="n">
        <v>4</v>
      </c>
      <c r="E167" s="177" t="inlineStr">
        <is>
          <t>News brief</t>
        </is>
      </c>
      <c r="F167" s="165" t="inlineStr">
        <is>
          <t>To review</t>
        </is>
      </c>
      <c r="G167" s="166" t="n"/>
      <c r="H167" s="167" t="n"/>
      <c r="I167" s="168" t="inlineStr">
        <is>
          <t>What ground conditions and support measures allowed a 12 km highway tunnel through difficult mountain terrain to be excavated over five years?</t>
        </is>
      </c>
      <c r="J167" s="168" t="inlineStr">
        <is>
          <t>Tunnelling Journal</t>
        </is>
      </c>
      <c r="K167" s="169" t="n">
        <v>46322</v>
      </c>
      <c r="L167" s="168" t="n"/>
      <c r="M167" s="168" t="inlineStr">
        <is>
          <t>Project owner of the Xichang–Zhaotong Expressway, and the tunnel's contractor</t>
        </is>
      </c>
      <c r="N167" s="170" t="inlineStr">
        <is>
          <t>China</t>
        </is>
      </c>
      <c r="O167" s="168" t="inlineStr">
        <is>
          <t>Xichang–Zhaotong Expressway</t>
        </is>
      </c>
      <c r="P167" s="168" t="n"/>
      <c r="Q167" s="171" t="n"/>
      <c r="R167" s="169" t="n">
        <v>46321</v>
      </c>
      <c r="S167" s="170" t="inlineStr">
        <is>
          <t>2026-Q4</t>
        </is>
      </c>
      <c r="T167" s="172" t="inlineStr">
        <is>
          <t>excavation, tunnelling, tunnel</t>
        </is>
      </c>
      <c r="U167" s="160" t="n">
        <v>9</v>
      </c>
      <c r="V167" s="173" t="inlineStr">
        <is>
          <t>https://tunnellingjournal.com/breakthrough-completes-12-18km-jinyang-highway-tunnel-in-china/</t>
        </is>
      </c>
      <c r="W167" s="174">
        <f>IF($B167="",0,IF(AND(OR(OR(Dashboard!$B$5="All themes",Dashboard!$B$5=""),$C167=Dashboard!$B$5),OR(OR(Dashboard!$G$5="All uses",Dashboard!$G$5=""),$E167=Dashboard!$G$5),N($D167)&gt;=Lists!$H$2,OR(OR(Dashboard!$N$5="All windows",Dashboard!$N$5=""),$S167=Dashboard!$N$5)),1,0))</f>
        <v/>
      </c>
      <c r="X167" s="175">
        <f>IF($W167=1,N($D167)*1E14+MIN(MAX(N($U167),0),9999)*1E10+MIN(N($K167),99999)*1E5+99999-MIN(ROW(),99999),"")</f>
        <v/>
      </c>
    </row>
    <row r="168" ht="53" customHeight="1">
      <c r="A168" s="160" t="n">
        <v>165</v>
      </c>
      <c r="B168" s="161" t="inlineStr">
        <is>
          <t>Tunnelling set to start on Bucharest Metro North Section</t>
        </is>
      </c>
      <c r="C168" s="176" t="inlineStr">
        <is>
          <t>Infrastructure &amp; the Underground City</t>
        </is>
      </c>
      <c r="D168" s="163" t="n">
        <v>4</v>
      </c>
      <c r="E168" s="164" t="inlineStr">
        <is>
          <t>Feature lead</t>
        </is>
      </c>
      <c r="F168" s="165" t="inlineStr">
        <is>
          <t>To review</t>
        </is>
      </c>
      <c r="G168" s="166" t="n"/>
      <c r="H168" s="167" t="n"/>
      <c r="I168" s="168" t="inlineStr">
        <is>
          <t>What ground conditions along the North Section of Bucharest's Metro Line 6 will shape TBM performance and settlement control in an urban setting?</t>
        </is>
      </c>
      <c r="J168" s="168" t="inlineStr">
        <is>
          <t>Tunnels &amp; Tunnelling</t>
        </is>
      </c>
      <c r="K168" s="169" t="n">
        <v>46322</v>
      </c>
      <c r="L168" s="168" t="n"/>
      <c r="M168" s="168" t="inlineStr">
        <is>
          <t>Metrorex, the Bucharest metro operator</t>
        </is>
      </c>
      <c r="N168" s="170" t="inlineStr">
        <is>
          <t>Romania</t>
        </is>
      </c>
      <c r="O168" s="168" t="inlineStr">
        <is>
          <t>Bucharest Metro Line 6</t>
        </is>
      </c>
      <c r="P168" s="168" t="n"/>
      <c r="Q168" s="171" t="n"/>
      <c r="R168" s="169" t="n">
        <v>46321</v>
      </c>
      <c r="S168" s="170" t="inlineStr">
        <is>
          <t>2026-Q4</t>
        </is>
      </c>
      <c r="T168" s="172" t="inlineStr">
        <is>
          <t>tbm, tunnelling, tunnel, metro line</t>
        </is>
      </c>
      <c r="U168" s="160" t="n">
        <v>8</v>
      </c>
      <c r="V168" s="173" t="inlineStr">
        <is>
          <t>https://www.tunnelsandtunnelling.com/news/tunnelling-set-to-start-on-bucharest-metro-north-section/</t>
        </is>
      </c>
      <c r="W168" s="174">
        <f>IF($B168="",0,IF(AND(OR(OR(Dashboard!$B$5="All themes",Dashboard!$B$5=""),$C168=Dashboard!$B$5),OR(OR(Dashboard!$G$5="All uses",Dashboard!$G$5=""),$E168=Dashboard!$G$5),N($D168)&gt;=Lists!$H$2,OR(OR(Dashboard!$N$5="All windows",Dashboard!$N$5=""),$S168=Dashboard!$N$5)),1,0))</f>
        <v/>
      </c>
      <c r="X168" s="175">
        <f>IF($W168=1,N($D168)*1E14+MIN(MAX(N($U168),0),9999)*1E10+MIN(N($K168),99999)*1E5+99999-MIN(ROW(),99999),"")</f>
        <v/>
      </c>
    </row>
    <row r="169" ht="53" customHeight="1">
      <c r="A169" s="160" t="n">
        <v>166</v>
      </c>
      <c r="B169" s="161" t="inlineStr">
        <is>
          <t>Three TBMs now tunnelling on SRL</t>
        </is>
      </c>
      <c r="C169" s="176" t="inlineStr">
        <is>
          <t>Infrastructure &amp; the Underground City</t>
        </is>
      </c>
      <c r="D169" s="163" t="n">
        <v>4</v>
      </c>
      <c r="E169" s="177" t="inlineStr">
        <is>
          <t>News brief</t>
        </is>
      </c>
      <c r="F169" s="165" t="inlineStr">
        <is>
          <t>To review</t>
        </is>
      </c>
      <c r="G169" s="166" t="n"/>
      <c r="H169" s="167" t="n"/>
      <c r="I169" s="168" t="inlineStr">
        <is>
          <t>What ground behaviour is being monitored as three TBMs advance together on this rail project, and how is settlement managed in parallel drives?</t>
        </is>
      </c>
      <c r="J169" s="168" t="inlineStr">
        <is>
          <t>Tunnels &amp; Tunnelling</t>
        </is>
      </c>
      <c r="K169" s="169" t="n">
        <v>46322</v>
      </c>
      <c r="L169" s="168" t="n"/>
      <c r="M169" s="168" t="inlineStr">
        <is>
          <t>Suburban Rail Loop Authority</t>
        </is>
      </c>
      <c r="N169" s="170" t="inlineStr">
        <is>
          <t>Australia</t>
        </is>
      </c>
      <c r="O169" s="168" t="inlineStr">
        <is>
          <t>Suburban Rail Loop, Melbourne</t>
        </is>
      </c>
      <c r="P169" s="168" t="inlineStr">
        <is>
          <t>Suburban Rail Loop tunnelling, Melbourne, AU · Event · 2 reports</t>
        </is>
      </c>
      <c r="Q169" s="171" t="n"/>
      <c r="R169" s="169" t="n">
        <v>46321</v>
      </c>
      <c r="S169" s="170" t="inlineStr">
        <is>
          <t>2026-Q4</t>
        </is>
      </c>
      <c r="T169" s="172" t="inlineStr">
        <is>
          <t>tbm, tunnelling, tunnel</t>
        </is>
      </c>
      <c r="U169" s="160" t="n">
        <v>8</v>
      </c>
      <c r="V169" s="173" t="inlineStr">
        <is>
          <t>https://www.tunnelsandtunnelling.com/news/three-tbms-now-tunnelling-on-srl/</t>
        </is>
      </c>
      <c r="W169" s="174">
        <f>IF($B169="",0,IF(AND(OR(OR(Dashboard!$B$5="All themes",Dashboard!$B$5=""),$C169=Dashboard!$B$5),OR(OR(Dashboard!$G$5="All uses",Dashboard!$G$5=""),$E169=Dashboard!$G$5),N($D169)&gt;=Lists!$H$2,OR(OR(Dashboard!$N$5="All windows",Dashboard!$N$5=""),$S169=Dashboard!$N$5)),1,0))</f>
        <v/>
      </c>
      <c r="X169" s="175">
        <f>IF($W169=1,N($D169)*1E14+MIN(MAX(N($U169),0),9999)*1E10+MIN(N($K169),99999)*1E5+99999-MIN(ROW(),99999),"")</f>
        <v/>
      </c>
    </row>
    <row r="170" ht="53" customHeight="1">
      <c r="A170" s="160" t="n">
        <v>167</v>
      </c>
      <c r="B170" s="161" t="inlineStr">
        <is>
          <t>'Proceed with the work': re-liquefaction recurring after Kumamoto earthquake</t>
        </is>
      </c>
      <c r="C170" s="162" t="inlineStr">
        <is>
          <t>Hazards &amp; Resilience</t>
        </is>
      </c>
      <c r="D170" s="163" t="n">
        <v>4</v>
      </c>
      <c r="E170" s="177" t="inlineStr">
        <is>
          <t>News brief</t>
        </is>
      </c>
      <c r="F170" s="165" t="inlineStr">
        <is>
          <t>To review</t>
        </is>
      </c>
      <c r="G170" s="166" t="n"/>
      <c r="H170" s="167" t="n"/>
      <c r="I170" s="168" t="inlineStr">
        <is>
          <t>Why does liquefaction recur at the same sites after repeated earthquakes, and what ground improvement should be prioritised before rebuilding?</t>
        </is>
      </c>
      <c r="J170" s="168" t="inlineStr">
        <is>
          <t>読売新聞</t>
        </is>
      </c>
      <c r="K170" s="169" t="n">
        <v>46322</v>
      </c>
      <c r="L170" s="168" t="inlineStr">
        <is>
          <t>「工事進めて」熊本地震で再液状化相次ぐ</t>
        </is>
      </c>
      <c r="M170" s="168" t="inlineStr">
        <is>
          <t>Kumamoto Prefecture and affected municipal governments</t>
        </is>
      </c>
      <c r="N170" s="170" t="inlineStr">
        <is>
          <t>Japan</t>
        </is>
      </c>
      <c r="O170" s="168" t="inlineStr">
        <is>
          <t>Kumamoto</t>
        </is>
      </c>
      <c r="P170" s="168" t="inlineStr">
        <is>
          <t>Kumamoto earthquake re-liquefaction study, Japan · Investigation &amp; inquiry · 5 reports</t>
        </is>
      </c>
      <c r="Q170" s="171" t="inlineStr">
        <is>
          <t>Japan</t>
        </is>
      </c>
      <c r="R170" s="169" t="n">
        <v>46321</v>
      </c>
      <c r="S170" s="170" t="inlineStr">
        <is>
          <t>2026-Q4</t>
        </is>
      </c>
      <c r="T170" s="172" t="inlineStr">
        <is>
          <t>liquefaction, earthquake</t>
        </is>
      </c>
      <c r="U170" s="160" t="n">
        <v>7</v>
      </c>
      <c r="V170" s="173" t="inlineStr">
        <is>
          <t>https://news.google.com/rss/articles/CBMickFVX3lxTE1KQzNlZVJORlUxUDNrakRvRXlmYVVxX3N0ZU9nTDZGZDluNGFEUjlmSERFNjE1V21BeE1GY2VaV2ZISzFRWkF0bERVVl85WWxfOW1DUm1hLW5QeFB5ZDU4a3ZhT3Fsa1ViM2YzTHpuQl85dw?oc=5</t>
        </is>
      </c>
      <c r="W170" s="174">
        <f>IF($B170="",0,IF(AND(OR(OR(Dashboard!$B$5="All themes",Dashboard!$B$5=""),$C170=Dashboard!$B$5),OR(OR(Dashboard!$G$5="All uses",Dashboard!$G$5=""),$E170=Dashboard!$G$5),N($D170)&gt;=Lists!$H$2,OR(OR(Dashboard!$N$5="All windows",Dashboard!$N$5=""),$S170=Dashboard!$N$5)),1,0))</f>
        <v/>
      </c>
      <c r="X170" s="175">
        <f>IF($W170=1,N($D170)*1E14+MIN(MAX(N($U170),0),9999)*1E10+MIN(N($K170),99999)*1E5+99999-MIN(ROW(),99999),"")</f>
        <v/>
      </c>
    </row>
    <row r="171" ht="53" customHeight="1">
      <c r="A171" s="160" t="n">
        <v>168</v>
      </c>
      <c r="B171" s="161" t="inlineStr">
        <is>
          <t>96% of Kumamoto 2016 shindo 6-strong sites re-liquefied; experts urge pre-emptive measures</t>
        </is>
      </c>
      <c r="C171" s="162" t="inlineStr">
        <is>
          <t>Hazards &amp; Resilience</t>
        </is>
      </c>
      <c r="D171" s="163" t="n">
        <v>4</v>
      </c>
      <c r="E171" s="179" t="inlineStr">
        <is>
          <t>Watch only</t>
        </is>
      </c>
      <c r="F171" s="165" t="inlineStr">
        <is>
          <t>To review</t>
        </is>
      </c>
      <c r="G171" s="166" t="n"/>
      <c r="H171" s="167" t="n"/>
      <c r="I171" s="168" t="inlineStr">
        <is>
          <t>Which ground improvement methods proved effective against repeated liquefaction in the Kumamoto sites, and how should they be specified in design?</t>
        </is>
      </c>
      <c r="J171" s="168" t="inlineStr">
        <is>
          <t>ライブドアニュース</t>
        </is>
      </c>
      <c r="K171" s="169" t="n">
        <v>46322</v>
      </c>
      <c r="L171" s="168" t="inlineStr">
        <is>
          <t>熊本地震「震度６強」の９６％が再液状化…繰り返される被害、専門家は事前対策訴え (2026年10月26日掲載)</t>
        </is>
      </c>
      <c r="M171" s="168" t="inlineStr">
        <is>
          <t>Kumamoto Prefecture and the study's researchers</t>
        </is>
      </c>
      <c r="N171" s="170" t="inlineStr">
        <is>
          <t>Japan</t>
        </is>
      </c>
      <c r="O171" s="168" t="inlineStr">
        <is>
          <t>Kumamoto</t>
        </is>
      </c>
      <c r="P171" s="168" t="inlineStr">
        <is>
          <t>Kumamoto earthquake re-liquefaction study, Japan · Investigation &amp; inquiry · 5 reports</t>
        </is>
      </c>
      <c r="Q171" s="171" t="inlineStr">
        <is>
          <t>Japan</t>
        </is>
      </c>
      <c r="R171" s="169" t="n">
        <v>46320</v>
      </c>
      <c r="S171" s="170" t="inlineStr">
        <is>
          <t>2026-Q4</t>
        </is>
      </c>
      <c r="T171" s="172" t="inlineStr">
        <is>
          <t>liquefaction, earthquake</t>
        </is>
      </c>
      <c r="U171" s="160" t="n">
        <v>7</v>
      </c>
      <c r="V171" s="173" t="inlineStr">
        <is>
          <t>https://news.google.com/rss/articles/CBMiXkFVX3lxTE9iZ1Y4cWZtTW44akU5RE9pYThuSEloUktGT0MxVm1IUHRCMFEzWEk3QjlhN1MzSEJqU2FrZDFfdk5qekF1SjZkaFBDM1NjTG5nTFFBX24tZG1yTkxiMlE?oc=5</t>
        </is>
      </c>
      <c r="W171" s="174">
        <f>IF($B171="",0,IF(AND(OR(OR(Dashboard!$B$5="All themes",Dashboard!$B$5=""),$C171=Dashboard!$B$5),OR(OR(Dashboard!$G$5="All uses",Dashboard!$G$5=""),$E171=Dashboard!$G$5),N($D171)&gt;=Lists!$H$2,OR(OR(Dashboard!$N$5="All windows",Dashboard!$N$5=""),$S171=Dashboard!$N$5)),1,0))</f>
        <v/>
      </c>
      <c r="X171" s="175">
        <f>IF($W171=1,N($D171)*1E14+MIN(MAX(N($U171),0),9999)*1E10+MIN(N($K171),99999)*1E5+99999-MIN(ROW(),99999),"")</f>
        <v/>
      </c>
    </row>
    <row r="172" ht="40.5" customHeight="1">
      <c r="A172" s="160" t="n">
        <v>169</v>
      </c>
      <c r="B172" s="161" t="inlineStr">
        <is>
          <t>Permafrost losing stability: more than 150 unusual landslides found in Canada</t>
        </is>
      </c>
      <c r="C172" s="162" t="inlineStr">
        <is>
          <t>Hazards &amp; Resilience</t>
        </is>
      </c>
      <c r="D172" s="163" t="n">
        <v>4</v>
      </c>
      <c r="E172" s="179" t="inlineStr">
        <is>
          <t>Watch only</t>
        </is>
      </c>
      <c r="F172" s="165" t="inlineStr">
        <is>
          <t>To review</t>
        </is>
      </c>
      <c r="G172" s="166" t="n"/>
      <c r="H172" s="167" t="n"/>
      <c r="I172" s="168" t="inlineStr">
        <is>
          <t>How does warming permafrost alter slope stability, and what mechanisms explain these newly identified landslide types?</t>
        </is>
      </c>
      <c r="J172" s="168" t="inlineStr">
        <is>
          <t>iXBT.com</t>
        </is>
      </c>
      <c r="K172" s="169" t="n">
        <v>46322</v>
      </c>
      <c r="L172" s="168" t="inlineStr">
        <is>
          <t>Вечная мерзлота теряет устойчивость: в Канаде обнаружили более 150 необычных оползней</t>
        </is>
      </c>
      <c r="M172" s="168" t="inlineStr">
        <is>
          <t>Lead researchers' institution and the Geological Survey of Canada</t>
        </is>
      </c>
      <c r="N172" s="170" t="inlineStr">
        <is>
          <t>Canada</t>
        </is>
      </c>
      <c r="O172" s="168" t="n"/>
      <c r="P172" s="168" t="n"/>
      <c r="Q172" s="171" t="inlineStr">
        <is>
          <t>Russia</t>
        </is>
      </c>
      <c r="R172" s="169" t="n">
        <v>46321</v>
      </c>
      <c r="S172" s="170" t="inlineStr">
        <is>
          <t>2026-Q4</t>
        </is>
      </c>
      <c r="T172" s="172" t="inlineStr">
        <is>
          <t>landslide, permafrost</t>
        </is>
      </c>
      <c r="U172" s="160" t="n">
        <v>7</v>
      </c>
      <c r="V172" s="173" t="inlineStr">
        <is>
          <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t>
        </is>
      </c>
      <c r="W172" s="174">
        <f>IF($B172="",0,IF(AND(OR(OR(Dashboard!$B$5="All themes",Dashboard!$B$5=""),$C172=Dashboard!$B$5),OR(OR(Dashboard!$G$5="All uses",Dashboard!$G$5=""),$E172=Dashboard!$G$5),N($D172)&gt;=Lists!$H$2,OR(OR(Dashboard!$N$5="All windows",Dashboard!$N$5=""),$S172=Dashboard!$N$5)),1,0))</f>
        <v/>
      </c>
      <c r="X172" s="175">
        <f>IF($W172=1,N($D172)*1E14+MIN(MAX(N($U172),0),9999)*1E10+MIN(N($K172),99999)*1E5+99999-MIN(ROW(),99999),"")</f>
        <v/>
      </c>
    </row>
    <row r="173" ht="53" customHeight="1">
      <c r="A173" s="160" t="n">
        <v>170</v>
      </c>
      <c r="B173" s="161" t="inlineStr">
        <is>
          <t>House-size blocks of ice are falling from permafrost landslides in Canada</t>
        </is>
      </c>
      <c r="C173" s="162" t="inlineStr">
        <is>
          <t>Hazards &amp; Resilience</t>
        </is>
      </c>
      <c r="D173" s="163" t="n">
        <v>4</v>
      </c>
      <c r="E173" s="164" t="inlineStr">
        <is>
          <t>Feature lead</t>
        </is>
      </c>
      <c r="F173" s="165" t="inlineStr">
        <is>
          <t>To review</t>
        </is>
      </c>
      <c r="G173" s="166" t="n"/>
      <c r="H173" s="167" t="n"/>
      <c r="I173" s="168" t="inlineStr">
        <is>
          <t>What ground ice and thaw processes produce these large block-falling landslides, and how should permafrost slope hazards be monitored in northern infrastructure?</t>
        </is>
      </c>
      <c r="J173" s="168" t="inlineStr">
        <is>
          <t>Live Science</t>
        </is>
      </c>
      <c r="K173" s="169" t="n">
        <v>46322</v>
      </c>
      <c r="L173" s="168" t="n"/>
      <c r="M173" s="168" t="inlineStr">
        <is>
          <t>Lead researchers' institution and the Geological Survey of Canada</t>
        </is>
      </c>
      <c r="N173" s="170" t="inlineStr">
        <is>
          <t>Canada</t>
        </is>
      </c>
      <c r="O173" s="168" t="n"/>
      <c r="P173" s="168" t="n"/>
      <c r="Q173" s="171" t="inlineStr">
        <is>
          <t>United Kingdom</t>
        </is>
      </c>
      <c r="R173" s="169" t="n">
        <v>46321</v>
      </c>
      <c r="S173" s="170" t="inlineStr">
        <is>
          <t>2026-Q4</t>
        </is>
      </c>
      <c r="T173" s="172" t="inlineStr">
        <is>
          <t>landslide, permafrost</t>
        </is>
      </c>
      <c r="U173" s="160" t="n">
        <v>7</v>
      </c>
      <c r="V173" s="173" t="inlineStr">
        <is>
          <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t>
        </is>
      </c>
      <c r="W173" s="174">
        <f>IF($B173="",0,IF(AND(OR(OR(Dashboard!$B$5="All themes",Dashboard!$B$5=""),$C173=Dashboard!$B$5),OR(OR(Dashboard!$G$5="All uses",Dashboard!$G$5=""),$E173=Dashboard!$G$5),N($D173)&gt;=Lists!$H$2,OR(OR(Dashboard!$N$5="All windows",Dashboard!$N$5=""),$S173=Dashboard!$N$5)),1,0))</f>
        <v/>
      </c>
      <c r="X173" s="175">
        <f>IF($W173=1,N($D173)*1E14+MIN(MAX(N($U173),0),9999)*1E10+MIN(N($K173),99999)*1E5+99999-MIN(ROW(),99999),"")</f>
        <v/>
      </c>
    </row>
    <row r="174" ht="40.5" customHeight="1">
      <c r="A174" s="160" t="n">
        <v>171</v>
      </c>
      <c r="B174" s="161" t="inlineStr">
        <is>
          <t>New type of permafrost landslides discovered in Canada — Live Science</t>
        </is>
      </c>
      <c r="C174" s="162" t="inlineStr">
        <is>
          <t>Hazards &amp; Resilience</t>
        </is>
      </c>
      <c r="D174" s="163" t="n">
        <v>4</v>
      </c>
      <c r="E174" s="179" t="inlineStr">
        <is>
          <t>Watch only</t>
        </is>
      </c>
      <c r="F174" s="165" t="inlineStr">
        <is>
          <t>To review</t>
        </is>
      </c>
      <c r="G174" s="166" t="n"/>
      <c r="H174" s="167" t="n"/>
      <c r="I174" s="168" t="inlineStr">
        <is>
          <t>What distinguishes this newly recognised permafrost landslide type from conventional thaw slumps in terms of ground mechanics?</t>
        </is>
      </c>
      <c r="J174" s="168" t="inlineStr">
        <is>
          <t>UA.NEWS</t>
        </is>
      </c>
      <c r="K174" s="169" t="n">
        <v>46322</v>
      </c>
      <c r="L174" s="168" t="n"/>
      <c r="M174" s="168" t="inlineStr">
        <is>
          <t>Lead researchers' institution and the Geological Survey of Canada</t>
        </is>
      </c>
      <c r="N174" s="170" t="inlineStr">
        <is>
          <t>Canada</t>
        </is>
      </c>
      <c r="O174" s="168" t="n"/>
      <c r="P174" s="168" t="inlineStr">
        <is>
          <t>Canadian permafrost landslide study (Oct 2026) · Event · 6 reports</t>
        </is>
      </c>
      <c r="Q174" s="171" t="inlineStr">
        <is>
          <t>United States</t>
        </is>
      </c>
      <c r="R174" s="169" t="n">
        <v>46321</v>
      </c>
      <c r="S174" s="170" t="inlineStr">
        <is>
          <t>2026-Q4</t>
        </is>
      </c>
      <c r="T174" s="172" t="inlineStr">
        <is>
          <t>landslide, permafrost</t>
        </is>
      </c>
      <c r="U174" s="160" t="n">
        <v>7</v>
      </c>
      <c r="V174" s="173" t="inlineStr">
        <is>
          <t>https://news.google.com/rss/articles/CBMikwFBVV95cUxPcWxGSnVEQUlERWlDSDF0VThfVmtTOV9vMWVXTDQtUmZ6dVZIcGl5LVFTY2ozZGNLWkdfaFFuVmtGcU9PQkFaSXVkT09PQlhrZk1HanhCY3JNME5LUTVDWjJrR1FLeTFlVDViaDlZRFZ0Y1BrMkRxM2pMVVZPd0lRb01NY3B1V0NkM0JFanpRWVpWWXM?oc=5</t>
        </is>
      </c>
      <c r="W174" s="174">
        <f>IF($B174="",0,IF(AND(OR(OR(Dashboard!$B$5="All themes",Dashboard!$B$5=""),$C174=Dashboard!$B$5),OR(OR(Dashboard!$G$5="All uses",Dashboard!$G$5=""),$E174=Dashboard!$G$5),N($D174)&gt;=Lists!$H$2,OR(OR(Dashboard!$N$5="All windows",Dashboard!$N$5=""),$S174=Dashboard!$N$5)),1,0))</f>
        <v/>
      </c>
      <c r="X174" s="175">
        <f>IF($W174=1,N($D174)*1E14+MIN(MAX(N($U174),0),9999)*1E10+MIN(N($K174),99999)*1E5+99999-MIN(ROW(),99999),"")</f>
        <v/>
      </c>
    </row>
    <row r="175" ht="53" customHeight="1">
      <c r="A175" s="160" t="n">
        <v>172</v>
      </c>
      <c r="B175" s="161" t="inlineStr">
        <is>
          <t>Roads on the Brink: Mapping Compound Earthquake and Landslide Vulnerability in Ethiopia’s Rift</t>
        </is>
      </c>
      <c r="C175" s="162" t="inlineStr">
        <is>
          <t>Hazards &amp; Resilience</t>
        </is>
      </c>
      <c r="D175" s="163" t="n">
        <v>4</v>
      </c>
      <c r="E175" s="182" t="inlineStr">
        <is>
          <t>Academia-to-Industry topic</t>
        </is>
      </c>
      <c r="F175" s="165" t="inlineStr">
        <is>
          <t>To review</t>
        </is>
      </c>
      <c r="G175" s="166" t="n"/>
      <c r="H175" s="167" t="n"/>
      <c r="I175" s="168" t="inlineStr">
        <is>
          <t>How can combined seismic and landslide hazard mapping be used to prioritise road upgrades in rift-valley terrain with weak soils and steep slopes?</t>
        </is>
      </c>
      <c r="J175" s="168" t="inlineStr">
        <is>
          <t>Bioengineer.org</t>
        </is>
      </c>
      <c r="K175" s="169" t="n">
        <v>46322</v>
      </c>
      <c r="L175" s="168" t="n"/>
      <c r="M175" s="168" t="inlineStr">
        <is>
          <t>Authors' university, via the journal publication</t>
        </is>
      </c>
      <c r="N175" s="170" t="inlineStr">
        <is>
          <t>Ethiopia</t>
        </is>
      </c>
      <c r="O175" s="168" t="inlineStr">
        <is>
          <t>Ethiopian Rift Valley</t>
        </is>
      </c>
      <c r="P175" s="168" t="n"/>
      <c r="Q175" s="171" t="inlineStr">
        <is>
          <t>United Kingdom</t>
        </is>
      </c>
      <c r="R175" s="169" t="n">
        <v>46321</v>
      </c>
      <c r="S175" s="170" t="inlineStr">
        <is>
          <t>2026-Q4</t>
        </is>
      </c>
      <c r="T175" s="172" t="inlineStr">
        <is>
          <t>landslide, earthquake</t>
        </is>
      </c>
      <c r="U175" s="160" t="n">
        <v>6</v>
      </c>
      <c r="V175" s="173" t="inlineStr">
        <is>
          <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t>
        </is>
      </c>
      <c r="W175" s="174">
        <f>IF($B175="",0,IF(AND(OR(OR(Dashboard!$B$5="All themes",Dashboard!$B$5=""),$C175=Dashboard!$B$5),OR(OR(Dashboard!$G$5="All uses",Dashboard!$G$5=""),$E175=Dashboard!$G$5),N($D175)&gt;=Lists!$H$2,OR(OR(Dashboard!$N$5="All windows",Dashboard!$N$5=""),$S175=Dashboard!$N$5)),1,0))</f>
        <v/>
      </c>
      <c r="X175" s="175">
        <f>IF($W175=1,N($D175)*1E14+MIN(MAX(N($U175),0),9999)*1E10+MIN(N($K175),99999)*1E5+99999-MIN(ROW(),99999),"")</f>
        <v/>
      </c>
    </row>
    <row r="176" ht="53" customHeight="1">
      <c r="A176" s="160" t="n">
        <v>173</v>
      </c>
      <c r="B176" s="161" t="inlineStr">
        <is>
          <t>Liquefaction Reappeared at 96% of Sites Hit By Strong Tremors; Damage Nonexistent or Minimal at Reinforced Locations</t>
        </is>
      </c>
      <c r="C176" s="184" t="inlineStr">
        <is>
          <t>Ground Improvement &amp; Innovation</t>
        </is>
      </c>
      <c r="D176" s="163" t="n">
        <v>4</v>
      </c>
      <c r="E176" s="164" t="inlineStr">
        <is>
          <t>Feature lead</t>
        </is>
      </c>
      <c r="F176" s="165" t="inlineStr">
        <is>
          <t>To review</t>
        </is>
      </c>
      <c r="G176" s="166" t="n"/>
      <c r="H176" s="167" t="n"/>
      <c r="I176" s="168" t="inlineStr">
        <is>
          <t>Why did reinforced ground perform far better than untreated sites in repeated shaking, and which improvement methods should be standard practice?</t>
        </is>
      </c>
      <c r="J176" s="168" t="inlineStr">
        <is>
          <t>The Japan News</t>
        </is>
      </c>
      <c r="K176" s="169" t="n">
        <v>46322</v>
      </c>
      <c r="L176" s="168" t="n"/>
      <c r="M176" s="168" t="inlineStr">
        <is>
          <t>Kumamoto Prefecture and the study's researchers</t>
        </is>
      </c>
      <c r="N176" s="170" t="inlineStr">
        <is>
          <t>Japan</t>
        </is>
      </c>
      <c r="O176" s="168" t="inlineStr">
        <is>
          <t>Kumamoto</t>
        </is>
      </c>
      <c r="P176" s="168" t="inlineStr">
        <is>
          <t>Kumamoto earthquake re-liquefaction study, Japan · Investigation &amp; inquiry · 5 reports</t>
        </is>
      </c>
      <c r="Q176" s="171" t="inlineStr">
        <is>
          <t>United Kingdom</t>
        </is>
      </c>
      <c r="R176" s="169" t="n">
        <v>46321</v>
      </c>
      <c r="S176" s="170" t="inlineStr">
        <is>
          <t>2026-Q4</t>
        </is>
      </c>
      <c r="T176" s="172" t="inlineStr">
        <is>
          <t>liquefaction</t>
        </is>
      </c>
      <c r="U176" s="160" t="n">
        <v>5</v>
      </c>
      <c r="V176" s="173" t="inlineStr">
        <is>
          <t>https://news.google.com/rss/articles/CBMieEFVX3lxTE1jcFBLUVNoM25OZ1V4S1d0OVRpa29KNDlLT1YzWVVYLWhySlkta2xkZk83TnY0bmhuaXhZLVB2VHBNRnJ2WkJ5Z2JYNmU0R1NTTndkT01QWjJnd2xJNHd1UmYwVkh6d0dYU29Yd1g4RGh3QmQ1TXc1bA?oc=5</t>
        </is>
      </c>
      <c r="W176" s="174">
        <f>IF($B176="",0,IF(AND(OR(OR(Dashboard!$B$5="All themes",Dashboard!$B$5=""),$C176=Dashboard!$B$5),OR(OR(Dashboard!$G$5="All uses",Dashboard!$G$5=""),$E176=Dashboard!$G$5),N($D176)&gt;=Lists!$H$2,OR(OR(Dashboard!$N$5="All windows",Dashboard!$N$5=""),$S176=Dashboard!$N$5)),1,0))</f>
        <v/>
      </c>
      <c r="X176" s="175">
        <f>IF($W176=1,N($D176)*1E14+MIN(MAX(N($U176),0),9999)*1E10+MIN(N($K176),99999)*1E5+99999-MIN(ROW(),99999),"")</f>
        <v/>
      </c>
    </row>
    <row r="177" ht="40.5" customHeight="1">
      <c r="A177" s="160" t="n">
        <v>174</v>
      </c>
      <c r="B177" s="161" t="inlineStr">
        <is>
          <t>Breakthrough made on Lima Metro’s Line 4</t>
        </is>
      </c>
      <c r="C177" s="176" t="inlineStr">
        <is>
          <t>Infrastructure &amp; the Underground City</t>
        </is>
      </c>
      <c r="D177" s="163" t="n">
        <v>4</v>
      </c>
      <c r="E177" s="177" t="inlineStr">
        <is>
          <t>News brief</t>
        </is>
      </c>
      <c r="F177" s="165" t="inlineStr">
        <is>
          <t>To review</t>
        </is>
      </c>
      <c r="G177" s="166" t="n"/>
      <c r="H177" s="167" t="n"/>
      <c r="I177" s="168" t="inlineStr">
        <is>
          <t>What ground conditions in Lima's geology affected tunnel excavation progress on this metro section, and how were they managed?</t>
        </is>
      </c>
      <c r="J177" s="168" t="inlineStr">
        <is>
          <t>Tunnels &amp; Tunnelling</t>
        </is>
      </c>
      <c r="K177" s="169" t="n">
        <v>46322</v>
      </c>
      <c r="L177" s="168" t="n"/>
      <c r="M177" s="168" t="inlineStr">
        <is>
          <t>Consorcio Constructor Metro 2 Lima</t>
        </is>
      </c>
      <c r="N177" s="170" t="inlineStr">
        <is>
          <t>Peru</t>
        </is>
      </c>
      <c r="O177" s="168" t="inlineStr">
        <is>
          <t>Lima Metro Line 4</t>
        </is>
      </c>
      <c r="P177" s="168" t="inlineStr">
        <is>
          <t>Lima Metro Line 4 tunnelling, Peru · Event · 2 reports</t>
        </is>
      </c>
      <c r="Q177" s="171" t="n"/>
      <c r="R177" s="169" t="n">
        <v>46321</v>
      </c>
      <c r="S177" s="170" t="inlineStr">
        <is>
          <t>2026-Q4</t>
        </is>
      </c>
      <c r="T177" s="172" t="inlineStr">
        <is>
          <t>tunnelling, tunnel</t>
        </is>
      </c>
      <c r="U177" s="160" t="n">
        <v>5</v>
      </c>
      <c r="V177" s="173" t="inlineStr">
        <is>
          <t>https://www.tunnelsandtunnelling.com/news/breakthrough-made-on-lima-metros-line-4/</t>
        </is>
      </c>
      <c r="W177" s="174">
        <f>IF($B177="",0,IF(AND(OR(OR(Dashboard!$B$5="All themes",Dashboard!$B$5=""),$C177=Dashboard!$B$5),OR(OR(Dashboard!$G$5="All uses",Dashboard!$G$5=""),$E177=Dashboard!$G$5),N($D177)&gt;=Lists!$H$2,OR(OR(Dashboard!$N$5="All windows",Dashboard!$N$5=""),$S177=Dashboard!$N$5)),1,0))</f>
        <v/>
      </c>
      <c r="X177" s="175">
        <f>IF($W177=1,N($D177)*1E14+MIN(MAX(N($U177),0),9999)*1E10+MIN(N($K177),99999)*1E5+99999-MIN(ROW(),99999),"")</f>
        <v/>
      </c>
    </row>
    <row r="178" ht="40.5" customHeight="1">
      <c r="A178" s="160" t="n">
        <v>175</v>
      </c>
      <c r="B178" s="161" t="inlineStr">
        <is>
          <t>Ohio River Tunnel project breaks ground</t>
        </is>
      </c>
      <c r="C178" s="176" t="inlineStr">
        <is>
          <t>Infrastructure &amp; the Underground City</t>
        </is>
      </c>
      <c r="D178" s="163" t="n">
        <v>4</v>
      </c>
      <c r="E178" s="177" t="inlineStr">
        <is>
          <t>News brief</t>
        </is>
      </c>
      <c r="F178" s="165" t="inlineStr">
        <is>
          <t>To review</t>
        </is>
      </c>
      <c r="G178" s="166" t="n"/>
      <c r="H178" s="167" t="n"/>
      <c r="I178" s="168" t="inlineStr">
        <is>
          <t>What ground conditions beneath the Ohio River shape the design of the first of three combined-sewer tunnels?</t>
        </is>
      </c>
      <c r="J178" s="168" t="inlineStr">
        <is>
          <t>Tunnels &amp; Tunnelling</t>
        </is>
      </c>
      <c r="K178" s="169" t="n">
        <v>46322</v>
      </c>
      <c r="L178" s="168" t="n"/>
      <c r="M178" s="168" t="inlineStr">
        <is>
          <t>Louisville and Jefferson County Metropolitan Sewer District (MSD)</t>
        </is>
      </c>
      <c r="N178" s="170" t="inlineStr">
        <is>
          <t>United States</t>
        </is>
      </c>
      <c r="O178" s="168" t="inlineStr">
        <is>
          <t>Louisville, Kentucky</t>
        </is>
      </c>
      <c r="P178" s="168" t="n"/>
      <c r="Q178" s="171" t="n"/>
      <c r="R178" s="169" t="n">
        <v>46321</v>
      </c>
      <c r="S178" s="170" t="inlineStr">
        <is>
          <t>2026-Q4</t>
        </is>
      </c>
      <c r="T178" s="172" t="inlineStr">
        <is>
          <t>tunnelling, tunnel</t>
        </is>
      </c>
      <c r="U178" s="160" t="n">
        <v>5</v>
      </c>
      <c r="V178" s="173" t="inlineStr">
        <is>
          <t>https://www.tunnelsandtunnelling.com/news/ohio-river-tunnel-project-breaks-ground/</t>
        </is>
      </c>
      <c r="W178" s="174">
        <f>IF($B178="",0,IF(AND(OR(OR(Dashboard!$B$5="All themes",Dashboard!$B$5=""),$C178=Dashboard!$B$5),OR(OR(Dashboard!$G$5="All uses",Dashboard!$G$5=""),$E178=Dashboard!$G$5),N($D178)&gt;=Lists!$H$2,OR(OR(Dashboard!$N$5="All windows",Dashboard!$N$5=""),$S178=Dashboard!$N$5)),1,0))</f>
        <v/>
      </c>
      <c r="X178" s="175">
        <f>IF($W178=1,N($D178)*1E14+MIN(MAX(N($U178),0),9999)*1E10+MIN(N($K178),99999)*1E5+99999-MIN(ROW(),99999),"")</f>
        <v/>
      </c>
    </row>
    <row r="179" ht="40.5" customHeight="1">
      <c r="A179" s="160" t="n">
        <v>176</v>
      </c>
      <c r="B179" s="161" t="inlineStr">
        <is>
          <t>Senapred declares Red Alert in the Metropolitan Region: the 10 communes at risk of alluvial flows and landslides</t>
        </is>
      </c>
      <c r="C179" s="162" t="inlineStr">
        <is>
          <t>Hazards &amp; Resilience</t>
        </is>
      </c>
      <c r="D179" s="163" t="n">
        <v>4</v>
      </c>
      <c r="E179" s="177" t="inlineStr">
        <is>
          <t>News brief</t>
        </is>
      </c>
      <c r="F179" s="165" t="inlineStr">
        <is>
          <t>To review</t>
        </is>
      </c>
      <c r="G179" s="166" t="n"/>
      <c r="H179" s="167" t="n"/>
      <c r="I179" s="168" t="inlineStr">
        <is>
          <t>Which ground and rainfall conditions explain the debris-flow and landslide risk across ten communes, and how is it mapped?</t>
        </is>
      </c>
      <c r="J179" s="168" t="inlineStr">
        <is>
          <t>El Dínamo</t>
        </is>
      </c>
      <c r="K179" s="169" t="n">
        <v>46322</v>
      </c>
      <c r="L179" s="168" t="inlineStr">
        <is>
          <t>Senapred declara Alerta Roja en la RM: las 10 comunas bajo riesgo de aluviones y derrumbes</t>
        </is>
      </c>
      <c r="M179" s="168" t="inlineStr">
        <is>
          <t>Senapred (national emergency service)</t>
        </is>
      </c>
      <c r="N179" s="170" t="inlineStr">
        <is>
          <t>Chile</t>
        </is>
      </c>
      <c r="O179" s="168" t="inlineStr">
        <is>
          <t>Región Metropolitana, Santiago</t>
        </is>
      </c>
      <c r="P179" s="168" t="inlineStr">
        <is>
          <t>Senapred declares Red Alert in the Metropolitan Region: the 10 commun… (Oct 2026) · Event · 5 reports</t>
        </is>
      </c>
      <c r="Q179" s="171" t="inlineStr">
        <is>
          <t>Chile</t>
        </is>
      </c>
      <c r="R179" s="169" t="n">
        <v>46321</v>
      </c>
      <c r="S179" s="170" t="inlineStr">
        <is>
          <t>2026-Q4</t>
        </is>
      </c>
      <c r="T179" s="172" t="inlineStr">
        <is>
          <t>debris flow, collapse</t>
        </is>
      </c>
      <c r="U179" s="160" t="n">
        <v>5</v>
      </c>
      <c r="V179" s="173" t="inlineStr">
        <is>
          <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t>
        </is>
      </c>
      <c r="W179" s="174">
        <f>IF($B179="",0,IF(AND(OR(OR(Dashboard!$B$5="All themes",Dashboard!$B$5=""),$C179=Dashboard!$B$5),OR(OR(Dashboard!$G$5="All uses",Dashboard!$G$5=""),$E179=Dashboard!$G$5),N($D179)&gt;=Lists!$H$2,OR(OR(Dashboard!$N$5="All windows",Dashboard!$N$5=""),$S179=Dashboard!$N$5)),1,0))</f>
        <v/>
      </c>
      <c r="X179" s="175">
        <f>IF($W179=1,N($D179)*1E14+MIN(MAX(N($U179),0),9999)*1E10+MIN(N($K179),99999)*1E5+99999-MIN(ROW(),99999),"")</f>
        <v/>
      </c>
    </row>
    <row r="180" ht="53" customHeight="1">
      <c r="A180" s="160" t="n">
        <v>177</v>
      </c>
      <c r="B180" s="161" t="inlineStr">
        <is>
          <t>3 months after landslide, L'Ascension still waiting to fill its sinkhole</t>
        </is>
      </c>
      <c r="C180" s="162" t="inlineStr">
        <is>
          <t>Hazards &amp; Resilience</t>
        </is>
      </c>
      <c r="D180" s="163" t="n">
        <v>4</v>
      </c>
      <c r="E180" s="164" t="inlineStr">
        <is>
          <t>Feature lead</t>
        </is>
      </c>
      <c r="F180" s="165" t="inlineStr">
        <is>
          <t>To review</t>
        </is>
      </c>
      <c r="G180" s="166" t="n"/>
      <c r="H180" s="167" t="n"/>
      <c r="I180" s="168" t="inlineStr">
        <is>
          <t>How should a landslide-triggered sinkhole be investigated and backfilled, and what does the delay reveal about ground remediation planning after slope failures?</t>
        </is>
      </c>
      <c r="J180" s="168" t="inlineStr">
        <is>
          <t>Radio-Canada</t>
        </is>
      </c>
      <c r="K180" s="169" t="n">
        <v>46322</v>
      </c>
      <c r="L180" s="168" t="inlineStr">
        <is>
          <t>3 mois après le glissement de terrain, L’Ascension attend encore de remplir son gouffre</t>
        </is>
      </c>
      <c r="M180" s="168" t="inlineStr">
        <is>
          <t>the municipality of L'Ascension</t>
        </is>
      </c>
      <c r="N180" s="170" t="inlineStr">
        <is>
          <t>Canada</t>
        </is>
      </c>
      <c r="O180" s="168" t="inlineStr">
        <is>
          <t>L'Ascension, Quebec</t>
        </is>
      </c>
      <c r="P180" s="168" t="n"/>
      <c r="Q180" s="171" t="inlineStr">
        <is>
          <t>France</t>
        </is>
      </c>
      <c r="R180" s="169" t="n">
        <v>46319</v>
      </c>
      <c r="S180" s="170" t="inlineStr">
        <is>
          <t>2026-Q4</t>
        </is>
      </c>
      <c r="T180" s="172" t="inlineStr">
        <is>
          <t>landslide</t>
        </is>
      </c>
      <c r="U180" s="160" t="n">
        <v>4</v>
      </c>
      <c r="V180" s="173" t="inlineStr">
        <is>
          <t>https://news.google.com/rss/articles/CBMiiwFBVV95cUxNMGg4N3BjT0tXRTVfZ24zVlc0eW5nOHZ3WlN2RWYxQXVqRE5SQVI0U2pjQWxCcHdHektPZ3djV1Mydk10VWNVSEt1b1ZXNFFIaUZNeDNuME9qdFVaSkJGS0RUN1VNMUlNZlhOczlTMzh5VjlKMTdvWTRmVEFHc0FSSXJjTU9NdDZqUUow?oc=5</t>
        </is>
      </c>
      <c r="W180" s="174">
        <f>IF($B180="",0,IF(AND(OR(OR(Dashboard!$B$5="All themes",Dashboard!$B$5=""),$C180=Dashboard!$B$5),OR(OR(Dashboard!$G$5="All uses",Dashboard!$G$5=""),$E180=Dashboard!$G$5),N($D180)&gt;=Lists!$H$2,OR(OR(Dashboard!$N$5="All windows",Dashboard!$N$5=""),$S180=Dashboard!$N$5)),1,0))</f>
        <v/>
      </c>
      <c r="X180" s="175">
        <f>IF($W180=1,N($D180)*1E14+MIN(MAX(N($U180),0),9999)*1E10+MIN(N($K180),99999)*1E5+99999-MIN(ROW(),99999),"")</f>
        <v/>
      </c>
    </row>
    <row r="181" ht="53" customHeight="1">
      <c r="A181" s="160" t="n">
        <v>178</v>
      </c>
      <c r="B181" s="161" t="inlineStr">
        <is>
          <t>Son La: over 4,600 households still cannot be relocated due to high landslide risk</t>
        </is>
      </c>
      <c r="C181" s="162" t="inlineStr">
        <is>
          <t>Hazards &amp; Resilience</t>
        </is>
      </c>
      <c r="D181" s="163" t="n">
        <v>4</v>
      </c>
      <c r="E181" s="164" t="inlineStr">
        <is>
          <t>Feature lead</t>
        </is>
      </c>
      <c r="F181" s="165" t="inlineStr">
        <is>
          <t>To review</t>
        </is>
      </c>
      <c r="G181" s="166" t="n"/>
      <c r="H181" s="167" t="n"/>
      <c r="I181" s="168" t="inlineStr">
        <is>
          <t>How should geotechnical hazard assessment guide the relocation of thousands of households from high-risk landslide zones, and what criteria apply?</t>
        </is>
      </c>
      <c r="J181" s="168" t="inlineStr">
        <is>
          <t>Vietnam.vn</t>
        </is>
      </c>
      <c r="K181" s="169" t="n">
        <v>46322</v>
      </c>
      <c r="L181" s="168" t="inlineStr">
        <is>
          <t>Son La : Plus de 4 600 ménages n'ont toujours pas pu être relogés en raison des risques élevés de glissements de terrain.</t>
        </is>
      </c>
      <c r="M181" s="168" t="inlineStr">
        <is>
          <t>Son La provincial People's Committee</t>
        </is>
      </c>
      <c r="N181" s="170" t="inlineStr">
        <is>
          <t>Vietnam</t>
        </is>
      </c>
      <c r="O181" s="168" t="inlineStr">
        <is>
          <t>Son La province</t>
        </is>
      </c>
      <c r="P181" s="168" t="n"/>
      <c r="Q181" s="171" t="inlineStr">
        <is>
          <t>France</t>
        </is>
      </c>
      <c r="R181" s="169" t="n">
        <v>46321</v>
      </c>
      <c r="S181" s="170" t="inlineStr">
        <is>
          <t>2026-Q4</t>
        </is>
      </c>
      <c r="T181" s="172" t="inlineStr">
        <is>
          <t>landslide</t>
        </is>
      </c>
      <c r="U181" s="160" t="n">
        <v>4</v>
      </c>
      <c r="V181" s="173" t="inlineStr">
        <is>
          <t>https://news.google.com/rss/articles/CBMingFBVV95cUxQbWdDeTlObjE5TnJ0NGNvdUdKTUotTFBtcmptcnNaZGl2Vld2M0l2cmI1UUpVbWpvTUROVGlXZ3hkM01yaDQ1aEtfLWFyWFFiY05iemF1UGExZUN3U3pQaW44RmRHMk8zT2lwaFhOQ3FSRUU2OWlXS0Z6Rm9sZXdwUWlEVjQwX0luUnd1TC1BQWhSTE5MOHZfUkVvQjlIZw?oc=5</t>
        </is>
      </c>
      <c r="W181" s="174">
        <f>IF($B181="",0,IF(AND(OR(OR(Dashboard!$B$5="All themes",Dashboard!$B$5=""),$C181=Dashboard!$B$5),OR(OR(Dashboard!$G$5="All uses",Dashboard!$G$5=""),$E181=Dashboard!$G$5),N($D181)&gt;=Lists!$H$2,OR(OR(Dashboard!$N$5="All windows",Dashboard!$N$5=""),$S181=Dashboard!$N$5)),1,0))</f>
        <v/>
      </c>
      <c r="X181" s="175">
        <f>IF($W181=1,N($D181)*1E14+MIN(MAX(N($U181),0),9999)*1E10+MIN(N($K181),99999)*1E5+99999-MIN(ROW(),99999),"")</f>
        <v/>
      </c>
    </row>
    <row r="182" ht="53" customHeight="1">
      <c r="A182" s="160" t="n">
        <v>179</v>
      </c>
      <c r="B182" s="161" t="inlineStr">
        <is>
          <t>Son La: more than 4,600 families still cannot be relocated from high-risk landslide zones</t>
        </is>
      </c>
      <c r="C182" s="162" t="inlineStr">
        <is>
          <t>Hazards &amp; Resilience</t>
        </is>
      </c>
      <c r="D182" s="163" t="n">
        <v>4</v>
      </c>
      <c r="E182" s="179" t="inlineStr">
        <is>
          <t>Watch only</t>
        </is>
      </c>
      <c r="F182" s="165" t="inlineStr">
        <is>
          <t>To review</t>
        </is>
      </c>
      <c r="G182" s="166" t="n"/>
      <c r="H182" s="167" t="n"/>
      <c r="I182" s="168" t="inlineStr">
        <is>
          <t>How should geotechnical hazard assessment guide the relocation of thousands of households from high-risk landslide zones, and what criteria apply?</t>
        </is>
      </c>
      <c r="J182" s="168" t="inlineStr">
        <is>
          <t>Vietnam.vn</t>
        </is>
      </c>
      <c r="K182" s="169" t="n">
        <v>46322</v>
      </c>
      <c r="L182" s="168" t="inlineStr">
        <is>
          <t>Son La: Más de 4.600 familias siguen sin poder ser reubicadas de las zonas de alto riesgo de deslizamientos de tierra.</t>
        </is>
      </c>
      <c r="M182" s="168" t="inlineStr">
        <is>
          <t>Son La provincial People's Committee</t>
        </is>
      </c>
      <c r="N182" s="170" t="inlineStr">
        <is>
          <t>Vietnam</t>
        </is>
      </c>
      <c r="O182" s="168" t="inlineStr">
        <is>
          <t>Son La province</t>
        </is>
      </c>
      <c r="P182" s="168" t="n"/>
      <c r="Q182" s="171" t="inlineStr">
        <is>
          <t>Spain</t>
        </is>
      </c>
      <c r="R182" s="169" t="n">
        <v>46321</v>
      </c>
      <c r="S182" s="170" t="inlineStr">
        <is>
          <t>2026-Q4</t>
        </is>
      </c>
      <c r="T182" s="172" t="inlineStr">
        <is>
          <t>landslide</t>
        </is>
      </c>
      <c r="U182" s="160" t="n">
        <v>4</v>
      </c>
      <c r="V182" s="173" t="inlineStr">
        <is>
          <t>https://news.google.com/rss/articles/CBMingFBVV95cUxQX1FiQkFtaWRkUlhFS2Y1ek9Xd1IzN0lOZ1A4blp4ejNKcWlnZllhOGoxcTdBU0VmXzhManBDaHRBa1VZc1Y1SlNldDhvVHVyanBCbjR1c245ODgxVERVa2Y1bmdyZ3hYRW12Nl9vVG1Rb2NhUXRBbjZ1YnBIUzB0QTB5X01TQWVHa2Zmb2NEb2xvbUNjdEV5S0xBZEZqZw?oc=5</t>
        </is>
      </c>
      <c r="W182" s="174">
        <f>IF($B182="",0,IF(AND(OR(OR(Dashboard!$B$5="All themes",Dashboard!$B$5=""),$C182=Dashboard!$B$5),OR(OR(Dashboard!$G$5="All uses",Dashboard!$G$5=""),$E182=Dashboard!$G$5),N($D182)&gt;=Lists!$H$2,OR(OR(Dashboard!$N$5="All windows",Dashboard!$N$5=""),$S182=Dashboard!$N$5)),1,0))</f>
        <v/>
      </c>
      <c r="X182" s="175">
        <f>IF($W182=1,N($D182)*1E14+MIN(MAX(N($U182),0),9999)*1E10+MIN(N($K182),99999)*1E5+99999-MIN(ROW(),99999),"")</f>
        <v/>
      </c>
    </row>
    <row r="183" ht="53" customHeight="1">
      <c r="A183" s="160" t="n">
        <v>180</v>
      </c>
      <c r="B183" s="161" t="inlineStr">
        <is>
          <t>Nine dead in landslide in a...</t>
        </is>
      </c>
      <c r="C183" s="162" t="inlineStr">
        <is>
          <t>Hazards &amp; Resilience</t>
        </is>
      </c>
      <c r="D183" s="163" t="n">
        <v>4</v>
      </c>
      <c r="E183" s="179" t="inlineStr">
        <is>
          <t>Watch only</t>
        </is>
      </c>
      <c r="F183" s="165" t="inlineStr">
        <is>
          <t>To review</t>
        </is>
      </c>
      <c r="G183" s="166" t="n"/>
      <c r="H183" s="167" t="n"/>
      <c r="I183" s="168" t="inlineStr">
        <is>
          <t>What ground and rainfall conditions produced this fatal slope failure, and what early warning and slope assessment would have reduced the toll?</t>
        </is>
      </c>
      <c r="J183" s="168" t="inlineStr">
        <is>
          <t>Panamericana TV</t>
        </is>
      </c>
      <c r="K183" s="169" t="n">
        <v>46322</v>
      </c>
      <c r="L183" s="168" t="inlineStr">
        <is>
          <t>Nueve muertos deja deslizamiento de tierra en una...</t>
        </is>
      </c>
      <c r="M183" s="168" t="n"/>
      <c r="N183" s="170" t="n"/>
      <c r="O183" s="168" t="n"/>
      <c r="P183" s="168" t="n"/>
      <c r="Q183" s="171" t="inlineStr">
        <is>
          <t>Spain</t>
        </is>
      </c>
      <c r="R183" s="169" t="n">
        <v>46321</v>
      </c>
      <c r="S183" s="170" t="inlineStr">
        <is>
          <t>2026-Q4</t>
        </is>
      </c>
      <c r="T183" s="172" t="inlineStr">
        <is>
          <t>landslide</t>
        </is>
      </c>
      <c r="U183" s="160" t="n">
        <v>4</v>
      </c>
      <c r="V183" s="173" t="inlineStr">
        <is>
          <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t>
        </is>
      </c>
      <c r="W183" s="174">
        <f>IF($B183="",0,IF(AND(OR(OR(Dashboard!$B$5="All themes",Dashboard!$B$5=""),$C183=Dashboard!$B$5),OR(OR(Dashboard!$G$5="All uses",Dashboard!$G$5=""),$E183=Dashboard!$G$5),N($D183)&gt;=Lists!$H$2,OR(OR(Dashboard!$N$5="All windows",Dashboard!$N$5=""),$S183=Dashboard!$N$5)),1,0))</f>
        <v/>
      </c>
      <c r="X183" s="175">
        <f>IF($W183=1,N($D183)*1E14+MIN(MAX(N($U183),0),9999)*1E10+MIN(N($K183),99999)*1E5+99999-MIN(ROW(),99999),"")</f>
        <v/>
      </c>
    </row>
    <row r="184" ht="53" customHeight="1">
      <c r="A184" s="160" t="n">
        <v>181</v>
      </c>
      <c r="B184" s="161" t="inlineStr">
        <is>
          <t>Debris flow reported in Lo Barnechea and streets flooded in San Carlos de Apoquindo</t>
        </is>
      </c>
      <c r="C184" s="162" t="inlineStr">
        <is>
          <t>Hazards &amp; Resilience</t>
        </is>
      </c>
      <c r="D184" s="163" t="n">
        <v>4</v>
      </c>
      <c r="E184" s="164" t="inlineStr">
        <is>
          <t>Feature lead</t>
        </is>
      </c>
      <c r="F184" s="165" t="inlineStr">
        <is>
          <t>To review</t>
        </is>
      </c>
      <c r="G184" s="166" t="n"/>
      <c r="H184" s="167" t="n"/>
      <c r="I184" s="168" t="inlineStr">
        <is>
          <t>What ground and catchment conditions in the Andean foothills of Santiago make debris flows so sudden, and what mitigation has been effective there?</t>
        </is>
      </c>
      <c r="J184" s="168" t="inlineStr">
        <is>
          <t>La Tercera</t>
        </is>
      </c>
      <c r="K184" s="169" t="n">
        <v>46322</v>
      </c>
      <c r="L184" s="168" t="inlineStr">
        <is>
          <t>Reportan aluvión en Lo Barnechea y calles anegadas en San Carlos de Apoquindo</t>
        </is>
      </c>
      <c r="M184" s="168" t="inlineStr">
        <is>
          <t>Lo Barnechea municipality and Chile's emergency service SENAPRED</t>
        </is>
      </c>
      <c r="N184" s="170" t="inlineStr">
        <is>
          <t>Chile</t>
        </is>
      </c>
      <c r="O184" s="168" t="inlineStr">
        <is>
          <t>Lo Barnechea, Santiago</t>
        </is>
      </c>
      <c r="P184" s="168" t="n"/>
      <c r="Q184" s="171" t="inlineStr">
        <is>
          <t>Chile</t>
        </is>
      </c>
      <c r="R184" s="169" t="n">
        <v>46321</v>
      </c>
      <c r="S184" s="170" t="inlineStr">
        <is>
          <t>2026-Q4</t>
        </is>
      </c>
      <c r="T184" s="172" t="inlineStr">
        <is>
          <t>debris flow</t>
        </is>
      </c>
      <c r="U184" s="160" t="n">
        <v>4</v>
      </c>
      <c r="V184" s="173" t="inlineStr">
        <is>
          <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t>
        </is>
      </c>
      <c r="W184" s="174">
        <f>IF($B184="",0,IF(AND(OR(OR(Dashboard!$B$5="All themes",Dashboard!$B$5=""),$C184=Dashboard!$B$5),OR(OR(Dashboard!$G$5="All uses",Dashboard!$G$5=""),$E184=Dashboard!$G$5),N($D184)&gt;=Lists!$H$2,OR(OR(Dashboard!$N$5="All windows",Dashboard!$N$5=""),$S184=Dashboard!$N$5)),1,0))</f>
        <v/>
      </c>
      <c r="X184" s="175">
        <f>IF($W184=1,N($D184)*1E14+MIN(MAX(N($U184),0),9999)*1E10+MIN(N($K184),99999)*1E5+99999-MIN(ROW(),99999),"")</f>
        <v/>
      </c>
    </row>
    <row r="185" ht="53" customHeight="1">
      <c r="A185" s="160" t="n">
        <v>182</v>
      </c>
      <c r="B185" s="161" t="inlineStr">
        <is>
          <t>Video: Debris flow in Lo Barnechea and flooding in Las Condes</t>
        </is>
      </c>
      <c r="C185" s="162" t="inlineStr">
        <is>
          <t>Hazards &amp; Resilience</t>
        </is>
      </c>
      <c r="D185" s="163" t="n">
        <v>4</v>
      </c>
      <c r="E185" s="179" t="inlineStr">
        <is>
          <t>Watch only</t>
        </is>
      </c>
      <c r="F185" s="165" t="inlineStr">
        <is>
          <t>To review</t>
        </is>
      </c>
      <c r="G185" s="166" t="n"/>
      <c r="H185" s="167" t="n"/>
      <c r="I185" s="168" t="inlineStr">
        <is>
          <t>Video evidence of a debris flow and flooding could help reconstruct flow behaviour in Santiago's foothills, if verified against field observations.</t>
        </is>
      </c>
      <c r="J185" s="168" t="inlineStr">
        <is>
          <t>TVN</t>
        </is>
      </c>
      <c r="K185" s="169" t="n">
        <v>46322</v>
      </c>
      <c r="L185" s="168" t="inlineStr">
        <is>
          <t>Video: Aluvión en Lo Barnechea e inundaciones en Las Condes</t>
        </is>
      </c>
      <c r="M185" s="168" t="inlineStr">
        <is>
          <t>Chile's emergency service SENAPRED and Las Condes municipality</t>
        </is>
      </c>
      <c r="N185" s="170" t="inlineStr">
        <is>
          <t>Chile</t>
        </is>
      </c>
      <c r="O185" s="168" t="inlineStr">
        <is>
          <t>Lo Barnechea and Las Condes, Santiago</t>
        </is>
      </c>
      <c r="P185" s="168" t="inlineStr">
        <is>
          <t>Santiago debris flows, Chile (Oct 2026) · Event · 2 reports</t>
        </is>
      </c>
      <c r="Q185" s="171" t="inlineStr">
        <is>
          <t>Chile</t>
        </is>
      </c>
      <c r="R185" s="169" t="n">
        <v>46321</v>
      </c>
      <c r="S185" s="170" t="inlineStr">
        <is>
          <t>2026-Q4</t>
        </is>
      </c>
      <c r="T185" s="172" t="inlineStr">
        <is>
          <t>debris flow</t>
        </is>
      </c>
      <c r="U185" s="160" t="n">
        <v>4</v>
      </c>
      <c r="V185" s="173" t="inlineStr">
        <is>
          <t>https://news.google.com/rss/articles/CBMisgFBVV95cUxPRHM1Y1JDWWp4cHNmeFQtRVlfOGdWbEFKdy1rZnFOc2lyUUdRV0Z2OWJKdVpjVC02c1NmclZabC0ya3pQU1FiUTROaktZbEtYODRnQzBvY3ZFV2dqRDg5T1c5R2dONkp2UGpUcUpaWUQ3a2JFckE5UFhDbExwamZYTHJqRU1zOXowMkZnbDJPZ0JYOEUzV2pKSWFxcFVCUUFtVERYUFNJS3pLS2s3THRWbzNR?oc=5</t>
        </is>
      </c>
      <c r="W185" s="174">
        <f>IF($B185="",0,IF(AND(OR(OR(Dashboard!$B$5="All themes",Dashboard!$B$5=""),$C185=Dashboard!$B$5),OR(OR(Dashboard!$G$5="All uses",Dashboard!$G$5=""),$E185=Dashboard!$G$5),N($D185)&gt;=Lists!$H$2,OR(OR(Dashboard!$N$5="All windows",Dashboard!$N$5=""),$S185=Dashboard!$N$5)),1,0))</f>
        <v/>
      </c>
      <c r="X185" s="175">
        <f>IF($W185=1,N($D185)*1E14+MIN(MAX(N($U185),0),9999)*1E10+MIN(N($K185),99999)*1E5+99999-MIN(ROW(),99999),"")</f>
        <v/>
      </c>
    </row>
    <row r="186" ht="53" customHeight="1">
      <c r="A186" s="160" t="n">
        <v>183</v>
      </c>
      <c r="B186" s="161" t="inlineStr">
        <is>
          <t>Debris flow on road to Farellones isolates nearly 150 people, reportedly workers and tourists</t>
        </is>
      </c>
      <c r="C186" s="162" t="inlineStr">
        <is>
          <t>Hazards &amp; Resilience</t>
        </is>
      </c>
      <c r="D186" s="163" t="n">
        <v>4</v>
      </c>
      <c r="E186" s="164" t="inlineStr">
        <is>
          <t>Feature lead</t>
        </is>
      </c>
      <c r="F186" s="165" t="inlineStr">
        <is>
          <t>To review</t>
        </is>
      </c>
      <c r="G186" s="166" t="n"/>
      <c r="H186" s="167" t="n"/>
      <c r="I186" s="168" t="inlineStr">
        <is>
          <t>How can access roads in high mountain catchments be protected from debris flows so that workers and tourists are not cut off after storms?</t>
        </is>
      </c>
      <c r="J186" s="168" t="inlineStr">
        <is>
          <t>Teletrece</t>
        </is>
      </c>
      <c r="K186" s="169" t="n">
        <v>46322</v>
      </c>
      <c r="L186" s="168" t="inlineStr">
        <is>
          <t>Aluvión en Camino a Farellones deja a cerca de 150 personas aisladas: serían trabajadores y turistas</t>
        </is>
      </c>
      <c r="M186" s="168" t="inlineStr">
        <is>
          <t>Chile's Ministry of Public Works (MOP) and the road concessionaire</t>
        </is>
      </c>
      <c r="N186" s="170" t="inlineStr">
        <is>
          <t>Chile</t>
        </is>
      </c>
      <c r="O186" s="168" t="inlineStr">
        <is>
          <t>Camino a Farellones</t>
        </is>
      </c>
      <c r="P186" s="168" t="n"/>
      <c r="Q186" s="171" t="inlineStr">
        <is>
          <t>Chile</t>
        </is>
      </c>
      <c r="R186" s="169" t="n">
        <v>46322</v>
      </c>
      <c r="S186" s="170" t="inlineStr">
        <is>
          <t>2026-Q4</t>
        </is>
      </c>
      <c r="T186" s="172" t="inlineStr">
        <is>
          <t>debris flow</t>
        </is>
      </c>
      <c r="U186" s="160" t="n">
        <v>4</v>
      </c>
      <c r="V186" s="173" t="inlineStr">
        <is>
          <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t>
        </is>
      </c>
      <c r="W186" s="174">
        <f>IF($B186="",0,IF(AND(OR(OR(Dashboard!$B$5="All themes",Dashboard!$B$5=""),$C186=Dashboard!$B$5),OR(OR(Dashboard!$G$5="All uses",Dashboard!$G$5=""),$E186=Dashboard!$G$5),N($D186)&gt;=Lists!$H$2,OR(OR(Dashboard!$N$5="All windows",Dashboard!$N$5=""),$S186=Dashboard!$N$5)),1,0))</f>
        <v/>
      </c>
      <c r="X186" s="175">
        <f>IF($W186=1,N($D186)*1E14+MIN(MAX(N($U186),0),9999)*1E10+MIN(N($K186),99999)*1E5+99999-MIN(ROW(),99999),"")</f>
        <v/>
      </c>
    </row>
    <row r="187" ht="53" customHeight="1">
      <c r="A187" s="160" t="n">
        <v>184</v>
      </c>
      <c r="B187" s="161" t="inlineStr">
        <is>
          <t>"Far exceeded expectations": Quebrada Honda in Las Condes overflows again less than three weeks after the debris flow</t>
        </is>
      </c>
      <c r="C187" s="162" t="inlineStr">
        <is>
          <t>Hazards &amp; Resilience</t>
        </is>
      </c>
      <c r="D187" s="163" t="n">
        <v>4</v>
      </c>
      <c r="E187" s="164" t="inlineStr">
        <is>
          <t>Feature lead</t>
        </is>
      </c>
      <c r="F187" s="165" t="inlineStr">
        <is>
          <t>To review</t>
        </is>
      </c>
      <c r="G187" s="166" t="n"/>
      <c r="H187" s="167" t="n"/>
      <c r="I187" s="168" t="inlineStr">
        <is>
          <t>Why did a recently installed debris barrier and channel in a canyon fail to contain a second flood, and what design assumptions need revisiting?</t>
        </is>
      </c>
      <c r="J187" s="168" t="inlineStr">
        <is>
          <t>The Clinic</t>
        </is>
      </c>
      <c r="K187" s="169" t="n">
        <v>46322</v>
      </c>
      <c r="L187" s="168" t="inlineStr">
        <is>
          <t>“Superó totalmente lo que se esperaba”: Quebrada Honda en Las Condes vuelve a desbordarse a menos de tres semanas del aluvión</t>
        </is>
      </c>
      <c r="M187" s="168" t="inlineStr">
        <is>
          <t>Las Condes municipality and the Ministry of Public Works (MOP)</t>
        </is>
      </c>
      <c r="N187" s="170" t="inlineStr">
        <is>
          <t>Chile</t>
        </is>
      </c>
      <c r="O187" s="168" t="inlineStr">
        <is>
          <t>Quebrada Honda, Las Condes</t>
        </is>
      </c>
      <c r="P187" s="168" t="n"/>
      <c r="Q187" s="171" t="inlineStr">
        <is>
          <t>Chile</t>
        </is>
      </c>
      <c r="R187" s="169" t="n">
        <v>46322</v>
      </c>
      <c r="S187" s="170" t="inlineStr">
        <is>
          <t>2026-Q4</t>
        </is>
      </c>
      <c r="T187" s="172" t="inlineStr">
        <is>
          <t>debris flow</t>
        </is>
      </c>
      <c r="U187" s="160" t="n">
        <v>4</v>
      </c>
      <c r="V187" s="173" t="inlineStr">
        <is>
          <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t>
        </is>
      </c>
      <c r="W187" s="174">
        <f>IF($B187="",0,IF(AND(OR(OR(Dashboard!$B$5="All themes",Dashboard!$B$5=""),$C187=Dashboard!$B$5),OR(OR(Dashboard!$G$5="All uses",Dashboard!$G$5=""),$E187=Dashboard!$G$5),N($D187)&gt;=Lists!$H$2,OR(OR(Dashboard!$N$5="All windows",Dashboard!$N$5=""),$S187=Dashboard!$N$5)),1,0))</f>
        <v/>
      </c>
      <c r="X187" s="175">
        <f>IF($W187=1,N($D187)*1E14+MIN(MAX(N($U187),0),9999)*1E10+MIN(N($K187),99999)*1E5+99999-MIN(ROW(),99999),"")</f>
        <v/>
      </c>
    </row>
    <row r="188" ht="53" customHeight="1">
      <c r="A188" s="160" t="n">
        <v>185</v>
      </c>
      <c r="B188" s="161" t="inlineStr">
        <is>
          <t>Las Condes and MOP begin work on dynamic debris nets in San Carlos de Apoquindo after debris flow</t>
        </is>
      </c>
      <c r="C188" s="162" t="inlineStr">
        <is>
          <t>Hazards &amp; Resilience</t>
        </is>
      </c>
      <c r="D188" s="163" t="n">
        <v>4</v>
      </c>
      <c r="E188" s="164" t="inlineStr">
        <is>
          <t>Feature lead</t>
        </is>
      </c>
      <c r="F188" s="165" t="inlineStr">
        <is>
          <t>To review</t>
        </is>
      </c>
      <c r="G188" s="166" t="n"/>
      <c r="H188" s="167" t="n"/>
      <c r="I188" s="168" t="inlineStr">
        <is>
          <t>How do dynamic debris-retention nets perform on steep catchments, and what installation and maintenance details decide whether they work during a flow?</t>
        </is>
      </c>
      <c r="J188" s="168" t="inlineStr">
        <is>
          <t>La Tercera</t>
        </is>
      </c>
      <c r="K188" s="169" t="n">
        <v>46322</v>
      </c>
      <c r="L188" s="168" t="inlineStr">
        <is>
          <t>Las Condes y el MOP comienzan los trabajos de las mallas dinámicas en San Carlos de Apoquindo después del aluvión</t>
        </is>
      </c>
      <c r="M188" s="168" t="inlineStr">
        <is>
          <t>Las Condes municipality and the Ministry of Public Works (MOP)</t>
        </is>
      </c>
      <c r="N188" s="170" t="inlineStr">
        <is>
          <t>Chile</t>
        </is>
      </c>
      <c r="O188" s="168" t="inlineStr">
        <is>
          <t>San Carlos de Apoquindo, Las Condes</t>
        </is>
      </c>
      <c r="P188" s="168" t="n"/>
      <c r="Q188" s="171" t="inlineStr">
        <is>
          <t>Chile</t>
        </is>
      </c>
      <c r="R188" s="169" t="n">
        <v>46321</v>
      </c>
      <c r="S188" s="170" t="inlineStr">
        <is>
          <t>2026-Q4</t>
        </is>
      </c>
      <c r="T188" s="172" t="inlineStr">
        <is>
          <t>debris flow</t>
        </is>
      </c>
      <c r="U188" s="160" t="n">
        <v>4</v>
      </c>
      <c r="V188" s="173" t="inlineStr">
        <is>
          <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t>
        </is>
      </c>
      <c r="W188" s="174">
        <f>IF($B188="",0,IF(AND(OR(OR(Dashboard!$B$5="All themes",Dashboard!$B$5=""),$C188=Dashboard!$B$5),OR(OR(Dashboard!$G$5="All uses",Dashboard!$G$5=""),$E188=Dashboard!$G$5),N($D188)&gt;=Lists!$H$2,OR(OR(Dashboard!$N$5="All windows",Dashboard!$N$5=""),$S188=Dashboard!$N$5)),1,0))</f>
        <v/>
      </c>
      <c r="X188" s="175">
        <f>IF($W188=1,N($D188)*1E14+MIN(MAX(N($U188),0),9999)*1E10+MIN(N($K188),99999)*1E5+99999-MIN(ROW(),99999),"")</f>
        <v/>
      </c>
    </row>
    <row r="189" ht="53" customHeight="1">
      <c r="A189" s="160" t="n">
        <v>186</v>
      </c>
      <c r="B189" s="161" t="inlineStr">
        <is>
          <t>New high speed rail viaduct for the UK</t>
        </is>
      </c>
      <c r="C189" s="176" t="inlineStr">
        <is>
          <t>Infrastructure &amp; the Underground City</t>
        </is>
      </c>
      <c r="D189" s="163" t="n">
        <v>4</v>
      </c>
      <c r="E189" s="177" t="inlineStr">
        <is>
          <t>News brief</t>
        </is>
      </c>
      <c r="F189" s="165" t="inlineStr">
        <is>
          <t>To review</t>
        </is>
      </c>
      <c r="G189" s="166" t="n"/>
      <c r="H189" s="167" t="n"/>
      <c r="I189" s="168" t="inlineStr">
        <is>
          <t>How were raised embankments and the launched viaduct decks designed for the constrained site over a busy motorway, and what ground conditions shaped those choices?</t>
        </is>
      </c>
      <c r="J189" s="168" t="inlineStr">
        <is>
          <t>World Highways</t>
        </is>
      </c>
      <c r="K189" s="169" t="n">
        <v>46322</v>
      </c>
      <c r="L189" s="168" t="n"/>
      <c r="M189" s="168" t="inlineStr">
        <is>
          <t>HS2 Ltd</t>
        </is>
      </c>
      <c r="N189" s="170" t="inlineStr">
        <is>
          <t>United Kingdom</t>
        </is>
      </c>
      <c r="O189" s="168" t="inlineStr">
        <is>
          <t>HS2 M6 viaduct crossing</t>
        </is>
      </c>
      <c r="P189" s="168" t="n"/>
      <c r="Q189" s="171" t="n"/>
      <c r="R189" s="169" t="n">
        <v>46322</v>
      </c>
      <c r="S189" s="170" t="inlineStr">
        <is>
          <t>2026-Q4</t>
        </is>
      </c>
      <c r="T189" s="172" t="inlineStr">
        <is>
          <t>embankment</t>
        </is>
      </c>
      <c r="U189" s="160" t="n">
        <v>3</v>
      </c>
      <c r="V189" s="173" t="inlineStr">
        <is>
          <t>https://globalhighways.com/new-high-speed-rail-viaduct-for-the-uk/</t>
        </is>
      </c>
      <c r="W189" s="174">
        <f>IF($B189="",0,IF(AND(OR(OR(Dashboard!$B$5="All themes",Dashboard!$B$5=""),$C189=Dashboard!$B$5),OR(OR(Dashboard!$G$5="All uses",Dashboard!$G$5=""),$E189=Dashboard!$G$5),N($D189)&gt;=Lists!$H$2,OR(OR(Dashboard!$N$5="All windows",Dashboard!$N$5=""),$S189=Dashboard!$N$5)),1,0))</f>
        <v/>
      </c>
      <c r="X189" s="175">
        <f>IF($W189=1,N($D189)*1E14+MIN(MAX(N($U189),0),9999)*1E10+MIN(N($K189),99999)*1E5+99999-MIN(ROW(),99999),"")</f>
        <v/>
      </c>
    </row>
    <row r="190" ht="53" customHeight="1">
      <c r="A190" s="160" t="n">
        <v>187</v>
      </c>
      <c r="B190" s="161" t="inlineStr">
        <is>
          <t>First Yonge North Subway Extension TBM Arrives</t>
        </is>
      </c>
      <c r="C190" s="176" t="inlineStr">
        <is>
          <t>Infrastructure &amp; the Underground City</t>
        </is>
      </c>
      <c r="D190" s="163" t="n">
        <v>4</v>
      </c>
      <c r="E190" s="164" t="inlineStr">
        <is>
          <t>Feature lead</t>
        </is>
      </c>
      <c r="F190" s="165" t="inlineStr">
        <is>
          <t>To review</t>
        </is>
      </c>
      <c r="G190" s="166" t="n"/>
      <c r="H190" s="167" t="n"/>
      <c r="I190" s="168" t="inlineStr">
        <is>
          <t>What ground conditions did the tunnel boring machine encounter on this Toronto extension, and how did they inform the tunnelling risk management?</t>
        </is>
      </c>
      <c r="J190" s="168" t="inlineStr">
        <is>
          <t>Metrolinx</t>
        </is>
      </c>
      <c r="K190" s="169" t="n">
        <v>46322</v>
      </c>
      <c r="L190" s="168" t="n"/>
      <c r="M190" s="168" t="inlineStr">
        <is>
          <t>Metrolinx</t>
        </is>
      </c>
      <c r="N190" s="170" t="inlineStr">
        <is>
          <t>Canada</t>
        </is>
      </c>
      <c r="O190" s="168" t="inlineStr">
        <is>
          <t>Yonge North Subway Extension, Toronto</t>
        </is>
      </c>
      <c r="P190" s="168" t="inlineStr">
        <is>
          <t>Yonge North Subway Extension, Toronto, Canada · Event · 2 reports</t>
        </is>
      </c>
      <c r="Q190" s="171" t="inlineStr">
        <is>
          <t>United Kingdom</t>
        </is>
      </c>
      <c r="R190" s="169" t="n">
        <v>46321</v>
      </c>
      <c r="S190" s="170" t="inlineStr">
        <is>
          <t>2026-Q4</t>
        </is>
      </c>
      <c r="T190" s="172" t="inlineStr">
        <is>
          <t>tbm</t>
        </is>
      </c>
      <c r="U190" s="160" t="n">
        <v>3</v>
      </c>
      <c r="V190" s="173" t="inlineStr">
        <is>
          <t>https://news.google.com/rss/articles/CBMinwFBVV95cUxNbzA2dW9OWm13RDRmdlRLNDAtLUt4YXF3YmNCZDZYbEJRRWFCUGJ4RkJLN1Bud0ROZ1NGZ2R3d1dhWjFNMDdRMjlGYmFGNkNPdWNNejNtTjNXNGU3X1BrWlhXLXp5eDZ4M19IUnJQMWRwNEZWSi1VUkNrODFwZ2pQMGpyZkp4OEJJSGdjeTZOTXRwMFFocFYxQm03TGVoWTg?oc=5</t>
        </is>
      </c>
      <c r="W190" s="174">
        <f>IF($B190="",0,IF(AND(OR(OR(Dashboard!$B$5="All themes",Dashboard!$B$5=""),$C190=Dashboard!$B$5),OR(OR(Dashboard!$G$5="All uses",Dashboard!$G$5=""),$E190=Dashboard!$G$5),N($D190)&gt;=Lists!$H$2,OR(OR(Dashboard!$N$5="All windows",Dashboard!$N$5=""),$S190=Dashboard!$N$5)),1,0))</f>
        <v/>
      </c>
      <c r="X190" s="175">
        <f>IF($W190=1,N($D190)*1E14+MIN(MAX(N($U190),0),9999)*1E10+MIN(N($K190),99999)*1E5+99999-MIN(ROW(),99999),"")</f>
        <v/>
      </c>
    </row>
    <row r="191" ht="53" customHeight="1">
      <c r="A191" s="160" t="n">
        <v>188</v>
      </c>
      <c r="B191" s="161" t="inlineStr">
        <is>
          <t>Traffic starts on trial basis on bridge-tunnel route linking Kedarnath and Badrinath highways</t>
        </is>
      </c>
      <c r="C191" s="176" t="inlineStr">
        <is>
          <t>Infrastructure &amp; the Underground City</t>
        </is>
      </c>
      <c r="D191" s="163" t="n">
        <v>4</v>
      </c>
      <c r="E191" s="183" t="inlineStr">
        <is>
          <t>Regional insight</t>
        </is>
      </c>
      <c r="F191" s="165" t="inlineStr">
        <is>
          <t>To review</t>
        </is>
      </c>
      <c r="G191" s="166" t="n"/>
      <c r="H191" s="167" t="n"/>
      <c r="I191" s="168" t="inlineStr">
        <is>
          <t>What geotechnical challenges arise when a bridge and tunnel link is built through Himalayan slopes, and what should be monitored during the trial traffic phase?</t>
        </is>
      </c>
      <c r="J191" s="168" t="inlineStr">
        <is>
          <t>ThePrint Hindi</t>
        </is>
      </c>
      <c r="K191" s="169" t="n">
        <v>46322</v>
      </c>
      <c r="L191" s="168" t="inlineStr">
        <is>
          <t>केदारनाथ-बदरीनाथ राजमार्गों को जोड़ने वाले पुल-सुरंग मार्ग पर परीक्षण के तौर पर यातायात शुरू</t>
        </is>
      </c>
      <c r="M191" s="168" t="inlineStr">
        <is>
          <t>NHIDCL and the Uttarakhand Public Works Department</t>
        </is>
      </c>
      <c r="N191" s="170" t="inlineStr">
        <is>
          <t>India</t>
        </is>
      </c>
      <c r="O191" s="168" t="inlineStr">
        <is>
          <t>Rudraprayag, Uttarakhand</t>
        </is>
      </c>
      <c r="P191" s="168" t="n"/>
      <c r="Q191" s="171" t="inlineStr">
        <is>
          <t>India</t>
        </is>
      </c>
      <c r="R191" s="169" t="n">
        <v>46321</v>
      </c>
      <c r="S191" s="170" t="inlineStr">
        <is>
          <t>2026-Q4</t>
        </is>
      </c>
      <c r="T191" s="172" t="inlineStr">
        <is>
          <t>tunnel</t>
        </is>
      </c>
      <c r="U191" s="160" t="n">
        <v>2</v>
      </c>
      <c r="V191" s="173" t="inlineStr">
        <is>
          <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t>
        </is>
      </c>
      <c r="W191" s="174">
        <f>IF($B191="",0,IF(AND(OR(OR(Dashboard!$B$5="All themes",Dashboard!$B$5=""),$C191=Dashboard!$B$5),OR(OR(Dashboard!$G$5="All uses",Dashboard!$G$5=""),$E191=Dashboard!$G$5),N($D191)&gt;=Lists!$H$2,OR(OR(Dashboard!$N$5="All windows",Dashboard!$N$5=""),$S191=Dashboard!$N$5)),1,0))</f>
        <v/>
      </c>
      <c r="X191" s="175">
        <f>IF($W191=1,N($D191)*1E14+MIN(MAX(N($U191),0),9999)*1E10+MIN(N($K191),99999)*1E5+99999-MIN(ROW(),99999),"")</f>
        <v/>
      </c>
    </row>
    <row r="192" ht="53" customHeight="1">
      <c r="A192" s="160" t="n">
        <v>189</v>
      </c>
      <c r="B192" s="161" t="inlineStr">
        <is>
          <t>Vehicles begin moving through newly built Rudraprayag bridge and tunnel; CM Dhami reviews</t>
        </is>
      </c>
      <c r="C192" s="176" t="inlineStr">
        <is>
          <t>Infrastructure &amp; the Underground City</t>
        </is>
      </c>
      <c r="D192" s="163" t="n">
        <v>4</v>
      </c>
      <c r="E192" s="179" t="inlineStr">
        <is>
          <t>Watch only</t>
        </is>
      </c>
      <c r="F192" s="165" t="inlineStr">
        <is>
          <t>To review</t>
        </is>
      </c>
      <c r="G192" s="166" t="n"/>
      <c r="H192" s="167" t="n"/>
      <c r="I192" s="168" t="inlineStr">
        <is>
          <t>The opening of the Rudraprayag bridge and tunnel could support a later piece on tunnel performance, once geotechnical data are obtained.</t>
        </is>
      </c>
      <c r="J192" s="168" t="inlineStr">
        <is>
          <t>ETV Bharat</t>
        </is>
      </c>
      <c r="K192" s="169" t="n">
        <v>46322</v>
      </c>
      <c r="L192" s="168" t="inlineStr">
        <is>
          <t>रुद्रप्रयाग में नवनिर्मित पुल और सुरंग से वाहनों की आवाजाही शुरू, सीएम धामी ने लिया जायजा</t>
        </is>
      </c>
      <c r="M192" s="168" t="inlineStr">
        <is>
          <t>NHIDCL and the Uttarakhand Public Works Department</t>
        </is>
      </c>
      <c r="N192" s="170" t="inlineStr">
        <is>
          <t>India</t>
        </is>
      </c>
      <c r="O192" s="168" t="inlineStr">
        <is>
          <t>Rudraprayag, Uttarakhand</t>
        </is>
      </c>
      <c r="P192" s="168" t="n"/>
      <c r="Q192" s="171" t="inlineStr">
        <is>
          <t>India</t>
        </is>
      </c>
      <c r="R192" s="169" t="n">
        <v>46321</v>
      </c>
      <c r="S192" s="170" t="inlineStr">
        <is>
          <t>2026-Q4</t>
        </is>
      </c>
      <c r="T192" s="172" t="inlineStr">
        <is>
          <t>tunnel</t>
        </is>
      </c>
      <c r="U192" s="160" t="n">
        <v>2</v>
      </c>
      <c r="V192" s="173" t="inlineStr">
        <is>
          <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t>
        </is>
      </c>
      <c r="W192" s="174">
        <f>IF($B192="",0,IF(AND(OR(OR(Dashboard!$B$5="All themes",Dashboard!$B$5=""),$C192=Dashboard!$B$5),OR(OR(Dashboard!$G$5="All uses",Dashboard!$G$5=""),$E192=Dashboard!$G$5),N($D192)&gt;=Lists!$H$2,OR(OR(Dashboard!$N$5="All windows",Dashboard!$N$5=""),$S192=Dashboard!$N$5)),1,0))</f>
        <v/>
      </c>
      <c r="X192" s="175">
        <f>IF($W192=1,N($D192)*1E14+MIN(MAX(N($U192),0),9999)*1E10+MIN(N($K192),99999)*1E5+99999-MIN(ROW(),99999),"")</f>
        <v/>
      </c>
    </row>
    <row r="193" ht="53" customHeight="1">
      <c r="A193" s="160" t="n">
        <v>190</v>
      </c>
      <c r="B193" s="161" t="inlineStr">
        <is>
          <t>Completion of excavation pit for National Centre "Russia" under way</t>
        </is>
      </c>
      <c r="C193" s="176" t="inlineStr">
        <is>
          <t>Infrastructure &amp; the Underground City</t>
        </is>
      </c>
      <c r="D193" s="163" t="n">
        <v>4</v>
      </c>
      <c r="E193" s="164" t="inlineStr">
        <is>
          <t>Feature lead</t>
        </is>
      </c>
      <c r="F193" s="165" t="inlineStr">
        <is>
          <t>To review</t>
        </is>
      </c>
      <c r="G193" s="166" t="n"/>
      <c r="H193" s="167" t="n"/>
      <c r="I193" s="168" t="inlineStr">
        <is>
          <t>How are deep excavation support and dewatering managed for a very large central Moscow pit, and what lessons does it offer for urban deep excavations?</t>
        </is>
      </c>
      <c r="J193" s="168" t="inlineStr">
        <is>
          <t>mos.ru</t>
        </is>
      </c>
      <c r="K193" s="169" t="n">
        <v>46322</v>
      </c>
      <c r="L193" s="168" t="inlineStr">
        <is>
          <t>Завершается устройство котлована национального центра «Россия» / Новости города / Сайт Москвы</t>
        </is>
      </c>
      <c r="M193" s="168" t="inlineStr">
        <is>
          <t>the Moscow city government and the project developer</t>
        </is>
      </c>
      <c r="N193" s="170" t="inlineStr">
        <is>
          <t>Russia</t>
        </is>
      </c>
      <c r="O193" s="168" t="inlineStr">
        <is>
          <t>Moscow, National Centre Russia</t>
        </is>
      </c>
      <c r="P193" s="168" t="inlineStr">
        <is>
          <t>National Centre Rossiya excavation, Moscow · Event · 2 reports</t>
        </is>
      </c>
      <c r="Q193" s="171" t="inlineStr">
        <is>
          <t>Russia</t>
        </is>
      </c>
      <c r="R193" s="169" t="n">
        <v>46321</v>
      </c>
      <c r="S193" s="170" t="inlineStr">
        <is>
          <t>2026-Q4</t>
        </is>
      </c>
      <c r="T193" s="172" t="inlineStr">
        <is>
          <t>excavation</t>
        </is>
      </c>
      <c r="U193" s="160" t="n">
        <v>2</v>
      </c>
      <c r="V193" s="173" t="inlineStr">
        <is>
          <t>https://news.google.com/rss/articles/CBMiUEFVX3lxTE5RM0RVWHhhUFhCVEhXclY3YWpCOVF4R1FwejczdjdMcE5ic19hRDBuaGFDWnpzcmhvUE5nYjUyRkYwXy1YSndqNEhOWWswMHJX?oc=5</t>
        </is>
      </c>
      <c r="W193" s="174">
        <f>IF($B193="",0,IF(AND(OR(OR(Dashboard!$B$5="All themes",Dashboard!$B$5=""),$C193=Dashboard!$B$5),OR(OR(Dashboard!$G$5="All uses",Dashboard!$G$5=""),$E193=Dashboard!$G$5),N($D193)&gt;=Lists!$H$2,OR(OR(Dashboard!$N$5="All windows",Dashboard!$N$5=""),$S193=Dashboard!$N$5)),1,0))</f>
        <v/>
      </c>
      <c r="X193" s="175">
        <f>IF($W193=1,N($D193)*1E14+MIN(MAX(N($U193),0),9999)*1E10+MIN(N($K193),99999)*1E5+99999-MIN(ROW(),99999),"")</f>
        <v/>
      </c>
    </row>
    <row r="194" ht="53" customHeight="1">
      <c r="A194" s="160" t="n">
        <v>191</v>
      </c>
      <c r="B194" s="161" t="inlineStr">
        <is>
          <t>Char Dham Yatra 2027 may bring pilgrims the Silkyara tunnel, cutting 26 km from the route</t>
        </is>
      </c>
      <c r="C194" s="176" t="inlineStr">
        <is>
          <t>Infrastructure &amp; the Underground City</t>
        </is>
      </c>
      <c r="D194" s="163" t="n">
        <v>4</v>
      </c>
      <c r="E194" s="164" t="inlineStr">
        <is>
          <t>Feature lead</t>
        </is>
      </c>
      <c r="F194" s="165" t="inlineStr">
        <is>
          <t>To review</t>
        </is>
      </c>
      <c r="G194" s="166" t="n"/>
      <c r="H194" s="167" t="n"/>
      <c r="I194" s="168" t="inlineStr">
        <is>
          <t>What ground-investigation and excavation lessons from the Silkyara collapse should guide tunnelling through weak Himalayan rock on this new route?</t>
        </is>
      </c>
      <c r="J194" s="168" t="inlineStr">
        <is>
          <t>ETV Bharat</t>
        </is>
      </c>
      <c r="K194" s="169" t="n">
        <v>46322</v>
      </c>
      <c r="L194" s="168" t="inlineStr">
        <is>
          <t>चारधाम यात्रा 2027 में यात्रियों को मिल सकती है सिलक्यारा टनल की सौगात, 26 किमी की दूरी होगी कम</t>
        </is>
      </c>
      <c r="M194" s="168" t="inlineStr">
        <is>
          <t>NHIDCL, the Uttarakhand highway project owner</t>
        </is>
      </c>
      <c r="N194" s="170" t="inlineStr">
        <is>
          <t>India</t>
        </is>
      </c>
      <c r="O194" s="168" t="inlineStr">
        <is>
          <t>Silkyara tunnel, Uttarakhand</t>
        </is>
      </c>
      <c r="P194" s="168" t="inlineStr">
        <is>
          <t>Silkyara tunnel, Uttarkashi, India · Update · 2 reports</t>
        </is>
      </c>
      <c r="Q194" s="171" t="inlineStr">
        <is>
          <t>India</t>
        </is>
      </c>
      <c r="R194" s="169" t="n">
        <v>46321</v>
      </c>
      <c r="S194" s="170" t="inlineStr">
        <is>
          <t>2026-Q4</t>
        </is>
      </c>
      <c r="T194" s="172" t="n"/>
      <c r="U194" s="160" t="n">
        <v>0</v>
      </c>
      <c r="V194" s="173" t="inlineStr">
        <is>
          <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t>
        </is>
      </c>
      <c r="W194" s="174">
        <f>IF($B194="",0,IF(AND(OR(OR(Dashboard!$B$5="All themes",Dashboard!$B$5=""),$C194=Dashboard!$B$5),OR(OR(Dashboard!$G$5="All uses",Dashboard!$G$5=""),$E194=Dashboard!$G$5),N($D194)&gt;=Lists!$H$2,OR(OR(Dashboard!$N$5="All windows",Dashboard!$N$5=""),$S194=Dashboard!$N$5)),1,0))</f>
        <v/>
      </c>
      <c r="X194" s="175">
        <f>IF($W194=1,N($D194)*1E14+MIN(MAX(N($U194),0),9999)*1E10+MIN(N($K194),99999)*1E5+99999-MIN(ROW(),99999),"")</f>
        <v/>
      </c>
    </row>
    <row r="195" ht="40.5" customHeight="1">
      <c r="A195" s="160" t="n">
        <v>192</v>
      </c>
      <c r="B195" s="161" t="inlineStr">
        <is>
          <t>Son La: over 4,600 households still unable to relocate from landslide-risk areas</t>
        </is>
      </c>
      <c r="C195" s="162" t="inlineStr">
        <is>
          <t>Hazards &amp; Resilience</t>
        </is>
      </c>
      <c r="D195" s="163" t="n">
        <v>4</v>
      </c>
      <c r="E195" s="183" t="inlineStr">
        <is>
          <t>Regional insight</t>
        </is>
      </c>
      <c r="F195" s="165" t="inlineStr">
        <is>
          <t>To review</t>
        </is>
      </c>
      <c r="G195" s="166" t="n"/>
      <c r="H195" s="167" t="n"/>
      <c r="I195" s="168" t="inlineStr">
        <is>
          <t>How should landslide risk zoning inform resettlement decisions, and why do so many households remain in hazard-prone slopes?</t>
        </is>
      </c>
      <c r="J195" s="168" t="inlineStr">
        <is>
          <t>Vietnam.vn</t>
        </is>
      </c>
      <c r="K195" s="169" t="n">
        <v>46322</v>
      </c>
      <c r="L195" s="168" t="inlineStr">
        <is>
          <t>سون لا: لا تزال أكثر من 4600 أسرة غير قادرة على الانتقال من المناطق المعرضة لخطر الانهيارات الأرضية.</t>
        </is>
      </c>
      <c r="M195" s="168" t="inlineStr">
        <is>
          <t>Son La provincial People's Committee</t>
        </is>
      </c>
      <c r="N195" s="170" t="inlineStr">
        <is>
          <t>Vietnam</t>
        </is>
      </c>
      <c r="O195" s="168" t="inlineStr">
        <is>
          <t>Son La province</t>
        </is>
      </c>
      <c r="P195" s="168" t="n"/>
      <c r="Q195" s="171" t="inlineStr">
        <is>
          <t>Egypt</t>
        </is>
      </c>
      <c r="R195" s="169" t="n">
        <v>46321</v>
      </c>
      <c r="S195" s="170" t="inlineStr">
        <is>
          <t>2026-Q4</t>
        </is>
      </c>
      <c r="T195" s="172" t="n"/>
      <c r="U195" s="160" t="n">
        <v>0</v>
      </c>
      <c r="V195" s="173" t="inlineStr">
        <is>
          <t>https://news.google.com/rss/articles/CBMingFBVV95cUxQSnlkREh3Y1ozRmU4OTQ2RFVlallBUm92aTlHYl9QQjFVMzNpUFpuS0c4NFk1R3RiOFZZNExzUzVQSjdadWQtSVRuUzNqckFhTkx3WDloWlRFU24zeC0xRHlUMEtNTEI0QTh3eHhXLTNMSTFXSGtMUlUzRUlLWnhvLWRaXzhjRG9hbm9TZktDXzhaUjFwZXE2S1JnLUViQQ?oc=5</t>
        </is>
      </c>
      <c r="W195" s="174">
        <f>IF($B195="",0,IF(AND(OR(OR(Dashboard!$B$5="All themes",Dashboard!$B$5=""),$C195=Dashboard!$B$5),OR(OR(Dashboard!$G$5="All uses",Dashboard!$G$5=""),$E195=Dashboard!$G$5),N($D195)&gt;=Lists!$H$2,OR(OR(Dashboard!$N$5="All windows",Dashboard!$N$5=""),$S195=Dashboard!$N$5)),1,0))</f>
        <v/>
      </c>
      <c r="X195" s="175">
        <f>IF($W195=1,N($D195)*1E14+MIN(MAX(N($U195),0),9999)*1E10+MIN(N($K195),99999)*1E5+99999-MIN(ROW(),99999),"")</f>
        <v/>
      </c>
    </row>
    <row r="196" ht="40.5" customHeight="1">
      <c r="A196" s="160" t="n">
        <v>193</v>
      </c>
      <c r="B196" s="161" t="inlineStr">
        <is>
          <t>Gas leak in Pasto after accidental pipe perforation during soil study</t>
        </is>
      </c>
      <c r="C196" s="180" t="inlineStr">
        <is>
          <t>Characterisation &amp; Modelling</t>
        </is>
      </c>
      <c r="D196" s="163" t="n">
        <v>3</v>
      </c>
      <c r="E196" s="177" t="inlineStr">
        <is>
          <t>News brief</t>
        </is>
      </c>
      <c r="F196" s="165" t="inlineStr">
        <is>
          <t>To review</t>
        </is>
      </c>
      <c r="G196" s="166" t="n"/>
      <c r="H196" s="167" t="n"/>
      <c r="I196" s="168" t="inlineStr">
        <is>
          <t>How can site investigation planning avoid striking buried utilities, and what checks should precede boring in urban streets?</t>
        </is>
      </c>
      <c r="J196" s="168" t="inlineStr">
        <is>
          <t>Toda la información de Nariño, Colombia y El Mundo</t>
        </is>
      </c>
      <c r="K196" s="169" t="n">
        <v>46322</v>
      </c>
      <c r="L196" s="168" t="inlineStr">
        <is>
          <t>Fuga de gas en Pasto por perforación accidental de tubería durante estudio de suelos</t>
        </is>
      </c>
      <c r="M196" s="168" t="inlineStr">
        <is>
          <t>Pasto gas utility and the soil study contractor</t>
        </is>
      </c>
      <c r="N196" s="170" t="inlineStr">
        <is>
          <t>Colombia</t>
        </is>
      </c>
      <c r="O196" s="168" t="inlineStr">
        <is>
          <t>Pasto, Nariño</t>
        </is>
      </c>
      <c r="P196" s="168" t="n"/>
      <c r="Q196" s="171" t="inlineStr">
        <is>
          <t>Peru</t>
        </is>
      </c>
      <c r="R196" s="169" t="n">
        <v>46321</v>
      </c>
      <c r="S196" s="170" t="inlineStr">
        <is>
          <t>2026-Q4</t>
        </is>
      </c>
      <c r="T196" s="172" t="inlineStr">
        <is>
          <t>site investigation, soil</t>
        </is>
      </c>
      <c r="U196" s="160" t="n">
        <v>5</v>
      </c>
      <c r="V196" s="173" t="inlineStr">
        <is>
          <t>https://news.google.com/rss/articles/CBMihwFBVV95cUxNT3pfOVdocDBpLXJuQ1kyZkptV2l0bnJwTGZySW5MMzFDMDZMU0N4Rzlfa0pBVDhVVDR0S05QRzZTUDFMNUFHQ2RBS0lPckhZZ1ZPQks2WUMwcUF2bXZhR2VOU2R1VUU0dHcwbjBKOExtbTBYWmJUUmdudnViTGc5aGprWERWUzQ?oc=5</t>
        </is>
      </c>
      <c r="W196" s="174">
        <f>IF($B196="",0,IF(AND(OR(OR(Dashboard!$B$5="All themes",Dashboard!$B$5=""),$C196=Dashboard!$B$5),OR(OR(Dashboard!$G$5="All uses",Dashboard!$G$5=""),$E196=Dashboard!$G$5),N($D196)&gt;=Lists!$H$2,OR(OR(Dashboard!$N$5="All windows",Dashboard!$N$5=""),$S196=Dashboard!$N$5)),1,0))</f>
        <v/>
      </c>
      <c r="X196" s="175">
        <f>IF($W196=1,N($D196)*1E14+MIN(MAX(N($U196),0),9999)*1E10+MIN(N($K196),99999)*1E5+99999-MIN(ROW(),99999),"")</f>
        <v/>
      </c>
    </row>
    <row r="197" ht="53" customHeight="1">
      <c r="A197" s="160" t="n">
        <v>194</v>
      </c>
      <c r="B197" s="161" t="inlineStr">
        <is>
          <t>Floating Offshore Wind Turbine Stability: The Impact of Mooring Systems</t>
        </is>
      </c>
      <c r="C197" s="185" t="inlineStr">
        <is>
          <t>Offshore, Coasts &amp; Water</t>
        </is>
      </c>
      <c r="D197" s="163" t="n">
        <v>3</v>
      </c>
      <c r="E197" s="182" t="inlineStr">
        <is>
          <t>Academia-to-Industry topic</t>
        </is>
      </c>
      <c r="F197" s="165" t="inlineStr">
        <is>
          <t>To review</t>
        </is>
      </c>
      <c r="G197" s="166" t="n"/>
      <c r="H197" s="167" t="n"/>
      <c r="I197" s="168" t="inlineStr">
        <is>
          <t>How do soil-mooring anchor interactions under cyclic loading affect floating wind turbine stability, and what site data are needed for design?</t>
        </is>
      </c>
      <c r="J197" s="168" t="inlineStr">
        <is>
          <t>Institution of Civil Engineers (ICE)</t>
        </is>
      </c>
      <c r="K197" s="169" t="n">
        <v>46322</v>
      </c>
      <c r="L197" s="168" t="n"/>
      <c r="M197" s="168" t="inlineStr">
        <is>
          <t>Institution of Civil Engineers publication authors</t>
        </is>
      </c>
      <c r="N197" s="170" t="n"/>
      <c r="O197" s="168" t="n"/>
      <c r="P197" s="168" t="n"/>
      <c r="Q197" s="171" t="inlineStr">
        <is>
          <t>United Kingdom</t>
        </is>
      </c>
      <c r="R197" s="169" t="n">
        <v>46321</v>
      </c>
      <c r="S197" s="170" t="inlineStr">
        <is>
          <t>2026-Q4</t>
        </is>
      </c>
      <c r="T197" s="172" t="inlineStr">
        <is>
          <t>offshore wind</t>
        </is>
      </c>
      <c r="U197" s="160" t="n">
        <v>5</v>
      </c>
      <c r="V197" s="173" t="inlineStr">
        <is>
          <t>https://news.google.com/rss/articles/CBMiogFBVV95cUxPdWE4eVRDb09YQjJpUXI5YWFlOW1zY2N3VTlFYkMtWlZLRHROa1kxbDZuVUo1RGltRVREU0tDc2cxdXlVRjBsZ28yTzlmbTBfdmxja2M0RFN4eVNCbEdSZmxWbG9BcUdwVVNIZjdlUUJiQWYxM0llcUJNcFRYUmhKeUt1d1M3TTRaV2plTXVQMHVGMXpEYlA4WHR6ekRPTFZjWHc?oc=5</t>
        </is>
      </c>
      <c r="W197" s="174">
        <f>IF($B197="",0,IF(AND(OR(OR(Dashboard!$B$5="All themes",Dashboard!$B$5=""),$C197=Dashboard!$B$5),OR(OR(Dashboard!$G$5="All uses",Dashboard!$G$5=""),$E197=Dashboard!$G$5),N($D197)&gt;=Lists!$H$2,OR(OR(Dashboard!$N$5="All windows",Dashboard!$N$5=""),$S197=Dashboard!$N$5)),1,0))</f>
        <v/>
      </c>
      <c r="X197" s="175">
        <f>IF($W197=1,N($D197)*1E14+MIN(MAX(N($U197),0),9999)*1E10+MIN(N($K197),99999)*1E5+99999-MIN(ROW(),99999),"")</f>
        <v/>
      </c>
    </row>
    <row r="198" ht="53" customHeight="1">
      <c r="A198" s="160" t="n">
        <v>195</v>
      </c>
      <c r="B198" s="161" t="inlineStr">
        <is>
          <t>Soil survey begins for 120-unit TOKİ housing project in Salıpazarı</t>
        </is>
      </c>
      <c r="C198" s="180" t="inlineStr">
        <is>
          <t>Characterisation &amp; Modelling</t>
        </is>
      </c>
      <c r="D198" s="163" t="n">
        <v>3</v>
      </c>
      <c r="E198" s="179" t="inlineStr">
        <is>
          <t>Watch only</t>
        </is>
      </c>
      <c r="F198" s="165" t="inlineStr">
        <is>
          <t>To review</t>
        </is>
      </c>
      <c r="G198" s="166" t="n"/>
      <c r="H198" s="167" t="n"/>
      <c r="I198" s="168" t="inlineStr">
        <is>
          <t>What ground investigation is needed on this coastal site for a 120-unit housing block, and what soil conditions should it target?</t>
        </is>
      </c>
      <c r="J198" s="168" t="inlineStr">
        <is>
          <t>Habertürk</t>
        </is>
      </c>
      <c r="K198" s="169" t="n">
        <v>46322</v>
      </c>
      <c r="L198" s="168" t="inlineStr">
        <is>
          <t>Salıpazarı'nda 120 konutluk TOKİ projesi için zemin etüdü başladı</t>
        </is>
      </c>
      <c r="M198" s="168" t="inlineStr">
        <is>
          <t>TOKİ (Housing Development Administration)</t>
        </is>
      </c>
      <c r="N198" s="170" t="inlineStr">
        <is>
          <t>Türkiye</t>
        </is>
      </c>
      <c r="O198" s="168" t="inlineStr">
        <is>
          <t>Salıpazarı</t>
        </is>
      </c>
      <c r="P198" s="168" t="n"/>
      <c r="Q198" s="171" t="inlineStr">
        <is>
          <t>Türkiye</t>
        </is>
      </c>
      <c r="R198" s="169" t="n">
        <v>46321</v>
      </c>
      <c r="S198" s="170" t="inlineStr">
        <is>
          <t>2026-Q4</t>
        </is>
      </c>
      <c r="T198" s="172" t="inlineStr">
        <is>
          <t>site investigation, soil</t>
        </is>
      </c>
      <c r="U198" s="160" t="n">
        <v>5</v>
      </c>
      <c r="V198" s="173" t="inlineStr">
        <is>
          <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t>
        </is>
      </c>
      <c r="W198" s="174">
        <f>IF($B198="",0,IF(AND(OR(OR(Dashboard!$B$5="All themes",Dashboard!$B$5=""),$C198=Dashboard!$B$5),OR(OR(Dashboard!$G$5="All uses",Dashboard!$G$5=""),$E198=Dashboard!$G$5),N($D198)&gt;=Lists!$H$2,OR(OR(Dashboard!$N$5="All windows",Dashboard!$N$5=""),$S198=Dashboard!$N$5)),1,0))</f>
        <v/>
      </c>
      <c r="X198" s="175">
        <f>IF($W198=1,N($D198)*1E14+MIN(MAX(N($U198),0),9999)*1E10+MIN(N($K198),99999)*1E5+99999-MIN(ROW(),99999),"")</f>
        <v/>
      </c>
    </row>
    <row r="199" ht="53" customHeight="1">
      <c r="A199" s="160" t="n">
        <v>196</v>
      </c>
      <c r="B199" s="161" t="inlineStr">
        <is>
          <t>United Utilities seeks design partner for £3.7bn Windermere scheme</t>
        </is>
      </c>
      <c r="C199" s="176" t="inlineStr">
        <is>
          <t>Infrastructure &amp; the Underground City</t>
        </is>
      </c>
      <c r="D199" s="163" t="n">
        <v>3</v>
      </c>
      <c r="E199" s="177" t="inlineStr">
        <is>
          <t>News brief</t>
        </is>
      </c>
      <c r="F199" s="165" t="inlineStr">
        <is>
          <t>To review</t>
        </is>
      </c>
      <c r="G199" s="166" t="n"/>
      <c r="H199" s="167" t="n"/>
      <c r="I199" s="168" t="inlineStr">
        <is>
          <t>What ground investigation and tunnelling risks should a design partner address on a large water-supply scheme in fractured Lake District geology?</t>
        </is>
      </c>
      <c r="J199" s="168" t="inlineStr">
        <is>
          <t>Tunnelling Journal</t>
        </is>
      </c>
      <c r="K199" s="169" t="n">
        <v>46322</v>
      </c>
      <c r="L199" s="168" t="n"/>
      <c r="M199" s="168" t="inlineStr">
        <is>
          <t>United Utilities</t>
        </is>
      </c>
      <c r="N199" s="170" t="inlineStr">
        <is>
          <t>United Kingdom</t>
        </is>
      </c>
      <c r="O199" s="168" t="inlineStr">
        <is>
          <t>Windermere, Cumbria</t>
        </is>
      </c>
      <c r="P199" s="168" t="n"/>
      <c r="Q199" s="171" t="n"/>
      <c r="R199" s="169" t="n">
        <v>46321</v>
      </c>
      <c r="S199" s="170" t="inlineStr">
        <is>
          <t>2026-Q4</t>
        </is>
      </c>
      <c r="T199" s="172" t="inlineStr">
        <is>
          <t>tunnelling</t>
        </is>
      </c>
      <c r="U199" s="160" t="n">
        <v>5</v>
      </c>
      <c r="V199" s="173" t="inlineStr">
        <is>
          <t>https://tunnellingjournal.com/united-utilities-seeks-design-partner-for-3-7bn-windermere-scheme/</t>
        </is>
      </c>
      <c r="W199" s="174">
        <f>IF($B199="",0,IF(AND(OR(OR(Dashboard!$B$5="All themes",Dashboard!$B$5=""),$C199=Dashboard!$B$5),OR(OR(Dashboard!$G$5="All uses",Dashboard!$G$5=""),$E199=Dashboard!$G$5),N($D199)&gt;=Lists!$H$2,OR(OR(Dashboard!$N$5="All windows",Dashboard!$N$5=""),$S199=Dashboard!$N$5)),1,0))</f>
        <v/>
      </c>
      <c r="X199" s="175">
        <f>IF($W199=1,N($D199)*1E14+MIN(MAX(N($U199),0),9999)*1E10+MIN(N($K199),99999)*1E5+99999-MIN(ROW(),99999),"")</f>
        <v/>
      </c>
    </row>
    <row r="200" ht="53" customHeight="1">
      <c r="A200" s="160" t="n">
        <v>197</v>
      </c>
      <c r="B200" s="161" t="inlineStr">
        <is>
          <t>Studies to start this week on largest sinkhole on Mazatlán seafront promenade: Public Works</t>
        </is>
      </c>
      <c r="C200" s="185" t="inlineStr">
        <is>
          <t>Offshore, Coasts &amp; Water</t>
        </is>
      </c>
      <c r="D200" s="163" t="n">
        <v>3</v>
      </c>
      <c r="E200" s="177" t="inlineStr">
        <is>
          <t>News brief</t>
        </is>
      </c>
      <c r="F200" s="165" t="inlineStr">
        <is>
          <t>To review</t>
        </is>
      </c>
      <c r="G200" s="166" t="n"/>
      <c r="H200" s="167" t="n"/>
      <c r="I200" s="168" t="inlineStr">
        <is>
          <t>What investigation would explain the cause of this coastal sinkhole, and how do ground and wave conditions affect a seafront promenade?</t>
        </is>
      </c>
      <c r="J200" s="168" t="inlineStr">
        <is>
          <t>www.noroeste.com.mx</t>
        </is>
      </c>
      <c r="K200" s="169" t="n">
        <v>46322</v>
      </c>
      <c r="L200" s="168" t="inlineStr">
        <is>
          <t>Iniciarán esta semana estudios en socavón más grande en malecón de Mazatlán: Obras Públicas</t>
        </is>
      </c>
      <c r="M200" s="168" t="inlineStr">
        <is>
          <t>Mazatlán municipal public works department</t>
        </is>
      </c>
      <c r="N200" s="170" t="inlineStr">
        <is>
          <t>Mexico</t>
        </is>
      </c>
      <c r="O200" s="168" t="inlineStr">
        <is>
          <t>Malecón, Mazatlán, Sinaloa</t>
        </is>
      </c>
      <c r="P200" s="168" t="inlineStr">
        <is>
          <t>Mazatlán malecón wave sinkhole, Mexico (Oct 2026) · Investigation &amp; inquiry · 6 reports</t>
        </is>
      </c>
      <c r="Q200" s="171" t="inlineStr">
        <is>
          <t>Colombia</t>
        </is>
      </c>
      <c r="R200" s="169" t="n">
        <v>46321</v>
      </c>
      <c r="S200" s="170" t="inlineStr">
        <is>
          <t>2026-Q4</t>
        </is>
      </c>
      <c r="T200" s="172" t="inlineStr">
        <is>
          <t>sinkhole</t>
        </is>
      </c>
      <c r="U200" s="160" t="n">
        <v>4</v>
      </c>
      <c r="V200" s="173" t="inlineStr">
        <is>
          <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200" s="174">
        <f>IF($B200="",0,IF(AND(OR(OR(Dashboard!$B$5="All themes",Dashboard!$B$5=""),$C200=Dashboard!$B$5),OR(OR(Dashboard!$G$5="All uses",Dashboard!$G$5=""),$E200=Dashboard!$G$5),N($D200)&gt;=Lists!$H$2,OR(OR(Dashboard!$N$5="All windows",Dashboard!$N$5=""),$S200=Dashboard!$N$5)),1,0))</f>
        <v/>
      </c>
      <c r="X200" s="175">
        <f>IF($W200=1,N($D200)*1E14+MIN(MAX(N($U200),0),9999)*1E10+MIN(N($K200),99999)*1E5+99999-MIN(ROW(),99999),"")</f>
        <v/>
      </c>
    </row>
    <row r="201" ht="53" customHeight="1">
      <c r="A201" s="160" t="n">
        <v>198</v>
      </c>
      <c r="B201" s="161" t="inlineStr">
        <is>
          <t>Aneka Jaringan Unit Bags MYR53 Million Bored Piling Works Deal</t>
        </is>
      </c>
      <c r="C201" s="176" t="inlineStr">
        <is>
          <t>Infrastructure &amp; the Underground City</t>
        </is>
      </c>
      <c r="D201" s="163" t="n">
        <v>3</v>
      </c>
      <c r="E201" s="177" t="inlineStr">
        <is>
          <t>News brief</t>
        </is>
      </c>
      <c r="F201" s="165" t="inlineStr">
        <is>
          <t>To review</t>
        </is>
      </c>
      <c r="G201" s="166" t="n"/>
      <c r="H201" s="167" t="n"/>
      <c r="I201" s="168" t="inlineStr">
        <is>
          <t>How do bored pile design and ground conditions in Kuala Lumpur's sedimentary profiles influence cost and risk on high-rise projects?</t>
        </is>
      </c>
      <c r="J201" s="168" t="inlineStr">
        <is>
          <t>www.marketscreener.com</t>
        </is>
      </c>
      <c r="K201" s="169" t="n">
        <v>46322</v>
      </c>
      <c r="L201" s="168" t="n"/>
      <c r="M201" s="168" t="inlineStr">
        <is>
          <t>Aneka Jaringan Holdings</t>
        </is>
      </c>
      <c r="N201" s="170" t="inlineStr">
        <is>
          <t>Malaysia</t>
        </is>
      </c>
      <c r="O201" s="168" t="inlineStr">
        <is>
          <t>Kuala Lumpur</t>
        </is>
      </c>
      <c r="P201" s="168" t="n"/>
      <c r="Q201" s="171" t="inlineStr">
        <is>
          <t>United Kingdom</t>
        </is>
      </c>
      <c r="R201" s="169" t="n">
        <v>46321</v>
      </c>
      <c r="S201" s="170" t="inlineStr">
        <is>
          <t>2026-Q4</t>
        </is>
      </c>
      <c r="T201" s="172" t="inlineStr">
        <is>
          <t>piling</t>
        </is>
      </c>
      <c r="U201" s="160" t="n">
        <v>4</v>
      </c>
      <c r="V201" s="173" t="inlineStr">
        <is>
          <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t>
        </is>
      </c>
      <c r="W201" s="174">
        <f>IF($B201="",0,IF(AND(OR(OR(Dashboard!$B$5="All themes",Dashboard!$B$5=""),$C201=Dashboard!$B$5),OR(OR(Dashboard!$G$5="All uses",Dashboard!$G$5=""),$E201=Dashboard!$G$5),N($D201)&gt;=Lists!$H$2,OR(OR(Dashboard!$N$5="All windows",Dashboard!$N$5=""),$S201=Dashboard!$N$5)),1,0))</f>
        <v/>
      </c>
      <c r="X201" s="175">
        <f>IF($W201=1,N($D201)*1E14+MIN(MAX(N($U201),0),9999)*1E10+MIN(N($K201),99999)*1E5+99999-MIN(ROW(),99999),"")</f>
        <v/>
      </c>
    </row>
    <row r="202" ht="53" customHeight="1">
      <c r="A202" s="160" t="n">
        <v>199</v>
      </c>
      <c r="B202" s="161" t="inlineStr">
        <is>
          <t>Econpile bags RM24m piling contract for 53-storey KL development</t>
        </is>
      </c>
      <c r="C202" s="176" t="inlineStr">
        <is>
          <t>Infrastructure &amp; the Underground City</t>
        </is>
      </c>
      <c r="D202" s="163" t="n">
        <v>3</v>
      </c>
      <c r="E202" s="177" t="inlineStr">
        <is>
          <t>News brief</t>
        </is>
      </c>
      <c r="F202" s="165" t="inlineStr">
        <is>
          <t>To review</t>
        </is>
      </c>
      <c r="G202" s="166" t="n"/>
      <c r="H202" s="167" t="n"/>
      <c r="I202" s="168" t="inlineStr">
        <is>
          <t>What ground investigation and pile testing are needed for a 53-storey tower on Kuala Lumpur ground, and how do they shape the piling contract?</t>
        </is>
      </c>
      <c r="J202" s="168" t="inlineStr">
        <is>
          <t>The Malaysian Reserve</t>
        </is>
      </c>
      <c r="K202" s="169" t="n">
        <v>46322</v>
      </c>
      <c r="L202" s="168" t="n"/>
      <c r="M202" s="168" t="inlineStr">
        <is>
          <t>Econpile Holdings</t>
        </is>
      </c>
      <c r="N202" s="170" t="inlineStr">
        <is>
          <t>Malaysia</t>
        </is>
      </c>
      <c r="O202" s="168" t="inlineStr">
        <is>
          <t>Kuala Lumpur</t>
        </is>
      </c>
      <c r="P202" s="168" t="n"/>
      <c r="Q202" s="171" t="inlineStr">
        <is>
          <t>United Kingdom</t>
        </is>
      </c>
      <c r="R202" s="169" t="n">
        <v>46321</v>
      </c>
      <c r="S202" s="170" t="inlineStr">
        <is>
          <t>2026-Q4</t>
        </is>
      </c>
      <c r="T202" s="172" t="inlineStr">
        <is>
          <t>piling</t>
        </is>
      </c>
      <c r="U202" s="160" t="n">
        <v>4</v>
      </c>
      <c r="V202" s="173" t="inlineStr">
        <is>
          <t>https://news.google.com/rss/articles/CBMirAFBVV95cUxQTEZIM1U0YVZPZDh6TmdLUk5KN01TRHJVZ1lKUmpFWVNpckk1UWRlS0Q2NFl1XzR3T3lmOFhBcGpsbU81ZHE1bGlkTTE5TWgwbzIxb0szSDBFTk5kSUtXVkkwbzAxazNSNjZYUGNWWlNPQVFUbkxfTTk3VU9tVk93NmRnbS1GX0c0c01PbUhhZXVtNEJJNGs0NU9Ucm5OTmx6ekRnb3VPLS1sVkVy?oc=5</t>
        </is>
      </c>
      <c r="W202" s="174">
        <f>IF($B202="",0,IF(AND(OR(OR(Dashboard!$B$5="All themes",Dashboard!$B$5=""),$C202=Dashboard!$B$5),OR(OR(Dashboard!$G$5="All uses",Dashboard!$G$5=""),$E202=Dashboard!$G$5),N($D202)&gt;=Lists!$H$2,OR(OR(Dashboard!$N$5="All windows",Dashboard!$N$5=""),$S202=Dashboard!$N$5)),1,0))</f>
        <v/>
      </c>
      <c r="X202" s="175">
        <f>IF($W202=1,N($D202)*1E14+MIN(MAX(N($U202),0),9999)*1E10+MIN(N($K202),99999)*1E5+99999-MIN(ROW(),99999),"")</f>
        <v/>
      </c>
    </row>
    <row r="203" ht="53" customHeight="1">
      <c r="A203" s="160" t="n">
        <v>200</v>
      </c>
      <c r="B203" s="161" t="inlineStr">
        <is>
          <t>Econpile secures RM24.4 million piling works contract for Kuala Lumpur serviced apartment project</t>
        </is>
      </c>
      <c r="C203" s="176" t="inlineStr">
        <is>
          <t>Infrastructure &amp; the Underground City</t>
        </is>
      </c>
      <c r="D203" s="163" t="n">
        <v>3</v>
      </c>
      <c r="E203" s="179" t="inlineStr">
        <is>
          <t>Watch only</t>
        </is>
      </c>
      <c r="F203" s="165" t="inlineStr">
        <is>
          <t>To review</t>
        </is>
      </c>
      <c r="G203" s="166" t="n"/>
      <c r="H203" s="167" t="n"/>
      <c r="I203" s="168" t="inlineStr">
        <is>
          <t>How does a piling works contract for a serviced apartment project reflect site ground conditions and the choice of pile type in Kuala Lumpur?</t>
        </is>
      </c>
      <c r="J203" s="168" t="inlineStr">
        <is>
          <t>Traders Union</t>
        </is>
      </c>
      <c r="K203" s="169" t="n">
        <v>46322</v>
      </c>
      <c r="L203" s="168" t="n"/>
      <c r="M203" s="168" t="inlineStr">
        <is>
          <t>Econpile Holdings</t>
        </is>
      </c>
      <c r="N203" s="170" t="inlineStr">
        <is>
          <t>Malaysia</t>
        </is>
      </c>
      <c r="O203" s="168" t="inlineStr">
        <is>
          <t>Kuala Lumpur</t>
        </is>
      </c>
      <c r="P203" s="168" t="n"/>
      <c r="Q203" s="171" t="inlineStr">
        <is>
          <t>United Kingdom</t>
        </is>
      </c>
      <c r="R203" s="169" t="n">
        <v>46321</v>
      </c>
      <c r="S203" s="170" t="inlineStr">
        <is>
          <t>2026-Q4</t>
        </is>
      </c>
      <c r="T203" s="172" t="inlineStr">
        <is>
          <t>piling</t>
        </is>
      </c>
      <c r="U203" s="160" t="n">
        <v>4</v>
      </c>
      <c r="V203" s="173" t="inlineStr">
        <is>
          <t>https://news.google.com/rss/articles/CBMikgFBVV95cUxPY2tyYmItR2xIQ0cxdEhaLWhsVzl2Z2YwcEtMbEZDdkx6RUNwcUZ5VzRhcXZzOUREVTJTVFdqR192S0tIalBuMlQ0NjM0MHY2ZldTa2JJbUhGSHFxZ28xME9rVWNwZlJRaTZMNWVGdWVfOFZjQnVueC1ZWE15LUtOd1ZSTGFFTUFUbEV2UEpKUlVDdw?oc=5</t>
        </is>
      </c>
      <c r="W203" s="174">
        <f>IF($B203="",0,IF(AND(OR(OR(Dashboard!$B$5="All themes",Dashboard!$B$5=""),$C203=Dashboard!$B$5),OR(OR(Dashboard!$G$5="All uses",Dashboard!$G$5=""),$E203=Dashboard!$G$5),N($D203)&gt;=Lists!$H$2,OR(OR(Dashboard!$N$5="All windows",Dashboard!$N$5=""),$S203=Dashboard!$N$5)),1,0))</f>
        <v/>
      </c>
      <c r="X203" s="175">
        <f>IF($W203=1,N($D203)*1E14+MIN(MAX(N($U203),0),9999)*1E10+MIN(N($K203),99999)*1E5+99999-MIN(ROW(),99999),"")</f>
        <v/>
      </c>
    </row>
    <row r="204" ht="40.5" customHeight="1">
      <c r="A204" s="160" t="n">
        <v>201</v>
      </c>
      <c r="B204" s="161" t="inlineStr">
        <is>
          <t>Aneka Jaringan secures RM53.35 mil piling contract for IOI Properties project</t>
        </is>
      </c>
      <c r="C204" s="176" t="inlineStr">
        <is>
          <t>Infrastructure &amp; the Underground City</t>
        </is>
      </c>
      <c r="D204" s="163" t="n">
        <v>3</v>
      </c>
      <c r="E204" s="179" t="inlineStr">
        <is>
          <t>Watch only</t>
        </is>
      </c>
      <c r="F204" s="165" t="inlineStr">
        <is>
          <t>To review</t>
        </is>
      </c>
      <c r="G204" s="166" t="n"/>
      <c r="H204" s="167" t="n"/>
      <c r="I204" s="168" t="inlineStr">
        <is>
          <t>What ground conditions and pile design choices drive the piling scope on this IOI Properties development in Malaysia?</t>
        </is>
      </c>
      <c r="J204" s="168" t="inlineStr">
        <is>
          <t>KLSE Screener</t>
        </is>
      </c>
      <c r="K204" s="169" t="n">
        <v>46322</v>
      </c>
      <c r="L204" s="168" t="n"/>
      <c r="M204" s="168" t="inlineStr">
        <is>
          <t>Aneka Jaringan Holdings and IOI Properties</t>
        </is>
      </c>
      <c r="N204" s="170" t="inlineStr">
        <is>
          <t>Malaysia</t>
        </is>
      </c>
      <c r="O204" s="168" t="inlineStr">
        <is>
          <t>IOI Properties project, Malaysia</t>
        </is>
      </c>
      <c r="P204" s="168" t="n"/>
      <c r="Q204" s="171" t="inlineStr">
        <is>
          <t>South Africa</t>
        </is>
      </c>
      <c r="R204" s="169" t="n">
        <v>46321</v>
      </c>
      <c r="S204" s="170" t="inlineStr">
        <is>
          <t>2026-Q4</t>
        </is>
      </c>
      <c r="T204" s="172" t="inlineStr">
        <is>
          <t>piling</t>
        </is>
      </c>
      <c r="U204" s="160" t="n">
        <v>4</v>
      </c>
      <c r="V204" s="173" t="inlineStr">
        <is>
          <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t>
        </is>
      </c>
      <c r="W204" s="174">
        <f>IF($B204="",0,IF(AND(OR(OR(Dashboard!$B$5="All themes",Dashboard!$B$5=""),$C204=Dashboard!$B$5),OR(OR(Dashboard!$G$5="All uses",Dashboard!$G$5=""),$E204=Dashboard!$G$5),N($D204)&gt;=Lists!$H$2,OR(OR(Dashboard!$N$5="All windows",Dashboard!$N$5=""),$S204=Dashboard!$N$5)),1,0))</f>
        <v/>
      </c>
      <c r="X204" s="175">
        <f>IF($W204=1,N($D204)*1E14+MIN(MAX(N($U204),0),9999)*1E10+MIN(N($K204),99999)*1E5+99999-MIN(ROW(),99999),"")</f>
        <v/>
      </c>
    </row>
    <row r="205" ht="53" customHeight="1">
      <c r="A205" s="160" t="n">
        <v>202</v>
      </c>
      <c r="B205" s="161" t="inlineStr">
        <is>
          <t>Lang Be road embankment construction progressing slowly</t>
        </is>
      </c>
      <c r="C205" s="176" t="inlineStr">
        <is>
          <t>Infrastructure &amp; the Underground City</t>
        </is>
      </c>
      <c r="D205" s="163" t="n">
        <v>3</v>
      </c>
      <c r="E205" s="177" t="inlineStr">
        <is>
          <t>News brief</t>
        </is>
      </c>
      <c r="F205" s="165" t="inlineStr">
        <is>
          <t>To review</t>
        </is>
      </c>
      <c r="G205" s="166" t="n"/>
      <c r="H205" s="167" t="n"/>
      <c r="I205" s="168" t="inlineStr">
        <is>
          <t>Why do road embankments on soft ground in the Lang Be area progress slowly, and what settlement and stability monitoring would explain the delays?</t>
        </is>
      </c>
      <c r="J205" s="168" t="inlineStr">
        <is>
          <t>Vietnam.vn</t>
        </is>
      </c>
      <c r="K205" s="169" t="n">
        <v>46322</v>
      </c>
      <c r="L205" s="168" t="inlineStr">
        <is>
          <t>Строительство дорожной насыпи Лан Бе продвигается медленными темпами.</t>
        </is>
      </c>
      <c r="M205" s="168" t="inlineStr">
        <is>
          <t>the Hanoi project management board responsible for the Lang Be road</t>
        </is>
      </c>
      <c r="N205" s="170" t="inlineStr">
        <is>
          <t>Vietnam</t>
        </is>
      </c>
      <c r="O205" s="168" t="inlineStr">
        <is>
          <t>Lang Be, Hanoi</t>
        </is>
      </c>
      <c r="P205" s="168" t="n"/>
      <c r="Q205" s="171" t="inlineStr">
        <is>
          <t>Russia</t>
        </is>
      </c>
      <c r="R205" s="169" t="n">
        <v>46322</v>
      </c>
      <c r="S205" s="170" t="inlineStr">
        <is>
          <t>2026-Q4</t>
        </is>
      </c>
      <c r="T205" s="172" t="inlineStr">
        <is>
          <t>embankment</t>
        </is>
      </c>
      <c r="U205" s="160" t="n">
        <v>3</v>
      </c>
      <c r="V205" s="173" t="inlineStr">
        <is>
          <t>https://news.google.com/rss/articles/CBMibEFVX3lxTE1YU3pCSDNNVjV6cDl1TDRHX3RtZ3hYeDFOcXRaZEp6MlBlTTRGVHAyRURlaTdmV01nV0lHZlYyUXRXWVNTcmltZGxUZmtiVmROanhJdjhTMzJ1aGRHWV8yeC1ZMmZ6TGNKZUthcQ?oc=5</t>
        </is>
      </c>
      <c r="W205" s="174">
        <f>IF($B205="",0,IF(AND(OR(OR(Dashboard!$B$5="All themes",Dashboard!$B$5=""),$C205=Dashboard!$B$5),OR(OR(Dashboard!$G$5="All uses",Dashboard!$G$5=""),$E205=Dashboard!$G$5),N($D205)&gt;=Lists!$H$2,OR(OR(Dashboard!$N$5="All windows",Dashboard!$N$5=""),$S205=Dashboard!$N$5)),1,0))</f>
        <v/>
      </c>
      <c r="X205" s="175">
        <f>IF($W205=1,N($D205)*1E14+MIN(MAX(N($U205),0),9999)*1E10+MIN(N($K205),99999)*1E5+99999-MIN(ROW(),99999),"")</f>
        <v/>
      </c>
    </row>
    <row r="206" ht="53" customHeight="1">
      <c r="A206" s="160" t="n">
        <v>203</v>
      </c>
      <c r="B206" s="161" t="inlineStr">
        <is>
          <t>Zero cycle: how Setl Group builds 3D excavation models with nanoCAD GeoniCS</t>
        </is>
      </c>
      <c r="C206" s="181" t="inlineStr">
        <is>
          <t>Digital Geotechnics</t>
        </is>
      </c>
      <c r="D206" s="163" t="n">
        <v>3</v>
      </c>
      <c r="E206" s="182" t="inlineStr">
        <is>
          <t>Academia-to-Industry topic</t>
        </is>
      </c>
      <c r="F206" s="165" t="inlineStr">
        <is>
          <t>To review</t>
        </is>
      </c>
      <c r="G206" s="166" t="n"/>
      <c r="H206" s="167" t="n"/>
      <c r="I206" s="168" t="inlineStr">
        <is>
          <t>How can 3D excavation models built in CAD software support design checks and construction sequencing for residential excavations?</t>
        </is>
      </c>
      <c r="J206" s="168" t="inlineStr">
        <is>
          <t>Хабр</t>
        </is>
      </c>
      <c r="K206" s="169" t="n">
        <v>46322</v>
      </c>
      <c r="L206" s="168" t="inlineStr">
        <is>
          <t>Нулевой цикл: как в Setl Group создают 3D модели котлованов жилых зданий при помощи nanoCAD GeoniCS</t>
        </is>
      </c>
      <c r="M206" s="168" t="inlineStr">
        <is>
          <t>Setl Group and the nanoCAD GeoniCS software developer</t>
        </is>
      </c>
      <c r="N206" s="170" t="n"/>
      <c r="O206" s="168" t="n"/>
      <c r="P206" s="168" t="inlineStr">
        <is>
          <t>Zero cycle: how Setl Group creates 3D excavation models for residenti… (Oct 2026) · Update · 2 reports</t>
        </is>
      </c>
      <c r="Q206" s="171" t="inlineStr">
        <is>
          <t>Russia</t>
        </is>
      </c>
      <c r="R206" s="169" t="n">
        <v>46321</v>
      </c>
      <c r="S206" s="170" t="inlineStr">
        <is>
          <t>2026-Q4</t>
        </is>
      </c>
      <c r="T206" s="172" t="inlineStr">
        <is>
          <t>excavation</t>
        </is>
      </c>
      <c r="U206" s="160" t="n">
        <v>2</v>
      </c>
      <c r="V206" s="173" t="inlineStr">
        <is>
          <t>https://news.google.com/rss/articles/CBMiWEFVX3lxTE1oQWZRS3psVmdPMm9tLVIxc21LbGc1Um1TdzN6UzVheEp0ZHR4NDV4XzNxLUZ2UDJkYXFiY2ZIbFh6RFo4YWJIbnVEZ1NNX3VBR2FiR2pxRTDSAVhBVV95cUxNaEFmUUt6bFZnTzJvbS1SMXNtS2xnNVJtU3czelM1YXhKdGR0eDQ1eF8zcS1GdlAyZGFxYmNmSGxYekRaOGFiSG51RGdTTV91QUdhYkdqcUUw?oc=5</t>
        </is>
      </c>
      <c r="W206" s="174">
        <f>IF($B206="",0,IF(AND(OR(OR(Dashboard!$B$5="All themes",Dashboard!$B$5=""),$C206=Dashboard!$B$5),OR(OR(Dashboard!$G$5="All uses",Dashboard!$G$5=""),$E206=Dashboard!$G$5),N($D206)&gt;=Lists!$H$2,OR(OR(Dashboard!$N$5="All windows",Dashboard!$N$5=""),$S206=Dashboard!$N$5)),1,0))</f>
        <v/>
      </c>
      <c r="X206" s="175">
        <f>IF($W206=1,N($D206)*1E14+MIN(MAX(N($U206),0),9999)*1E10+MIN(N($K206),99999)*1E5+99999-MIN(ROW(),99999),"")</f>
        <v/>
      </c>
    </row>
    <row r="207" ht="53" customHeight="1">
      <c r="A207" s="160" t="n">
        <v>204</v>
      </c>
      <c r="B207" s="161" t="inlineStr">
        <is>
          <t>Capital Group begins installing strut system for MASTERS house excavation</t>
        </is>
      </c>
      <c r="C207" s="176" t="inlineStr">
        <is>
          <t>Infrastructure &amp; the Underground City</t>
        </is>
      </c>
      <c r="D207" s="163" t="n">
        <v>3</v>
      </c>
      <c r="E207" s="177" t="inlineStr">
        <is>
          <t>News brief</t>
        </is>
      </c>
      <c r="F207" s="165" t="inlineStr">
        <is>
          <t>To review</t>
        </is>
      </c>
      <c r="G207" s="166" t="n"/>
      <c r="H207" s="167" t="n"/>
      <c r="I207" s="168" t="inlineStr">
        <is>
          <t>How do strut systems control wall movements in a Moscow excavation, and what monitoring confirms that adjacent ground stays within limits?</t>
        </is>
      </c>
      <c r="J207" s="168" t="inlineStr">
        <is>
          <t>Движение.ру</t>
        </is>
      </c>
      <c r="K207" s="169" t="n">
        <v>46322</v>
      </c>
      <c r="L207" s="168" t="inlineStr">
        <is>
          <t>Capital Group начала монтаж распорной системы котлована дома МАСТЕРС</t>
        </is>
      </c>
      <c r="M207" s="168" t="inlineStr">
        <is>
          <t>Capital Group</t>
        </is>
      </c>
      <c r="N207" s="170" t="inlineStr">
        <is>
          <t>Russia</t>
        </is>
      </c>
      <c r="O207" s="168" t="inlineStr">
        <is>
          <t>MASTERS residential building, Moscow</t>
        </is>
      </c>
      <c r="P207" s="168" t="n"/>
      <c r="Q207" s="171" t="inlineStr">
        <is>
          <t>Russia</t>
        </is>
      </c>
      <c r="R207" s="169" t="n">
        <v>46321</v>
      </c>
      <c r="S207" s="170" t="inlineStr">
        <is>
          <t>2026-Q4</t>
        </is>
      </c>
      <c r="T207" s="172" t="inlineStr">
        <is>
          <t>excavation</t>
        </is>
      </c>
      <c r="U207" s="160" t="n">
        <v>2</v>
      </c>
      <c r="V207" s="173" t="inlineStr">
        <is>
          <t>https://news.google.com/rss/articles/CBMipAFBVV95cUxOSnlHTzRBMElpQjlidEpEdS1mTng4NzRER1JKNkcxbS02WGh4TkltbWswZ1hILXl0X3QzUkx1NWFTOU9DcXFlVGRJM1Jrc0I4Q1QzQWpGMHFaNU1nbm9tSjVCZk5Sb1dMbXc0cTVPdm1CR2VWZVI3NW1hbURkN3RsMmNDSTlUdjZSMFFYQy0wazBuQmR0VTc4MEZ2czhLQ0hlZ0hEaA?oc=5</t>
        </is>
      </c>
      <c r="W207" s="174">
        <f>IF($B207="",0,IF(AND(OR(OR(Dashboard!$B$5="All themes",Dashboard!$B$5=""),$C207=Dashboard!$B$5),OR(OR(Dashboard!$G$5="All uses",Dashboard!$G$5=""),$E207=Dashboard!$G$5),N($D207)&gt;=Lists!$H$2,OR(OR(Dashboard!$N$5="All windows",Dashboard!$N$5=""),$S207=Dashboard!$N$5)),1,0))</f>
        <v/>
      </c>
      <c r="X207" s="175">
        <f>IF($W207=1,N($D207)*1E14+MIN(MAX(N($U207),0),9999)*1E10+MIN(N($K207),99999)*1E5+99999-MIN(ROW(),99999),"")</f>
        <v/>
      </c>
    </row>
    <row r="208" ht="53" customHeight="1">
      <c r="A208" s="160" t="n">
        <v>205</v>
      </c>
      <c r="B208" s="161" t="inlineStr">
        <is>
          <t>Kumamoto earthquake: 96% of liquefaction sites reoccurred</t>
        </is>
      </c>
      <c r="C208" s="162" t="inlineStr">
        <is>
          <t>Hazards &amp; Resilience</t>
        </is>
      </c>
      <c r="D208" s="163" t="n">
        <v>5</v>
      </c>
      <c r="E208" s="164" t="inlineStr">
        <is>
          <t>Feature lead</t>
        </is>
      </c>
      <c r="F208" s="165" t="inlineStr">
        <is>
          <t>To review</t>
        </is>
      </c>
      <c r="G208" s="166" t="n"/>
      <c r="H208" s="167" t="n"/>
      <c r="I208" s="168" t="inlineStr">
        <is>
          <t>Why do the same sites re-liquefy in repeated earthquakes, and which ground improvement or site-specific measures actually stop recurrence?</t>
        </is>
      </c>
      <c r="J208" s="168" t="inlineStr">
        <is>
          <t>Yahoo!ニュース</t>
        </is>
      </c>
      <c r="K208" s="169" t="n">
        <v>46321</v>
      </c>
      <c r="L208" s="168" t="inlineStr">
        <is>
          <t>熊本地震 液状化地点の96%で再発</t>
        </is>
      </c>
      <c r="M208" s="168" t="inlineStr">
        <is>
          <t>Kumamoto Prefectural Government and the research team behind the liquefaction survey</t>
        </is>
      </c>
      <c r="N208" s="170" t="inlineStr">
        <is>
          <t>Japan</t>
        </is>
      </c>
      <c r="O208" s="168" t="inlineStr">
        <is>
          <t>Kumamoto Prefecture</t>
        </is>
      </c>
      <c r="P208" s="168" t="n"/>
      <c r="Q208" s="171" t="inlineStr">
        <is>
          <t>Japan</t>
        </is>
      </c>
      <c r="R208" s="169" t="n">
        <v>46321</v>
      </c>
      <c r="S208" s="170" t="inlineStr">
        <is>
          <t>2026-Q4</t>
        </is>
      </c>
      <c r="T208" s="172" t="inlineStr">
        <is>
          <t>liquefaction, earthquake</t>
        </is>
      </c>
      <c r="U208" s="160" t="n">
        <v>7</v>
      </c>
      <c r="V208" s="173" t="inlineStr">
        <is>
          <t>https://news.google.com/rss/articles/CBMiUEFVX3lxTE9sUlNwdEcwMURBRkNDb3dEd0NfVFIzaG9RTUMtYkQ0dnNpT3ByQjFVWFJPYkhjWDNqOFlXNkVrOFk3VzB6NHB1MGtjU1Bfa0d6?oc=5</t>
        </is>
      </c>
      <c r="W208" s="174">
        <f>IF($B208="",0,IF(AND(OR(OR(Dashboard!$B$5="All themes",Dashboard!$B$5=""),$C208=Dashboard!$B$5),OR(OR(Dashboard!$G$5="All uses",Dashboard!$G$5=""),$E208=Dashboard!$G$5),N($D208)&gt;=Lists!$H$2,OR(OR(Dashboard!$N$5="All windows",Dashboard!$N$5=""),$S208=Dashboard!$N$5)),1,0))</f>
        <v/>
      </c>
      <c r="X208" s="175">
        <f>IF($W208=1,N($D208)*1E14+MIN(MAX(N($U208),0),9999)*1E10+MIN(N($K208),99999)*1E5+99999-MIN(ROW(),99999),"")</f>
        <v/>
      </c>
    </row>
    <row r="209" ht="53" customHeight="1">
      <c r="A209" s="160" t="n">
        <v>206</v>
      </c>
      <c r="B209" s="161" t="inlineStr">
        <is>
          <t>96% of sites with upper seismic intensity 6 in the Kumamoto earthquake re-liquefied; experts urge advance countermeasures.</t>
        </is>
      </c>
      <c r="C209" s="162" t="inlineStr">
        <is>
          <t>Hazards &amp; Resilience</t>
        </is>
      </c>
      <c r="D209" s="163" t="n">
        <v>5</v>
      </c>
      <c r="E209" s="179" t="inlineStr">
        <is>
          <t>Watch only</t>
        </is>
      </c>
      <c r="F209" s="165" t="inlineStr">
        <is>
          <t>To review</t>
        </is>
      </c>
      <c r="G209" s="166" t="n"/>
      <c r="H209" s="167" t="n"/>
      <c r="I209" s="168" t="inlineStr">
        <is>
          <t>Why do the same sites re-liquefy in repeated earthquakes, and which ground improvement or site-specific measures actually stop recurrence?</t>
        </is>
      </c>
      <c r="J209" s="168" t="inlineStr">
        <is>
          <t>読売新聞</t>
        </is>
      </c>
      <c r="K209" s="169" t="n">
        <v>46321</v>
      </c>
      <c r="L209" s="168" t="inlineStr">
        <is>
          <t>熊本地震「震度６強」の９６％が再液状化…繰り返される被害、専門家は事前対策訴え</t>
        </is>
      </c>
      <c r="M209" s="168" t="inlineStr">
        <is>
          <t>Kumamoto Prefectural Government and the research team behind the liquefaction survey</t>
        </is>
      </c>
      <c r="N209" s="170" t="inlineStr">
        <is>
          <t>Japan</t>
        </is>
      </c>
      <c r="O209" s="168" t="inlineStr">
        <is>
          <t>Kumamoto Prefecture</t>
        </is>
      </c>
      <c r="P209" s="168" t="inlineStr">
        <is>
          <t>Kumamoto earthquake re-liquefaction study, Japan · Event · 5 reports</t>
        </is>
      </c>
      <c r="Q209" s="171" t="inlineStr">
        <is>
          <t>Japan</t>
        </is>
      </c>
      <c r="R209" s="169" t="n">
        <v>46320</v>
      </c>
      <c r="S209" s="170" t="inlineStr">
        <is>
          <t>2026-Q4</t>
        </is>
      </c>
      <c r="T209" s="172" t="inlineStr">
        <is>
          <t>liquefaction, earthquake</t>
        </is>
      </c>
      <c r="U209" s="160" t="n">
        <v>7</v>
      </c>
      <c r="V209" s="173" t="inlineStr">
        <is>
          <t>https://news.google.com/rss/articles/CBMiZkFVX3lxTFA3VmNVcVpnS3U1V0ZuanVlb3VQdnhpaDN3NGlETGFPa3h5bURmWGJUUGJsdjh6SENpWGFUUHNGa3pMbUJNd0FndDBkakstVzV2b0U5bjVMOFRFVDFrTS1ob3RwTTZPZw?oc=5</t>
        </is>
      </c>
      <c r="W209" s="174">
        <f>IF($B209="",0,IF(AND(OR(OR(Dashboard!$B$5="All themes",Dashboard!$B$5=""),$C209=Dashboard!$B$5),OR(OR(Dashboard!$G$5="All uses",Dashboard!$G$5=""),$E209=Dashboard!$G$5),N($D209)&gt;=Lists!$H$2,OR(OR(Dashboard!$N$5="All windows",Dashboard!$N$5=""),$S209=Dashboard!$N$5)),1,0))</f>
        <v/>
      </c>
      <c r="X209" s="175">
        <f>IF($W209=1,N($D209)*1E14+MIN(MAX(N($U209),0),9999)*1E10+MIN(N($K209),99999)*1E5+99999-MIN(ROW(),99999),"")</f>
        <v/>
      </c>
    </row>
    <row r="210" ht="53" customHeight="1">
      <c r="A210" s="160" t="n">
        <v>207</v>
      </c>
      <c r="B210" s="161" t="inlineStr">
        <is>
          <t>Ancient Earthquakes Triggered Massive 10,000-Year-Old Landslides In Kashmir Himalaya, New Study Reveals</t>
        </is>
      </c>
      <c r="C210" s="162" t="inlineStr">
        <is>
          <t>Hazards &amp; Resilience</t>
        </is>
      </c>
      <c r="D210" s="163" t="n">
        <v>5</v>
      </c>
      <c r="E210" s="164" t="inlineStr">
        <is>
          <t>Feature lead</t>
        </is>
      </c>
      <c r="F210" s="165" t="inlineStr">
        <is>
          <t>To review</t>
        </is>
      </c>
      <c r="G210" s="166" t="n"/>
      <c r="H210" s="167" t="n"/>
      <c r="I210" s="168" t="inlineStr">
        <is>
          <t>Can dating of ancient landslide deposits be used to infer earthquake recurrence and slope hazard in tectonically active Himalayan terrain?</t>
        </is>
      </c>
      <c r="J210" s="168" t="inlineStr">
        <is>
          <t>Kashmir Life</t>
        </is>
      </c>
      <c r="K210" s="169" t="n">
        <v>46321</v>
      </c>
      <c r="L210" s="168" t="n"/>
      <c r="M210" s="168" t="inlineStr">
        <is>
          <t>the study's lead research institution (check the journal paper)</t>
        </is>
      </c>
      <c r="N210" s="170" t="inlineStr">
        <is>
          <t>India</t>
        </is>
      </c>
      <c r="O210" s="168" t="inlineStr">
        <is>
          <t>Kashmir Himalaya</t>
        </is>
      </c>
      <c r="P210" s="168" t="n"/>
      <c r="Q210" s="171" t="inlineStr">
        <is>
          <t>United Kingdom</t>
        </is>
      </c>
      <c r="R210" s="169" t="n">
        <v>46321</v>
      </c>
      <c r="S210" s="170" t="inlineStr">
        <is>
          <t>2026-Q4</t>
        </is>
      </c>
      <c r="T210" s="172" t="inlineStr">
        <is>
          <t>landslide, earthquake</t>
        </is>
      </c>
      <c r="U210" s="160" t="n">
        <v>6</v>
      </c>
      <c r="V210" s="173"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210" s="174">
        <f>IF($B210="",0,IF(AND(OR(OR(Dashboard!$B$5="All themes",Dashboard!$B$5=""),$C210=Dashboard!$B$5),OR(OR(Dashboard!$G$5="All uses",Dashboard!$G$5=""),$E210=Dashboard!$G$5),N($D210)&gt;=Lists!$H$2,OR(OR(Dashboard!$N$5="All windows",Dashboard!$N$5=""),$S210=Dashboard!$N$5)),1,0))</f>
        <v/>
      </c>
      <c r="X210" s="175">
        <f>IF($W210=1,N($D210)*1E14+MIN(MAX(N($U210),0),9999)*1E10+MIN(N($K210),99999)*1E5+99999-MIN(ROW(),99999),"")</f>
        <v/>
      </c>
    </row>
    <row r="211" ht="65.5" customHeight="1">
      <c r="A211" s="160" t="n">
        <v>208</v>
      </c>
      <c r="B211" s="161" t="inlineStr">
        <is>
          <t>Niscemi, nine months after the landslide: the town hanging over the void and thirty years of broken promises.</t>
        </is>
      </c>
      <c r="C211" s="162" t="inlineStr">
        <is>
          <t>Hazards &amp; Resilience</t>
        </is>
      </c>
      <c r="D211" s="163" t="n">
        <v>5</v>
      </c>
      <c r="E211" s="164" t="inlineStr">
        <is>
          <t>Feature lead</t>
        </is>
      </c>
      <c r="F211" s="165" t="inlineStr">
        <is>
          <t>To review</t>
        </is>
      </c>
      <c r="G211" s="166" t="n"/>
      <c r="H211" s="167" t="n"/>
      <c r="I211" s="168" t="inlineStr">
        <is>
          <t>Why does a large landslide keep a hilltop town in limbo months later, and what geotechnical monitoring and stabilisation strategy could justify either remaining or relocating residents?</t>
        </is>
      </c>
      <c r="J211" s="168" t="inlineStr">
        <is>
          <t>la Repubblica</t>
        </is>
      </c>
      <c r="K211" s="169" t="n">
        <v>46321</v>
      </c>
      <c r="L211" s="168" t="inlineStr">
        <is>
          <t>Niscemi, nove mesi dopo la frana: la città sospesa sul vuoto e trent'anni di promesse tradite</t>
        </is>
      </c>
      <c r="M211" s="168" t="inlineStr">
        <is>
          <t>Italian Civil Protection Department and Comune di Niscemi</t>
        </is>
      </c>
      <c r="N211" s="170" t="inlineStr">
        <is>
          <t>Italy</t>
        </is>
      </c>
      <c r="O211" s="168" t="inlineStr">
        <is>
          <t>Niscemi, Sicily</t>
        </is>
      </c>
      <c r="P211" s="168" t="inlineStr">
        <is>
          <t>Niscemi landslide, Sicily (Jan 2026) · Update · 6 reports</t>
        </is>
      </c>
      <c r="Q211" s="171" t="inlineStr">
        <is>
          <t>Italy</t>
        </is>
      </c>
      <c r="R211" s="169" t="n">
        <v>46321</v>
      </c>
      <c r="S211" s="170" t="inlineStr">
        <is>
          <t>2026-Q4</t>
        </is>
      </c>
      <c r="T211" s="172" t="inlineStr">
        <is>
          <t>landslide</t>
        </is>
      </c>
      <c r="U211" s="160" t="n">
        <v>4</v>
      </c>
      <c r="V211" s="173"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211" s="174">
        <f>IF($B211="",0,IF(AND(OR(OR(Dashboard!$B$5="All themes",Dashboard!$B$5=""),$C211=Dashboard!$B$5),OR(OR(Dashboard!$G$5="All uses",Dashboard!$G$5=""),$E211=Dashboard!$G$5),N($D211)&gt;=Lists!$H$2,OR(OR(Dashboard!$N$5="All windows",Dashboard!$N$5=""),$S211=Dashboard!$N$5)),1,0))</f>
        <v/>
      </c>
      <c r="X211" s="175">
        <f>IF($W211=1,N($D211)*1E14+MIN(MAX(N($U211),0),9999)*1E10+MIN(N($K211),99999)*1E5+99999-MIN(ROW(),99999),"")</f>
        <v/>
      </c>
    </row>
    <row r="212" ht="65.5" customHeight="1">
      <c r="A212" s="160" t="n">
        <v>209</v>
      </c>
      <c r="B212" s="161" t="inlineStr">
        <is>
          <t>Liu Yushui garden earth collapse kills; SAM says it warned repeatedly about hillside development risks</t>
        </is>
      </c>
      <c r="C212" s="162" t="inlineStr">
        <is>
          <t>Hazards &amp; Resilience</t>
        </is>
      </c>
      <c r="D212" s="163" t="n">
        <v>5</v>
      </c>
      <c r="E212" s="164" t="inlineStr">
        <is>
          <t>Feature lead</t>
        </is>
      </c>
      <c r="F212" s="165" t="inlineStr">
        <is>
          <t>To review</t>
        </is>
      </c>
      <c r="G212" s="166" t="n"/>
      <c r="H212" s="167" t="n"/>
      <c r="I212" s="168" t="inlineStr">
        <is>
          <t>How do hillside development practices and repeated unheeded warnings contribute to fatal slope failures, and what geotechnical due diligence should apply to hillside housing?</t>
        </is>
      </c>
      <c r="J212" s="168" t="inlineStr">
        <is>
          <t>China Press</t>
        </is>
      </c>
      <c r="K212" s="169" t="n">
        <v>46321</v>
      </c>
      <c r="L212" s="168" t="inlineStr">
        <is>
          <t>刘玉水花园土崩夺命 SAM：已多次警告 山坡发展风险</t>
        </is>
      </c>
      <c r="M212" s="168" t="inlineStr">
        <is>
          <t>Penang state government and the police</t>
        </is>
      </c>
      <c r="N212" s="170" t="inlineStr">
        <is>
          <t>Malaysia</t>
        </is>
      </c>
      <c r="O212" s="168" t="n"/>
      <c r="P212" s="168" t="inlineStr">
        <is>
          <t>Paya Terubong landslide, Penang, Malaysia (Oct 2026) · Investigation &amp; inquiry · 9 reports</t>
        </is>
      </c>
      <c r="Q212" s="171" t="inlineStr">
        <is>
          <t>China</t>
        </is>
      </c>
      <c r="R212" s="169" t="n">
        <v>46320</v>
      </c>
      <c r="S212" s="170" t="inlineStr">
        <is>
          <t>2026-Q4</t>
        </is>
      </c>
      <c r="T212" s="172" t="inlineStr">
        <is>
          <t>slope</t>
        </is>
      </c>
      <c r="U212" s="160" t="n">
        <v>2</v>
      </c>
      <c r="V212" s="173"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212" s="174">
        <f>IF($B212="",0,IF(AND(OR(OR(Dashboard!$B$5="All themes",Dashboard!$B$5=""),$C212=Dashboard!$B$5),OR(OR(Dashboard!$G$5="All uses",Dashboard!$G$5=""),$E212=Dashboard!$G$5),N($D212)&gt;=Lists!$H$2,OR(OR(Dashboard!$N$5="All windows",Dashboard!$N$5=""),$S212=Dashboard!$N$5)),1,0))</f>
        <v/>
      </c>
      <c r="X212" s="175">
        <f>IF($W212=1,N($D212)*1E14+MIN(MAX(N($U212),0),9999)*1E10+MIN(N($K212),99999)*1E5+99999-MIN(ROW(),99999),"")</f>
        <v/>
      </c>
    </row>
    <row r="213" ht="65.5" customHeight="1">
      <c r="A213" s="160" t="n">
        <v>210</v>
      </c>
      <c r="B213" s="161" t="inlineStr">
        <is>
          <t>Ground crumbles and gas escapes: thousands of dangerous sites identified in Yamal</t>
        </is>
      </c>
      <c r="C213" s="178" t="inlineStr">
        <is>
          <t>Sustainability &amp; the Energy Transition</t>
        </is>
      </c>
      <c r="D213" s="163" t="n">
        <v>5</v>
      </c>
      <c r="E213" s="164" t="inlineStr">
        <is>
          <t>Feature lead</t>
        </is>
      </c>
      <c r="F213" s="165" t="inlineStr">
        <is>
          <t>To review</t>
        </is>
      </c>
      <c r="G213" s="166" t="n"/>
      <c r="H213" s="167" t="n"/>
      <c r="I213" s="168" t="inlineStr">
        <is>
          <t>How is permafrost thaw and gas migration causing ground collapse and craters across Yamal, and what monitoring and foundation strategies can manage thousands of hazardous sites?</t>
        </is>
      </c>
      <c r="J213" s="168" t="inlineStr">
        <is>
          <t>Life.ru</t>
        </is>
      </c>
      <c r="K213" s="169" t="n">
        <v>46321</v>
      </c>
      <c r="L213" s="168" t="inlineStr">
        <is>
          <t>Грунт рушится, а газ рвётся наружу: На Ямале выявили тысячи опасных участков</t>
        </is>
      </c>
      <c r="M213" s="168" t="inlineStr">
        <is>
          <t>Yamal regional authorities and the gas operators</t>
        </is>
      </c>
      <c r="N213" s="170" t="inlineStr">
        <is>
          <t>Russia</t>
        </is>
      </c>
      <c r="O213" s="168" t="inlineStr">
        <is>
          <t>Yamal</t>
        </is>
      </c>
      <c r="P213" s="168" t="n"/>
      <c r="Q213" s="171" t="inlineStr">
        <is>
          <t>Russia</t>
        </is>
      </c>
      <c r="R213" s="169" t="n">
        <v>46320</v>
      </c>
      <c r="S213" s="170" t="inlineStr">
        <is>
          <t>2026-Q4</t>
        </is>
      </c>
      <c r="T213" s="172" t="inlineStr">
        <is>
          <t>soil</t>
        </is>
      </c>
      <c r="U213" s="160" t="n">
        <v>1</v>
      </c>
      <c r="V213" s="173" t="inlineStr">
        <is>
          <t>https://news.google.com/rss/articles/CBMilgFBVV95cUxNdFl6QWFvMFBRQ3hMOFc2S0hRdkIzNWViQXFZaFB1b2h5eEx5czUwbnhOeFNKX3MybWRfLVhhdlJjb0s0eFUtMDloNFJoUTEtb0dRRElGdllDbFVOejZFS0o4NzUwN2lhNlkyMzdlZzBCR1NpaXhKN1ZSZjZHRG1RV1JFQVpJRFNxQW1xcTBZWUMxWnVxRnc?oc=5</t>
        </is>
      </c>
      <c r="W213" s="174">
        <f>IF($B213="",0,IF(AND(OR(OR(Dashboard!$B$5="All themes",Dashboard!$B$5=""),$C213=Dashboard!$B$5),OR(OR(Dashboard!$G$5="All uses",Dashboard!$G$5=""),$E213=Dashboard!$G$5),N($D213)&gt;=Lists!$H$2,OR(OR(Dashboard!$N$5="All windows",Dashboard!$N$5=""),$S213=Dashboard!$N$5)),1,0))</f>
        <v/>
      </c>
      <c r="X213" s="175">
        <f>IF($W213=1,N($D213)*1E14+MIN(MAX(N($U213),0),9999)*1E10+MIN(N($K213),99999)*1E5+99999-MIN(ROW(),99999),"")</f>
        <v/>
      </c>
    </row>
    <row r="214" ht="53" customHeight="1">
      <c r="A214" s="160" t="n">
        <v>211</v>
      </c>
      <c r="B214" s="161" t="inlineStr">
        <is>
          <t>Silkyara tunnel may open before the upcoming Char Dham yatra, company claims; Yamunotri distance to shrink by 26 km</t>
        </is>
      </c>
      <c r="C214" s="176" t="inlineStr">
        <is>
          <t>Infrastructure &amp; the Underground City</t>
        </is>
      </c>
      <c r="D214" s="163" t="n">
        <v>5</v>
      </c>
      <c r="E214" s="164" t="inlineStr">
        <is>
          <t>Feature lead</t>
        </is>
      </c>
      <c r="F214" s="165" t="inlineStr">
        <is>
          <t>To review</t>
        </is>
      </c>
      <c r="G214" s="166" t="n"/>
      <c r="H214" s="167" t="n"/>
      <c r="I214" s="168" t="inlineStr">
        <is>
          <t>What ground stabilisation and rock mass conditions must be verified before a collapsed Himalayan tunnel can safely reopen, and how credible is the proposed schedule?</t>
        </is>
      </c>
      <c r="J214" s="168" t="inlineStr">
        <is>
          <t>Dainik Bhaskar</t>
        </is>
      </c>
      <c r="K214" s="169" t="n">
        <v>46321</v>
      </c>
      <c r="L214" s="168" t="inlineStr">
        <is>
          <t>सिलक्यारा टनल आगामी चारधाम यात्रा तक खुल सकती है: कंपनी का दावा; यमुनोत्री धाम की 26 किमी दूरी घटेगी, समय औ...</t>
        </is>
      </c>
      <c r="M214" s="168" t="inlineStr">
        <is>
          <t>NHIDCL (the project owner) and the contractor</t>
        </is>
      </c>
      <c r="N214" s="170" t="inlineStr">
        <is>
          <t>India</t>
        </is>
      </c>
      <c r="O214" s="168" t="inlineStr">
        <is>
          <t>Silkyara tunnel, Uttarkashi</t>
        </is>
      </c>
      <c r="P214" s="168" t="inlineStr">
        <is>
          <t>Silkyara tunnel, Uttarkashi, India · Event · 2 reports</t>
        </is>
      </c>
      <c r="Q214" s="171" t="inlineStr">
        <is>
          <t>India</t>
        </is>
      </c>
      <c r="R214" s="169" t="n">
        <v>46320</v>
      </c>
      <c r="S214" s="170" t="inlineStr">
        <is>
          <t>2026-Q4</t>
        </is>
      </c>
      <c r="T214" s="172" t="n"/>
      <c r="U214" s="160" t="n">
        <v>0</v>
      </c>
      <c r="V214" s="173"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214" s="174">
        <f>IF($B214="",0,IF(AND(OR(OR(Dashboard!$B$5="All themes",Dashboard!$B$5=""),$C214=Dashboard!$B$5),OR(OR(Dashboard!$G$5="All uses",Dashboard!$G$5=""),$E214=Dashboard!$G$5),N($D214)&gt;=Lists!$H$2,OR(OR(Dashboard!$N$5="All windows",Dashboard!$N$5=""),$S214=Dashboard!$N$5)),1,0))</f>
        <v/>
      </c>
      <c r="X214" s="175">
        <f>IF($W214=1,N($D214)*1E14+MIN(MAX(N($U214),0),9999)*1E10+MIN(N($K214),99999)*1E5+99999-MIN(ROW(),99999),"")</f>
        <v/>
      </c>
    </row>
    <row r="215" ht="53" customHeight="1">
      <c r="A215" s="160" t="n">
        <v>212</v>
      </c>
      <c r="B215" s="161" t="inlineStr">
        <is>
          <t>Rock blocks over 500 tonnes threaten Turkey–Georgia road; experts demand inspection of 50 km</t>
        </is>
      </c>
      <c r="C215" s="162" t="inlineStr">
        <is>
          <t>Hazards &amp; Resilience</t>
        </is>
      </c>
      <c r="D215" s="163" t="n">
        <v>5</v>
      </c>
      <c r="E215" s="164" t="inlineStr">
        <is>
          <t>Feature lead</t>
        </is>
      </c>
      <c r="F215" s="165" t="inlineStr">
        <is>
          <t>To review</t>
        </is>
      </c>
      <c r="G215" s="166" t="n"/>
      <c r="H215" s="167" t="n"/>
      <c r="I215" s="168" t="inlineStr">
        <is>
          <t>How can rockfall hazard along a mountain highway be assessed for very large blocks, and what slope-scaling and stabilisation approach suits a 50 km stretch?</t>
        </is>
      </c>
      <c r="J215" s="168" t="inlineStr">
        <is>
          <t>تركيا عاجل</t>
        </is>
      </c>
      <c r="K215" s="169" t="n">
        <v>46321</v>
      </c>
      <c r="L215" s="168" t="inlineStr">
        <is>
          <t>كتل صخرية تتجاوز 500 طن تهدد طريق تركيا-جورجيا.. خبراء يطالبون بفحص 50 كيلومترًا</t>
        </is>
      </c>
      <c r="M215" s="168" t="inlineStr">
        <is>
          <t>the General Directorate of Highways (KGM)</t>
        </is>
      </c>
      <c r="N215" s="170" t="inlineStr">
        <is>
          <t>Türkiye</t>
        </is>
      </c>
      <c r="O215" s="168" t="inlineStr">
        <is>
          <t>Turkey–Georgia road</t>
        </is>
      </c>
      <c r="P215" s="168" t="n"/>
      <c r="Q215" s="171" t="inlineStr">
        <is>
          <t>Egypt</t>
        </is>
      </c>
      <c r="R215" s="169" t="n">
        <v>46320</v>
      </c>
      <c r="S215" s="170" t="inlineStr">
        <is>
          <t>2026-Q4</t>
        </is>
      </c>
      <c r="T215" s="172" t="n"/>
      <c r="U215" s="160" t="n">
        <v>0</v>
      </c>
      <c r="V215" s="173"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215" s="174">
        <f>IF($B215="",0,IF(AND(OR(OR(Dashboard!$B$5="All themes",Dashboard!$B$5=""),$C215=Dashboard!$B$5),OR(OR(Dashboard!$G$5="All uses",Dashboard!$G$5=""),$E215=Dashboard!$G$5),N($D215)&gt;=Lists!$H$2,OR(OR(Dashboard!$N$5="All windows",Dashboard!$N$5=""),$S215=Dashboard!$N$5)),1,0))</f>
        <v/>
      </c>
      <c r="X215" s="175">
        <f>IF($W215=1,N($D215)*1E14+MIN(MAX(N($U215),0),9999)*1E10+MIN(N($K215),99999)*1E5+99999-MIN(ROW(),99999),"")</f>
        <v/>
      </c>
    </row>
    <row r="216" ht="53" customHeight="1">
      <c r="A216" s="160" t="n">
        <v>213</v>
      </c>
      <c r="B216" s="161" t="inlineStr">
        <is>
          <t>Longwei earth collapse death: autopsy report released, cause is traumatic asphyxia</t>
        </is>
      </c>
      <c r="C216" s="162" t="inlineStr">
        <is>
          <t>Hazards &amp; Resilience</t>
        </is>
      </c>
      <c r="D216" s="163" t="n">
        <v>5</v>
      </c>
      <c r="E216" s="164" t="inlineStr">
        <is>
          <t>Feature lead</t>
        </is>
      </c>
      <c r="F216" s="165" t="inlineStr">
        <is>
          <t>To review</t>
        </is>
      </c>
      <c r="G216" s="166" t="n"/>
      <c r="H216" s="167" t="n"/>
      <c r="I216" s="168" t="inlineStr">
        <is>
          <t>What does the post-mortem finding of a traumatic death reveal about the safety of hillside collapse rescue and the failure of earlier slope warnings?</t>
        </is>
      </c>
      <c r="J216" s="168" t="inlineStr">
        <is>
          <t>China Press</t>
        </is>
      </c>
      <c r="K216" s="169" t="n">
        <v>46321</v>
      </c>
      <c r="L216" s="168" t="inlineStr">
        <is>
          <t>垄尾土崩酿一死｜死者解剖报告出炉 死因是创伤性窒息</t>
        </is>
      </c>
      <c r="M216" s="168" t="inlineStr">
        <is>
          <t>Penang state government and the police</t>
        </is>
      </c>
      <c r="N216" s="170" t="inlineStr">
        <is>
          <t>Malaysia</t>
        </is>
      </c>
      <c r="O216" s="168" t="n"/>
      <c r="P216" s="168" t="n"/>
      <c r="Q216" s="171" t="inlineStr">
        <is>
          <t>China</t>
        </is>
      </c>
      <c r="R216" s="169" t="n">
        <v>46321</v>
      </c>
      <c r="S216" s="170" t="inlineStr">
        <is>
          <t>2026-Q4</t>
        </is>
      </c>
      <c r="T216" s="172" t="n"/>
      <c r="U216" s="160" t="n">
        <v>0</v>
      </c>
      <c r="V216" s="173"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216" s="174">
        <f>IF($B216="",0,IF(AND(OR(OR(Dashboard!$B$5="All themes",Dashboard!$B$5=""),$C216=Dashboard!$B$5),OR(OR(Dashboard!$G$5="All uses",Dashboard!$G$5=""),$E216=Dashboard!$G$5),N($D216)&gt;=Lists!$H$2,OR(OR(Dashboard!$N$5="All windows",Dashboard!$N$5=""),$S216=Dashboard!$N$5)),1,0))</f>
        <v/>
      </c>
      <c r="X216" s="175">
        <f>IF($W216=1,N($D216)*1E14+MIN(MAX(N($U216),0),9999)*1E10+MIN(N($K216),99999)*1E5+99999-MIN(ROW(),99999),"")</f>
        <v/>
      </c>
    </row>
    <row r="217" ht="53" customHeight="1">
      <c r="A217" s="160" t="n">
        <v>214</v>
      </c>
      <c r="B217" s="161" t="inlineStr">
        <is>
          <t>Slope collapse affects basements and shops of a shopping plaza in Cuajimalpa</t>
        </is>
      </c>
      <c r="C217" s="162" t="inlineStr">
        <is>
          <t>Hazards &amp; Resilience</t>
        </is>
      </c>
      <c r="D217" s="163" t="n">
        <v>4</v>
      </c>
      <c r="E217" s="164" t="inlineStr">
        <is>
          <t>Feature lead</t>
        </is>
      </c>
      <c r="F217" s="165" t="inlineStr">
        <is>
          <t>To review</t>
        </is>
      </c>
      <c r="G217" s="166" t="n"/>
      <c r="H217" s="167" t="n"/>
      <c r="I217" s="168" t="inlineStr">
        <is>
          <t>How should basements and retail excavations beside unstable natural slopes be designed and monitored so that slope movement does not reach occupied spaces?</t>
        </is>
      </c>
      <c r="J217" s="168" t="inlineStr">
        <is>
          <t>El Universal</t>
        </is>
      </c>
      <c r="K217" s="169" t="n">
        <v>46321</v>
      </c>
      <c r="L217" s="168" t="inlineStr">
        <is>
          <t>Deslizamiento de talud afecta sótanos y locales de plaza comercial en Cuajimalpa</t>
        </is>
      </c>
      <c r="M217" s="168" t="inlineStr">
        <is>
          <t>Mexico City Protección Civil and the borough's building authority</t>
        </is>
      </c>
      <c r="N217" s="170" t="inlineStr">
        <is>
          <t>Mexico</t>
        </is>
      </c>
      <c r="O217" s="168" t="inlineStr">
        <is>
          <t>Cuajimalpa, Mexico City</t>
        </is>
      </c>
      <c r="P217" s="168" t="n"/>
      <c r="Q217" s="171" t="inlineStr">
        <is>
          <t>Spain</t>
        </is>
      </c>
      <c r="R217" s="169" t="n">
        <v>46321</v>
      </c>
      <c r="S217" s="170" t="inlineStr">
        <is>
          <t>2026-Q4</t>
        </is>
      </c>
      <c r="T217" s="172" t="inlineStr">
        <is>
          <t>landslide, retaining wall</t>
        </is>
      </c>
      <c r="U217" s="160" t="n">
        <v>8</v>
      </c>
      <c r="V217" s="173"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217" s="174">
        <f>IF($B217="",0,IF(AND(OR(OR(Dashboard!$B$5="All themes",Dashboard!$B$5=""),$C217=Dashboard!$B$5),OR(OR(Dashboard!$G$5="All uses",Dashboard!$G$5=""),$E217=Dashboard!$G$5),N($D217)&gt;=Lists!$H$2,OR(OR(Dashboard!$N$5="All windows",Dashboard!$N$5=""),$S217=Dashboard!$N$5)),1,0))</f>
        <v/>
      </c>
      <c r="X217" s="175">
        <f>IF($W217=1,N($D217)*1E14+MIN(MAX(N($U217),0),9999)*1E10+MIN(N($K217),99999)*1E5+99999-MIN(ROW(),99999),"")</f>
        <v/>
      </c>
    </row>
    <row r="218" ht="53" customHeight="1">
      <c r="A218" s="160" t="n">
        <v>215</v>
      </c>
      <c r="B218" s="161" t="inlineStr">
        <is>
          <t>Heavy landslide at Centro Santa Fe: 30-meter slope collapses and affects shops</t>
        </is>
      </c>
      <c r="C218" s="162" t="inlineStr">
        <is>
          <t>Hazards &amp; Resilience</t>
        </is>
      </c>
      <c r="D218" s="163" t="n">
        <v>4</v>
      </c>
      <c r="E218" s="164" t="inlineStr">
        <is>
          <t>Feature lead</t>
        </is>
      </c>
      <c r="F218" s="165" t="inlineStr">
        <is>
          <t>To review</t>
        </is>
      </c>
      <c r="G218" s="166" t="n"/>
      <c r="H218" s="167" t="n"/>
      <c r="I218" s="168" t="inlineStr">
        <is>
          <t>What failure mechanisms could bring down a 30 m cut slope in a dense urban business district, and what monitoring would have given early warning?</t>
        </is>
      </c>
      <c r="J218" s="168" t="inlineStr">
        <is>
          <t>PostaMx</t>
        </is>
      </c>
      <c r="K218" s="169" t="n">
        <v>46321</v>
      </c>
      <c r="L218" s="168" t="inlineStr">
        <is>
          <t>Fuerte deslave en Centro Santa Fe: colapsa talud de 30 metros y afecta locales</t>
        </is>
      </c>
      <c r="M218" s="168" t="inlineStr">
        <is>
          <t>Mexico City Protección Civil and the developer's geotechnical consultant</t>
        </is>
      </c>
      <c r="N218" s="170" t="inlineStr">
        <is>
          <t>Mexico</t>
        </is>
      </c>
      <c r="O218" s="168" t="inlineStr">
        <is>
          <t>Centro Santa Fe, Mexico City</t>
        </is>
      </c>
      <c r="P218" s="168" t="inlineStr">
        <is>
          <t>Centro Santa Fe slope collapse, Mexico City (Oct 2026) · Event · 2 reports</t>
        </is>
      </c>
      <c r="Q218" s="171" t="inlineStr">
        <is>
          <t>Spain</t>
        </is>
      </c>
      <c r="R218" s="169" t="n">
        <v>46321</v>
      </c>
      <c r="S218" s="170" t="inlineStr">
        <is>
          <t>2026-Q4</t>
        </is>
      </c>
      <c r="T218" s="172" t="inlineStr">
        <is>
          <t>landslide, retaining wall</t>
        </is>
      </c>
      <c r="U218" s="160" t="n">
        <v>8</v>
      </c>
      <c r="V218" s="173"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218" s="174">
        <f>IF($B218="",0,IF(AND(OR(OR(Dashboard!$B$5="All themes",Dashboard!$B$5=""),$C218=Dashboard!$B$5),OR(OR(Dashboard!$G$5="All uses",Dashboard!$G$5=""),$E218=Dashboard!$G$5),N($D218)&gt;=Lists!$H$2,OR(OR(Dashboard!$N$5="All windows",Dashboard!$N$5=""),$S218=Dashboard!$N$5)),1,0))</f>
        <v/>
      </c>
      <c r="X218" s="175">
        <f>IF($W218=1,N($D218)*1E14+MIN(MAX(N($U218),0),9999)*1E10+MIN(N($K218),99999)*1E5+99999-MIN(ROW(),99999),"")</f>
        <v/>
      </c>
    </row>
    <row r="219" ht="53" customHeight="1">
      <c r="A219" s="160" t="n">
        <v>216</v>
      </c>
      <c r="B219" s="161" t="inlineStr">
        <is>
          <t>Progress review of dyke and retaining wall packages to prevent landslides along the Tien River.</t>
        </is>
      </c>
      <c r="C219" s="162" t="inlineStr">
        <is>
          <t>Hazards &amp; Resilience</t>
        </is>
      </c>
      <c r="D219" s="163" t="n">
        <v>4</v>
      </c>
      <c r="E219" s="183" t="inlineStr">
        <is>
          <t>Regional insight</t>
        </is>
      </c>
      <c r="F219" s="165" t="inlineStr">
        <is>
          <t>To review</t>
        </is>
      </c>
      <c r="G219" s="166" t="n"/>
      <c r="H219" s="167" t="n"/>
      <c r="I219" s="168" t="inlineStr">
        <is>
          <t>What design and construction sequencing issues arise when riverbank dykes and retaining walls are upgraded in stages along an active erosion-prone river?</t>
        </is>
      </c>
      <c r="J219" s="168" t="inlineStr">
        <is>
          <t>Vietnam.vn</t>
        </is>
      </c>
      <c r="K219" s="169" t="n">
        <v>46321</v>
      </c>
      <c r="L219" s="168" t="inlineStr">
        <is>
          <t>Meninjau kemajuan paket konstruksi dalam Proyek peningkatan tanggul dan dinding penahan untuk mencegah tanah longsor di sepanjang Sungai Tien.</t>
        </is>
      </c>
      <c r="M219" s="168" t="inlineStr">
        <is>
          <t>the provincial project management board for the Tien River dyke works</t>
        </is>
      </c>
      <c r="N219" s="170" t="inlineStr">
        <is>
          <t>Vietnam</t>
        </is>
      </c>
      <c r="O219" s="168" t="inlineStr">
        <is>
          <t>Tien River, Vietnam</t>
        </is>
      </c>
      <c r="P219" s="168" t="n"/>
      <c r="Q219" s="171" t="inlineStr">
        <is>
          <t>Indonesia</t>
        </is>
      </c>
      <c r="R219" s="169" t="n">
        <v>46319</v>
      </c>
      <c r="S219" s="170" t="inlineStr">
        <is>
          <t>2026-Q4</t>
        </is>
      </c>
      <c r="T219" s="172" t="inlineStr">
        <is>
          <t>landslide, embankment</t>
        </is>
      </c>
      <c r="U219" s="160" t="n">
        <v>7</v>
      </c>
      <c r="V219" s="173"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219" s="174">
        <f>IF($B219="",0,IF(AND(OR(OR(Dashboard!$B$5="All themes",Dashboard!$B$5=""),$C219=Dashboard!$B$5),OR(OR(Dashboard!$G$5="All uses",Dashboard!$G$5=""),$E219=Dashboard!$G$5),N($D219)&gt;=Lists!$H$2,OR(OR(Dashboard!$N$5="All windows",Dashboard!$N$5=""),$S219=Dashboard!$N$5)),1,0))</f>
        <v/>
      </c>
      <c r="X219" s="175">
        <f>IF($W219=1,N($D219)*1E14+MIN(MAX(N($U219),0),9999)*1E10+MIN(N($K219),99999)*1E5+99999-MIN(ROW(),99999),"")</f>
        <v/>
      </c>
    </row>
    <row r="220" ht="53" customHeight="1">
      <c r="A220" s="160" t="n">
        <v>217</v>
      </c>
      <c r="B220" s="161" t="inlineStr">
        <is>
          <t>No signs of further slope movement at Paya Terubong landslide site, says MBPP</t>
        </is>
      </c>
      <c r="C220" s="162" t="inlineStr">
        <is>
          <t>Hazards &amp; Resilience</t>
        </is>
      </c>
      <c r="D220" s="163" t="n">
        <v>4</v>
      </c>
      <c r="E220" s="164" t="inlineStr">
        <is>
          <t>Feature lead</t>
        </is>
      </c>
      <c r="F220" s="165" t="inlineStr">
        <is>
          <t>To review</t>
        </is>
      </c>
      <c r="G220" s="166" t="n"/>
      <c r="H220" s="167" t="n"/>
      <c r="I220" s="168" t="inlineStr">
        <is>
          <t>How should a landslide site be judged stable again after movement stops, and what monitoring period is needed before reoccupation?</t>
        </is>
      </c>
      <c r="J220" s="168" t="inlineStr">
        <is>
          <t>The Star</t>
        </is>
      </c>
      <c r="K220" s="169" t="n">
        <v>46321</v>
      </c>
      <c r="L220" s="168" t="n"/>
      <c r="M220" s="168" t="inlineStr">
        <is>
          <t>Penang Municipal Council (MBPP)</t>
        </is>
      </c>
      <c r="N220" s="170" t="inlineStr">
        <is>
          <t>Malaysia</t>
        </is>
      </c>
      <c r="O220" s="168" t="inlineStr">
        <is>
          <t>Paya Terubong, Penang</t>
        </is>
      </c>
      <c r="P220" s="168" t="inlineStr">
        <is>
          <t>Paya Terubong landslide, Penang, Malaysia (Oct 2026) · Response &amp; recovery · 9 reports</t>
        </is>
      </c>
      <c r="Q220" s="171" t="inlineStr">
        <is>
          <t>United Kingdom</t>
        </is>
      </c>
      <c r="R220" s="169" t="n">
        <v>46321</v>
      </c>
      <c r="S220" s="170" t="inlineStr">
        <is>
          <t>2026-Q4</t>
        </is>
      </c>
      <c r="T220" s="172" t="inlineStr">
        <is>
          <t>landslide, slope</t>
        </is>
      </c>
      <c r="U220" s="160" t="n">
        <v>6</v>
      </c>
      <c r="V220" s="173"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220" s="174">
        <f>IF($B220="",0,IF(AND(OR(OR(Dashboard!$B$5="All themes",Dashboard!$B$5=""),$C220=Dashboard!$B$5),OR(OR(Dashboard!$G$5="All uses",Dashboard!$G$5=""),$E220=Dashboard!$G$5),N($D220)&gt;=Lists!$H$2,OR(OR(Dashboard!$N$5="All windows",Dashboard!$N$5=""),$S220=Dashboard!$N$5)),1,0))</f>
        <v/>
      </c>
      <c r="X220" s="175">
        <f>IF($W220=1,N($D220)*1E14+MIN(MAX(N($U220),0),9999)*1E10+MIN(N($K220),99999)*1E5+99999-MIN(ROW(),99999),"")</f>
        <v/>
      </c>
    </row>
    <row r="221" ht="53" customHeight="1">
      <c r="A221" s="160" t="n">
        <v>218</v>
      </c>
      <c r="B221" s="161" t="inlineStr">
        <is>
          <t>State Govt urged to act on slope safety after landslide kills 73-year-old doctor</t>
        </is>
      </c>
      <c r="C221" s="162" t="inlineStr">
        <is>
          <t>Hazards &amp; Resilience</t>
        </is>
      </c>
      <c r="D221" s="163" t="n">
        <v>4</v>
      </c>
      <c r="E221" s="164" t="inlineStr">
        <is>
          <t>Feature lead</t>
        </is>
      </c>
      <c r="F221" s="165" t="inlineStr">
        <is>
          <t>To review</t>
        </is>
      </c>
      <c r="G221" s="166" t="n"/>
      <c r="H221" s="167" t="n"/>
      <c r="I221" s="168" t="inlineStr">
        <is>
          <t>What would a credible state-wide slope inventory and maintenance regime look like for hill-slope housing in tropical, rain-driven terrain?</t>
        </is>
      </c>
      <c r="J221" s="168" t="inlineStr">
        <is>
          <t>The Vibes</t>
        </is>
      </c>
      <c r="K221" s="169" t="n">
        <v>46321</v>
      </c>
      <c r="L221" s="168" t="n"/>
      <c r="M221" s="168" t="inlineStr">
        <is>
          <t>Penang state government and its slope safety authority</t>
        </is>
      </c>
      <c r="N221" s="170" t="inlineStr">
        <is>
          <t>Malaysia</t>
        </is>
      </c>
      <c r="O221" s="168" t="inlineStr">
        <is>
          <t>Penang</t>
        </is>
      </c>
      <c r="P221" s="168" t="inlineStr">
        <is>
          <t>Paya Terubong landslide, Penang, Malaysia (Oct 2026) · Legal &amp; policy · 9 reports</t>
        </is>
      </c>
      <c r="Q221" s="171" t="inlineStr">
        <is>
          <t>Australia</t>
        </is>
      </c>
      <c r="R221" s="169" t="n">
        <v>46320</v>
      </c>
      <c r="S221" s="170" t="inlineStr">
        <is>
          <t>2026-Q4</t>
        </is>
      </c>
      <c r="T221" s="172" t="inlineStr">
        <is>
          <t>landslide, slope</t>
        </is>
      </c>
      <c r="U221" s="160" t="n">
        <v>6</v>
      </c>
      <c r="V221" s="173"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221" s="174">
        <f>IF($B221="",0,IF(AND(OR(OR(Dashboard!$B$5="All themes",Dashboard!$B$5=""),$C221=Dashboard!$B$5),OR(OR(Dashboard!$G$5="All uses",Dashboard!$G$5=""),$E221=Dashboard!$G$5),N($D221)&gt;=Lists!$H$2,OR(OR(Dashboard!$N$5="All windows",Dashboard!$N$5=""),$S221=Dashboard!$N$5)),1,0))</f>
        <v/>
      </c>
      <c r="X221" s="175">
        <f>IF($W221=1,N($D221)*1E14+MIN(MAX(N($U221),0),9999)*1E10+MIN(N($K221),99999)*1E5+99999-MIN(ROW(),99999),"")</f>
        <v/>
      </c>
    </row>
    <row r="222" ht="53" customHeight="1">
      <c r="A222" s="160" t="n">
        <v>219</v>
      </c>
      <c r="B222" s="161" t="inlineStr">
        <is>
          <t>Four Tourists Injured After Poolside Patio Collapses Into Sinkhole At Cozumel Resort</t>
        </is>
      </c>
      <c r="C222" s="176" t="inlineStr">
        <is>
          <t>Infrastructure &amp; the Underground City</t>
        </is>
      </c>
      <c r="D222" s="163" t="n">
        <v>4</v>
      </c>
      <c r="E222" s="164" t="inlineStr">
        <is>
          <t>Feature lead</t>
        </is>
      </c>
      <c r="F222" s="165" t="inlineStr">
        <is>
          <t>To review</t>
        </is>
      </c>
      <c r="G222" s="166" t="n"/>
      <c r="H222" s="167" t="n"/>
      <c r="I222" s="168" t="inlineStr">
        <is>
          <t>How can shallow cavities in karst limestone be detected under resort paving and foundations before a patio collapses into a sinkhole?</t>
        </is>
      </c>
      <c r="J222" s="168" t="inlineStr">
        <is>
          <t>Cancun Sun</t>
        </is>
      </c>
      <c r="K222" s="169" t="n">
        <v>46321</v>
      </c>
      <c r="L222" s="168" t="n"/>
      <c r="M222" s="168" t="inlineStr">
        <is>
          <t>Quintana Roo state civil protection and the resort's engineering consultant</t>
        </is>
      </c>
      <c r="N222" s="170" t="inlineStr">
        <is>
          <t>Mexico</t>
        </is>
      </c>
      <c r="O222" s="168" t="inlineStr">
        <is>
          <t>Cozumel, Quintana Roo</t>
        </is>
      </c>
      <c r="P222" s="168" t="inlineStr">
        <is>
          <t>Occidental Cozumel hotel sinkhole, Mexico (Oct 2026) · Event · 3 reports</t>
        </is>
      </c>
      <c r="Q222" s="171" t="inlineStr">
        <is>
          <t>United Kingdom</t>
        </is>
      </c>
      <c r="R222" s="169" t="n">
        <v>46320</v>
      </c>
      <c r="S222" s="170" t="inlineStr">
        <is>
          <t>2026-Q4</t>
        </is>
      </c>
      <c r="T222" s="172" t="inlineStr">
        <is>
          <t>sinkhole, collapse</t>
        </is>
      </c>
      <c r="U222" s="160" t="n">
        <v>5</v>
      </c>
      <c r="V222" s="173"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222" s="174">
        <f>IF($B222="",0,IF(AND(OR(OR(Dashboard!$B$5="All themes",Dashboard!$B$5=""),$C222=Dashboard!$B$5),OR(OR(Dashboard!$G$5="All uses",Dashboard!$G$5=""),$E222=Dashboard!$G$5),N($D222)&gt;=Lists!$H$2,OR(OR(Dashboard!$N$5="All windows",Dashboard!$N$5=""),$S222=Dashboard!$N$5)),1,0))</f>
        <v/>
      </c>
      <c r="X222" s="175">
        <f>IF($W222=1,N($D222)*1E14+MIN(MAX(N($U222),0),9999)*1E10+MIN(N($K222),99999)*1E5+99999-MIN(ROW(),99999),"")</f>
        <v/>
      </c>
    </row>
    <row r="223" ht="40.5" customHeight="1">
      <c r="A223" s="160" t="n">
        <v>220</v>
      </c>
      <c r="B223" s="161" t="inlineStr">
        <is>
          <t>In Penang, a landslide hit a house and killed a 73-year-old man — Channel NewsAsia</t>
        </is>
      </c>
      <c r="C223" s="162" t="inlineStr">
        <is>
          <t>Hazards &amp; Resilience</t>
        </is>
      </c>
      <c r="D223" s="163" t="n">
        <v>4</v>
      </c>
      <c r="E223" s="179" t="inlineStr">
        <is>
          <t>Watch only</t>
        </is>
      </c>
      <c r="F223" s="165" t="inlineStr">
        <is>
          <t>To review</t>
        </is>
      </c>
      <c r="G223" s="166" t="n"/>
      <c r="H223" s="167" t="n"/>
      <c r="I223" s="168" t="inlineStr">
        <is>
          <t>What slope failure mechanisms and early warning gaps are behind landslides that reach occupied homes on hillside sites?</t>
        </is>
      </c>
      <c r="J223" s="168" t="inlineStr">
        <is>
          <t>UA.NEWS</t>
        </is>
      </c>
      <c r="K223" s="169" t="n">
        <v>46321</v>
      </c>
      <c r="L223" s="168" t="inlineStr">
        <is>
          <t>В Пенанге оползень обрушился на дом, погиб 73-летний мужчина — Channel NewsAsia</t>
        </is>
      </c>
      <c r="M223" s="168" t="inlineStr">
        <is>
          <t>Penang state authorities and Penang Municipal Council (MBPP)</t>
        </is>
      </c>
      <c r="N223" s="170" t="inlineStr">
        <is>
          <t>Malaysia</t>
        </is>
      </c>
      <c r="O223" s="168" t="inlineStr">
        <is>
          <t>Penang</t>
        </is>
      </c>
      <c r="P223" s="168" t="inlineStr">
        <is>
          <t>Paya Terubong landslide, Penang, Malaysia (Oct 2026) · Event · 9 reports</t>
        </is>
      </c>
      <c r="Q223" s="171" t="inlineStr">
        <is>
          <t>Russia</t>
        </is>
      </c>
      <c r="R223" s="169" t="n">
        <v>46321</v>
      </c>
      <c r="S223" s="170" t="inlineStr">
        <is>
          <t>2026-Q4</t>
        </is>
      </c>
      <c r="T223" s="172" t="inlineStr">
        <is>
          <t>landslide, collapse</t>
        </is>
      </c>
      <c r="U223" s="160" t="n">
        <v>5</v>
      </c>
      <c r="V223" s="173"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223" s="174">
        <f>IF($B223="",0,IF(AND(OR(OR(Dashboard!$B$5="All themes",Dashboard!$B$5=""),$C223=Dashboard!$B$5),OR(OR(Dashboard!$G$5="All uses",Dashboard!$G$5=""),$E223=Dashboard!$G$5),N($D223)&gt;=Lists!$H$2,OR(OR(Dashboard!$N$5="All windows",Dashboard!$N$5=""),$S223=Dashboard!$N$5)),1,0))</f>
        <v/>
      </c>
      <c r="X223" s="175">
        <f>IF($W223=1,N($D223)*1E14+MIN(MAX(N($U223),0),9999)*1E10+MIN(N($K223),99999)*1E5+99999-MIN(ROW(),99999),"")</f>
        <v/>
      </c>
    </row>
    <row r="224" ht="65.5" customHeight="1">
      <c r="A224" s="160" t="n">
        <v>221</v>
      </c>
      <c r="B224" s="161" t="inlineStr">
        <is>
          <t>Strong waves cause a sinkhole and damage to an emblematic seafront promenade in Mexico</t>
        </is>
      </c>
      <c r="C224" s="185" t="inlineStr">
        <is>
          <t>Offshore, Coasts &amp; Water</t>
        </is>
      </c>
      <c r="D224" s="163" t="n">
        <v>4</v>
      </c>
      <c r="E224" s="164" t="inlineStr">
        <is>
          <t>Feature lead</t>
        </is>
      </c>
      <c r="F224" s="165" t="inlineStr">
        <is>
          <t>To review</t>
        </is>
      </c>
      <c r="G224" s="166" t="n"/>
      <c r="H224" s="167" t="n"/>
      <c r="I224" s="168" t="inlineStr">
        <is>
          <t>How do storm waves undermine the backfill behind a seafront promenade wall to create sinkholes, and what coastal protection and geotechnical checks should follow such damage?</t>
        </is>
      </c>
      <c r="J224" s="168" t="inlineStr">
        <is>
          <t>TV Azteca Jalisco</t>
        </is>
      </c>
      <c r="K224" s="169" t="n">
        <v>46321</v>
      </c>
      <c r="L224" s="168" t="inlineStr">
        <is>
          <t>Fuerte oleaje provoca un socavón y daños en un malecón emblemático de México</t>
        </is>
      </c>
      <c r="M224" s="168" t="inlineStr">
        <is>
          <t>Mazatlán municipal government and Sinaloa civil protection</t>
        </is>
      </c>
      <c r="N224" s="170" t="inlineStr">
        <is>
          <t>Mexico</t>
        </is>
      </c>
      <c r="O224" s="168" t="inlineStr">
        <is>
          <t>Mazatlán malecón, Sinaloa</t>
        </is>
      </c>
      <c r="P224" s="168" t="inlineStr">
        <is>
          <t>Mazatlán malecón wave sinkhole, Mexico (Oct 2026) · Event · 6 reports</t>
        </is>
      </c>
      <c r="Q224" s="171" t="inlineStr">
        <is>
          <t>Colombia</t>
        </is>
      </c>
      <c r="R224" s="169" t="n">
        <v>46319</v>
      </c>
      <c r="S224" s="170" t="inlineStr">
        <is>
          <t>2026-Q4</t>
        </is>
      </c>
      <c r="T224" s="172" t="inlineStr">
        <is>
          <t>sinkhole</t>
        </is>
      </c>
      <c r="U224" s="160" t="n">
        <v>4</v>
      </c>
      <c r="V224" s="173"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224" s="174">
        <f>IF($B224="",0,IF(AND(OR(OR(Dashboard!$B$5="All themes",Dashboard!$B$5=""),$C224=Dashboard!$B$5),OR(OR(Dashboard!$G$5="All uses",Dashboard!$G$5=""),$E224=Dashboard!$G$5),N($D224)&gt;=Lists!$H$2,OR(OR(Dashboard!$N$5="All windows",Dashboard!$N$5=""),$S224=Dashboard!$N$5)),1,0))</f>
        <v/>
      </c>
      <c r="X224" s="175">
        <f>IF($W224=1,N($D224)*1E14+MIN(MAX(N($U224),0),9999)*1E10+MIN(N($K224),99999)*1E5+99999-MIN(ROW(),99999),"")</f>
        <v/>
      </c>
    </row>
    <row r="225" ht="65.5" customHeight="1">
      <c r="A225" s="160" t="n">
        <v>222</v>
      </c>
      <c r="B225" s="161" t="inlineStr">
        <is>
          <t>Repair of sinkhole caused by strong waves begins next to the Monument to the Mazatlan Woman</t>
        </is>
      </c>
      <c r="C225" s="185" t="inlineStr">
        <is>
          <t>Offshore, Coasts &amp; Water</t>
        </is>
      </c>
      <c r="D225" s="163" t="n">
        <v>4</v>
      </c>
      <c r="E225" s="183" t="inlineStr">
        <is>
          <t>Regional insight</t>
        </is>
      </c>
      <c r="F225" s="165" t="inlineStr">
        <is>
          <t>To review</t>
        </is>
      </c>
      <c r="G225" s="166" t="n"/>
      <c r="H225" s="167" t="n"/>
      <c r="I225" s="168" t="inlineStr">
        <is>
          <t>What repair approach suits a wave-undermined seafront structure, and how should designers balance scour protection, backfill compaction and monument stability at the shoreline?</t>
        </is>
      </c>
      <c r="J225" s="168" t="inlineStr">
        <is>
          <t>Los Noticieristas</t>
        </is>
      </c>
      <c r="K225" s="169" t="n">
        <v>46321</v>
      </c>
      <c r="L225" s="168" t="inlineStr">
        <is>
          <t>Inician reparación de socavón provocado por fuerte oleaje junto al Monumento a la Mujer Mazatleca</t>
        </is>
      </c>
      <c r="M225" s="168" t="inlineStr">
        <is>
          <t>Mazatlán municipal government</t>
        </is>
      </c>
      <c r="N225" s="170" t="inlineStr">
        <is>
          <t>Mexico</t>
        </is>
      </c>
      <c r="O225" s="168" t="inlineStr">
        <is>
          <t>Monumento a la Mujer Mazatleca, Mazatlán</t>
        </is>
      </c>
      <c r="P225" s="168" t="inlineStr">
        <is>
          <t>Mazatlán malecón wave sinkhole, Mexico (Oct 2026) · Repair &amp; reconstruction · 6 reports</t>
        </is>
      </c>
      <c r="Q225" s="171" t="inlineStr">
        <is>
          <t>Colombia</t>
        </is>
      </c>
      <c r="R225" s="169" t="n">
        <v>46318</v>
      </c>
      <c r="S225" s="170" t="inlineStr">
        <is>
          <t>2026-Q4</t>
        </is>
      </c>
      <c r="T225" s="172" t="inlineStr">
        <is>
          <t>sinkhole</t>
        </is>
      </c>
      <c r="U225" s="160" t="n">
        <v>4</v>
      </c>
      <c r="V225" s="173"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225" s="174">
        <f>IF($B225="",0,IF(AND(OR(OR(Dashboard!$B$5="All themes",Dashboard!$B$5=""),$C225=Dashboard!$B$5),OR(OR(Dashboard!$G$5="All uses",Dashboard!$G$5=""),$E225=Dashboard!$G$5),N($D225)&gt;=Lists!$H$2,OR(OR(Dashboard!$N$5="All windows",Dashboard!$N$5=""),$S225=Dashboard!$N$5)),1,0))</f>
        <v/>
      </c>
      <c r="X225" s="175">
        <f>IF($W225=1,N($D225)*1E14+MIN(MAX(N($U225),0),9999)*1E10+MIN(N($K225),99999)*1E5+99999-MIN(ROW(),99999),"")</f>
        <v/>
      </c>
    </row>
    <row r="226" ht="65.5" customHeight="1">
      <c r="A226" s="160" t="n">
        <v>223</v>
      </c>
      <c r="B226" s="161" t="inlineStr">
        <is>
          <t>City council attends to over 50 sinkholes; repair costs up to 700,000 pesos per point</t>
        </is>
      </c>
      <c r="C226" s="176" t="inlineStr">
        <is>
          <t>Infrastructure &amp; the Underground City</t>
        </is>
      </c>
      <c r="D226" s="163" t="n">
        <v>4</v>
      </c>
      <c r="E226" s="164" t="inlineStr">
        <is>
          <t>Feature lead</t>
        </is>
      </c>
      <c r="F226" s="165" t="inlineStr">
        <is>
          <t>To review</t>
        </is>
      </c>
      <c r="G226" s="166" t="n"/>
      <c r="H226" s="167" t="n"/>
      <c r="I226" s="168" t="inlineStr">
        <is>
          <t>Why do dozens of urban sinkholes appear in one city, and what are the economics and engineering options for locating leaking buried pipes and rehabilitating ground before repairs become recurrent?</t>
        </is>
      </c>
      <c r="J226" s="168" t="inlineStr">
        <is>
          <t>Pulso Diario San Luis</t>
        </is>
      </c>
      <c r="K226" s="169" t="n">
        <v>46321</v>
      </c>
      <c r="L226" s="168" t="inlineStr">
        <is>
          <t>Ayuntamiento atiende más de 50 socavones su reparación cuesta hasta 700 mil pesos por punto</t>
        </is>
      </c>
      <c r="M226" s="168" t="inlineStr">
        <is>
          <t>San Luis Potosí municipal government</t>
        </is>
      </c>
      <c r="N226" s="170" t="inlineStr">
        <is>
          <t>Mexico</t>
        </is>
      </c>
      <c r="O226" s="168" t="inlineStr">
        <is>
          <t>San Luis Potosí city</t>
        </is>
      </c>
      <c r="P226" s="168" t="n"/>
      <c r="Q226" s="171" t="inlineStr">
        <is>
          <t>Colombia</t>
        </is>
      </c>
      <c r="R226" s="169" t="n">
        <v>46320</v>
      </c>
      <c r="S226" s="170" t="inlineStr">
        <is>
          <t>2026-Q4</t>
        </is>
      </c>
      <c r="T226" s="172" t="inlineStr">
        <is>
          <t>sinkhole</t>
        </is>
      </c>
      <c r="U226" s="160" t="n">
        <v>4</v>
      </c>
      <c r="V226" s="173"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226" s="174">
        <f>IF($B226="",0,IF(AND(OR(OR(Dashboard!$B$5="All themes",Dashboard!$B$5=""),$C226=Dashboard!$B$5),OR(OR(Dashboard!$G$5="All uses",Dashboard!$G$5=""),$E226=Dashboard!$G$5),N($D226)&gt;=Lists!$H$2,OR(OR(Dashboard!$N$5="All windows",Dashboard!$N$5=""),$S226=Dashboard!$N$5)),1,0))</f>
        <v/>
      </c>
      <c r="X226" s="175">
        <f>IF($W226=1,N($D226)*1E14+MIN(MAX(N($U226),0),9999)*1E10+MIN(N($K226),99999)*1E5+99999-MIN(ROW(),99999),"")</f>
        <v/>
      </c>
    </row>
    <row r="227" ht="65.5" customHeight="1">
      <c r="A227" s="160" t="n">
        <v>224</v>
      </c>
      <c r="B227" s="161" t="inlineStr">
        <is>
          <t>Ica: new debris flow could repeat blockage of the Panamericana Sur due to lack of bridge in Ocucaje</t>
        </is>
      </c>
      <c r="C227" s="176" t="inlineStr">
        <is>
          <t>Infrastructure &amp; the Underground City</t>
        </is>
      </c>
      <c r="D227" s="163" t="n">
        <v>4</v>
      </c>
      <c r="E227" s="164" t="inlineStr">
        <is>
          <t>Feature lead</t>
        </is>
      </c>
      <c r="F227" s="165" t="inlineStr">
        <is>
          <t>To review</t>
        </is>
      </c>
      <c r="G227" s="166" t="n"/>
      <c r="H227" s="167" t="n"/>
      <c r="I227" s="168" t="inlineStr">
        <is>
          <t>How do debris flows crossing desert valleys threaten highway embankments and crossings, and what design choices should guide replacement of a missing bridge on this corridor?</t>
        </is>
      </c>
      <c r="J227" s="168" t="inlineStr">
        <is>
          <t>Diario Correo</t>
        </is>
      </c>
      <c r="K227" s="169" t="n">
        <v>46321</v>
      </c>
      <c r="L227" s="168" t="inlineStr">
        <is>
          <t>Ica: nuevo huaico podría repetir el bloqueo de la Panamericana Sur por falta de puente en Ocucaje</t>
        </is>
      </c>
      <c r="M227" s="168" t="inlineStr">
        <is>
          <t>Provías Nacional (MTC)</t>
        </is>
      </c>
      <c r="N227" s="170" t="inlineStr">
        <is>
          <t>Peru</t>
        </is>
      </c>
      <c r="O227" s="168" t="inlineStr">
        <is>
          <t>Ocucaje, Ica</t>
        </is>
      </c>
      <c r="P227" s="168" t="n"/>
      <c r="Q227" s="171" t="inlineStr">
        <is>
          <t>Peru</t>
        </is>
      </c>
      <c r="R227" s="169" t="n">
        <v>46320</v>
      </c>
      <c r="S227" s="170" t="inlineStr">
        <is>
          <t>2026-Q4</t>
        </is>
      </c>
      <c r="T227" s="172" t="inlineStr">
        <is>
          <t>debris flow</t>
        </is>
      </c>
      <c r="U227" s="160" t="n">
        <v>4</v>
      </c>
      <c r="V227" s="173"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227" s="174">
        <f>IF($B227="",0,IF(AND(OR(OR(Dashboard!$B$5="All themes",Dashboard!$B$5=""),$C227=Dashboard!$B$5),OR(OR(Dashboard!$G$5="All uses",Dashboard!$G$5=""),$E227=Dashboard!$G$5),N($D227)&gt;=Lists!$H$2,OR(OR(Dashboard!$N$5="All windows",Dashboard!$N$5=""),$S227=Dashboard!$N$5)),1,0))</f>
        <v/>
      </c>
      <c r="X227" s="175">
        <f>IF($W227=1,N($D227)*1E14+MIN(MAX(N($U227),0),9999)*1E10+MIN(N($K227),99999)*1E5+99999-MIN(ROW(),99999),"")</f>
        <v/>
      </c>
    </row>
    <row r="228" ht="53" customHeight="1">
      <c r="A228" s="160" t="n">
        <v>225</v>
      </c>
      <c r="B228" s="161" t="inlineStr">
        <is>
          <t>Panama intervenes at former gold mine after landslide threatens water sources</t>
        </is>
      </c>
      <c r="C228" s="162" t="inlineStr">
        <is>
          <t>Hazards &amp; Resilience</t>
        </is>
      </c>
      <c r="D228" s="163" t="n">
        <v>4</v>
      </c>
      <c r="E228" s="164" t="inlineStr">
        <is>
          <t>Feature lead</t>
        </is>
      </c>
      <c r="F228" s="165" t="inlineStr">
        <is>
          <t>To review</t>
        </is>
      </c>
      <c r="G228" s="166" t="n"/>
      <c r="H228" s="167" t="n"/>
      <c r="I228" s="168" t="inlineStr">
        <is>
          <t>How should slope and waste-material stability in an abandoned mine be assessed where failure threatens downstream water supplies?</t>
        </is>
      </c>
      <c r="J228" s="168" t="inlineStr">
        <is>
          <t>Infobae</t>
        </is>
      </c>
      <c r="K228" s="169" t="n">
        <v>46321</v>
      </c>
      <c r="L228" s="168" t="inlineStr">
        <is>
          <t>Panamá interviene antigua mina de oro tras deslizamiento que amenaza fuentes de agua</t>
        </is>
      </c>
      <c r="M228" s="168" t="inlineStr">
        <is>
          <t>Panama's environment ministry (MiAmbiente)</t>
        </is>
      </c>
      <c r="N228" s="170" t="inlineStr">
        <is>
          <t>Panama</t>
        </is>
      </c>
      <c r="O228" s="168" t="inlineStr">
        <is>
          <t>former gold mine, Panama</t>
        </is>
      </c>
      <c r="P228" s="168" t="n"/>
      <c r="Q228" s="171" t="inlineStr">
        <is>
          <t>Spain</t>
        </is>
      </c>
      <c r="R228" s="169" t="n">
        <v>46320</v>
      </c>
      <c r="S228" s="170" t="inlineStr">
        <is>
          <t>2026-Q4</t>
        </is>
      </c>
      <c r="T228" s="172" t="inlineStr">
        <is>
          <t>landslide</t>
        </is>
      </c>
      <c r="U228" s="160" t="n">
        <v>4</v>
      </c>
      <c r="V228" s="173"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228" s="174">
        <f>IF($B228="",0,IF(AND(OR(OR(Dashboard!$B$5="All themes",Dashboard!$B$5=""),$C228=Dashboard!$B$5),OR(OR(Dashboard!$G$5="All uses",Dashboard!$G$5=""),$E228=Dashboard!$G$5),N($D228)&gt;=Lists!$H$2,OR(OR(Dashboard!$N$5="All windows",Dashboard!$N$5=""),$S228=Dashboard!$N$5)),1,0))</f>
        <v/>
      </c>
      <c r="X228" s="175">
        <f>IF($W228=1,N($D228)*1E14+MIN(MAX(N($U228),0),9999)*1E10+MIN(N($K228),99999)*1E5+99999-MIN(ROW(),99999),"")</f>
        <v/>
      </c>
    </row>
    <row r="229" ht="65.5" customHeight="1">
      <c r="A229" s="160" t="n">
        <v>226</v>
      </c>
      <c r="B229" s="161" t="inlineStr">
        <is>
          <t>Sinkhole threatens to isolate two neighborhoods in Arraiján</t>
        </is>
      </c>
      <c r="C229" s="162" t="inlineStr">
        <is>
          <t>Hazards &amp; Resilience</t>
        </is>
      </c>
      <c r="D229" s="163" t="n">
        <v>4</v>
      </c>
      <c r="E229" s="164" t="inlineStr">
        <is>
          <t>Feature lead</t>
        </is>
      </c>
      <c r="F229" s="165" t="inlineStr">
        <is>
          <t>To review</t>
        </is>
      </c>
      <c r="G229" s="166" t="n"/>
      <c r="H229" s="167" t="n"/>
      <c r="I229" s="168" t="inlineStr">
        <is>
          <t>What causes a sinkhole to threaten access roads serving residential areas, and how should geotechnical investigation and emergency stabilisation be prioritised to keep communities connected?</t>
        </is>
      </c>
      <c r="J229" s="168" t="inlineStr">
        <is>
          <t>Telemetro</t>
        </is>
      </c>
      <c r="K229" s="169" t="n">
        <v>46321</v>
      </c>
      <c r="L229" s="168" t="inlineStr">
        <is>
          <t>Socavón amenaza con dejar incomunicadas a dos barriadas en Arraiján</t>
        </is>
      </c>
      <c r="M229" s="168" t="inlineStr">
        <is>
          <t>Arraiján municipality and Panama's public works ministry (MOP)</t>
        </is>
      </c>
      <c r="N229" s="170" t="inlineStr">
        <is>
          <t>Panama</t>
        </is>
      </c>
      <c r="O229" s="168" t="inlineStr">
        <is>
          <t>Arraiján, Panamá Oeste</t>
        </is>
      </c>
      <c r="P229" s="168" t="n"/>
      <c r="Q229" s="171" t="inlineStr">
        <is>
          <t>Colombia</t>
        </is>
      </c>
      <c r="R229" s="169" t="n">
        <v>46320</v>
      </c>
      <c r="S229" s="170" t="inlineStr">
        <is>
          <t>2026-Q4</t>
        </is>
      </c>
      <c r="T229" s="172" t="inlineStr">
        <is>
          <t>sinkhole</t>
        </is>
      </c>
      <c r="U229" s="160" t="n">
        <v>4</v>
      </c>
      <c r="V229" s="173"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229" s="174">
        <f>IF($B229="",0,IF(AND(OR(OR(Dashboard!$B$5="All themes",Dashboard!$B$5=""),$C229=Dashboard!$B$5),OR(OR(Dashboard!$G$5="All uses",Dashboard!$G$5=""),$E229=Dashboard!$G$5),N($D229)&gt;=Lists!$H$2,OR(OR(Dashboard!$N$5="All windows",Dashboard!$N$5=""),$S229=Dashboard!$N$5)),1,0))</f>
        <v/>
      </c>
      <c r="X229" s="175">
        <f>IF($W229=1,N($D229)*1E14+MIN(MAX(N($U229),0),9999)*1E10+MIN(N($K229),99999)*1E5+99999-MIN(ROW(),99999),"")</f>
        <v/>
      </c>
    </row>
    <row r="230" ht="65.5" customHeight="1">
      <c r="A230" s="160" t="n">
        <v>227</v>
      </c>
      <c r="B230" s="161" t="inlineStr">
        <is>
          <t>Four guests reportedly fall into sinkhole at Occidental hotel in Cozumel</t>
        </is>
      </c>
      <c r="C230" s="162" t="inlineStr">
        <is>
          <t>Hazards &amp; Resilience</t>
        </is>
      </c>
      <c r="D230" s="163" t="n">
        <v>4</v>
      </c>
      <c r="E230" s="177" t="inlineStr">
        <is>
          <t>News brief</t>
        </is>
      </c>
      <c r="F230" s="165" t="inlineStr">
        <is>
          <t>To review</t>
        </is>
      </c>
      <c r="G230" s="166" t="n"/>
      <c r="H230" s="167" t="n"/>
      <c r="I230" s="168" t="inlineStr">
        <is>
          <t>What subsurface conditions in coastal limestone, such as cenotes and dissolution cavities, lead to sudden ground collapse beneath resort buildings, and how should such sites be surveyed?</t>
        </is>
      </c>
      <c r="J230" s="168" t="inlineStr">
        <is>
          <t>Quinta Fuerza</t>
        </is>
      </c>
      <c r="K230" s="169" t="n">
        <v>46321</v>
      </c>
      <c r="L230" s="168" t="inlineStr">
        <is>
          <t>Reportan caída de cuatro huéspedes en socavón de hotel Occidental de Cozumel</t>
        </is>
      </c>
      <c r="M230" s="168" t="inlineStr">
        <is>
          <t>Hotel Occidental Cozumel management and Quintana Roo civil protection</t>
        </is>
      </c>
      <c r="N230" s="170" t="inlineStr">
        <is>
          <t>Mexico</t>
        </is>
      </c>
      <c r="O230" s="168" t="inlineStr">
        <is>
          <t>Cozumel, Quintana Roo</t>
        </is>
      </c>
      <c r="P230" s="168" t="inlineStr">
        <is>
          <t>Occidental Cozumel hotel sinkhole, Mexico (Oct 2026) · Event · 3 reports</t>
        </is>
      </c>
      <c r="Q230" s="171" t="inlineStr">
        <is>
          <t>Colombia</t>
        </is>
      </c>
      <c r="R230" s="169" t="n">
        <v>46320</v>
      </c>
      <c r="S230" s="170" t="inlineStr">
        <is>
          <t>2026-Q4</t>
        </is>
      </c>
      <c r="T230" s="172" t="inlineStr">
        <is>
          <t>sinkhole</t>
        </is>
      </c>
      <c r="U230" s="160" t="n">
        <v>4</v>
      </c>
      <c r="V230" s="173"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230" s="174">
        <f>IF($B230="",0,IF(AND(OR(OR(Dashboard!$B$5="All themes",Dashboard!$B$5=""),$C230=Dashboard!$B$5),OR(OR(Dashboard!$G$5="All uses",Dashboard!$G$5=""),$E230=Dashboard!$G$5),N($D230)&gt;=Lists!$H$2,OR(OR(Dashboard!$N$5="All windows",Dashboard!$N$5=""),$S230=Dashboard!$N$5)),1,0))</f>
        <v/>
      </c>
      <c r="X230" s="175">
        <f>IF($W230=1,N($D230)*1E14+MIN(MAX(N($U230),0),9999)*1E10+MIN(N($K230),99999)*1E5+99999-MIN(ROW(),99999),"")</f>
        <v/>
      </c>
    </row>
    <row r="231" ht="65.5" customHeight="1">
      <c r="A231" s="160" t="n">
        <v>228</v>
      </c>
      <c r="B231" s="161" t="inlineStr">
        <is>
          <t>SMS alerts, signage and evacuation routes: La Reina's plan for future floods</t>
        </is>
      </c>
      <c r="C231" s="162" t="inlineStr">
        <is>
          <t>Hazards &amp; Resilience</t>
        </is>
      </c>
      <c r="D231" s="163" t="n">
        <v>4</v>
      </c>
      <c r="E231" s="164" t="inlineStr">
        <is>
          <t>Feature lead</t>
        </is>
      </c>
      <c r="F231" s="165" t="inlineStr">
        <is>
          <t>To review</t>
        </is>
      </c>
      <c r="G231" s="166" t="n"/>
      <c r="H231" s="167" t="n"/>
      <c r="I231" s="168" t="inlineStr">
        <is>
          <t>Beyond warning systems, what ground-based hazard mapping and debris-flow control measures should a municipality in an Andean foothill commune use to plan evacuation and reduce aluvión exposure?</t>
        </is>
      </c>
      <c r="J231" s="168" t="inlineStr">
        <is>
          <t>Cooperativa</t>
        </is>
      </c>
      <c r="K231" s="169" t="n">
        <v>46321</v>
      </c>
      <c r="L231" s="168" t="inlineStr">
        <is>
          <t>Alertas SMS, señaléticas y rutas de evacuación: el plan de La Reina ante futuros aluviones</t>
        </is>
      </c>
      <c r="M231" s="168" t="inlineStr">
        <is>
          <t>La Reina municipality and Senapred</t>
        </is>
      </c>
      <c r="N231" s="170" t="inlineStr">
        <is>
          <t>Chile</t>
        </is>
      </c>
      <c r="O231" s="168" t="inlineStr">
        <is>
          <t>La Reina, Santiago</t>
        </is>
      </c>
      <c r="P231" s="168" t="n"/>
      <c r="Q231" s="171" t="inlineStr">
        <is>
          <t>Chile</t>
        </is>
      </c>
      <c r="R231" s="169" t="n">
        <v>46319</v>
      </c>
      <c r="S231" s="170" t="inlineStr">
        <is>
          <t>2026-Q4</t>
        </is>
      </c>
      <c r="T231" s="172" t="inlineStr">
        <is>
          <t>debris flow</t>
        </is>
      </c>
      <c r="U231" s="160" t="n">
        <v>4</v>
      </c>
      <c r="V231" s="173"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231" s="174">
        <f>IF($B231="",0,IF(AND(OR(OR(Dashboard!$B$5="All themes",Dashboard!$B$5=""),$C231=Dashboard!$B$5),OR(OR(Dashboard!$G$5="All uses",Dashboard!$G$5=""),$E231=Dashboard!$G$5),N($D231)&gt;=Lists!$H$2,OR(OR(Dashboard!$N$5="All windows",Dashboard!$N$5=""),$S231=Dashboard!$N$5)),1,0))</f>
        <v/>
      </c>
      <c r="X231" s="175">
        <f>IF($W231=1,N($D231)*1E14+MIN(MAX(N($U231),0),9999)*1E10+MIN(N($K231),99999)*1E5+99999-MIN(ROW(),99999),"")</f>
        <v/>
      </c>
    </row>
    <row r="232" ht="53" customHeight="1">
      <c r="A232" s="160" t="n">
        <v>229</v>
      </c>
      <c r="B232" s="161" t="inlineStr">
        <is>
          <t>ANA installs 12 barriers to reduce impact of debris flows in Lima and Huarochirí</t>
        </is>
      </c>
      <c r="C232" s="162" t="inlineStr">
        <is>
          <t>Hazards &amp; Resilience</t>
        </is>
      </c>
      <c r="D232" s="163" t="n">
        <v>4</v>
      </c>
      <c r="E232" s="164" t="inlineStr">
        <is>
          <t>Feature lead</t>
        </is>
      </c>
      <c r="F232" s="165" t="inlineStr">
        <is>
          <t>To review</t>
        </is>
      </c>
      <c r="G232" s="166" t="n"/>
      <c r="H232" s="167" t="n"/>
      <c r="I232" s="168" t="inlineStr">
        <is>
          <t>Can check dams and barrier structures in steep Andean gullies meaningfully reduce debris-flow impacts, and how should their design and maintenance be evaluated?</t>
        </is>
      </c>
      <c r="J232" s="168" t="inlineStr">
        <is>
          <t>TVPerú</t>
        </is>
      </c>
      <c r="K232" s="169" t="n">
        <v>46321</v>
      </c>
      <c r="L232" s="168" t="inlineStr">
        <is>
          <t>ANA instala 12 barreras para reducir el impacto de huaicos en Lima y Huarochirí</t>
        </is>
      </c>
      <c r="M232" s="168" t="inlineStr">
        <is>
          <t>Autoridad Nacional del Agua (ANA)</t>
        </is>
      </c>
      <c r="N232" s="170" t="inlineStr">
        <is>
          <t>Peru</t>
        </is>
      </c>
      <c r="O232" s="168" t="inlineStr">
        <is>
          <t>Lima and Huarochirí</t>
        </is>
      </c>
      <c r="P232" s="168" t="n"/>
      <c r="Q232" s="171" t="inlineStr">
        <is>
          <t>Peru</t>
        </is>
      </c>
      <c r="R232" s="169" t="n">
        <v>46320</v>
      </c>
      <c r="S232" s="170" t="inlineStr">
        <is>
          <t>2026-Q4</t>
        </is>
      </c>
      <c r="T232" s="172" t="inlineStr">
        <is>
          <t>debris flow</t>
        </is>
      </c>
      <c r="U232" s="160" t="n">
        <v>4</v>
      </c>
      <c r="V232" s="173"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232" s="174">
        <f>IF($B232="",0,IF(AND(OR(OR(Dashboard!$B$5="All themes",Dashboard!$B$5=""),$C232=Dashboard!$B$5),OR(OR(Dashboard!$G$5="All uses",Dashboard!$G$5=""),$E232=Dashboard!$G$5),N($D232)&gt;=Lists!$H$2,OR(OR(Dashboard!$N$5="All windows",Dashboard!$N$5=""),$S232=Dashboard!$N$5)),1,0))</f>
        <v/>
      </c>
      <c r="X232" s="175">
        <f>IF($W232=1,N($D232)*1E14+MIN(MAX(N($U232),0),9999)*1E10+MIN(N($K232),99999)*1E5+99999-MIN(ROW(),99999),"")</f>
        <v/>
      </c>
    </row>
    <row r="233" ht="65.5" customHeight="1">
      <c r="A233" s="160" t="n">
        <v>230</v>
      </c>
      <c r="B233" s="161" t="inlineStr">
        <is>
          <t>Zero cycle: how Setl Group creates 3D excavation models for residential buildings using nanoCAD GeoniCS</t>
        </is>
      </c>
      <c r="C233" s="181" t="inlineStr">
        <is>
          <t>Digital Geotechnics</t>
        </is>
      </c>
      <c r="D233" s="163" t="n">
        <v>4</v>
      </c>
      <c r="E233" s="164" t="inlineStr">
        <is>
          <t>Feature lead</t>
        </is>
      </c>
      <c r="F233" s="165" t="inlineStr">
        <is>
          <t>To review</t>
        </is>
      </c>
      <c r="G233" s="166" t="n"/>
      <c r="H233" s="167" t="n"/>
      <c r="I233" s="168" t="inlineStr">
        <is>
          <t>How reliable are 3D excavation models built from site investigation data for deep pits in dense urban sites, and how should their accuracy be verified before construction?</t>
        </is>
      </c>
      <c r="J233" s="168" t="inlineStr">
        <is>
          <t>ComNews.ru</t>
        </is>
      </c>
      <c r="K233" s="169" t="n">
        <v>46321</v>
      </c>
      <c r="L233" s="168" t="inlineStr">
        <is>
          <t>Нулевой цикл: как в Setl Group создают 3D модели котлованов жилых зданий при помощи nanoCAD GeoniCS</t>
        </is>
      </c>
      <c r="M233" s="168" t="inlineStr">
        <is>
          <t>Setl Group (developer) and the nanoCAD GeoniCS software vendor</t>
        </is>
      </c>
      <c r="N233" s="170" t="inlineStr">
        <is>
          <t>Russia</t>
        </is>
      </c>
      <c r="O233" s="168" t="n"/>
      <c r="P233" s="168" t="inlineStr">
        <is>
          <t>Zero cycle: how Setl Group creates 3D excavation models for residenti… (Oct 2026) · Event · 2 reports</t>
        </is>
      </c>
      <c r="Q233" s="171" t="inlineStr">
        <is>
          <t>Russia</t>
        </is>
      </c>
      <c r="R233" s="169" t="n">
        <v>46320</v>
      </c>
      <c r="S233" s="170" t="inlineStr">
        <is>
          <t>2026-Q4</t>
        </is>
      </c>
      <c r="T233" s="172" t="inlineStr">
        <is>
          <t>excavation</t>
        </is>
      </c>
      <c r="U233" s="160" t="n">
        <v>2</v>
      </c>
      <c r="V233" s="173"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233" s="174">
        <f>IF($B233="",0,IF(AND(OR(OR(Dashboard!$B$5="All themes",Dashboard!$B$5=""),$C233=Dashboard!$B$5),OR(OR(Dashboard!$G$5="All uses",Dashboard!$G$5=""),$E233=Dashboard!$G$5),N($D233)&gt;=Lists!$H$2,OR(OR(Dashboard!$N$5="All windows",Dashboard!$N$5=""),$S233=Dashboard!$N$5)),1,0))</f>
        <v/>
      </c>
      <c r="X233" s="175">
        <f>IF($W233=1,N($D233)*1E14+MIN(MAX(N($U233),0),9999)*1E10+MIN(N($K233),99999)*1E5+99999-MIN(ROW(),99999),"")</f>
        <v/>
      </c>
    </row>
    <row r="234" ht="53" customHeight="1">
      <c r="A234" s="160" t="n">
        <v>231</v>
      </c>
      <c r="B234" s="161" t="inlineStr">
        <is>
          <t>Cuernavaca city council announces temporary closure of Avenida Universidad for subsidence review</t>
        </is>
      </c>
      <c r="C234" s="176" t="inlineStr">
        <is>
          <t>Infrastructure &amp; the Underground City</t>
        </is>
      </c>
      <c r="D234" s="163" t="n">
        <v>4</v>
      </c>
      <c r="E234" s="177" t="inlineStr">
        <is>
          <t>News brief</t>
        </is>
      </c>
      <c r="F234" s="165" t="inlineStr">
        <is>
          <t>To review</t>
        </is>
      </c>
      <c r="G234" s="166" t="n"/>
      <c r="H234" s="167" t="n"/>
      <c r="I234" s="168" t="inlineStr">
        <is>
          <t>What ground or utility causes are behind the subsidence on Avenida Universidad, and what investigation should determine whether the road can safely reopen?</t>
        </is>
      </c>
      <c r="J234" s="168" t="inlineStr">
        <is>
          <t>La Jornada Morelos</t>
        </is>
      </c>
      <c r="K234" s="169" t="n">
        <v>46321</v>
      </c>
      <c r="L234" s="168" t="inlineStr">
        <is>
          <t>Anuncia Ayuntamiento de Cuernavaca cierre temporal de Avenida Universidad por revisión de hundimiento</t>
        </is>
      </c>
      <c r="M234" s="168" t="inlineStr">
        <is>
          <t>the Cuernavaca city council</t>
        </is>
      </c>
      <c r="N234" s="170" t="inlineStr">
        <is>
          <t>Mexico</t>
        </is>
      </c>
      <c r="O234" s="168" t="inlineStr">
        <is>
          <t>Avenida Universidad, Cuernavaca</t>
        </is>
      </c>
      <c r="P234" s="168" t="n"/>
      <c r="Q234" s="171" t="inlineStr">
        <is>
          <t>Argentina</t>
        </is>
      </c>
      <c r="R234" s="169" t="n">
        <v>46319</v>
      </c>
      <c r="S234" s="170" t="inlineStr">
        <is>
          <t>2026-Q4</t>
        </is>
      </c>
      <c r="T234" s="172" t="n"/>
      <c r="U234" s="160" t="n">
        <v>0</v>
      </c>
      <c r="V234" s="173"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234" s="174">
        <f>IF($B234="",0,IF(AND(OR(OR(Dashboard!$B$5="All themes",Dashboard!$B$5=""),$C234=Dashboard!$B$5),OR(OR(Dashboard!$G$5="All uses",Dashboard!$G$5=""),$E234=Dashboard!$G$5),N($D234)&gt;=Lists!$H$2,OR(OR(Dashboard!$N$5="All windows",Dashboard!$N$5=""),$S234=Dashboard!$N$5)),1,0))</f>
        <v/>
      </c>
      <c r="X234" s="175">
        <f>IF($W234=1,N($D234)*1E14+MIN(MAX(N($U234),0),9999)*1E10+MIN(N($K234),99999)*1E5+99999-MIN(ROW(),99999),"")</f>
        <v/>
      </c>
    </row>
    <row r="235" ht="53" customHeight="1">
      <c r="A235" s="160" t="n">
        <v>232</v>
      </c>
      <c r="B235" s="161" t="inlineStr">
        <is>
          <t>India's first bullet train: station to be built 100 feet underground, high-speed train to pass beneath the sea</t>
        </is>
      </c>
      <c r="C235" s="176" t="inlineStr">
        <is>
          <t>Infrastructure &amp; the Underground City</t>
        </is>
      </c>
      <c r="D235" s="163" t="n">
        <v>4</v>
      </c>
      <c r="E235" s="164" t="inlineStr">
        <is>
          <t>Feature lead</t>
        </is>
      </c>
      <c r="F235" s="165" t="inlineStr">
        <is>
          <t>To review</t>
        </is>
      </c>
      <c r="G235" s="166" t="n"/>
      <c r="H235" s="167" t="n"/>
      <c r="I235" s="168" t="inlineStr">
        <is>
          <t>What ground conditions and deep excavation methods are needed for a 30 m deep station and an undersea tunnel on India's first bullet train route?</t>
        </is>
      </c>
      <c r="J235" s="168" t="inlineStr">
        <is>
          <t>Inh News</t>
        </is>
      </c>
      <c r="K235" s="169" t="n">
        <v>46321</v>
      </c>
      <c r="L235" s="168" t="inlineStr">
        <is>
          <t>भारत की पहली बुलेट ट्रेन: 100 फीट नीचे बनेगा स्टेशन, समुद्र के नीचे से गुजरेगी हाई-स्पीड ट्रेन</t>
        </is>
      </c>
      <c r="M235" s="168" t="inlineStr">
        <is>
          <t>NHSRCL (National High Speed Rail Corporation)</t>
        </is>
      </c>
      <c r="N235" s="170" t="inlineStr">
        <is>
          <t>India</t>
        </is>
      </c>
      <c r="O235" s="168" t="inlineStr">
        <is>
          <t>Mumbai–Ahmedabad bullet train corridor</t>
        </is>
      </c>
      <c r="P235" s="168" t="n"/>
      <c r="Q235" s="171" t="inlineStr">
        <is>
          <t>India</t>
        </is>
      </c>
      <c r="R235" s="169" t="n">
        <v>46320</v>
      </c>
      <c r="S235" s="170" t="inlineStr">
        <is>
          <t>2026-Q4</t>
        </is>
      </c>
      <c r="T235" s="172" t="n"/>
      <c r="U235" s="160" t="n">
        <v>0</v>
      </c>
      <c r="V235" s="173"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235" s="174">
        <f>IF($B235="",0,IF(AND(OR(OR(Dashboard!$B$5="All themes",Dashboard!$B$5=""),$C235=Dashboard!$B$5),OR(OR(Dashboard!$G$5="All uses",Dashboard!$G$5=""),$E235=Dashboard!$G$5),N($D235)&gt;=Lists!$H$2,OR(OR(Dashboard!$N$5="All windows",Dashboard!$N$5=""),$S235=Dashboard!$N$5)),1,0))</f>
        <v/>
      </c>
      <c r="X235" s="175">
        <f>IF($W235=1,N($D235)*1E14+MIN(MAX(N($U235),0),9999)*1E10+MIN(N($K235),99999)*1E5+99999-MIN(ROW(),99999),"")</f>
        <v/>
      </c>
    </row>
    <row r="236" ht="53" customHeight="1">
      <c r="A236" s="160" t="n">
        <v>233</v>
      </c>
      <c r="B236" s="161" t="inlineStr">
        <is>
          <t>Disaster R&amp;D to prevent sinkhole and ageing elevated structure collapses using veteran field technology.</t>
        </is>
      </c>
      <c r="C236" s="176" t="inlineStr">
        <is>
          <t>Infrastructure &amp; the Underground City</t>
        </is>
      </c>
      <c r="D236" s="163" t="n">
        <v>3</v>
      </c>
      <c r="E236" s="182" t="inlineStr">
        <is>
          <t>Academia-to-Industry topic</t>
        </is>
      </c>
      <c r="F236" s="165" t="inlineStr">
        <is>
          <t>To review</t>
        </is>
      </c>
      <c r="G236" s="166" t="n"/>
      <c r="H236" s="167" t="n"/>
      <c r="I236" s="168" t="inlineStr">
        <is>
          <t>Which field-proven ground investigation techniques could detect cavities and deteriorating foundations before sinkholes or elevated structure collapses occur?</t>
        </is>
      </c>
      <c r="J236" s="168" t="inlineStr">
        <is>
          <t>한국일보</t>
        </is>
      </c>
      <c r="K236" s="169" t="n">
        <v>46321</v>
      </c>
      <c r="L236" s="168" t="inlineStr">
        <is>
          <t>싱크홀·노후 고가 붕괴 사고 막는다... 현장 베테랑 기술력 접목해 재난재해 해결 R&amp;D</t>
        </is>
      </c>
      <c r="M236" s="168" t="inlineStr">
        <is>
          <t>the government ministry funding the disaster R&amp;D programme</t>
        </is>
      </c>
      <c r="N236" s="170" t="inlineStr">
        <is>
          <t>South Korea</t>
        </is>
      </c>
      <c r="O236" s="168" t="n"/>
      <c r="P236" s="168" t="n"/>
      <c r="Q236" s="171" t="inlineStr">
        <is>
          <t>South Korea</t>
        </is>
      </c>
      <c r="R236" s="169" t="n">
        <v>46321</v>
      </c>
      <c r="S236" s="170" t="inlineStr">
        <is>
          <t>2026-Q4</t>
        </is>
      </c>
      <c r="T236" s="172" t="inlineStr">
        <is>
          <t>sinkhole, collapse</t>
        </is>
      </c>
      <c r="U236" s="160" t="n">
        <v>5</v>
      </c>
      <c r="V236" s="173"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236" s="174">
        <f>IF($B236="",0,IF(AND(OR(OR(Dashboard!$B$5="All themes",Dashboard!$B$5=""),$C236=Dashboard!$B$5),OR(OR(Dashboard!$G$5="All uses",Dashboard!$G$5=""),$E236=Dashboard!$G$5),N($D236)&gt;=Lists!$H$2,OR(OR(Dashboard!$N$5="All windows",Dashboard!$N$5=""),$S236=Dashboard!$N$5)),1,0))</f>
        <v/>
      </c>
      <c r="X236" s="175">
        <f>IF($W236=1,N($D236)*1E14+MIN(MAX(N($U236),0),9999)*1E10+MIN(N($K236),99999)*1E5+99999-MIN(ROW(),99999),"")</f>
        <v/>
      </c>
    </row>
    <row r="237" ht="40.5" customHeight="1">
      <c r="A237" s="160" t="n">
        <v>234</v>
      </c>
      <c r="B237" s="161" t="inlineStr">
        <is>
          <t>Focus resources on relocating people living in areas at risk of landslides.</t>
        </is>
      </c>
      <c r="C237" s="186" t="inlineStr">
        <is>
          <t>Geotechnics &amp; Society</t>
        </is>
      </c>
      <c r="D237" s="163" t="n">
        <v>3</v>
      </c>
      <c r="E237" s="164" t="inlineStr">
        <is>
          <t>Feature lead</t>
        </is>
      </c>
      <c r="F237" s="165" t="inlineStr">
        <is>
          <t>To review</t>
        </is>
      </c>
      <c r="G237" s="166" t="n"/>
      <c r="H237" s="167" t="n"/>
      <c r="I237" s="168" t="inlineStr">
        <is>
          <t>How should relocation programmes for households in landslide-prone zones be prioritised using ground hazard evidence?</t>
        </is>
      </c>
      <c r="J237" s="168" t="inlineStr">
        <is>
          <t>Vietnam.vn</t>
        </is>
      </c>
      <c r="K237" s="169" t="n">
        <v>46321</v>
      </c>
      <c r="L237" s="168" t="inlineStr">
        <is>
          <t>Concentrer les ressources sur le relogement des personnes vivant dans les zones à risque de glissements de terrain.</t>
        </is>
      </c>
      <c r="M237" s="168" t="inlineStr">
        <is>
          <t>Vietnam's ministry responsible for disaster prevention</t>
        </is>
      </c>
      <c r="N237" s="170" t="inlineStr">
        <is>
          <t>Vietnam</t>
        </is>
      </c>
      <c r="O237" s="168" t="n"/>
      <c r="P237" s="168" t="n"/>
      <c r="Q237" s="171" t="inlineStr">
        <is>
          <t>France</t>
        </is>
      </c>
      <c r="R237" s="169" t="n">
        <v>46321</v>
      </c>
      <c r="S237" s="170" t="inlineStr">
        <is>
          <t>2026-Q4</t>
        </is>
      </c>
      <c r="T237" s="172" t="inlineStr">
        <is>
          <t>landslide</t>
        </is>
      </c>
      <c r="U237" s="160" t="n">
        <v>4</v>
      </c>
      <c r="V237" s="173" t="inlineStr">
        <is>
          <t>https://news.google.com/rss/articles/CBMilAFBVV95cUxNSHZ2QXBIZEZ6bnJfNURvNG8xZ01rMkdnY3UwSGY4cjB4ZXpCcmRBSVZtQUprTExRNVlmdnE4Q0pPcllIZmlhYjN1WV9qejJVYzhIWC10QTFzcjdQc0gwbDJsamIzMVdxZVBiWjhLVDY5X0tOZEFqQnBITF84M2hyNkZmUmY4czZIMDIzRjgyaVBVQXBJ?oc=5</t>
        </is>
      </c>
      <c r="W237" s="174">
        <f>IF($B237="",0,IF(AND(OR(OR(Dashboard!$B$5="All themes",Dashboard!$B$5=""),$C237=Dashboard!$B$5),OR(OR(Dashboard!$G$5="All uses",Dashboard!$G$5=""),$E237=Dashboard!$G$5),N($D237)&gt;=Lists!$H$2,OR(OR(Dashboard!$N$5="All windows",Dashboard!$N$5=""),$S237=Dashboard!$N$5)),1,0))</f>
        <v/>
      </c>
      <c r="X237" s="175">
        <f>IF($W237=1,N($D237)*1E14+MIN(MAX(N($U237),0),9999)*1E10+MIN(N($K237),99999)*1E5+99999-MIN(ROW(),99999),"")</f>
        <v/>
      </c>
    </row>
    <row r="238" ht="53" customHeight="1">
      <c r="A238" s="160" t="n">
        <v>235</v>
      </c>
      <c r="B238" s="161" t="inlineStr">
        <is>
          <t>Using AI to detect landslide risks early.</t>
        </is>
      </c>
      <c r="C238" s="181" t="inlineStr">
        <is>
          <t>Digital Geotechnics</t>
        </is>
      </c>
      <c r="D238" s="163" t="n">
        <v>3</v>
      </c>
      <c r="E238" s="182" t="inlineStr">
        <is>
          <t>Academia-to-Industry topic</t>
        </is>
      </c>
      <c r="F238" s="165" t="inlineStr">
        <is>
          <t>To review</t>
        </is>
      </c>
      <c r="G238" s="166" t="n"/>
      <c r="H238" s="167" t="n"/>
      <c r="I238" s="168" t="inlineStr">
        <is>
          <t>Can machine learning on rainfall and monitoring data reliably predict landslide initiation, and what validation would engineers need?</t>
        </is>
      </c>
      <c r="J238" s="168" t="inlineStr">
        <is>
          <t>Vietnam.vn</t>
        </is>
      </c>
      <c r="K238" s="169" t="n">
        <v>46321</v>
      </c>
      <c r="L238" s="168" t="inlineStr">
        <is>
          <t>Utiliser l'IA pour détecter précocement les risques de glissements de terrain.</t>
        </is>
      </c>
      <c r="M238" s="168" t="n"/>
      <c r="N238" s="170" t="inlineStr">
        <is>
          <t>Vietnam</t>
        </is>
      </c>
      <c r="O238" s="168" t="n"/>
      <c r="P238" s="168" t="inlineStr">
        <is>
          <t>AI landslide early warning, Vietnam · Update · 3 reports</t>
        </is>
      </c>
      <c r="Q238" s="171" t="inlineStr">
        <is>
          <t>France</t>
        </is>
      </c>
      <c r="R238" s="169" t="n">
        <v>46319</v>
      </c>
      <c r="S238" s="170" t="inlineStr">
        <is>
          <t>2026-Q4</t>
        </is>
      </c>
      <c r="T238" s="172" t="inlineStr">
        <is>
          <t>landslide</t>
        </is>
      </c>
      <c r="U238" s="160" t="n">
        <v>4</v>
      </c>
      <c r="V238" s="173" t="inlineStr">
        <is>
          <t>https://news.google.com/rss/articles/CBMibkFVX3lxTE9QQVZhX29ySmV5Wk9oVElzYXZVaUdkc3NkcERtSm5RZEVEZDNWN0pFUml2aC03WFNHRWJRRUk4YXY3bExHLU5iajZoV1V3Tm1xVVRBVmRWZklRN0thMDNfUUJTaFZLZ2NXWXRwRE9R?oc=5</t>
        </is>
      </c>
      <c r="W238" s="174">
        <f>IF($B238="",0,IF(AND(OR(OR(Dashboard!$B$5="All themes",Dashboard!$B$5=""),$C238=Dashboard!$B$5),OR(OR(Dashboard!$G$5="All uses",Dashboard!$G$5=""),$E238=Dashboard!$G$5),N($D238)&gt;=Lists!$H$2,OR(OR(Dashboard!$N$5="All windows",Dashboard!$N$5=""),$S238=Dashboard!$N$5)),1,0))</f>
        <v/>
      </c>
      <c r="X238" s="175">
        <f>IF($W238=1,N($D238)*1E14+MIN(MAX(N($U238),0),9999)*1E10+MIN(N($K238),99999)*1E5+99999-MIN(ROW(),99999),"")</f>
        <v/>
      </c>
    </row>
    <row r="239" ht="53" customHeight="1">
      <c r="A239" s="160" t="n">
        <v>236</v>
      </c>
      <c r="B239" s="161" t="inlineStr">
        <is>
          <t>Using artificial intelligence to provide early warnings of landslide risk.</t>
        </is>
      </c>
      <c r="C239" s="181" t="inlineStr">
        <is>
          <t>Digital Geotechnics</t>
        </is>
      </c>
      <c r="D239" s="163" t="n">
        <v>3</v>
      </c>
      <c r="E239" s="179" t="inlineStr">
        <is>
          <t>Watch only</t>
        </is>
      </c>
      <c r="F239" s="165" t="inlineStr">
        <is>
          <t>To review</t>
        </is>
      </c>
      <c r="G239" s="166" t="n"/>
      <c r="H239" s="167" t="n"/>
      <c r="I239" s="168" t="inlineStr">
        <is>
          <t>Can machine learning on rainfall and monitoring data reliably predict landslide initiation, and what validation would engineers need?</t>
        </is>
      </c>
      <c r="J239" s="168" t="inlineStr">
        <is>
          <t>Vietnam.vn</t>
        </is>
      </c>
      <c r="K239" s="169" t="n">
        <v>46321</v>
      </c>
      <c r="L239" s="168" t="inlineStr">
        <is>
          <t>Utilizar la inteligencia artificial para proporcionar alertas tempranas sobre riesgos de deslizamientos de tierra.</t>
        </is>
      </c>
      <c r="M239" s="168" t="n"/>
      <c r="N239" s="170" t="inlineStr">
        <is>
          <t>Vietnam</t>
        </is>
      </c>
      <c r="O239" s="168" t="n"/>
      <c r="P239" s="168" t="inlineStr">
        <is>
          <t>AI landslide early warning, Vietnam · Update · 3 reports</t>
        </is>
      </c>
      <c r="Q239" s="171" t="inlineStr">
        <is>
          <t>Spain</t>
        </is>
      </c>
      <c r="R239" s="169" t="n">
        <v>46319</v>
      </c>
      <c r="S239" s="170" t="inlineStr">
        <is>
          <t>2026-Q4</t>
        </is>
      </c>
      <c r="T239" s="172" t="inlineStr">
        <is>
          <t>landslide</t>
        </is>
      </c>
      <c r="U239" s="160" t="n">
        <v>4</v>
      </c>
      <c r="V239" s="173" t="inlineStr">
        <is>
          <t>https://news.google.com/rss/articles/CBMibkFVX3lxTE1WQ0c3RjRvbm50dlNYYi1UcTNoTDRQbllDZzJ0X0d5NVVkbHdMdmNNeGNxZmJPelQ0T1V0Y291aVF0Tmt2bDFEbDZyeWgtZXEwZ1NRQ0oxVF9pN0tTbnZYWVhDdFVBbE9obFRhSHNn?oc=5</t>
        </is>
      </c>
      <c r="W239" s="174">
        <f>IF($B239="",0,IF(AND(OR(OR(Dashboard!$B$5="All themes",Dashboard!$B$5=""),$C239=Dashboard!$B$5),OR(OR(Dashboard!$G$5="All uses",Dashboard!$G$5=""),$E239=Dashboard!$G$5),N($D239)&gt;=Lists!$H$2,OR(OR(Dashboard!$N$5="All windows",Dashboard!$N$5=""),$S239=Dashboard!$N$5)),1,0))</f>
        <v/>
      </c>
      <c r="X239" s="175">
        <f>IF($W239=1,N($D239)*1E14+MIN(MAX(N($U239),0),9999)*1E10+MIN(N($K239),99999)*1E5+99999-MIN(ROW(),99999),"")</f>
        <v/>
      </c>
    </row>
    <row r="240" ht="40.5" customHeight="1">
      <c r="A240" s="160" t="n">
        <v>237</v>
      </c>
      <c r="B240" s="161" t="inlineStr">
        <is>
          <t>Earthworks begin on second section of damaged collector in Voronezh</t>
        </is>
      </c>
      <c r="C240" s="176" t="inlineStr">
        <is>
          <t>Infrastructure &amp; the Underground City</t>
        </is>
      </c>
      <c r="D240" s="163" t="n">
        <v>3</v>
      </c>
      <c r="E240" s="177" t="inlineStr">
        <is>
          <t>News brief</t>
        </is>
      </c>
      <c r="F240" s="165" t="inlineStr">
        <is>
          <t>To review</t>
        </is>
      </c>
      <c r="G240" s="166" t="n"/>
      <c r="H240" s="167" t="n"/>
      <c r="I240" s="168" t="inlineStr">
        <is>
          <t>What ground conditions and excavation support measures govern safe repair of a buried collector in soft urban soils?</t>
        </is>
      </c>
      <c r="J240" s="168" t="inlineStr">
        <is>
          <t>Новости Воронежа интернет-газета</t>
        </is>
      </c>
      <c r="K240" s="169" t="n">
        <v>46321</v>
      </c>
      <c r="L240" s="168" t="inlineStr">
        <is>
          <t>В Воронеже начали земляные работы на втором участке поврежденного коллектора</t>
        </is>
      </c>
      <c r="M240" s="168" t="inlineStr">
        <is>
          <t>Voronezh city water utility (Voronezhvodokanal)</t>
        </is>
      </c>
      <c r="N240" s="170" t="inlineStr">
        <is>
          <t>Russia</t>
        </is>
      </c>
      <c r="O240" s="168" t="inlineStr">
        <is>
          <t>Voronezh</t>
        </is>
      </c>
      <c r="P240" s="168" t="inlineStr">
        <is>
          <t>Voronezh Moskovsky Avenue collector repair, Russia · Repair &amp; reconstruction · 2 reports</t>
        </is>
      </c>
      <c r="Q240" s="171" t="inlineStr">
        <is>
          <t>Russia</t>
        </is>
      </c>
      <c r="R240" s="169" t="n">
        <v>46320</v>
      </c>
      <c r="S240" s="170" t="inlineStr">
        <is>
          <t>2026-Q4</t>
        </is>
      </c>
      <c r="T240" s="172" t="inlineStr">
        <is>
          <t>earthworks</t>
        </is>
      </c>
      <c r="U240" s="160" t="n">
        <v>4</v>
      </c>
      <c r="V240" s="173" t="inlineStr">
        <is>
          <t>https://news.google.com/rss/articles/CBMiWEFVX3lxTE40bjhiX3RGaTgxc0h6UU1ENDdRSGFlNkRMOTdvakVpalctY3B2bW4wYjNNcno2UHNrNVItVmJGZHB4aTdOX1ljNjNJUnJVbk5DV1ltRl8tN3o?oc=5</t>
        </is>
      </c>
      <c r="W240" s="174">
        <f>IF($B240="",0,IF(AND(OR(OR(Dashboard!$B$5="All themes",Dashboard!$B$5=""),$C240=Dashboard!$B$5),OR(OR(Dashboard!$G$5="All uses",Dashboard!$G$5=""),$E240=Dashboard!$G$5),N($D240)&gt;=Lists!$H$2,OR(OR(Dashboard!$N$5="All windows",Dashboard!$N$5=""),$S240=Dashboard!$N$5)),1,0))</f>
        <v/>
      </c>
      <c r="X240" s="175">
        <f>IF($W240=1,N($D240)*1E14+MIN(MAX(N($U240),0),9999)*1E10+MIN(N($K240),99999)*1E5+99999-MIN(ROW(),99999),"")</f>
        <v/>
      </c>
    </row>
    <row r="241" ht="40.5" customHeight="1">
      <c r="A241" s="160" t="n">
        <v>238</v>
      </c>
      <c r="B241" s="161" t="inlineStr">
        <is>
          <t>Alóag-Santo Domingo road has controlled passage after landslide at km 35</t>
        </is>
      </c>
      <c r="C241" s="176" t="inlineStr">
        <is>
          <t>Infrastructure &amp; the Underground City</t>
        </is>
      </c>
      <c r="D241" s="163" t="n">
        <v>3</v>
      </c>
      <c r="E241" s="177" t="inlineStr">
        <is>
          <t>News brief</t>
        </is>
      </c>
      <c r="F241" s="165" t="inlineStr">
        <is>
          <t>To review</t>
        </is>
      </c>
      <c r="G241" s="166" t="n"/>
      <c r="H241" s="167" t="n"/>
      <c r="I241" s="168" t="inlineStr">
        <is>
          <t>What slope monitoring and remediation are needed on a major highway section where slides repeatedly force controlled traffic?</t>
        </is>
      </c>
      <c r="J241" s="168" t="inlineStr">
        <is>
          <t>El Comercio</t>
        </is>
      </c>
      <c r="K241" s="169" t="n">
        <v>46321</v>
      </c>
      <c r="L241" s="168" t="inlineStr">
        <is>
          <t>Vía Alóag-Santo Domingo tiene paso controlado tras deslizamiento en el km 35</t>
        </is>
      </c>
      <c r="M241" s="168" t="inlineStr">
        <is>
          <t>Ecuador's transport ministry (MTOP)</t>
        </is>
      </c>
      <c r="N241" s="170" t="inlineStr">
        <is>
          <t>Ecuador</t>
        </is>
      </c>
      <c r="O241" s="168" t="inlineStr">
        <is>
          <t>Alóag-Santo Domingo road, km 35</t>
        </is>
      </c>
      <c r="P241" s="168" t="n"/>
      <c r="Q241" s="171" t="inlineStr">
        <is>
          <t>Spain</t>
        </is>
      </c>
      <c r="R241" s="169" t="n">
        <v>46321</v>
      </c>
      <c r="S241" s="170" t="inlineStr">
        <is>
          <t>2026-Q4</t>
        </is>
      </c>
      <c r="T241" s="172" t="inlineStr">
        <is>
          <t>landslide</t>
        </is>
      </c>
      <c r="U241" s="160" t="n">
        <v>4</v>
      </c>
      <c r="V241" s="173"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241" s="174">
        <f>IF($B241="",0,IF(AND(OR(OR(Dashboard!$B$5="All themes",Dashboard!$B$5=""),$C241=Dashboard!$B$5),OR(OR(Dashboard!$G$5="All uses",Dashboard!$G$5=""),$E241=Dashboard!$G$5),N($D241)&gt;=Lists!$H$2,OR(OR(Dashboard!$N$5="All windows",Dashboard!$N$5=""),$S241=Dashboard!$N$5)),1,0))</f>
        <v/>
      </c>
      <c r="X241" s="175">
        <f>IF($W241=1,N($D241)*1E14+MIN(MAX(N($U241),0),9999)*1E10+MIN(N($K241),99999)*1E5+99999-MIN(ROW(),99999),"")</f>
        <v/>
      </c>
    </row>
    <row r="242" ht="40.5" customHeight="1">
      <c r="A242" s="160" t="n">
        <v>239</v>
      </c>
      <c r="B242" s="161" t="inlineStr">
        <is>
          <t>Riobamba–Penipe–Baños road reopened after landslide</t>
        </is>
      </c>
      <c r="C242" s="176" t="inlineStr">
        <is>
          <t>Infrastructure &amp; the Underground City</t>
        </is>
      </c>
      <c r="D242" s="163" t="n">
        <v>3</v>
      </c>
      <c r="E242" s="177" t="inlineStr">
        <is>
          <t>News brief</t>
        </is>
      </c>
      <c r="F242" s="165" t="inlineStr">
        <is>
          <t>To review</t>
        </is>
      </c>
      <c r="G242" s="166" t="n"/>
      <c r="H242" s="167" t="n"/>
      <c r="I242" s="168" t="inlineStr">
        <is>
          <t>How should a mountain road reopened after a slide be assessed for residual hazard and re-failure risk?</t>
        </is>
      </c>
      <c r="J242" s="168" t="inlineStr">
        <is>
          <t>diariolosandes.com.ec</t>
        </is>
      </c>
      <c r="K242" s="169" t="n">
        <v>46321</v>
      </c>
      <c r="L242" s="168" t="inlineStr">
        <is>
          <t>Vía Riobamba–Penipe–Baños fue habilitada tras deslizamiento</t>
        </is>
      </c>
      <c r="M242" s="168" t="inlineStr">
        <is>
          <t>Chimborazo provincial road authority (MTOP)</t>
        </is>
      </c>
      <c r="N242" s="170" t="inlineStr">
        <is>
          <t>Ecuador</t>
        </is>
      </c>
      <c r="O242" s="168" t="inlineStr">
        <is>
          <t>Riobamba–Penipe–Baños road</t>
        </is>
      </c>
      <c r="P242" s="168" t="n"/>
      <c r="Q242" s="171" t="inlineStr">
        <is>
          <t>Spain</t>
        </is>
      </c>
      <c r="R242" s="169" t="n">
        <v>46320</v>
      </c>
      <c r="S242" s="170" t="inlineStr">
        <is>
          <t>2026-Q4</t>
        </is>
      </c>
      <c r="T242" s="172" t="inlineStr">
        <is>
          <t>landslide</t>
        </is>
      </c>
      <c r="U242" s="160" t="n">
        <v>4</v>
      </c>
      <c r="V242" s="173" t="inlineStr">
        <is>
          <t>https://news.google.com/rss/articles/CBMilAFBVV95cUxPcnRNQzY0bndiRjZuWTR4SzEtdjFNZEtFOGxBVVI0dml6X3NTVE1Fa0xLSTg5X3ZkNUQxQ1lMNjR5cExKcDd3RU51WHFVMGhfNndZZFhLSk5XTjNodVFqYy1Bb2ctXzl6NTV3VDEzSXZ0VnZHWWhnSHNTenRoNEt0TmxtMnZ5bDZnZGJnbXBUbzY0d1pF?oc=5</t>
        </is>
      </c>
      <c r="W242" s="174">
        <f>IF($B242="",0,IF(AND(OR(OR(Dashboard!$B$5="All themes",Dashboard!$B$5=""),$C242=Dashboard!$B$5),OR(OR(Dashboard!$G$5="All uses",Dashboard!$G$5=""),$E242=Dashboard!$G$5),N($D242)&gt;=Lists!$H$2,OR(OR(Dashboard!$N$5="All windows",Dashboard!$N$5=""),$S242=Dashboard!$N$5)),1,0))</f>
        <v/>
      </c>
      <c r="X242" s="175">
        <f>IF($W242=1,N($D242)*1E14+MIN(MAX(N($U242),0),9999)*1E10+MIN(N($K242),99999)*1E5+99999-MIN(ROW(),99999),"")</f>
        <v/>
      </c>
    </row>
    <row r="243" ht="40.5" customHeight="1">
      <c r="A243" s="160" t="n">
        <v>240</v>
      </c>
      <c r="B243" s="161" t="inlineStr">
        <is>
          <t>Áncash: landslide damaged 15 meters of local road in Shupluy</t>
        </is>
      </c>
      <c r="C243" s="176" t="inlineStr">
        <is>
          <t>Infrastructure &amp; the Underground City</t>
        </is>
      </c>
      <c r="D243" s="163" t="n">
        <v>3</v>
      </c>
      <c r="E243" s="177" t="inlineStr">
        <is>
          <t>News brief</t>
        </is>
      </c>
      <c r="F243" s="165" t="inlineStr">
        <is>
          <t>To review</t>
        </is>
      </c>
      <c r="G243" s="166" t="n"/>
      <c r="H243" s="167" t="n"/>
      <c r="I243" s="168" t="inlineStr">
        <is>
          <t>What drainage and slope protection would keep a rural access road operational during Andean rainy seasons?</t>
        </is>
      </c>
      <c r="J243" s="168" t="inlineStr">
        <is>
          <t>luminanoticias.pe</t>
        </is>
      </c>
      <c r="K243" s="169" t="n">
        <v>46321</v>
      </c>
      <c r="L243" s="168" t="inlineStr">
        <is>
          <t>Áncash: deslizamiento de tierra dañó 15 metros de vía vecinal en Shupluy -</t>
        </is>
      </c>
      <c r="M243" s="168" t="inlineStr">
        <is>
          <t>Áncash regional government road authority</t>
        </is>
      </c>
      <c r="N243" s="170" t="inlineStr">
        <is>
          <t>Peru</t>
        </is>
      </c>
      <c r="O243" s="168" t="inlineStr">
        <is>
          <t>Shupluy, Áncash</t>
        </is>
      </c>
      <c r="P243" s="168" t="n"/>
      <c r="Q243" s="171" t="inlineStr">
        <is>
          <t>Spain</t>
        </is>
      </c>
      <c r="R243" s="169" t="n">
        <v>46320</v>
      </c>
      <c r="S243" s="170" t="inlineStr">
        <is>
          <t>2026-Q4</t>
        </is>
      </c>
      <c r="T243" s="172" t="inlineStr">
        <is>
          <t>landslide</t>
        </is>
      </c>
      <c r="U243" s="160" t="n">
        <v>4</v>
      </c>
      <c r="V243" s="173"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243" s="174">
        <f>IF($B243="",0,IF(AND(OR(OR(Dashboard!$B$5="All themes",Dashboard!$B$5=""),$C243=Dashboard!$B$5),OR(OR(Dashboard!$G$5="All uses",Dashboard!$G$5=""),$E243=Dashboard!$G$5),N($D243)&gt;=Lists!$H$2,OR(OR(Dashboard!$N$5="All windows",Dashboard!$N$5=""),$S243=Dashboard!$N$5)),1,0))</f>
        <v/>
      </c>
      <c r="X243" s="175">
        <f>IF($W243=1,N($D243)*1E14+MIN(MAX(N($U243),0),9999)*1E10+MIN(N($K243),99999)*1E5+99999-MIN(ROW(),99999),"")</f>
        <v/>
      </c>
    </row>
    <row r="244" ht="65.5" customHeight="1">
      <c r="A244" s="160" t="n">
        <v>241</v>
      </c>
      <c r="B244" s="161" t="inlineStr">
        <is>
          <t>Pickup truck stranded in sinkhole in Fronteriza neighborhood in Juárez</t>
        </is>
      </c>
      <c r="C244" s="176" t="inlineStr">
        <is>
          <t>Infrastructure &amp; the Underground City</t>
        </is>
      </c>
      <c r="D244" s="163" t="n">
        <v>3</v>
      </c>
      <c r="E244" s="177" t="inlineStr">
        <is>
          <t>News brief</t>
        </is>
      </c>
      <c r="F244" s="165" t="inlineStr">
        <is>
          <t>To review</t>
        </is>
      </c>
      <c r="G244" s="166" t="n"/>
      <c r="H244" s="167" t="n"/>
      <c r="I244" s="168" t="inlineStr">
        <is>
          <t>What failure mechanisms allow a road surface to collapse under a vehicle in a neighbourhood with poor drainage, and what subsurface survey would identify such voids before vehicles are trapped?</t>
        </is>
      </c>
      <c r="J244" s="168" t="inlineStr">
        <is>
          <t>Netnoticias.mx</t>
        </is>
      </c>
      <c r="K244" s="169" t="n">
        <v>46321</v>
      </c>
      <c r="L244" s="168" t="inlineStr">
        <is>
          <t>Camioneta varada en socavón de la colonia Fronteriza en Juárez</t>
        </is>
      </c>
      <c r="M244" s="168" t="inlineStr">
        <is>
          <t>Ciudad Juárez municipal government</t>
        </is>
      </c>
      <c r="N244" s="170" t="inlineStr">
        <is>
          <t>Mexico</t>
        </is>
      </c>
      <c r="O244" s="168" t="inlineStr">
        <is>
          <t>Colonia Fronteriza, Ciudad Juárez</t>
        </is>
      </c>
      <c r="P244" s="168" t="n"/>
      <c r="Q244" s="171" t="inlineStr">
        <is>
          <t>Colombia</t>
        </is>
      </c>
      <c r="R244" s="169" t="n">
        <v>46320</v>
      </c>
      <c r="S244" s="170" t="inlineStr">
        <is>
          <t>2026-Q4</t>
        </is>
      </c>
      <c r="T244" s="172" t="inlineStr">
        <is>
          <t>sinkhole</t>
        </is>
      </c>
      <c r="U244" s="160" t="n">
        <v>4</v>
      </c>
      <c r="V244" s="173" t="inlineStr">
        <is>
          <t>https://news.google.com/rss/articles/CBMilAFBVV95cUxPNEV1bllwT1R4cXk3NlhndEdqZm5YWXAxRXl5LThrb0dzbEdqdTJXRVB4VDMxN2NzSGtzSHR1RmxhYUdsTHVHaEJLNmZ5NTNWajhVT2VabHhRMGNCUTZDZVZRZVNmRThEckdaNVdWbEJPM3FYS0NVVDhKTlhTUE9HODdHWFE0SUpCQnE4d3N4Y0E4cldj?oc=5</t>
        </is>
      </c>
      <c r="W244" s="174">
        <f>IF($B244="",0,IF(AND(OR(OR(Dashboard!$B$5="All themes",Dashboard!$B$5=""),$C244=Dashboard!$B$5),OR(OR(Dashboard!$G$5="All uses",Dashboard!$G$5=""),$E244=Dashboard!$G$5),N($D244)&gt;=Lists!$H$2,OR(OR(Dashboard!$N$5="All windows",Dashboard!$N$5=""),$S244=Dashboard!$N$5)),1,0))</f>
        <v/>
      </c>
      <c r="X244" s="175">
        <f>IF($W244=1,N($D244)*1E14+MIN(MAX(N($U244),0),9999)*1E10+MIN(N($K244),99999)*1E5+99999-MIN(ROW(),99999),"")</f>
        <v/>
      </c>
    </row>
    <row r="245" ht="53" customHeight="1">
      <c r="A245" s="160" t="n">
        <v>242</v>
      </c>
      <c r="B245" s="161" t="inlineStr">
        <is>
          <t>Repair of sinkhole on Terrazas del Valle bridge starts tomorrow</t>
        </is>
      </c>
      <c r="C245" s="176" t="inlineStr">
        <is>
          <t>Infrastructure &amp; the Underground City</t>
        </is>
      </c>
      <c r="D245" s="163" t="n">
        <v>3</v>
      </c>
      <c r="E245" s="177" t="inlineStr">
        <is>
          <t>News brief</t>
        </is>
      </c>
      <c r="F245" s="165" t="inlineStr">
        <is>
          <t>To review</t>
        </is>
      </c>
      <c r="G245" s="166" t="n"/>
      <c r="H245" s="167" t="n"/>
      <c r="I245" s="168" t="inlineStr">
        <is>
          <t>What causes a sinkhole to form at a bridge abutment or approach, and what foundation and backfill investigation should precede a repair to prevent recurrence?</t>
        </is>
      </c>
      <c r="J245" s="168" t="inlineStr">
        <is>
          <t>Punto Norte</t>
        </is>
      </c>
      <c r="K245" s="169" t="n">
        <v>46321</v>
      </c>
      <c r="L245" s="168" t="inlineStr">
        <is>
          <t>Mañana inicia la reparación del socavón en el puente Terrazas del Valle</t>
        </is>
      </c>
      <c r="M245" s="168" t="inlineStr">
        <is>
          <t>municipal public works department</t>
        </is>
      </c>
      <c r="N245" s="170" t="inlineStr">
        <is>
          <t>Mexico</t>
        </is>
      </c>
      <c r="O245" s="168" t="inlineStr">
        <is>
          <t>Terrazas del Valle bridge</t>
        </is>
      </c>
      <c r="P245" s="168" t="inlineStr">
        <is>
          <t>Terrazas del Valle bridge sinkhole, Tijuana, Mexico · Repair &amp; reconstruction · 2 reports</t>
        </is>
      </c>
      <c r="Q245" s="171" t="inlineStr">
        <is>
          <t>Colombia</t>
        </is>
      </c>
      <c r="R245" s="169" t="n">
        <v>46318</v>
      </c>
      <c r="S245" s="170" t="inlineStr">
        <is>
          <t>2026-Q4</t>
        </is>
      </c>
      <c r="T245" s="172" t="inlineStr">
        <is>
          <t>sinkhole</t>
        </is>
      </c>
      <c r="U245" s="160" t="n">
        <v>4</v>
      </c>
      <c r="V245" s="173"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245" s="174">
        <f>IF($B245="",0,IF(AND(OR(OR(Dashboard!$B$5="All themes",Dashboard!$B$5=""),$C245=Dashboard!$B$5),OR(OR(Dashboard!$G$5="All uses",Dashboard!$G$5=""),$E245=Dashboard!$G$5),N($D245)&gt;=Lists!$H$2,OR(OR(Dashboard!$N$5="All windows",Dashboard!$N$5=""),$S245=Dashboard!$N$5)),1,0))</f>
        <v/>
      </c>
      <c r="X245" s="175">
        <f>IF($W245=1,N($D245)*1E14+MIN(MAX(N($U245),0),9999)*1E10+MIN(N($K245),99999)*1E5+99999-MIN(ROW(),99999),"")</f>
        <v/>
      </c>
    </row>
    <row r="246" ht="53" customHeight="1">
      <c r="A246" s="160" t="n">
        <v>243</v>
      </c>
      <c r="B246" s="161" t="inlineStr">
        <is>
          <t>Heavy rains cause landslide on access to SP-294 in Garça</t>
        </is>
      </c>
      <c r="C246" s="176" t="inlineStr">
        <is>
          <t>Infrastructure &amp; the Underground City</t>
        </is>
      </c>
      <c r="D246" s="163" t="n">
        <v>3</v>
      </c>
      <c r="E246" s="177" t="inlineStr">
        <is>
          <t>News brief</t>
        </is>
      </c>
      <c r="F246" s="165" t="inlineStr">
        <is>
          <t>To review</t>
        </is>
      </c>
      <c r="G246" s="166" t="n"/>
      <c r="H246" s="167" t="n"/>
      <c r="I246" s="168" t="inlineStr">
        <is>
          <t>What causes a cut or embankment on a state highway access road to fail under heavy rain, and what stabilisation is appropriate for such slopes?</t>
        </is>
      </c>
      <c r="J246" s="168" t="inlineStr">
        <is>
          <t>Marília Notícia</t>
        </is>
      </c>
      <c r="K246" s="169" t="n">
        <v>46321</v>
      </c>
      <c r="L246" s="168" t="inlineStr">
        <is>
          <t>Fortes chuvas provocam deslizamento de terra em acesso da SP-294 em Garça</t>
        </is>
      </c>
      <c r="M246" s="168" t="inlineStr">
        <is>
          <t>DER-SP (São Paulo state roads department)</t>
        </is>
      </c>
      <c r="N246" s="170" t="inlineStr">
        <is>
          <t>Brazil</t>
        </is>
      </c>
      <c r="O246" s="168" t="inlineStr">
        <is>
          <t>Garça, SP-294 access road</t>
        </is>
      </c>
      <c r="P246" s="168" t="n"/>
      <c r="Q246" s="171" t="inlineStr">
        <is>
          <t>Brazil</t>
        </is>
      </c>
      <c r="R246" s="169" t="n">
        <v>46320</v>
      </c>
      <c r="S246" s="170" t="inlineStr">
        <is>
          <t>2026-Q4</t>
        </is>
      </c>
      <c r="T246" s="172" t="inlineStr">
        <is>
          <t>landslide</t>
        </is>
      </c>
      <c r="U246" s="160" t="n">
        <v>4</v>
      </c>
      <c r="V246" s="173"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246" s="174">
        <f>IF($B246="",0,IF(AND(OR(OR(Dashboard!$B$5="All themes",Dashboard!$B$5=""),$C246=Dashboard!$B$5),OR(OR(Dashboard!$G$5="All uses",Dashboard!$G$5=""),$E246=Dashboard!$G$5),N($D246)&gt;=Lists!$H$2,OR(OR(Dashboard!$N$5="All windows",Dashboard!$N$5=""),$S246=Dashboard!$N$5)),1,0))</f>
        <v/>
      </c>
      <c r="X246" s="175">
        <f>IF($W246=1,N($D246)*1E14+MIN(MAX(N($U246),0),9999)*1E10+MIN(N($K246),99999)*1E5+99999-MIN(ROW(),99999),"")</f>
        <v/>
      </c>
    </row>
    <row r="247" ht="53" customHeight="1">
      <c r="A247" s="160" t="n">
        <v>244</v>
      </c>
      <c r="B247" s="161" t="inlineStr">
        <is>
          <t>Landslide and trees block highway between Tatuí and Boituva</t>
        </is>
      </c>
      <c r="C247" s="176" t="inlineStr">
        <is>
          <t>Infrastructure &amp; the Underground City</t>
        </is>
      </c>
      <c r="D247" s="163" t="n">
        <v>3</v>
      </c>
      <c r="E247" s="177" t="inlineStr">
        <is>
          <t>News brief</t>
        </is>
      </c>
      <c r="F247" s="165" t="inlineStr">
        <is>
          <t>To review</t>
        </is>
      </c>
      <c r="G247" s="166" t="n"/>
      <c r="H247" s="167" t="n"/>
      <c r="I247" s="168" t="inlineStr">
        <is>
          <t>What triggered a slope to shed soil and vegetation onto a regional highway, and what slope inspection would prevent repeated closures on this route?</t>
        </is>
      </c>
      <c r="J247" s="168" t="inlineStr">
        <is>
          <t>G1</t>
        </is>
      </c>
      <c r="K247" s="169" t="n">
        <v>46321</v>
      </c>
      <c r="L247" s="168" t="inlineStr">
        <is>
          <t>Deslizamento de terra e árvores bloqueia rodovia entre Tatuí e Boituva</t>
        </is>
      </c>
      <c r="M247" s="168" t="inlineStr">
        <is>
          <t>DER-SP (São Paulo state roads department)</t>
        </is>
      </c>
      <c r="N247" s="170" t="inlineStr">
        <is>
          <t>Brazil</t>
        </is>
      </c>
      <c r="O247" s="168" t="inlineStr">
        <is>
          <t>Tatuí–Boituva road, São Paulo</t>
        </is>
      </c>
      <c r="P247" s="168" t="n"/>
      <c r="Q247" s="171" t="inlineStr">
        <is>
          <t>Brazil</t>
        </is>
      </c>
      <c r="R247" s="169" t="n">
        <v>46320</v>
      </c>
      <c r="S247" s="170" t="inlineStr">
        <is>
          <t>2026-Q4</t>
        </is>
      </c>
      <c r="T247" s="172" t="inlineStr">
        <is>
          <t>landslide</t>
        </is>
      </c>
      <c r="U247" s="160" t="n">
        <v>4</v>
      </c>
      <c r="V247" s="173"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247" s="174">
        <f>IF($B247="",0,IF(AND(OR(OR(Dashboard!$B$5="All themes",Dashboard!$B$5=""),$C247=Dashboard!$B$5),OR(OR(Dashboard!$G$5="All uses",Dashboard!$G$5=""),$E247=Dashboard!$G$5),N($D247)&gt;=Lists!$H$2,OR(OR(Dashboard!$N$5="All windows",Dashboard!$N$5=""),$S247=Dashboard!$N$5)),1,0))</f>
        <v/>
      </c>
      <c r="X247" s="175">
        <f>IF($W247=1,N($D247)*1E14+MIN(MAX(N($U247),0),9999)*1E10+MIN(N($K247),99999)*1E5+99999-MIN(ROW(),99999),"")</f>
        <v/>
      </c>
    </row>
    <row r="248" ht="53" customHeight="1">
      <c r="A248" s="160" t="n">
        <v>245</v>
      </c>
      <c r="B248" s="161" t="inlineStr">
        <is>
          <t>Landslide closes highway between Realeza and Planalto</t>
        </is>
      </c>
      <c r="C248" s="176" t="inlineStr">
        <is>
          <t>Infrastructure &amp; the Underground City</t>
        </is>
      </c>
      <c r="D248" s="163" t="n">
        <v>3</v>
      </c>
      <c r="E248" s="177" t="inlineStr">
        <is>
          <t>News brief</t>
        </is>
      </c>
      <c r="F248" s="165" t="inlineStr">
        <is>
          <t>To review</t>
        </is>
      </c>
      <c r="G248" s="166" t="n"/>
      <c r="H248" s="167" t="n"/>
      <c r="I248" s="168" t="inlineStr">
        <is>
          <t>Why do rural highway cuts in this region fail during rain, and what slope stability assessment would inform repair and prevent future interdictions?</t>
        </is>
      </c>
      <c r="J248" s="168" t="inlineStr">
        <is>
          <t>Jornal Novo Tempo</t>
        </is>
      </c>
      <c r="K248" s="169" t="n">
        <v>46321</v>
      </c>
      <c r="L248" s="168" t="inlineStr">
        <is>
          <t>Deslizamento de terra interdita rodovia entre Realeza e Planalto</t>
        </is>
      </c>
      <c r="M248" s="168" t="inlineStr">
        <is>
          <t>DER-PR (Paraná state roads department)</t>
        </is>
      </c>
      <c r="N248" s="170" t="inlineStr">
        <is>
          <t>Brazil</t>
        </is>
      </c>
      <c r="O248" s="168" t="inlineStr">
        <is>
          <t>Realeza–Planalto road, Paraná</t>
        </is>
      </c>
      <c r="P248" s="168" t="n"/>
      <c r="Q248" s="171" t="inlineStr">
        <is>
          <t>Brazil</t>
        </is>
      </c>
      <c r="R248" s="169" t="n">
        <v>46320</v>
      </c>
      <c r="S248" s="170" t="inlineStr">
        <is>
          <t>2026-Q4</t>
        </is>
      </c>
      <c r="T248" s="172" t="inlineStr">
        <is>
          <t>landslide</t>
        </is>
      </c>
      <c r="U248" s="160" t="n">
        <v>4</v>
      </c>
      <c r="V248" s="173"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248" s="174">
        <f>IF($B248="",0,IF(AND(OR(OR(Dashboard!$B$5="All themes",Dashboard!$B$5=""),$C248=Dashboard!$B$5),OR(OR(Dashboard!$G$5="All uses",Dashboard!$G$5=""),$E248=Dashboard!$G$5),N($D248)&gt;=Lists!$H$2,OR(OR(Dashboard!$N$5="All windows",Dashboard!$N$5=""),$S248=Dashboard!$N$5)),1,0))</f>
        <v/>
      </c>
      <c r="X248" s="175">
        <f>IF($W248=1,N($D248)*1E14+MIN(MAX(N($U248),0),9999)*1E10+MIN(N($K248),99999)*1E5+99999-MIN(ROW(),99999),"")</f>
        <v/>
      </c>
    </row>
    <row r="249" ht="53" customHeight="1">
      <c r="A249" s="160" t="n">
        <v>246</v>
      </c>
      <c r="B249" s="161" t="inlineStr">
        <is>
          <t>BR-277 reopened after landslide in Serra da Esperança, in Guarapuava</t>
        </is>
      </c>
      <c r="C249" s="176" t="inlineStr">
        <is>
          <t>Infrastructure &amp; the Underground City</t>
        </is>
      </c>
      <c r="D249" s="163" t="n">
        <v>3</v>
      </c>
      <c r="E249" s="177" t="inlineStr">
        <is>
          <t>News brief</t>
        </is>
      </c>
      <c r="F249" s="165" t="inlineStr">
        <is>
          <t>To review</t>
        </is>
      </c>
      <c r="G249" s="166" t="n"/>
      <c r="H249" s="167" t="n"/>
      <c r="I249" s="168" t="inlineStr">
        <is>
          <t>What triggered the mountain slope failure on this highway, and what monitoring and remediation would reduce the time the route is closed after storms?</t>
        </is>
      </c>
      <c r="J249" s="168" t="inlineStr">
        <is>
          <t>Catve</t>
        </is>
      </c>
      <c r="K249" s="169" t="n">
        <v>46321</v>
      </c>
      <c r="L249" s="168" t="inlineStr">
        <is>
          <t>BR-277 é liberada após deslizamento de terra na Serra da Esperança, em Guarapuava</t>
        </is>
      </c>
      <c r="M249" s="168" t="inlineStr">
        <is>
          <t>DNIT and the BR-277 concessionaire</t>
        </is>
      </c>
      <c r="N249" s="170" t="inlineStr">
        <is>
          <t>Brazil</t>
        </is>
      </c>
      <c r="O249" s="168" t="inlineStr">
        <is>
          <t>Serra da Esperança, Guarapuava</t>
        </is>
      </c>
      <c r="P249" s="168" t="n"/>
      <c r="Q249" s="171" t="inlineStr">
        <is>
          <t>Brazil</t>
        </is>
      </c>
      <c r="R249" s="169" t="n">
        <v>46319</v>
      </c>
      <c r="S249" s="170" t="inlineStr">
        <is>
          <t>2026-Q4</t>
        </is>
      </c>
      <c r="T249" s="172" t="inlineStr">
        <is>
          <t>landslide</t>
        </is>
      </c>
      <c r="U249" s="160" t="n">
        <v>4</v>
      </c>
      <c r="V249" s="173" t="inlineStr">
        <is>
          <t>https://news.google.com/rss/articles/CBMiR0FVX3lxTE94OUJCMW4zNWdhYkRhdHNyanpLUDRXZ0gtZERXYjNCdnM0X3Z0WnV3QlVaX09kem5CMko5Vy0wamJTUnZkWjRB?oc=5</t>
        </is>
      </c>
      <c r="W249" s="174">
        <f>IF($B249="",0,IF(AND(OR(OR(Dashboard!$B$5="All themes",Dashboard!$B$5=""),$C249=Dashboard!$B$5),OR(OR(Dashboard!$G$5="All uses",Dashboard!$G$5=""),$E249=Dashboard!$G$5),N($D249)&gt;=Lists!$H$2,OR(OR(Dashboard!$N$5="All windows",Dashboard!$N$5=""),$S249=Dashboard!$N$5)),1,0))</f>
        <v/>
      </c>
      <c r="X249" s="175">
        <f>IF($W249=1,N($D249)*1E14+MIN(MAX(N($U249),0),9999)*1E10+MIN(N($K249),99999)*1E5+99999-MIN(ROW(),99999),"")</f>
        <v/>
      </c>
    </row>
    <row r="250" ht="53" customHeight="1">
      <c r="A250" s="160" t="n">
        <v>247</v>
      </c>
      <c r="B250" s="161" t="inlineStr">
        <is>
          <t>Landslide at Km 43 in Cajamar puts drivers on alert</t>
        </is>
      </c>
      <c r="C250" s="176" t="inlineStr">
        <is>
          <t>Infrastructure &amp; the Underground City</t>
        </is>
      </c>
      <c r="D250" s="163" t="n">
        <v>3</v>
      </c>
      <c r="E250" s="177" t="inlineStr">
        <is>
          <t>News brief</t>
        </is>
      </c>
      <c r="F250" s="165" t="inlineStr">
        <is>
          <t>To review</t>
        </is>
      </c>
      <c r="G250" s="166" t="n"/>
      <c r="H250" s="167" t="n"/>
      <c r="I250" s="168" t="inlineStr">
        <is>
          <t>What caused soil to slide onto this highway cut, and what slope inspection and drainage check should follow before traffic is fully normal?</t>
        </is>
      </c>
      <c r="J250" s="168" t="inlineStr">
        <is>
          <t>JORNAL DA REGIÃO</t>
        </is>
      </c>
      <c r="K250" s="169" t="n">
        <v>46321</v>
      </c>
      <c r="L250" s="168" t="inlineStr">
        <is>
          <t>Deslizamento de terra no Km 43, em Cajamar, coloca motoristas em alerta</t>
        </is>
      </c>
      <c r="M250" s="168" t="inlineStr">
        <is>
          <t>DER-SP and the road concessionaire</t>
        </is>
      </c>
      <c r="N250" s="170" t="inlineStr">
        <is>
          <t>Brazil</t>
        </is>
      </c>
      <c r="O250" s="168" t="inlineStr">
        <is>
          <t>Cajamar, São Paulo</t>
        </is>
      </c>
      <c r="P250" s="168" t="n"/>
      <c r="Q250" s="171" t="inlineStr">
        <is>
          <t>Brazil</t>
        </is>
      </c>
      <c r="R250" s="169" t="n">
        <v>46320</v>
      </c>
      <c r="S250" s="170" t="inlineStr">
        <is>
          <t>2026-Q4</t>
        </is>
      </c>
      <c r="T250" s="172" t="inlineStr">
        <is>
          <t>landslide</t>
        </is>
      </c>
      <c r="U250" s="160" t="n">
        <v>4</v>
      </c>
      <c r="V250" s="173" t="inlineStr">
        <is>
          <t>https://news.google.com/rss/articles/CBMioAFBVV95cUxNcE1vSTkzcnVFZHlScldIbU1rdk51ZlN2WHZhNVRUWjdETmhvYmJyNVdKTjRBdENnNk83d29TZTVEWngweEs5LUlKeFZLRFBrQWFIMWk0MWJtVjdFVkhJX3FfRGdzckVFdnBISVhmb2hiUmFNaDM2WURmUE9tUmNiUFNjM3FhYW9NSmNteTZRUmJMV2VPekk3SFlIaWU3X3JH?oc=5</t>
        </is>
      </c>
      <c r="W250" s="174">
        <f>IF($B250="",0,IF(AND(OR(OR(Dashboard!$B$5="All themes",Dashboard!$B$5=""),$C250=Dashboard!$B$5),OR(OR(Dashboard!$G$5="All uses",Dashboard!$G$5=""),$E250=Dashboard!$G$5),N($D250)&gt;=Lists!$H$2,OR(OR(Dashboard!$N$5="All windows",Dashboard!$N$5=""),$S250=Dashboard!$N$5)),1,0))</f>
        <v/>
      </c>
      <c r="X250" s="175">
        <f>IF($W250=1,N($D250)*1E14+MIN(MAX(N($U250),0),9999)*1E10+MIN(N($K250),99999)*1E5+99999-MIN(ROW(),99999),"")</f>
        <v/>
      </c>
    </row>
    <row r="251" ht="53" customHeight="1">
      <c r="A251" s="160" t="n">
        <v>248</v>
      </c>
      <c r="B251" s="161" t="inlineStr">
        <is>
          <t>More than 100 days after Kalladi landslip, twin-tunnel road project awaits safety reports</t>
        </is>
      </c>
      <c r="C251" s="162" t="inlineStr">
        <is>
          <t>Hazards &amp; Resilience</t>
        </is>
      </c>
      <c r="D251" s="163" t="n">
        <v>5</v>
      </c>
      <c r="E251" s="164" t="inlineStr">
        <is>
          <t>Feature lead</t>
        </is>
      </c>
      <c r="F251" s="165" t="inlineStr">
        <is>
          <t>To review</t>
        </is>
      </c>
      <c r="G251" s="166" t="n"/>
      <c r="H251" s="167" t="n"/>
      <c r="I251" s="168" t="inlineStr">
        <is>
          <t>How should twin-tunnel road projects be geotechnically assessed and safety-verified in landslide-prone hill terrain after a major slope failure?</t>
        </is>
      </c>
      <c r="J251" s="168" t="inlineStr">
        <is>
          <t>Onmanorama</t>
        </is>
      </c>
      <c r="K251" s="169" t="n">
        <v>46320</v>
      </c>
      <c r="L251" s="168" t="n"/>
      <c r="M251" s="168" t="n"/>
      <c r="N251" s="170" t="inlineStr">
        <is>
          <t>India</t>
        </is>
      </c>
      <c r="O251" s="168" t="inlineStr">
        <is>
          <t>Kalladi, Kerala</t>
        </is>
      </c>
      <c r="P251" s="168" t="n"/>
      <c r="Q251" s="171" t="inlineStr">
        <is>
          <t>South Africa</t>
        </is>
      </c>
      <c r="R251" s="169" t="n">
        <v>46319</v>
      </c>
      <c r="S251" s="170" t="inlineStr">
        <is>
          <t>2026-Q4</t>
        </is>
      </c>
      <c r="T251" s="172" t="inlineStr">
        <is>
          <t>landslip, tunnel</t>
        </is>
      </c>
      <c r="U251" s="160" t="n">
        <v>6</v>
      </c>
      <c r="V251" s="173"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251" s="174">
        <f>IF($B251="",0,IF(AND(OR(OR(Dashboard!$B$5="All themes",Dashboard!$B$5=""),$C251=Dashboard!$B$5),OR(OR(Dashboard!$G$5="All uses",Dashboard!$G$5=""),$E251=Dashboard!$G$5),N($D251)&gt;=Lists!$H$2,OR(OR(Dashboard!$N$5="All windows",Dashboard!$N$5=""),$S251=Dashboard!$N$5)),1,0))</f>
        <v/>
      </c>
      <c r="X251" s="175">
        <f>IF($W251=1,N($D251)*1E14+MIN(MAX(N($U251),0),9999)*1E10+MIN(N($K251),99999)*1E5+99999-MIN(ROW(),99999),"")</f>
        <v/>
      </c>
    </row>
    <row r="252" ht="53" customHeight="1">
      <c r="A252" s="160" t="n">
        <v>249</v>
      </c>
      <c r="B252" s="161" t="inlineStr">
        <is>
          <t>Fragility of port disaster prevention exposed: liquefaction halts logistics at Yatsushiro</t>
        </is>
      </c>
      <c r="C252" s="162" t="inlineStr">
        <is>
          <t>Hazards &amp; Resilience</t>
        </is>
      </c>
      <c r="D252" s="163" t="n">
        <v>5</v>
      </c>
      <c r="E252" s="164" t="inlineStr">
        <is>
          <t>Feature lead</t>
        </is>
      </c>
      <c r="F252" s="165" t="inlineStr">
        <is>
          <t>To review</t>
        </is>
      </c>
      <c r="G252" s="166" t="n"/>
      <c r="H252" s="167" t="n"/>
      <c r="I252" s="168" t="inlineStr">
        <is>
          <t>Why do reclaimed port areas liquefy during earthquakes, and how can quay and yard design reduce the risk of losing logistics function after shaking?</t>
        </is>
      </c>
      <c r="J252" s="168" t="inlineStr">
        <is>
          <t>山陽新聞</t>
        </is>
      </c>
      <c r="K252" s="169" t="n">
        <v>46320</v>
      </c>
      <c r="L252" s="168" t="inlineStr">
        <is>
          <t>港湾防災のもろさ露呈 八代、液状化で物流停止</t>
        </is>
      </c>
      <c r="M252" s="168" t="n"/>
      <c r="N252" s="170" t="inlineStr">
        <is>
          <t>Japan</t>
        </is>
      </c>
      <c r="O252" s="168" t="inlineStr">
        <is>
          <t>Yatsushiro port, Kumamoto</t>
        </is>
      </c>
      <c r="P252" s="168" t="n"/>
      <c r="Q252" s="171" t="inlineStr">
        <is>
          <t>Japan</t>
        </is>
      </c>
      <c r="R252" s="169" t="n">
        <v>46318</v>
      </c>
      <c r="S252" s="170" t="inlineStr">
        <is>
          <t>2026-Q4</t>
        </is>
      </c>
      <c r="T252" s="172" t="inlineStr">
        <is>
          <t>liquefaction</t>
        </is>
      </c>
      <c r="U252" s="160" t="n">
        <v>5</v>
      </c>
      <c r="V252" s="173" t="inlineStr">
        <is>
          <t>https://news.google.com/rss/articles/CBMiZ0FVX3lxTE5leHlqNFI1UXh5aXh5dU5RMVFSUmI5Y2VCOFkzTzhla0Rwa25XbDk5ZlBNblFrdEw2UDc2ZTA4VWtaWmJuN25hLWlBdjNpRDJEU045aldfR3dLbzhzdGZmN3ltV3lxQ3M?oc=5</t>
        </is>
      </c>
      <c r="W252" s="174">
        <f>IF($B252="",0,IF(AND(OR(OR(Dashboard!$B$5="All themes",Dashboard!$B$5=""),$C252=Dashboard!$B$5),OR(OR(Dashboard!$G$5="All uses",Dashboard!$G$5=""),$E252=Dashboard!$G$5),N($D252)&gt;=Lists!$H$2,OR(OR(Dashboard!$N$5="All windows",Dashboard!$N$5=""),$S252=Dashboard!$N$5)),1,0))</f>
        <v/>
      </c>
      <c r="X252" s="175">
        <f>IF($W252=1,N($D252)*1E14+MIN(MAX(N($U252),0),9999)*1E10+MIN(N($K252),99999)*1E5+99999-MIN(ROW(),99999),"")</f>
        <v/>
      </c>
    </row>
    <row r="253" ht="53" customHeight="1">
      <c r="A253" s="160" t="n">
        <v>250</v>
      </c>
      <c r="B253" s="161" t="inlineStr">
        <is>
          <t>Arauco sinkhole: government acknowledges earlier warnings about unstable land and keeps 152 families evacuated</t>
        </is>
      </c>
      <c r="C253" s="162" t="inlineStr">
        <is>
          <t>Hazards &amp; Resilience</t>
        </is>
      </c>
      <c r="D253" s="163" t="n">
        <v>5</v>
      </c>
      <c r="E253" s="164" t="inlineStr">
        <is>
          <t>Feature lead</t>
        </is>
      </c>
      <c r="F253" s="165" t="inlineStr">
        <is>
          <t>To review</t>
        </is>
      </c>
      <c r="G253" s="166" t="n"/>
      <c r="H253" s="167" t="n"/>
      <c r="I253" s="168" t="inlineStr">
        <is>
          <t>How should authorities act on prior geotechnical warnings about unstable ground, and what criteria should govern long-term evacuation and land reuse?</t>
        </is>
      </c>
      <c r="J253" s="168" t="inlineStr">
        <is>
          <t>Publimicro</t>
        </is>
      </c>
      <c r="K253" s="169" t="n">
        <v>46320</v>
      </c>
      <c r="L253" s="168" t="inlineStr">
        <is>
          <t>Socavón de Arauco: Gobierno reconoce advertencias previas sobre terrenos inestables y mantiene evacuación de 152 familias</t>
        </is>
      </c>
      <c r="M253" s="168" t="n"/>
      <c r="N253" s="170" t="inlineStr">
        <is>
          <t>Chile</t>
        </is>
      </c>
      <c r="O253" s="168" t="inlineStr">
        <is>
          <t>Arauco</t>
        </is>
      </c>
      <c r="P253" s="168" t="inlineStr">
        <is>
          <t>Arauco sinkhole, Chile (Oct 2026) · Response &amp; recovery · 2 reports</t>
        </is>
      </c>
      <c r="Q253" s="171" t="inlineStr">
        <is>
          <t>Colombia</t>
        </is>
      </c>
      <c r="R253" s="169" t="n">
        <v>46320</v>
      </c>
      <c r="S253" s="170" t="inlineStr">
        <is>
          <t>2026-Q4</t>
        </is>
      </c>
      <c r="T253" s="172" t="inlineStr">
        <is>
          <t>sinkhole</t>
        </is>
      </c>
      <c r="U253" s="160" t="n">
        <v>4</v>
      </c>
      <c r="V253" s="173"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253" s="174">
        <f>IF($B253="",0,IF(AND(OR(OR(Dashboard!$B$5="All themes",Dashboard!$B$5=""),$C253=Dashboard!$B$5),OR(OR(Dashboard!$G$5="All uses",Dashboard!$G$5=""),$E253=Dashboard!$G$5),N($D253)&gt;=Lists!$H$2,OR(OR(Dashboard!$N$5="All windows",Dashboard!$N$5=""),$S253=Dashboard!$N$5)),1,0))</f>
        <v/>
      </c>
      <c r="X253" s="175">
        <f>IF($W253=1,N($D253)*1E14+MIN(MAX(N($U253),0),9999)*1E10+MIN(N($K253),99999)*1E5+99999-MIN(ROW(),99999),"")</f>
        <v/>
      </c>
    </row>
    <row r="254" ht="53" customHeight="1">
      <c r="A254" s="160" t="n">
        <v>251</v>
      </c>
      <c r="B254" s="161" t="inlineStr">
        <is>
          <t>Up to 1.20 metres of ground moved during the 7.5 earthquake that shook Panama</t>
        </is>
      </c>
      <c r="C254" s="162" t="inlineStr">
        <is>
          <t>Hazards &amp; Resilience</t>
        </is>
      </c>
      <c r="D254" s="163" t="n">
        <v>5</v>
      </c>
      <c r="E254" s="164" t="inlineStr">
        <is>
          <t>Feature lead</t>
        </is>
      </c>
      <c r="F254" s="165" t="inlineStr">
        <is>
          <t>To review</t>
        </is>
      </c>
      <c r="G254" s="166" t="n"/>
      <c r="H254" s="167" t="n"/>
      <c r="I254" s="168" t="inlineStr">
        <is>
          <t>What mechanisms produced metre-scale ground displacement during this magnitude 7.5 earthquake, and what do they imply for fault-zone hazard assessment in Panama?</t>
        </is>
      </c>
      <c r="J254" s="168" t="inlineStr">
        <is>
          <t>Infobae</t>
        </is>
      </c>
      <c r="K254" s="169" t="n">
        <v>46320</v>
      </c>
      <c r="L254" s="168" t="inlineStr">
        <is>
          <t>Hasta 1.20 metros se desplazó el suelo durante el terremoto de 7.5 que sacudió Panamá</t>
        </is>
      </c>
      <c r="M254" s="168" t="n"/>
      <c r="N254" s="170" t="inlineStr">
        <is>
          <t>Panama</t>
        </is>
      </c>
      <c r="O254" s="168" t="inlineStr">
        <is>
          <t>Panama</t>
        </is>
      </c>
      <c r="P254" s="168" t="n"/>
      <c r="Q254" s="171" t="inlineStr">
        <is>
          <t>Argentina</t>
        </is>
      </c>
      <c r="R254" s="169" t="n">
        <v>46317</v>
      </c>
      <c r="S254" s="170" t="inlineStr">
        <is>
          <t>2026-Q4</t>
        </is>
      </c>
      <c r="T254" s="172" t="inlineStr">
        <is>
          <t>earthquake, soil</t>
        </is>
      </c>
      <c r="U254" s="160" t="n">
        <v>3</v>
      </c>
      <c r="V254" s="173"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254" s="174">
        <f>IF($B254="",0,IF(AND(OR(OR(Dashboard!$B$5="All themes",Dashboard!$B$5=""),$C254=Dashboard!$B$5),OR(OR(Dashboard!$G$5="All uses",Dashboard!$G$5=""),$E254=Dashboard!$G$5),N($D254)&gt;=Lists!$H$2,OR(OR(Dashboard!$N$5="All windows",Dashboard!$N$5=""),$S254=Dashboard!$N$5)),1,0))</f>
        <v/>
      </c>
      <c r="X254" s="175">
        <f>IF($W254=1,N($D254)*1E14+MIN(MAX(N($U254),0),9999)*1E10+MIN(N($K254),99999)*1E5+99999-MIN(ROW(),99999),"")</f>
        <v/>
      </c>
    </row>
    <row r="255" ht="53" customHeight="1">
      <c r="A255" s="160" t="n">
        <v>252</v>
      </c>
      <c r="B255" s="161" t="inlineStr">
        <is>
          <t>Zaruma sits on old gold galleries: where is the sinkhole risk concentrated?</t>
        </is>
      </c>
      <c r="C255" s="162" t="inlineStr">
        <is>
          <t>Hazards &amp; Resilience</t>
        </is>
      </c>
      <c r="D255" s="163" t="n">
        <v>5</v>
      </c>
      <c r="E255" s="164" t="inlineStr">
        <is>
          <t>Feature lead</t>
        </is>
      </c>
      <c r="F255" s="165" t="inlineStr">
        <is>
          <t>To review</t>
        </is>
      </c>
      <c r="G255" s="166" t="n"/>
      <c r="H255" s="167" t="n"/>
      <c r="I255" s="168" t="inlineStr">
        <is>
          <t>How do abandoned shallow gold mine galleries affect ground stability beneath an urban area, and how can the sinkhole risk be mapped and managed?</t>
        </is>
      </c>
      <c r="J255" s="168" t="inlineStr">
        <is>
          <t>Revista Digital Minera REDIMIN</t>
        </is>
      </c>
      <c r="K255" s="169" t="n">
        <v>46320</v>
      </c>
      <c r="L255" s="168" t="inlineStr">
        <is>
          <t>Zaruma está sobre antiguas galerías de oro: ¿Dónde se concentra el riesgo de hundimiento?</t>
        </is>
      </c>
      <c r="M255" s="168" t="n"/>
      <c r="N255" s="170" t="inlineStr">
        <is>
          <t>Ecuador</t>
        </is>
      </c>
      <c r="O255" s="168" t="inlineStr">
        <is>
          <t>Zaruma</t>
        </is>
      </c>
      <c r="P255" s="168" t="n"/>
      <c r="Q255" s="171" t="inlineStr">
        <is>
          <t>Argentina</t>
        </is>
      </c>
      <c r="R255" s="169" t="n">
        <v>46319</v>
      </c>
      <c r="S255" s="170" t="inlineStr">
        <is>
          <t>2026-Q4</t>
        </is>
      </c>
      <c r="T255" s="172" t="n"/>
      <c r="U255" s="160" t="n">
        <v>0</v>
      </c>
      <c r="V255" s="173"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255" s="174">
        <f>IF($B255="",0,IF(AND(OR(OR(Dashboard!$B$5="All themes",Dashboard!$B$5=""),$C255=Dashboard!$B$5),OR(OR(Dashboard!$G$5="All uses",Dashboard!$G$5=""),$E255=Dashboard!$G$5),N($D255)&gt;=Lists!$H$2,OR(OR(Dashboard!$N$5="All windows",Dashboard!$N$5=""),$S255=Dashboard!$N$5)),1,0))</f>
        <v/>
      </c>
      <c r="X255" s="175">
        <f>IF($W255=1,N($D255)*1E14+MIN(MAX(N($U255),0),9999)*1E10+MIN(N($K255),99999)*1E5+99999-MIN(ROW(),99999),"")</f>
        <v/>
      </c>
    </row>
    <row r="256" ht="53" customHeight="1">
      <c r="A256" s="160" t="n">
        <v>253</v>
      </c>
      <c r="B256" s="161" t="inlineStr">
        <is>
          <t>Rockfall and landslide on the mountain of the Noah's Ark legend captured on camera; climbers escape unhurt</t>
        </is>
      </c>
      <c r="C256" s="162" t="inlineStr">
        <is>
          <t>Hazards &amp; Resilience</t>
        </is>
      </c>
      <c r="D256" s="163" t="n">
        <v>4</v>
      </c>
      <c r="E256" s="177" t="inlineStr">
        <is>
          <t>News brief</t>
        </is>
      </c>
      <c r="F256" s="165" t="inlineStr">
        <is>
          <t>To review</t>
        </is>
      </c>
      <c r="G256" s="166" t="n"/>
      <c r="H256" s="167" t="n"/>
      <c r="I256" s="168" t="inlineStr">
        <is>
          <t>What triggers rockfall and debris slides on steep volcanic-sedimentary mountain slopes, and how should hazard zoning account for such events near visitor routes?</t>
        </is>
      </c>
      <c r="J256" s="168" t="inlineStr">
        <is>
          <t>FNNプライムオンライン</t>
        </is>
      </c>
      <c r="K256" s="169" t="n">
        <v>46320</v>
      </c>
      <c r="L256" s="168" t="inlineStr">
        <is>
          <t>「ノアの箱舟」伝説の山で落石・土砂崩れ 「来るぞ！走れ！逃げろ！」カメラが捉えた発生の瞬間 “間一髪”の登山者らけがなし トルコ</t>
        </is>
      </c>
      <c r="M256" s="168" t="n"/>
      <c r="N256" s="170" t="inlineStr">
        <is>
          <t>Türkiye</t>
        </is>
      </c>
      <c r="O256" s="168" t="inlineStr">
        <is>
          <t>Mount Ararat, Ağrı</t>
        </is>
      </c>
      <c r="P256" s="168" t="n"/>
      <c r="Q256" s="171" t="inlineStr">
        <is>
          <t>Japan</t>
        </is>
      </c>
      <c r="R256" s="169" t="n">
        <v>46318</v>
      </c>
      <c r="S256" s="170" t="inlineStr">
        <is>
          <t>2026-Q4</t>
        </is>
      </c>
      <c r="T256" s="172" t="inlineStr">
        <is>
          <t>landslide, rockfall</t>
        </is>
      </c>
      <c r="U256" s="160" t="n">
        <v>8</v>
      </c>
      <c r="V256" s="173" t="inlineStr">
        <is>
          <t>https://news.google.com/rss/articles/CBMiTkFVX3lxTE1uZEw5RnB3UEJsWjd6MFZFRXhhUkV0d0QwMURpMVNQVjhUR3BIdHNrRWZ4OFFJWS12Z3JIcEthQkFhOU9WeC1fVHdiM3hLQQ?oc=5</t>
        </is>
      </c>
      <c r="W256" s="174">
        <f>IF($B256="",0,IF(AND(OR(OR(Dashboard!$B$5="All themes",Dashboard!$B$5=""),$C256=Dashboard!$B$5),OR(OR(Dashboard!$G$5="All uses",Dashboard!$G$5=""),$E256=Dashboard!$G$5),N($D256)&gt;=Lists!$H$2,OR(OR(Dashboard!$N$5="All windows",Dashboard!$N$5=""),$S256=Dashboard!$N$5)),1,0))</f>
        <v/>
      </c>
      <c r="X256" s="175">
        <f>IF($W256=1,N($D256)*1E14+MIN(MAX(N($U256),0),9999)*1E10+MIN(N($K256),99999)*1E5+99999-MIN(ROW(),99999),"")</f>
        <v/>
      </c>
    </row>
    <row r="257" ht="53" customHeight="1">
      <c r="A257" s="160" t="n">
        <v>254</v>
      </c>
      <c r="B257" s="161" t="inlineStr">
        <is>
          <t>Nghe An: urgent measures needed for landslide on the seaside road embankment</t>
        </is>
      </c>
      <c r="C257" s="185" t="inlineStr">
        <is>
          <t>Offshore, Coasts &amp; Water</t>
        </is>
      </c>
      <c r="D257" s="163" t="n">
        <v>4</v>
      </c>
      <c r="E257" s="177" t="inlineStr">
        <is>
          <t>News brief</t>
        </is>
      </c>
      <c r="F257" s="165" t="inlineStr">
        <is>
          <t>To review</t>
        </is>
      </c>
      <c r="G257" s="166" t="n"/>
      <c r="H257" s="167" t="n"/>
      <c r="I257" s="168" t="inlineStr">
        <is>
          <t>Why do coastal road embankments fail by landslide, and what emergency stabilisation and monitoring are appropriate for dyke slopes exposed to waves and rainfall?</t>
        </is>
      </c>
      <c r="J257" s="168" t="inlineStr">
        <is>
          <t>Vietnam.vn</t>
        </is>
      </c>
      <c r="K257" s="169" t="n">
        <v>46320</v>
      </c>
      <c r="L257" s="168" t="inlineStr">
        <is>
          <t>응에안성: 해안 도로 제방의 산사태 발생에 대한 긴급 조치가 필요합니다.</t>
        </is>
      </c>
      <c r="M257" s="168" t="n"/>
      <c r="N257" s="170" t="inlineStr">
        <is>
          <t>Vietnam</t>
        </is>
      </c>
      <c r="O257" s="168" t="inlineStr">
        <is>
          <t>Nghe An coastal road</t>
        </is>
      </c>
      <c r="P257" s="168" t="inlineStr">
        <is>
          <t>Nghe An coastal road embankment landslide, Vietnam (Oct 2026) · Response &amp; recovery · 2 reports</t>
        </is>
      </c>
      <c r="Q257" s="171" t="inlineStr">
        <is>
          <t>South Korea</t>
        </is>
      </c>
      <c r="R257" s="169" t="n">
        <v>46318</v>
      </c>
      <c r="S257" s="170" t="inlineStr">
        <is>
          <t>2026-Q4</t>
        </is>
      </c>
      <c r="T257" s="172" t="inlineStr">
        <is>
          <t>landslide, embankment</t>
        </is>
      </c>
      <c r="U257" s="160" t="n">
        <v>7</v>
      </c>
      <c r="V257" s="173" t="inlineStr">
        <is>
          <t>https://news.google.com/rss/articles/CBMilwFBVV95cUxPVWtrMThoQUYxQjFSLS1VQ01fYmEzUW8tamxpSHVxS3hnaWV4YWl2MV9oRUw1ekE0SG01SHJxZTM2c1p6aXMzNWh2Q2M0bXhyYjFjQm9zRGlJUUJ2TWE5VE5TYW41ZTFqSV9vaG9ZRjAyNEJNYkVrU1BrRlN3QTFQZjlUQndtZE94WWpaVXQ4RTRCZmM1enNJ?oc=5</t>
        </is>
      </c>
      <c r="W257" s="174">
        <f>IF($B257="",0,IF(AND(OR(OR(Dashboard!$B$5="All themes",Dashboard!$B$5=""),$C257=Dashboard!$B$5),OR(OR(Dashboard!$G$5="All uses",Dashboard!$G$5=""),$E257=Dashboard!$G$5),N($D257)&gt;=Lists!$H$2,OR(OR(Dashboard!$N$5="All windows",Dashboard!$N$5=""),$S257=Dashboard!$N$5)),1,0))</f>
        <v/>
      </c>
      <c r="X257" s="175">
        <f>IF($W257=1,N($D257)*1E14+MIN(MAX(N($U257),0),9999)*1E10+MIN(N($K257),99999)*1E5+99999-MIN(ROW(),99999),"")</f>
        <v/>
      </c>
    </row>
    <row r="258" ht="53" customHeight="1">
      <c r="A258" s="160" t="n">
        <v>255</v>
      </c>
      <c r="B258" s="161" t="inlineStr">
        <is>
          <t>Quang Tri: severe coastal erosion threatens dykes, embankments and residents' lives.</t>
        </is>
      </c>
      <c r="C258" s="185" t="inlineStr">
        <is>
          <t>Offshore, Coasts &amp; Water</t>
        </is>
      </c>
      <c r="D258" s="163" t="n">
        <v>4</v>
      </c>
      <c r="E258" s="164" t="inlineStr">
        <is>
          <t>Feature lead</t>
        </is>
      </c>
      <c r="F258" s="165" t="inlineStr">
        <is>
          <t>To review</t>
        </is>
      </c>
      <c r="G258" s="166" t="n"/>
      <c r="H258" s="167" t="n"/>
      <c r="I258" s="168" t="inlineStr">
        <is>
          <t>How can coastal erosion monitoring and erosion-resistant embankment design protect dykes and communities when shoreline retreat accelerates?</t>
        </is>
      </c>
      <c r="J258" s="168" t="inlineStr">
        <is>
          <t>Vietnam.vn</t>
        </is>
      </c>
      <c r="K258" s="169" t="n">
        <v>46320</v>
      </c>
      <c r="L258" s="168" t="inlineStr">
        <is>
          <t>꽝찌: 심각한 해안 침식으로 인해 제방과 둑, 그리고 주민들의 생명이 위협받고 있습니다.</t>
        </is>
      </c>
      <c r="M258" s="168" t="n"/>
      <c r="N258" s="170" t="inlineStr">
        <is>
          <t>Vietnam</t>
        </is>
      </c>
      <c r="O258" s="168" t="inlineStr">
        <is>
          <t>Quang Tri province</t>
        </is>
      </c>
      <c r="P258" s="168" t="inlineStr">
        <is>
          <t>Quang Tri coastal erosion threatening dykes, Vietnam (Oct 2026) · Event · 2 reports</t>
        </is>
      </c>
      <c r="Q258" s="171" t="inlineStr">
        <is>
          <t>South Korea</t>
        </is>
      </c>
      <c r="R258" s="169" t="n">
        <v>46318</v>
      </c>
      <c r="S258" s="170" t="inlineStr">
        <is>
          <t>2026-Q4</t>
        </is>
      </c>
      <c r="T258" s="172" t="inlineStr">
        <is>
          <t>embankment, erosion</t>
        </is>
      </c>
      <c r="U258" s="160" t="n">
        <v>5</v>
      </c>
      <c r="V258" s="173" t="inlineStr">
        <is>
          <t>https://news.google.com/rss/articles/CBMingFBVV95cUxOMW5DMERmVlE2dVl1LU4zMFhMTlpPLVBHblZweXJjYXJIV0ZHVVR6Sk50eW1xVm1MS3VTYTJtUjBoZkVfTm1hWFlmTGlOS0JZX2lOSTJCYkoxbm1TODNFSURESTIxbm5YRjJXcVkxOGp6bmdnMmJmdjBqRnNzXzFDdzdHaXVBYXlaVzFiZW5kSlpJdEIyemJVeDVWZWlsdw?oc=5</t>
        </is>
      </c>
      <c r="W258" s="174">
        <f>IF($B258="",0,IF(AND(OR(OR(Dashboard!$B$5="All themes",Dashboard!$B$5=""),$C258=Dashboard!$B$5),OR(OR(Dashboard!$G$5="All uses",Dashboard!$G$5=""),$E258=Dashboard!$G$5),N($D258)&gt;=Lists!$H$2,OR(OR(Dashboard!$N$5="All windows",Dashboard!$N$5=""),$S258=Dashboard!$N$5)),1,0))</f>
        <v/>
      </c>
      <c r="X258" s="175">
        <f>IF($W258=1,N($D258)*1E14+MIN(MAX(N($U258),0),9999)*1E10+MIN(N($K258),99999)*1E5+99999-MIN(ROW(),99999),"")</f>
        <v/>
      </c>
    </row>
    <row r="259" ht="53" customHeight="1">
      <c r="A259" s="160" t="n">
        <v>256</v>
      </c>
      <c r="B259" s="161" t="inlineStr">
        <is>
          <t>Survived against the odds: home destroyed in typhoon No. 25 landslide in Kamogawa; Iimura Hiroshi says fear comes with consciousness</t>
        </is>
      </c>
      <c r="C259" s="162" t="inlineStr">
        <is>
          <t>Hazards &amp; Resilience</t>
        </is>
      </c>
      <c r="D259" s="163" t="n">
        <v>4</v>
      </c>
      <c r="E259" s="177" t="inlineStr">
        <is>
          <t>News brief</t>
        </is>
      </c>
      <c r="F259" s="165" t="inlineStr">
        <is>
          <t>To review</t>
        </is>
      </c>
      <c r="G259" s="166" t="n"/>
      <c r="H259" s="167" t="n"/>
      <c r="I259" s="168" t="inlineStr">
        <is>
          <t>What slope and saturation conditions cause houses on hillsides to be destroyed by debris slides during typhoon rainfall, and how can early warning address them?</t>
        </is>
      </c>
      <c r="J259" s="168" t="inlineStr">
        <is>
          <t>千葉日報オンライン</t>
        </is>
      </c>
      <c r="K259" s="169" t="n">
        <v>46320</v>
      </c>
      <c r="L259" s="168" t="inlineStr">
        <is>
          <t>自宅崩壊“九死に一生” 台風２５号 鴨川で土砂崩れ多発 生き埋めから生還 飯村浩さん 意識あるからこそ恐怖</t>
        </is>
      </c>
      <c r="M259" s="168" t="n"/>
      <c r="N259" s="170" t="inlineStr">
        <is>
          <t>Japan</t>
        </is>
      </c>
      <c r="O259" s="168" t="inlineStr">
        <is>
          <t>Kamogawa, Chiba</t>
        </is>
      </c>
      <c r="P259" s="168" t="inlineStr">
        <is>
          <t>Typhoon 25 landslides, Bōsō Peninsula, Japan (Oct 2026) · Event · 2 reports</t>
        </is>
      </c>
      <c r="Q259" s="171" t="inlineStr">
        <is>
          <t>Japan</t>
        </is>
      </c>
      <c r="R259" s="169" t="n">
        <v>46319</v>
      </c>
      <c r="S259" s="170" t="inlineStr">
        <is>
          <t>2026-Q4</t>
        </is>
      </c>
      <c r="T259" s="172" t="inlineStr">
        <is>
          <t>landslide, collapse</t>
        </is>
      </c>
      <c r="U259" s="160" t="n">
        <v>5</v>
      </c>
      <c r="V259" s="173" t="inlineStr">
        <is>
          <t>https://news.google.com/rss/articles/CBMiWEFVX3lxTFBTQ25tOTZGZzZsUWdHamNXa3hxMGdGTG8ySno0dWhQSzl1SnVtZHBuSUtrM3d3VTJPekZvbFZXRDY0TWhFZ1NDWDllM3RSeDI5SUZkRWZtQzU?oc=5</t>
        </is>
      </c>
      <c r="W259" s="174">
        <f>IF($B259="",0,IF(AND(OR(OR(Dashboard!$B$5="All themes",Dashboard!$B$5=""),$C259=Dashboard!$B$5),OR(OR(Dashboard!$G$5="All uses",Dashboard!$G$5=""),$E259=Dashboard!$G$5),N($D259)&gt;=Lists!$H$2,OR(OR(Dashboard!$N$5="All windows",Dashboard!$N$5=""),$S259=Dashboard!$N$5)),1,0))</f>
        <v/>
      </c>
      <c r="X259" s="175">
        <f>IF($W259=1,N($D259)*1E14+MIN(MAX(N($U259),0),9999)*1E10+MIN(N($K259),99999)*1E5+99999-MIN(ROW(),99999),"")</f>
        <v/>
      </c>
    </row>
    <row r="260" ht="53" customHeight="1">
      <c r="A260" s="160" t="n">
        <v>257</v>
      </c>
      <c r="B260" s="161" t="inlineStr">
        <is>
          <t>Four guests fall into sinkhole at Occidental Cozumel hotel</t>
        </is>
      </c>
      <c r="C260" s="176" t="inlineStr">
        <is>
          <t>Infrastructure &amp; the Underground City</t>
        </is>
      </c>
      <c r="D260" s="163" t="n">
        <v>4</v>
      </c>
      <c r="E260" s="177" t="inlineStr">
        <is>
          <t>News brief</t>
        </is>
      </c>
      <c r="F260" s="165" t="inlineStr">
        <is>
          <t>To review</t>
        </is>
      </c>
      <c r="G260" s="166" t="n"/>
      <c r="H260" s="167" t="n"/>
      <c r="I260" s="168" t="inlineStr">
        <is>
          <t>How do karst cavities and dissolution features in coastal limestone create sudden collapses beneath hotel and tourist structures?</t>
        </is>
      </c>
      <c r="J260" s="168" t="inlineStr">
        <is>
          <t>Quintana Roo Hoy</t>
        </is>
      </c>
      <c r="K260" s="169" t="n">
        <v>46320</v>
      </c>
      <c r="L260" s="168" t="inlineStr">
        <is>
          <t>Cuatro huéspedes caen en socavón del hotel Occidental Cozumel</t>
        </is>
      </c>
      <c r="M260" s="168" t="n"/>
      <c r="N260" s="170" t="inlineStr">
        <is>
          <t>Mexico</t>
        </is>
      </c>
      <c r="O260" s="168" t="inlineStr">
        <is>
          <t>Cozumel, Quintana Roo</t>
        </is>
      </c>
      <c r="P260" s="168" t="inlineStr">
        <is>
          <t>Occidental Cozumel hotel sinkhole, Mexico (Oct 2026) · Event · 3 reports</t>
        </is>
      </c>
      <c r="Q260" s="171" t="inlineStr">
        <is>
          <t>Colombia</t>
        </is>
      </c>
      <c r="R260" s="169" t="n">
        <v>46319</v>
      </c>
      <c r="S260" s="170" t="inlineStr">
        <is>
          <t>2026-Q4</t>
        </is>
      </c>
      <c r="T260" s="172" t="inlineStr">
        <is>
          <t>sinkhole</t>
        </is>
      </c>
      <c r="U260" s="160" t="n">
        <v>4</v>
      </c>
      <c r="V260" s="173"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260" s="174">
        <f>IF($B260="",0,IF(AND(OR(OR(Dashboard!$B$5="All themes",Dashboard!$B$5=""),$C260=Dashboard!$B$5),OR(OR(Dashboard!$G$5="All uses",Dashboard!$G$5=""),$E260=Dashboard!$G$5),N($D260)&gt;=Lists!$H$2,OR(OR(Dashboard!$N$5="All windows",Dashboard!$N$5=""),$S260=Dashboard!$N$5)),1,0))</f>
        <v/>
      </c>
      <c r="X260" s="175">
        <f>IF($W260=1,N($D260)*1E14+MIN(MAX(N($U260),0),9999)*1E10+MIN(N($K260),99999)*1E5+99999-MIN(ROW(),99999),"")</f>
        <v/>
      </c>
    </row>
    <row r="261" ht="40.5" customHeight="1">
      <c r="A261" s="160" t="n">
        <v>258</v>
      </c>
      <c r="B261" s="161" t="inlineStr">
        <is>
          <t>Close-up of giant 120 m deep sinkhole just discovered in Phong Nha-Ke Bang</t>
        </is>
      </c>
      <c r="C261" s="180" t="inlineStr">
        <is>
          <t>Characterisation &amp; Modelling</t>
        </is>
      </c>
      <c r="D261" s="163" t="n">
        <v>4</v>
      </c>
      <c r="E261" s="164" t="inlineStr">
        <is>
          <t>Feature lead</t>
        </is>
      </c>
      <c r="F261" s="165" t="inlineStr">
        <is>
          <t>To review</t>
        </is>
      </c>
      <c r="G261" s="166" t="n"/>
      <c r="H261" s="167" t="n"/>
      <c r="I261" s="168" t="inlineStr">
        <is>
          <t>How are very deep karst sinkholes investigated, and what does their formation reveal about hazards around cave systems?</t>
        </is>
      </c>
      <c r="J261" s="168" t="inlineStr">
        <is>
          <t>Laodong.vn</t>
        </is>
      </c>
      <c r="K261" s="169" t="n">
        <v>46320</v>
      </c>
      <c r="L261" s="168" t="inlineStr">
        <is>
          <t>퐁냐케방에서 방금 발견된 깊이 120m의 거대한 싱크홀 근접 촬영</t>
        </is>
      </c>
      <c r="M261" s="168" t="n"/>
      <c r="N261" s="170" t="inlineStr">
        <is>
          <t>Vietnam</t>
        </is>
      </c>
      <c r="O261" s="168" t="inlineStr">
        <is>
          <t>Phong Nha-Ke Bang</t>
        </is>
      </c>
      <c r="P261" s="168" t="inlineStr">
        <is>
          <t>Phong Nha-Ke Bang 120 m sinkhole discovery, Vietnam · Update · 5 reports</t>
        </is>
      </c>
      <c r="Q261" s="171" t="inlineStr">
        <is>
          <t>South Korea</t>
        </is>
      </c>
      <c r="R261" s="169" t="n">
        <v>46320</v>
      </c>
      <c r="S261" s="170" t="inlineStr">
        <is>
          <t>2026-Q4</t>
        </is>
      </c>
      <c r="T261" s="172" t="inlineStr">
        <is>
          <t>sinkhole</t>
        </is>
      </c>
      <c r="U261" s="160" t="n">
        <v>4</v>
      </c>
      <c r="V261" s="173"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261" s="174">
        <f>IF($B261="",0,IF(AND(OR(OR(Dashboard!$B$5="All themes",Dashboard!$B$5=""),$C261=Dashboard!$B$5),OR(OR(Dashboard!$G$5="All uses",Dashboard!$G$5=""),$E261=Dashboard!$G$5),N($D261)&gt;=Lists!$H$2,OR(OR(Dashboard!$N$5="All windows",Dashboard!$N$5=""),$S261=Dashboard!$N$5)),1,0))</f>
        <v/>
      </c>
      <c r="X261" s="175">
        <f>IF($W261=1,N($D261)*1E14+MIN(MAX(N($U261),0),9999)*1E10+MIN(N($K261),99999)*1E5+99999-MIN(ROW(),99999),"")</f>
        <v/>
      </c>
    </row>
    <row r="262" ht="40.5" customHeight="1">
      <c r="A262" s="160" t="n">
        <v>259</v>
      </c>
      <c r="B262" s="161" t="inlineStr">
        <is>
          <t>Using AI to provide early warning of landslide risks.</t>
        </is>
      </c>
      <c r="C262" s="181" t="inlineStr">
        <is>
          <t>Digital Geotechnics</t>
        </is>
      </c>
      <c r="D262" s="163" t="n">
        <v>4</v>
      </c>
      <c r="E262" s="164" t="inlineStr">
        <is>
          <t>Feature lead</t>
        </is>
      </c>
      <c r="F262" s="165" t="inlineStr">
        <is>
          <t>To review</t>
        </is>
      </c>
      <c r="G262" s="166" t="n"/>
      <c r="H262" s="167" t="n"/>
      <c r="I262" s="168" t="inlineStr">
        <is>
          <t>How reliable are AI-based landslide early-warning models when trained on sparse ground monitoring data?</t>
        </is>
      </c>
      <c r="J262" s="168" t="inlineStr">
        <is>
          <t>Vietnam.vn</t>
        </is>
      </c>
      <c r="K262" s="169" t="n">
        <v>46320</v>
      </c>
      <c r="L262" s="168" t="n"/>
      <c r="M262" s="168" t="n"/>
      <c r="N262" s="170" t="n"/>
      <c r="O262" s="168" t="n"/>
      <c r="P262" s="168" t="inlineStr">
        <is>
          <t>AI landslide early warning, Vietnam · Event · 3 reports</t>
        </is>
      </c>
      <c r="Q262" s="171" t="inlineStr">
        <is>
          <t>United Kingdom</t>
        </is>
      </c>
      <c r="R262" s="169" t="n">
        <v>46319</v>
      </c>
      <c r="S262" s="170" t="inlineStr">
        <is>
          <t>2026-Q4</t>
        </is>
      </c>
      <c r="T262" s="172" t="inlineStr">
        <is>
          <t>landslide</t>
        </is>
      </c>
      <c r="U262" s="160" t="n">
        <v>4</v>
      </c>
      <c r="V262" s="173" t="inlineStr">
        <is>
          <t>https://news.google.com/rss/articles/CBMibkFVX3lxTFBHcTd0RXlKUzRRSnNZS2RrSFdQSTlnajJrcWxrUWt4S2E5cDNqSkhzRDNiRl84eW1Obll6MDJiLTUxSURzUG5GVWtnOVR3TlhyMUpPMzNHYW1XNlNyRFNweHlQMDA1RjNqQS1KZnRn?oc=5</t>
        </is>
      </c>
      <c r="W262" s="174">
        <f>IF($B262="",0,IF(AND(OR(OR(Dashboard!$B$5="All themes",Dashboard!$B$5=""),$C262=Dashboard!$B$5),OR(OR(Dashboard!$G$5="All uses",Dashboard!$G$5=""),$E262=Dashboard!$G$5),N($D262)&gt;=Lists!$H$2,OR(OR(Dashboard!$N$5="All windows",Dashboard!$N$5=""),$S262=Dashboard!$N$5)),1,0))</f>
        <v/>
      </c>
      <c r="X262" s="175">
        <f>IF($W262=1,N($D262)*1E14+MIN(MAX(N($U262),0),9999)*1E10+MIN(N($K262),99999)*1E5+99999-MIN(ROW(),99999),"")</f>
        <v/>
      </c>
    </row>
    <row r="263" ht="40.5" customHeight="1">
      <c r="A263" s="160" t="n">
        <v>260</v>
      </c>
      <c r="B263" s="161" t="inlineStr">
        <is>
          <t>Reconstruction of the Terrazas del Valle bridge begins after sinkhole</t>
        </is>
      </c>
      <c r="C263" s="176" t="inlineStr">
        <is>
          <t>Infrastructure &amp; the Underground City</t>
        </is>
      </c>
      <c r="D263" s="163" t="n">
        <v>4</v>
      </c>
      <c r="E263" s="177" t="inlineStr">
        <is>
          <t>News brief</t>
        </is>
      </c>
      <c r="F263" s="165" t="inlineStr">
        <is>
          <t>To review</t>
        </is>
      </c>
      <c r="G263" s="166" t="n"/>
      <c r="H263" s="167" t="n"/>
      <c r="I263" s="168" t="inlineStr">
        <is>
          <t>What investigation and foundation design are needed to rebuild a bridge whose support ground has collapsed into a sinkhole?</t>
        </is>
      </c>
      <c r="J263" s="168" t="inlineStr">
        <is>
          <t>NDT Noticias de Tijuana</t>
        </is>
      </c>
      <c r="K263" s="169" t="n">
        <v>46320</v>
      </c>
      <c r="L263" s="168" t="inlineStr">
        <is>
          <t>Inician reconstrucción del puente de Terrazas del Valle tras socavón</t>
        </is>
      </c>
      <c r="M263" s="168" t="n"/>
      <c r="N263" s="170" t="inlineStr">
        <is>
          <t>Mexico</t>
        </is>
      </c>
      <c r="O263" s="168" t="inlineStr">
        <is>
          <t>Terrazas del Valle bridge, Tijuana</t>
        </is>
      </c>
      <c r="P263" s="168" t="inlineStr">
        <is>
          <t>Terrazas del Valle bridge sinkhole, Tijuana, Mexico · Event · 2 reports</t>
        </is>
      </c>
      <c r="Q263" s="171" t="inlineStr">
        <is>
          <t>Colombia</t>
        </is>
      </c>
      <c r="R263" s="169" t="n">
        <v>46319</v>
      </c>
      <c r="S263" s="170" t="inlineStr">
        <is>
          <t>2026-Q4</t>
        </is>
      </c>
      <c r="T263" s="172" t="inlineStr">
        <is>
          <t>sinkhole</t>
        </is>
      </c>
      <c r="U263" s="160" t="n">
        <v>4</v>
      </c>
      <c r="V263" s="173" t="inlineStr">
        <is>
          <t>https://news.google.com/rss/articles/CBMikgFBVV95cUxOTnI4emxtUmVodDFQV3Z1REstXzUyWWxvdHg5SGoxeXdNUmdPRUppY2hOZ090aElnMGpLWUZ5TEVvUVNJbVVYcDh3VjNEbWNsekVpXzNKNHFEbVRUZTVaazZ3TlpzMGNHU3A3S2g1WkgxWkdEaUo4dE5WRXB6UkQ0QjdneVMyOUZfODViZHBJZlpvQQ?oc=5</t>
        </is>
      </c>
      <c r="W263" s="174">
        <f>IF($B263="",0,IF(AND(OR(OR(Dashboard!$B$5="All themes",Dashboard!$B$5=""),$C263=Dashboard!$B$5),OR(OR(Dashboard!$G$5="All uses",Dashboard!$G$5=""),$E263=Dashboard!$G$5),N($D263)&gt;=Lists!$H$2,OR(OR(Dashboard!$N$5="All windows",Dashboard!$N$5=""),$S263=Dashboard!$N$5)),1,0))</f>
        <v/>
      </c>
      <c r="X263" s="175">
        <f>IF($W263=1,N($D263)*1E14+MIN(MAX(N($U263),0),9999)*1E10+MIN(N($K263),99999)*1E5+99999-MIN(ROW(),99999),"")</f>
        <v/>
      </c>
    </row>
    <row r="264" ht="40.5" customHeight="1">
      <c r="A264" s="160" t="n">
        <v>261</v>
      </c>
      <c r="B264" s="161" t="inlineStr">
        <is>
          <t>120 m deep sinkhole containing primeval forest discovered in Phong Nha-Ke Bang area</t>
        </is>
      </c>
      <c r="C264" s="180" t="inlineStr">
        <is>
          <t>Characterisation &amp; Modelling</t>
        </is>
      </c>
      <c r="D264" s="163" t="n">
        <v>4</v>
      </c>
      <c r="E264" s="164" t="inlineStr">
        <is>
          <t>Feature lead</t>
        </is>
      </c>
      <c r="F264" s="165" t="inlineStr">
        <is>
          <t>To review</t>
        </is>
      </c>
      <c r="G264" s="166" t="n"/>
      <c r="H264" s="167" t="n"/>
      <c r="I264" s="168" t="inlineStr">
        <is>
          <t>How are very deep karst sinkholes investigated, and what does their formation reveal about hazards around cave systems?</t>
        </is>
      </c>
      <c r="J264" s="168" t="inlineStr">
        <is>
          <t>Vietnam.vn</t>
        </is>
      </c>
      <c r="K264" s="169" t="n">
        <v>46320</v>
      </c>
      <c r="L264" s="168" t="inlineStr">
        <is>
          <t>퐁냐-케방 지역에서 원시림이 포함된 깊이 120미터의 싱크홀이 발견되었습니다.</t>
        </is>
      </c>
      <c r="M264" s="168" t="n"/>
      <c r="N264" s="170" t="inlineStr">
        <is>
          <t>Vietnam</t>
        </is>
      </c>
      <c r="O264" s="168" t="inlineStr">
        <is>
          <t>Phong Nha-Ke Bang</t>
        </is>
      </c>
      <c r="P264" s="168" t="inlineStr">
        <is>
          <t>Phong Nha-Ke Bang 120 m sinkhole discovery, Vietnam · Update · 5 reports</t>
        </is>
      </c>
      <c r="Q264" s="171" t="inlineStr">
        <is>
          <t>South Korea</t>
        </is>
      </c>
      <c r="R264" s="169" t="n">
        <v>46317</v>
      </c>
      <c r="S264" s="170" t="inlineStr">
        <is>
          <t>2026-Q4</t>
        </is>
      </c>
      <c r="T264" s="172" t="inlineStr">
        <is>
          <t>sinkhole</t>
        </is>
      </c>
      <c r="U264" s="160" t="n">
        <v>4</v>
      </c>
      <c r="V264" s="173" t="inlineStr">
        <is>
          <t>https://news.google.com/rss/articles/CBMilgFBVV95cUxOaWxCcjZNMEJuSVgyc2QwRzY3ZzZMblFuNWxLV0NvSl9yRnFQLWY3NG9pRTRuVU5fdHB0YUVSd0w3V2VDSVdaLXdDYWJOUlVyM0VhWVpLQ0E1SjJxOHVMUG9pTC1JcWpKUGVNZDF6c25nZlRoZ3hwOVZPSEtqbzRIREJpTUR6UjBjbVdPckE3eTBCWU43S0E?oc=5</t>
        </is>
      </c>
      <c r="W264" s="174">
        <f>IF($B264="",0,IF(AND(OR(OR(Dashboard!$B$5="All themes",Dashboard!$B$5=""),$C264=Dashboard!$B$5),OR(OR(Dashboard!$G$5="All uses",Dashboard!$G$5=""),$E264=Dashboard!$G$5),N($D264)&gt;=Lists!$H$2,OR(OR(Dashboard!$N$5="All windows",Dashboard!$N$5=""),$S264=Dashboard!$N$5)),1,0))</f>
        <v/>
      </c>
      <c r="X264" s="175">
        <f>IF($W264=1,N($D264)*1E14+MIN(MAX(N($U264),0),9999)*1E10+MIN(N($K264),99999)*1E5+99999-MIN(ROW(),99999),"")</f>
        <v/>
      </c>
    </row>
    <row r="265" ht="40.5" customHeight="1">
      <c r="A265" s="160" t="n">
        <v>262</v>
      </c>
      <c r="B265" s="161" t="inlineStr">
        <is>
          <t>Can Tho to invest over 500 billion dong in dykes against erosion at Cu Lao Dung</t>
        </is>
      </c>
      <c r="C265" s="185" t="inlineStr">
        <is>
          <t>Offshore, Coasts &amp; Water</t>
        </is>
      </c>
      <c r="D265" s="163" t="n">
        <v>4</v>
      </c>
      <c r="E265" s="164" t="inlineStr">
        <is>
          <t>Feature lead</t>
        </is>
      </c>
      <c r="F265" s="165" t="inlineStr">
        <is>
          <t>To review</t>
        </is>
      </c>
      <c r="G265" s="166" t="n"/>
      <c r="H265" s="167" t="n"/>
      <c r="I265" s="168" t="inlineStr">
        <is>
          <t>How should dyke and bank protection balance erosion control against settlement and stability on soft deltaic soils?</t>
        </is>
      </c>
      <c r="J265" s="168" t="inlineStr">
        <is>
          <t>Báo Nhân Dân điện tử</t>
        </is>
      </c>
      <c r="K265" s="169" t="n">
        <v>46320</v>
      </c>
      <c r="L265" s="168" t="inlineStr">
        <is>
          <t>Cần Thơ đầu tư hơn 500 tỷ đồng xây dựng đê phòng, chống sạt lở ở Cù Lao Dung</t>
        </is>
      </c>
      <c r="M265" s="168" t="n"/>
      <c r="N265" s="170" t="inlineStr">
        <is>
          <t>Vietnam</t>
        </is>
      </c>
      <c r="O265" s="168" t="inlineStr">
        <is>
          <t>Cu Lao Dung, Can Tho</t>
        </is>
      </c>
      <c r="P265" s="168" t="n"/>
      <c r="Q265" s="171" t="inlineStr">
        <is>
          <t>Vietnam</t>
        </is>
      </c>
      <c r="R265" s="169" t="n">
        <v>46319</v>
      </c>
      <c r="S265" s="170" t="inlineStr">
        <is>
          <t>2026-Q4</t>
        </is>
      </c>
      <c r="T265" s="172" t="inlineStr">
        <is>
          <t>landslide</t>
        </is>
      </c>
      <c r="U265" s="160" t="n">
        <v>4</v>
      </c>
      <c r="V265" s="173"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265" s="174">
        <f>IF($B265="",0,IF(AND(OR(OR(Dashboard!$B$5="All themes",Dashboard!$B$5=""),$C265=Dashboard!$B$5),OR(OR(Dashboard!$G$5="All uses",Dashboard!$G$5=""),$E265=Dashboard!$G$5),N($D265)&gt;=Lists!$H$2,OR(OR(Dashboard!$N$5="All windows",Dashboard!$N$5=""),$S265=Dashboard!$N$5)),1,0))</f>
        <v/>
      </c>
      <c r="X265" s="175">
        <f>IF($W265=1,N($D265)*1E14+MIN(MAX(N($U265),0),9999)*1E10+MIN(N($K265),99999)*1E5+99999-MIN(ROW(),99999),"")</f>
        <v/>
      </c>
    </row>
    <row r="266" ht="40.5" customHeight="1">
      <c r="A266" s="160" t="n">
        <v>263</v>
      </c>
      <c r="B266" s="161" t="inlineStr">
        <is>
          <t>Krong No river erosion in Lam Dong threatens irrigation works and farmland</t>
        </is>
      </c>
      <c r="C266" s="185" t="inlineStr">
        <is>
          <t>Offshore, Coasts &amp; Water</t>
        </is>
      </c>
      <c r="D266" s="163" t="n">
        <v>4</v>
      </c>
      <c r="E266" s="164" t="inlineStr">
        <is>
          <t>Feature lead</t>
        </is>
      </c>
      <c r="F266" s="165" t="inlineStr">
        <is>
          <t>To review</t>
        </is>
      </c>
      <c r="G266" s="166" t="n"/>
      <c r="H266" s="167" t="n"/>
      <c r="I266" s="168" t="inlineStr">
        <is>
          <t>How can riverbank erosion be assessed and countered to protect irrigation infrastructure and farmland?</t>
        </is>
      </c>
      <c r="J266" s="168" t="inlineStr">
        <is>
          <t>tin.skydoor.net</t>
        </is>
      </c>
      <c r="K266" s="169" t="n">
        <v>46320</v>
      </c>
      <c r="L266" s="168" t="inlineStr">
        <is>
          <t>Sạt lở sông Krông Nô tại Lâm Đồng đe dọa công trình thủy lợi và đất canh tác</t>
        </is>
      </c>
      <c r="M266" s="168" t="n"/>
      <c r="N266" s="170" t="inlineStr">
        <is>
          <t>Vietnam</t>
        </is>
      </c>
      <c r="O266" s="168" t="inlineStr">
        <is>
          <t>Krong No River, Lam Dong</t>
        </is>
      </c>
      <c r="P266" s="168" t="n"/>
      <c r="Q266" s="171" t="inlineStr">
        <is>
          <t>Vietnam</t>
        </is>
      </c>
      <c r="R266" s="169" t="n">
        <v>46319</v>
      </c>
      <c r="S266" s="170" t="inlineStr">
        <is>
          <t>2026-Q4</t>
        </is>
      </c>
      <c r="T266" s="172" t="inlineStr">
        <is>
          <t>landslide</t>
        </is>
      </c>
      <c r="U266" s="160" t="n">
        <v>4</v>
      </c>
      <c r="V266" s="173" t="inlineStr">
        <is>
          <t>https://news.google.com/rss/articles/CBMihAFBVV95cUxPVlNqT093MU81eURKNm9vZDdtTTNRdkRYZ0J2SXdSeHZqQXV1QUZCbEtiVVplNy1MTGdxbkk1a2hkN0toZ0NPakFvOENXYkRnT2JWQWczUVVLOGpYZ0dtZ1NweXUzb1NxM29TWmhUcUdOVXZfT1dBV3ZuZU5uVXhvaWpXR3Q?oc=5</t>
        </is>
      </c>
      <c r="W266" s="174">
        <f>IF($B266="",0,IF(AND(OR(OR(Dashboard!$B$5="All themes",Dashboard!$B$5=""),$C266=Dashboard!$B$5),OR(OR(Dashboard!$G$5="All uses",Dashboard!$G$5=""),$E266=Dashboard!$G$5),N($D266)&gt;=Lists!$H$2,OR(OR(Dashboard!$N$5="All windows",Dashboard!$N$5=""),$S266=Dashboard!$N$5)),1,0))</f>
        <v/>
      </c>
      <c r="X266" s="175">
        <f>IF($W266=1,N($D266)*1E14+MIN(MAX(N($U266),0),9999)*1E10+MIN(N($K266),99999)*1E5+99999-MIN(ROW(),99999),"")</f>
        <v/>
      </c>
    </row>
    <row r="267" ht="53" customHeight="1">
      <c r="A267" s="160" t="n">
        <v>264</v>
      </c>
      <c r="B267" s="161" t="inlineStr">
        <is>
          <t>Accelerating clean-up work after landslides on Provincial Road 160 along the Chay River.</t>
        </is>
      </c>
      <c r="C267" s="162" t="inlineStr">
        <is>
          <t>Hazards &amp; Resilience</t>
        </is>
      </c>
      <c r="D267" s="163" t="n">
        <v>4</v>
      </c>
      <c r="E267" s="177" t="inlineStr">
        <is>
          <t>News brief</t>
        </is>
      </c>
      <c r="F267" s="165" t="inlineStr">
        <is>
          <t>To review</t>
        </is>
      </c>
      <c r="G267" s="166" t="n"/>
      <c r="H267" s="167" t="n"/>
      <c r="I267" s="168" t="inlineStr">
        <is>
          <t>What slope stabilisation and post-failure assessment methods are suited to repeated landslides along a road built beside a river valley?</t>
        </is>
      </c>
      <c r="J267" s="168" t="inlineStr">
        <is>
          <t>Vietnam.vn</t>
        </is>
      </c>
      <c r="K267" s="169" t="n">
        <v>46320</v>
      </c>
      <c r="L267" s="168" t="inlineStr">
        <is>
          <t>Agilizar las labores de saneamiento tras los deslizamientos de tierra ocurridos en la carretera provincial 160 a lo largo del río Chay.</t>
        </is>
      </c>
      <c r="M267" s="168" t="n"/>
      <c r="N267" s="170" t="inlineStr">
        <is>
          <t>Vietnam</t>
        </is>
      </c>
      <c r="O267" s="168" t="inlineStr">
        <is>
          <t>Provincial Road 160, Chay River</t>
        </is>
      </c>
      <c r="P267" s="168" t="inlineStr">
        <is>
          <t>Provincial Road 160 Chay River landslides, Vietnam (Oct 2026) · Response &amp; recovery · 2 reports</t>
        </is>
      </c>
      <c r="Q267" s="171" t="inlineStr">
        <is>
          <t>Spain</t>
        </is>
      </c>
      <c r="R267" s="169" t="n">
        <v>46320</v>
      </c>
      <c r="S267" s="170" t="inlineStr">
        <is>
          <t>2026-Q4</t>
        </is>
      </c>
      <c r="T267" s="172" t="inlineStr">
        <is>
          <t>landslide</t>
        </is>
      </c>
      <c r="U267" s="160" t="n">
        <v>4</v>
      </c>
      <c r="V267" s="173" t="inlineStr">
        <is>
          <t>https://news.google.com/rss/articles/CBMiiwFBVV95cUxQTnhUTTY5LUVOY0tLRGhBb1lubjROLVg5c0FETHFDbFdpNFlBNFl6Z1hhTzg2VDZTZVUtdDQxSDdhbENHdnc3bGhBTUVHaHc5R0hEMDdxYlN4QV9vMVBkOTA5czhjYlpsU2gzcEZyTnhPT01pMnVPLTFoSzBJT2E1eHpiamtUSjdhYWxB?oc=5</t>
        </is>
      </c>
      <c r="W267" s="174">
        <f>IF($B267="",0,IF(AND(OR(OR(Dashboard!$B$5="All themes",Dashboard!$B$5=""),$C267=Dashboard!$B$5),OR(OR(Dashboard!$G$5="All uses",Dashboard!$G$5=""),$E267=Dashboard!$G$5),N($D267)&gt;=Lists!$H$2,OR(OR(Dashboard!$N$5="All windows",Dashboard!$N$5=""),$S267=Dashboard!$N$5)),1,0))</f>
        <v/>
      </c>
      <c r="X267" s="175">
        <f>IF($W267=1,N($D267)*1E14+MIN(MAX(N($U267),0),9999)*1E10+MIN(N($K267),99999)*1E5+99999-MIN(ROW(),99999),"")</f>
        <v/>
      </c>
    </row>
    <row r="268" ht="53" customHeight="1">
      <c r="A268" s="160" t="n">
        <v>265</v>
      </c>
      <c r="B268" s="161" t="inlineStr">
        <is>
          <t>Tragedy in Tecate: a worker dies after being buried by an earth slope on 23 October.</t>
        </is>
      </c>
      <c r="C268" s="162" t="inlineStr">
        <is>
          <t>Hazards &amp; Resilience</t>
        </is>
      </c>
      <c r="D268" s="163" t="n">
        <v>4</v>
      </c>
      <c r="E268" s="164" t="inlineStr">
        <is>
          <t>Feature lead</t>
        </is>
      </c>
      <c r="F268" s="165" t="inlineStr">
        <is>
          <t>To review</t>
        </is>
      </c>
      <c r="G268" s="166" t="n"/>
      <c r="H268" s="167" t="n"/>
      <c r="I268" s="168" t="inlineStr">
        <is>
          <t>What failure mechanisms and excavation safety controls would have prevented a worker being buried by an earth slope during construction?</t>
        </is>
      </c>
      <c r="J268" s="168" t="inlineStr">
        <is>
          <t>El Congresista</t>
        </is>
      </c>
      <c r="K268" s="169" t="n">
        <v>46320</v>
      </c>
      <c r="L268" s="168" t="inlineStr">
        <is>
          <t>Tragedia en Tecate: un trabajador muere tras ser sepultado por un talud de tierra el 23 de octubre.</t>
        </is>
      </c>
      <c r="M268" s="168" t="n"/>
      <c r="N268" s="170" t="inlineStr">
        <is>
          <t>Mexico</t>
        </is>
      </c>
      <c r="O268" s="168" t="inlineStr">
        <is>
          <t>Tecate, Baja California</t>
        </is>
      </c>
      <c r="P268" s="168" t="n"/>
      <c r="Q268" s="171" t="inlineStr">
        <is>
          <t>Spain</t>
        </is>
      </c>
      <c r="R268" s="169" t="n">
        <v>46320</v>
      </c>
      <c r="S268" s="170" t="inlineStr">
        <is>
          <t>2026-Q4</t>
        </is>
      </c>
      <c r="T268" s="172" t="inlineStr">
        <is>
          <t>retaining wall</t>
        </is>
      </c>
      <c r="U268" s="160" t="n">
        <v>4</v>
      </c>
      <c r="V268" s="173" t="inlineStr">
        <is>
          <t>https://news.google.com/rss/articles/CBMikwFBVV95cUxQZF9LM09jNm4yMjFEYUYwRWpsb2pDcVdwZ2hGMU45UGdHcUpNamhkRjhnUzEyM3NNck9TeEhjbXhqWDVTOUxWWTRROWVUdlNPRGI3QzZlM3VxeWcxVUMydjMyS3dnSDVEenFoNXpSQklwdmczQURyZXY5U2JPZV9LUzFwcGZWZkF2MnRpTVZkbHpuWUE?oc=5</t>
        </is>
      </c>
      <c r="W268" s="174">
        <f>IF($B268="",0,IF(AND(OR(OR(Dashboard!$B$5="All themes",Dashboard!$B$5=""),$C268=Dashboard!$B$5),OR(OR(Dashboard!$G$5="All uses",Dashboard!$G$5=""),$E268=Dashboard!$G$5),N($D268)&gt;=Lists!$H$2,OR(OR(Dashboard!$N$5="All windows",Dashboard!$N$5=""),$S268=Dashboard!$N$5)),1,0))</f>
        <v/>
      </c>
      <c r="X268" s="175">
        <f>IF($W268=1,N($D268)*1E14+MIN(MAX(N($U268),0),9999)*1E10+MIN(N($K268),99999)*1E5+99999-MIN(ROW(),99999),"")</f>
        <v/>
      </c>
    </row>
    <row r="269" ht="40.5" customHeight="1">
      <c r="A269" s="160" t="n">
        <v>266</v>
      </c>
      <c r="B269" s="161" t="inlineStr">
        <is>
          <t>Three homes destroyed after landslide in rural area of Moniquirá.</t>
        </is>
      </c>
      <c r="C269" s="162" t="inlineStr">
        <is>
          <t>Hazards &amp; Resilience</t>
        </is>
      </c>
      <c r="D269" s="163" t="n">
        <v>4</v>
      </c>
      <c r="E269" s="177" t="inlineStr">
        <is>
          <t>News brief</t>
        </is>
      </c>
      <c r="F269" s="165" t="inlineStr">
        <is>
          <t>To review</t>
        </is>
      </c>
      <c r="G269" s="166" t="n"/>
      <c r="H269" s="167" t="n"/>
      <c r="I269" s="168" t="inlineStr">
        <is>
          <t>What triggering conditions and hazard mapping would identify rural slopes at risk of landslides destroying housing?</t>
        </is>
      </c>
      <c r="J269" s="168" t="inlineStr">
        <is>
          <t>Noticias Caracol</t>
        </is>
      </c>
      <c r="K269" s="169" t="n">
        <v>46320</v>
      </c>
      <c r="L269" s="168" t="inlineStr">
        <is>
          <t>Tres viviendas quedaron destruidas tras deslizamiento en zona rural de Moniquirá</t>
        </is>
      </c>
      <c r="M269" s="168" t="n"/>
      <c r="N269" s="170" t="inlineStr">
        <is>
          <t>Colombia</t>
        </is>
      </c>
      <c r="O269" s="168" t="inlineStr">
        <is>
          <t>Moniquirá, Boyacá</t>
        </is>
      </c>
      <c r="P269" s="168" t="n"/>
      <c r="Q269" s="171" t="inlineStr">
        <is>
          <t>Mexico</t>
        </is>
      </c>
      <c r="R269" s="169" t="n">
        <v>46318</v>
      </c>
      <c r="S269" s="170" t="inlineStr">
        <is>
          <t>2026-Q4</t>
        </is>
      </c>
      <c r="T269" s="172" t="inlineStr">
        <is>
          <t>landslide</t>
        </is>
      </c>
      <c r="U269" s="160" t="n">
        <v>4</v>
      </c>
      <c r="V269" s="173"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69" s="174">
        <f>IF($B269="",0,IF(AND(OR(OR(Dashboard!$B$5="All themes",Dashboard!$B$5=""),$C269=Dashboard!$B$5),OR(OR(Dashboard!$G$5="All uses",Dashboard!$G$5=""),$E269=Dashboard!$G$5),N($D269)&gt;=Lists!$H$2,OR(OR(Dashboard!$N$5="All windows",Dashboard!$N$5=""),$S269=Dashboard!$N$5)),1,0))</f>
        <v/>
      </c>
      <c r="X269" s="175">
        <f>IF($W269=1,N($D269)*1E14+MIN(MAX(N($U269),0),9999)*1E10+MIN(N($K269),99999)*1E5+99999-MIN(ROW(),99999),"")</f>
        <v/>
      </c>
    </row>
    <row r="270" ht="40.5" customHeight="1">
      <c r="A270" s="160" t="n">
        <v>267</v>
      </c>
      <c r="B270" s="161" t="inlineStr">
        <is>
          <t>Large landslide on Tofana di Dentro. No hikers involved.</t>
        </is>
      </c>
      <c r="C270" s="162" t="inlineStr">
        <is>
          <t>Hazards &amp; Resilience</t>
        </is>
      </c>
      <c r="D270" s="163" t="n">
        <v>4</v>
      </c>
      <c r="E270" s="164" t="inlineStr">
        <is>
          <t>Feature lead</t>
        </is>
      </c>
      <c r="F270" s="165" t="inlineStr">
        <is>
          <t>To review</t>
        </is>
      </c>
      <c r="G270" s="166" t="n"/>
      <c r="H270" s="167" t="n"/>
      <c r="I270" s="168" t="inlineStr">
        <is>
          <t>What controls rock slope instability in Dolomite mountains, and how can monitoring reduce risk to hikers from large rockfalls?</t>
        </is>
      </c>
      <c r="J270" s="168" t="inlineStr">
        <is>
          <t>Giornale Nord Est</t>
        </is>
      </c>
      <c r="K270" s="169" t="n">
        <v>46320</v>
      </c>
      <c r="L270" s="168" t="inlineStr">
        <is>
          <t>Frana di grandi dimensioni sulla Tofana di Dentro. Nessun escursionista coinvolto</t>
        </is>
      </c>
      <c r="M270" s="168" t="n"/>
      <c r="N270" s="170" t="inlineStr">
        <is>
          <t>Italy</t>
        </is>
      </c>
      <c r="O270" s="168" t="inlineStr">
        <is>
          <t>Tofana di Dentro, Dolomites</t>
        </is>
      </c>
      <c r="P270" s="168" t="n"/>
      <c r="Q270" s="171" t="inlineStr">
        <is>
          <t>Italy</t>
        </is>
      </c>
      <c r="R270" s="169" t="n">
        <v>46319</v>
      </c>
      <c r="S270" s="170" t="inlineStr">
        <is>
          <t>2026-Q4</t>
        </is>
      </c>
      <c r="T270" s="172" t="inlineStr">
        <is>
          <t>landslide</t>
        </is>
      </c>
      <c r="U270" s="160" t="n">
        <v>4</v>
      </c>
      <c r="V270" s="173" t="inlineStr">
        <is>
          <t>https://news.google.com/rss/articles/CBMiiAFBVV95cUxQMGVMSVUxdDNvS2xIRTB5RS0tT1RVUEVZUERpNjZLYkVMellJS1lVbnhGZ0NJLUdHOGk4ek5md29MWVJZSGxMYWp4b0lWTmJjQ0h5cV9vRjVsbkpoZ3NtQUxCOWxacDZhVkdHbDBHdG1TeENnZ09PdnF4cVpZLUplbk4tQlVaYUdY?oc=5</t>
        </is>
      </c>
      <c r="W270" s="174">
        <f>IF($B270="",0,IF(AND(OR(OR(Dashboard!$B$5="All themes",Dashboard!$B$5=""),$C270=Dashboard!$B$5),OR(OR(Dashboard!$G$5="All uses",Dashboard!$G$5=""),$E270=Dashboard!$G$5),N($D270)&gt;=Lists!$H$2,OR(OR(Dashboard!$N$5="All windows",Dashboard!$N$5=""),$S270=Dashboard!$N$5)),1,0))</f>
        <v/>
      </c>
      <c r="X270" s="175">
        <f>IF($W270=1,N($D270)*1E14+MIN(MAX(N($U270),0),9999)*1E10+MIN(N($K270),99999)*1E5+99999-MIN(ROW(),99999),"")</f>
        <v/>
      </c>
    </row>
    <row r="271" ht="40.5" customHeight="1">
      <c r="A271" s="160" t="n">
        <v>268</v>
      </c>
      <c r="B271" s="161" t="inlineStr">
        <is>
          <t>Sicily, from the Niscemi landslide to Cyclone Harry: the Army rewards the Engineer Sappers.</t>
        </is>
      </c>
      <c r="C271" s="162" t="inlineStr">
        <is>
          <t>Hazards &amp; Resilience</t>
        </is>
      </c>
      <c r="D271" s="163" t="n">
        <v>4</v>
      </c>
      <c r="E271" s="164" t="inlineStr">
        <is>
          <t>Feature lead</t>
        </is>
      </c>
      <c r="F271" s="165" t="inlineStr">
        <is>
          <t>To review</t>
        </is>
      </c>
      <c r="G271" s="166" t="n"/>
      <c r="H271" s="167" t="n"/>
      <c r="I271" s="168" t="inlineStr">
        <is>
          <t>What lessons do the Niscemi landslide and Cyclone Harry offer about slope instability and engineering response in Sicily?</t>
        </is>
      </c>
      <c r="J271" s="168" t="inlineStr">
        <is>
          <t>StrettoWeb</t>
        </is>
      </c>
      <c r="K271" s="169" t="n">
        <v>46320</v>
      </c>
      <c r="L271" s="168" t="inlineStr">
        <is>
          <t>Sicilia, dalla frana di Niscemi al ciclone Harry: l’Esercito premia il Genio Guastatori</t>
        </is>
      </c>
      <c r="M271" s="168" t="n"/>
      <c r="N271" s="170" t="inlineStr">
        <is>
          <t>Italy</t>
        </is>
      </c>
      <c r="O271" s="168" t="inlineStr">
        <is>
          <t>Niscemi, Sicily</t>
        </is>
      </c>
      <c r="P271" s="168" t="inlineStr">
        <is>
          <t>Niscemi landslide, Sicily (Jan 2026) · Event · 6 reports</t>
        </is>
      </c>
      <c r="Q271" s="171" t="inlineStr">
        <is>
          <t>Italy</t>
        </is>
      </c>
      <c r="R271" s="169" t="n">
        <v>46318</v>
      </c>
      <c r="S271" s="170" t="inlineStr">
        <is>
          <t>2026-Q4</t>
        </is>
      </c>
      <c r="T271" s="172" t="inlineStr">
        <is>
          <t>landslide</t>
        </is>
      </c>
      <c r="U271" s="160" t="n">
        <v>4</v>
      </c>
      <c r="V271" s="173"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71" s="174">
        <f>IF($B271="",0,IF(AND(OR(OR(Dashboard!$B$5="All themes",Dashboard!$B$5=""),$C271=Dashboard!$B$5),OR(OR(Dashboard!$G$5="All uses",Dashboard!$G$5=""),$E271=Dashboard!$G$5),N($D271)&gt;=Lists!$H$2,OR(OR(Dashboard!$N$5="All windows",Dashboard!$N$5=""),$S271=Dashboard!$N$5)),1,0))</f>
        <v/>
      </c>
      <c r="X271" s="175">
        <f>IF($W271=1,N($D271)*1E14+MIN(MAX(N($U271),0),9999)*1E10+MIN(N($K271),99999)*1E5+99999-MIN(ROW(),99999),"")</f>
        <v/>
      </c>
    </row>
    <row r="272" ht="40.5" customHeight="1">
      <c r="A272" s="160" t="n">
        <v>269</v>
      </c>
      <c r="B272" s="161" t="inlineStr">
        <is>
          <t>Rapidly advancing clean-up work for landslides on Provincial Road 160 along the Chay River.</t>
        </is>
      </c>
      <c r="C272" s="162" t="inlineStr">
        <is>
          <t>Hazards &amp; Resilience</t>
        </is>
      </c>
      <c r="D272" s="163" t="n">
        <v>4</v>
      </c>
      <c r="E272" s="179" t="inlineStr">
        <is>
          <t>Watch only</t>
        </is>
      </c>
      <c r="F272" s="165" t="inlineStr">
        <is>
          <t>To review</t>
        </is>
      </c>
      <c r="G272" s="166" t="n"/>
      <c r="H272" s="167" t="n"/>
      <c r="I272" s="168" t="inlineStr">
        <is>
          <t>Duplicate of the Chay River road landslide clean-up story; monitor for follow-up on repair methods.</t>
        </is>
      </c>
      <c r="J272" s="168" t="inlineStr">
        <is>
          <t>Vietnam.vn</t>
        </is>
      </c>
      <c r="K272" s="169" t="n">
        <v>46320</v>
      </c>
      <c r="L272" s="168" t="inlineStr">
        <is>
          <t>チャイ川沿いの州道160号線における土砂崩れの復旧作業を迅速に進める。</t>
        </is>
      </c>
      <c r="M272" s="168" t="n"/>
      <c r="N272" s="170" t="inlineStr">
        <is>
          <t>Vietnam</t>
        </is>
      </c>
      <c r="O272" s="168" t="inlineStr">
        <is>
          <t>Provincial Road 160, Chay River</t>
        </is>
      </c>
      <c r="P272" s="168" t="inlineStr">
        <is>
          <t>Provincial Road 160 Chay River landslides, Vietnam (Oct 2026) · Response &amp; recovery · 2 reports</t>
        </is>
      </c>
      <c r="Q272" s="171" t="inlineStr">
        <is>
          <t>Japan</t>
        </is>
      </c>
      <c r="R272" s="169" t="n">
        <v>46320</v>
      </c>
      <c r="S272" s="170" t="inlineStr">
        <is>
          <t>2026-Q4</t>
        </is>
      </c>
      <c r="T272" s="172" t="inlineStr">
        <is>
          <t>landslide</t>
        </is>
      </c>
      <c r="U272" s="160" t="n">
        <v>4</v>
      </c>
      <c r="V272" s="173" t="inlineStr">
        <is>
          <t>https://news.google.com/rss/articles/CBMiiwFBVV95cUxQN1M1UUFnNFVScGV6VVBTbjZJSEFHOFpBQzNsNHNJTVhScXFfNGs5dVFkTkRHX2VsN3BtUk5LLWtoeHFGTWRicWtVa2wwOFpnV1o2ZkVqbC03Y09hdWVBdDlrV09PZHRtdG9NdS1DZmp6aWtGaXY1ekxpekVKbzRMa295Q19vSDlCYkk0?oc=5</t>
        </is>
      </c>
      <c r="W272" s="174">
        <f>IF($B272="",0,IF(AND(OR(OR(Dashboard!$B$5="All themes",Dashboard!$B$5=""),$C272=Dashboard!$B$5),OR(OR(Dashboard!$G$5="All uses",Dashboard!$G$5=""),$E272=Dashboard!$G$5),N($D272)&gt;=Lists!$H$2,OR(OR(Dashboard!$N$5="All windows",Dashboard!$N$5=""),$S272=Dashboard!$N$5)),1,0))</f>
        <v/>
      </c>
      <c r="X272" s="175">
        <f>IF($W272=1,N($D272)*1E14+MIN(MAX(N($U272),0),9999)*1E10+MIN(N($K272),99999)*1E5+99999-MIN(ROW(),99999),"")</f>
        <v/>
      </c>
    </row>
    <row r="273" ht="53" customHeight="1">
      <c r="A273" s="160" t="n">
        <v>270</v>
      </c>
      <c r="B273" s="161" t="inlineStr">
        <is>
          <t>Special feature: landslides frequent after Typhoon 25; hidden danger in Chiba's Bōsō Peninsula terrain, 'high valley density'.</t>
        </is>
      </c>
      <c r="C273" s="162" t="inlineStr">
        <is>
          <t>Hazards &amp; Resilience</t>
        </is>
      </c>
      <c r="D273" s="163" t="n">
        <v>4</v>
      </c>
      <c r="E273" s="164" t="inlineStr">
        <is>
          <t>Feature lead</t>
        </is>
      </c>
      <c r="F273" s="165" t="inlineStr">
        <is>
          <t>To review</t>
        </is>
      </c>
      <c r="G273" s="166" t="n"/>
      <c r="H273" s="167" t="n"/>
      <c r="I273" s="168" t="inlineStr">
        <is>
          <t>Why does valley density in the Bōsō Peninsula terrain increase landslide hazard during typhoon rainfall, and how should it be mapped?</t>
        </is>
      </c>
      <c r="J273" s="168" t="inlineStr">
        <is>
          <t>Yahoo!ニュース</t>
        </is>
      </c>
      <c r="K273" s="169" t="n">
        <v>46320</v>
      </c>
      <c r="L273" s="168" t="inlineStr">
        <is>
          <t>【特集】台風25号で土砂崩れ多発 千葉・房総半島の地形に潜む危険 「谷密度が高い」 (チバテレ)</t>
        </is>
      </c>
      <c r="M273" s="168" t="n"/>
      <c r="N273" s="170" t="inlineStr">
        <is>
          <t>Japan</t>
        </is>
      </c>
      <c r="O273" s="168" t="inlineStr">
        <is>
          <t>Bōsō Peninsula, Chiba</t>
        </is>
      </c>
      <c r="P273" s="168" t="inlineStr">
        <is>
          <t>Typhoon 25 landslides, Bōsō Peninsula, Japan (Oct 2026) · Investigation &amp; inquiry · 2 reports</t>
        </is>
      </c>
      <c r="Q273" s="171" t="inlineStr">
        <is>
          <t>Japan</t>
        </is>
      </c>
      <c r="R273" s="169" t="n">
        <v>46318</v>
      </c>
      <c r="S273" s="170" t="inlineStr">
        <is>
          <t>2026-Q4</t>
        </is>
      </c>
      <c r="T273" s="172" t="inlineStr">
        <is>
          <t>landslide</t>
        </is>
      </c>
      <c r="U273" s="160" t="n">
        <v>4</v>
      </c>
      <c r="V273" s="173" t="inlineStr">
        <is>
          <t>https://news.google.com/rss/articles/CBMijgFBVV95cUxPejNsdUVrN2NfZVROYjRBSV9BN0lGMU8tRDdVcHRMV1lkamdqQWU0b3JVb0d2aWJIb0haUWlLMVR5MGoxb1VQdXc3OU5IZG9NdGNRclg3QkZCQ2gtQldzRl9RS0J6R3hZYTFzMWpKQTBzd3RLVWdDWVlWRE5rOGRoQnRUbzFCVlU2anlxSG1B?oc=5</t>
        </is>
      </c>
      <c r="W273" s="174">
        <f>IF($B273="",0,IF(AND(OR(OR(Dashboard!$B$5="All themes",Dashboard!$B$5=""),$C273=Dashboard!$B$5),OR(OR(Dashboard!$G$5="All uses",Dashboard!$G$5=""),$E273=Dashboard!$G$5),N($D273)&gt;=Lists!$H$2,OR(OR(Dashboard!$N$5="All windows",Dashboard!$N$5=""),$S273=Dashboard!$N$5)),1,0))</f>
        <v/>
      </c>
      <c r="X273" s="175">
        <f>IF($W273=1,N($D273)*1E14+MIN(MAX(N($U273),0),9999)*1E10+MIN(N($K273),99999)*1E5+99999-MIN(ROW(),99999),"")</f>
        <v/>
      </c>
    </row>
    <row r="274" ht="40.5" customHeight="1">
      <c r="A274" s="160" t="n">
        <v>271</v>
      </c>
      <c r="B274" s="161" t="inlineStr">
        <is>
          <t>Forestry expert with 20 years' experience: newly found sinkhole in Pong Nha–Ke Bang is a 'difficult problem to solve'.</t>
        </is>
      </c>
      <c r="C274" s="162" t="inlineStr">
        <is>
          <t>Hazards &amp; Resilience</t>
        </is>
      </c>
      <c r="D274" s="163" t="n">
        <v>4</v>
      </c>
      <c r="E274" s="164" t="inlineStr">
        <is>
          <t>Feature lead</t>
        </is>
      </c>
      <c r="F274" s="165" t="inlineStr">
        <is>
          <t>To review</t>
        </is>
      </c>
      <c r="G274" s="166" t="n"/>
      <c r="H274" s="167" t="n"/>
      <c r="I274" s="168" t="inlineStr">
        <is>
          <t>Why are sinkholes in karst or soluble terrain so difficult to resolve, and what investigation methods identify them early?</t>
        </is>
      </c>
      <c r="J274" s="168" t="inlineStr">
        <is>
          <t>Vietnam.vn</t>
        </is>
      </c>
      <c r="K274" s="169" t="n">
        <v>46320</v>
      </c>
      <c r="L274" s="168" t="inlineStr">
        <is>
          <t>20년 경력의 산림 전문가: 퐁냐-케방에서 새로 발견된 싱크홀은 "해결하기 어려운 문제"다.</t>
        </is>
      </c>
      <c r="M274" s="168" t="n"/>
      <c r="N274" s="170" t="inlineStr">
        <is>
          <t>Vietnam</t>
        </is>
      </c>
      <c r="O274" s="168" t="inlineStr">
        <is>
          <t>Phong Nha–Ke Bang</t>
        </is>
      </c>
      <c r="P274" s="168" t="inlineStr">
        <is>
          <t>Phong Nha-Ke Bang 120 m sinkhole discovery, Vietnam · Update · 5 reports</t>
        </is>
      </c>
      <c r="Q274" s="171" t="inlineStr">
        <is>
          <t>South Korea</t>
        </is>
      </c>
      <c r="R274" s="169" t="n">
        <v>46320</v>
      </c>
      <c r="S274" s="170" t="inlineStr">
        <is>
          <t>2026-Q4</t>
        </is>
      </c>
      <c r="T274" s="172" t="inlineStr">
        <is>
          <t>sinkhole</t>
        </is>
      </c>
      <c r="U274" s="160" t="n">
        <v>4</v>
      </c>
      <c r="V274" s="173"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4" s="174">
        <f>IF($B274="",0,IF(AND(OR(OR(Dashboard!$B$5="All themes",Dashboard!$B$5=""),$C274=Dashboard!$B$5),OR(OR(Dashboard!$G$5="All uses",Dashboard!$G$5=""),$E274=Dashboard!$G$5),N($D274)&gt;=Lists!$H$2,OR(OR(Dashboard!$N$5="All windows",Dashboard!$N$5=""),$S274=Dashboard!$N$5)),1,0))</f>
        <v/>
      </c>
      <c r="X274" s="175">
        <f>IF($W274=1,N($D274)*1E14+MIN(MAX(N($U274),0),9999)*1E10+MIN(N($K274),99999)*1E5+99999-MIN(ROW(),99999),"")</f>
        <v/>
      </c>
    </row>
    <row r="275" ht="53" customHeight="1">
      <c r="A275" s="160" t="n">
        <v>272</v>
      </c>
      <c r="B275" s="161" t="inlineStr">
        <is>
          <t>Body of doctor pulled from rubble, residents evacuated after Paya Terubong landslide</t>
        </is>
      </c>
      <c r="C275" s="162" t="inlineStr">
        <is>
          <t>Hazards &amp; Resilience</t>
        </is>
      </c>
      <c r="D275" s="163" t="n">
        <v>4</v>
      </c>
      <c r="E275" s="164" t="inlineStr">
        <is>
          <t>Feature lead</t>
        </is>
      </c>
      <c r="F275" s="165" t="inlineStr">
        <is>
          <t>To review</t>
        </is>
      </c>
      <c r="G275" s="166" t="n"/>
      <c r="H275" s="167" t="n"/>
      <c r="I275" s="168" t="inlineStr">
        <is>
          <t>What triggered the fatal Paya Terubong hillside failure, and how should residential slopes be assessed before evacuation and recovery?</t>
        </is>
      </c>
      <c r="J275" s="168" t="inlineStr">
        <is>
          <t>Malay Mail</t>
        </is>
      </c>
      <c r="K275" s="169" t="n">
        <v>46320</v>
      </c>
      <c r="L275" s="168" t="n"/>
      <c r="M275" s="168" t="n"/>
      <c r="N275" s="170" t="inlineStr">
        <is>
          <t>Malaysia</t>
        </is>
      </c>
      <c r="O275" s="168" t="inlineStr">
        <is>
          <t>Paya Terubong, Penang</t>
        </is>
      </c>
      <c r="P275" s="168" t="inlineStr">
        <is>
          <t>Paya Terubong landslide, Penang, Malaysia (Oct 2026) · Response &amp; recovery · 9 reports</t>
        </is>
      </c>
      <c r="Q275" s="171" t="inlineStr">
        <is>
          <t>United Kingdom</t>
        </is>
      </c>
      <c r="R275" s="169" t="n">
        <v>46320</v>
      </c>
      <c r="S275" s="170" t="inlineStr">
        <is>
          <t>2026-Q4</t>
        </is>
      </c>
      <c r="T275" s="172" t="inlineStr">
        <is>
          <t>landslide</t>
        </is>
      </c>
      <c r="U275" s="160" t="n">
        <v>4</v>
      </c>
      <c r="V275" s="173"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75" s="174">
        <f>IF($B275="",0,IF(AND(OR(OR(Dashboard!$B$5="All themes",Dashboard!$B$5=""),$C275=Dashboard!$B$5),OR(OR(Dashboard!$G$5="All uses",Dashboard!$G$5=""),$E275=Dashboard!$G$5),N($D275)&gt;=Lists!$H$2,OR(OR(Dashboard!$N$5="All windows",Dashboard!$N$5=""),$S275=Dashboard!$N$5)),1,0))</f>
        <v/>
      </c>
      <c r="X275" s="175">
        <f>IF($W275=1,N($D275)*1E14+MIN(MAX(N($U275),0),9999)*1E10+MIN(N($K275),99999)*1E5+99999-MIN(ROW(),99999),"")</f>
        <v/>
      </c>
    </row>
    <row r="276" ht="53" customHeight="1">
      <c r="A276" s="160" t="n">
        <v>273</v>
      </c>
      <c r="B276" s="161" t="inlineStr">
        <is>
          <t>Penang council halts hillside construction, roadworks after fatal landslide</t>
        </is>
      </c>
      <c r="C276" s="162" t="inlineStr">
        <is>
          <t>Hazards &amp; Resilience</t>
        </is>
      </c>
      <c r="D276" s="163" t="n">
        <v>4</v>
      </c>
      <c r="E276" s="164" t="inlineStr">
        <is>
          <t>Feature lead</t>
        </is>
      </c>
      <c r="F276" s="165" t="inlineStr">
        <is>
          <t>To review</t>
        </is>
      </c>
      <c r="G276" s="166" t="n"/>
      <c r="H276" s="167" t="n"/>
      <c r="I276" s="168" t="inlineStr">
        <is>
          <t>Should hillside development be halted after a fatal landslide, and what slope stability criteria should govern such construction?</t>
        </is>
      </c>
      <c r="J276" s="168" t="inlineStr">
        <is>
          <t>The Sun Malaysia</t>
        </is>
      </c>
      <c r="K276" s="169" t="n">
        <v>46320</v>
      </c>
      <c r="L276" s="168" t="n"/>
      <c r="M276" s="168" t="n"/>
      <c r="N276" s="170" t="inlineStr">
        <is>
          <t>Malaysia</t>
        </is>
      </c>
      <c r="O276" s="168" t="inlineStr">
        <is>
          <t>Penang hillside</t>
        </is>
      </c>
      <c r="P276" s="168" t="inlineStr">
        <is>
          <t>Paya Terubong landslide, Penang, Malaysia (Oct 2026) · Legal &amp; policy · 9 reports</t>
        </is>
      </c>
      <c r="Q276" s="171" t="inlineStr">
        <is>
          <t>United Kingdom</t>
        </is>
      </c>
      <c r="R276" s="169" t="n">
        <v>46320</v>
      </c>
      <c r="S276" s="170" t="inlineStr">
        <is>
          <t>2026-Q4</t>
        </is>
      </c>
      <c r="T276" s="172" t="inlineStr">
        <is>
          <t>landslide</t>
        </is>
      </c>
      <c r="U276" s="160" t="n">
        <v>4</v>
      </c>
      <c r="V276" s="173" t="inlineStr">
        <is>
          <t>https://news.google.com/rss/articles/CBMinwFBVV95cUxObGc2ZnNTTDk0cTRlMW5fY24wN3B2TS1SZndJUlMwVWR3d2pKbXVVS055T1B6UWZROXZ6bVNIZmQ5R0haMHhtLU50SlJHUHNhR0FJUm1VVGtSTTVDb19VbE11RG9SMk1UTXlWQ19HT3BRbE5wdmQza3d0NHQzRlRLblFGVXBCdGxlNTZQZ21xRnFJSTRjQk1rUFJyYW1fR0E?oc=5</t>
        </is>
      </c>
      <c r="W276" s="174">
        <f>IF($B276="",0,IF(AND(OR(OR(Dashboard!$B$5="All themes",Dashboard!$B$5=""),$C276=Dashboard!$B$5),OR(OR(Dashboard!$G$5="All uses",Dashboard!$G$5=""),$E276=Dashboard!$G$5),N($D276)&gt;=Lists!$H$2,OR(OR(Dashboard!$N$5="All windows",Dashboard!$N$5=""),$S276=Dashboard!$N$5)),1,0))</f>
        <v/>
      </c>
      <c r="X276" s="175">
        <f>IF($W276=1,N($D276)*1E14+MIN(MAX(N($U276),0),9999)*1E10+MIN(N($K276),99999)*1E5+99999-MIN(ROW(),99999),"")</f>
        <v/>
      </c>
    </row>
    <row r="277" ht="40.5" customHeight="1">
      <c r="A277" s="160" t="n">
        <v>274</v>
      </c>
      <c r="B277" s="161" t="inlineStr">
        <is>
          <t>Rain batters Nilgiris; landslide buries government bus, driver loses life</t>
        </is>
      </c>
      <c r="C277" s="162" t="inlineStr">
        <is>
          <t>Hazards &amp; Resilience</t>
        </is>
      </c>
      <c r="D277" s="163" t="n">
        <v>4</v>
      </c>
      <c r="E277" s="177" t="inlineStr">
        <is>
          <t>News brief</t>
        </is>
      </c>
      <c r="F277" s="165" t="inlineStr">
        <is>
          <t>To review</t>
        </is>
      </c>
      <c r="G277" s="166" t="n"/>
      <c r="H277" s="167" t="n"/>
      <c r="I277" s="168" t="inlineStr">
        <is>
          <t>How can landslide risk on hill-road corridors be managed when a government bus is buried during heavy rain?</t>
        </is>
      </c>
      <c r="J277" s="168" t="inlineStr">
        <is>
          <t>The New Indian Express</t>
        </is>
      </c>
      <c r="K277" s="169" t="n">
        <v>46320</v>
      </c>
      <c r="L277" s="168" t="n"/>
      <c r="M277" s="168" t="n"/>
      <c r="N277" s="170" t="inlineStr">
        <is>
          <t>India</t>
        </is>
      </c>
      <c r="O277" s="168" t="inlineStr">
        <is>
          <t>Nilgiris, Tamil Nadu</t>
        </is>
      </c>
      <c r="P277" s="168" t="n"/>
      <c r="Q277" s="171" t="inlineStr">
        <is>
          <t>United Kingdom</t>
        </is>
      </c>
      <c r="R277" s="169" t="n">
        <v>46320</v>
      </c>
      <c r="S277" s="170" t="inlineStr">
        <is>
          <t>2026-Q4</t>
        </is>
      </c>
      <c r="T277" s="172" t="inlineStr">
        <is>
          <t>landslide</t>
        </is>
      </c>
      <c r="U277" s="160" t="n">
        <v>4</v>
      </c>
      <c r="V277" s="173"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277" s="174">
        <f>IF($B277="",0,IF(AND(OR(OR(Dashboard!$B$5="All themes",Dashboard!$B$5=""),$C277=Dashboard!$B$5),OR(OR(Dashboard!$G$5="All uses",Dashboard!$G$5=""),$E277=Dashboard!$G$5),N($D277)&gt;=Lists!$H$2,OR(OR(Dashboard!$N$5="All windows",Dashboard!$N$5=""),$S277=Dashboard!$N$5)),1,0))</f>
        <v/>
      </c>
      <c r="X277" s="175">
        <f>IF($W277=1,N($D277)*1E14+MIN(MAX(N($U277),0),9999)*1E10+MIN(N($K277),99999)*1E5+99999-MIN(ROW(),99999),"")</f>
        <v/>
      </c>
    </row>
    <row r="278" ht="53" customHeight="1">
      <c r="A278" s="160" t="n">
        <v>275</v>
      </c>
      <c r="B278" s="161" t="inlineStr">
        <is>
          <t>[Land disappearing beneath the sea] Double attack of climate-driven sea-level rise and ground subsidence; global lands vanishing from maps.</t>
        </is>
      </c>
      <c r="C278" s="185" t="inlineStr">
        <is>
          <t>Offshore, Coasts &amp; Water</t>
        </is>
      </c>
      <c r="D278" s="163" t="n">
        <v>4</v>
      </c>
      <c r="E278" s="164" t="inlineStr">
        <is>
          <t>Feature lead</t>
        </is>
      </c>
      <c r="F278" s="165" t="inlineStr">
        <is>
          <t>To review</t>
        </is>
      </c>
      <c r="G278" s="166" t="n"/>
      <c r="H278" s="167" t="n"/>
      <c r="I278" s="168" t="inlineStr">
        <is>
          <t>How do sea-level rise and land subsidence combine to lower coastal ground, and what engineering responses can slow the loss of land?</t>
        </is>
      </c>
      <c r="J278" s="168" t="inlineStr">
        <is>
          <t>AI넷</t>
        </is>
      </c>
      <c r="K278" s="169" t="n">
        <v>46320</v>
      </c>
      <c r="L278" s="168" t="inlineStr">
        <is>
          <t>[국토가 바닷속으로 사라진다] 기후변화 발 해수면 상승·지반 침하의 이중 습격, 지도에서 지워지는 지구촌</t>
        </is>
      </c>
      <c r="M278" s="168" t="n"/>
      <c r="N278" s="170" t="n"/>
      <c r="O278" s="168" t="n"/>
      <c r="P278" s="168" t="n"/>
      <c r="Q278" s="171" t="inlineStr">
        <is>
          <t>South Korea</t>
        </is>
      </c>
      <c r="R278" s="169" t="n">
        <v>46320</v>
      </c>
      <c r="S278" s="170" t="inlineStr">
        <is>
          <t>2026-Q4</t>
        </is>
      </c>
      <c r="T278" s="172" t="inlineStr">
        <is>
          <t>subsidence</t>
        </is>
      </c>
      <c r="U278" s="160" t="n">
        <v>3</v>
      </c>
      <c r="V278" s="173" t="inlineStr">
        <is>
          <t>https://news.google.com/rss/articles/CBMiQEFVX3lxTE5xNDZoRUVLVUFyUVB6d3duejJIdUpLZjlKZ21qRXJtLWsycEZCU2RuWWtvblNOVHFJc1JpSW1HMkk?oc=5</t>
        </is>
      </c>
      <c r="W278" s="174">
        <f>IF($B278="",0,IF(AND(OR(OR(Dashboard!$B$5="All themes",Dashboard!$B$5=""),$C278=Dashboard!$B$5),OR(OR(Dashboard!$G$5="All uses",Dashboard!$G$5=""),$E278=Dashboard!$G$5),N($D278)&gt;=Lists!$H$2,OR(OR(Dashboard!$N$5="All windows",Dashboard!$N$5=""),$S278=Dashboard!$N$5)),1,0))</f>
        <v/>
      </c>
      <c r="X278" s="175">
        <f>IF($W278=1,N($D278)*1E14+MIN(MAX(N($U278),0),9999)*1E10+MIN(N($K278),99999)*1E5+99999-MIN(ROW(),99999),"")</f>
        <v/>
      </c>
    </row>
    <row r="279" ht="53" customHeight="1">
      <c r="A279" s="160" t="n">
        <v>276</v>
      </c>
      <c r="B279" s="161" t="inlineStr">
        <is>
          <t>Shield 'Nadezhda' completes tunnelling to future metro stations in Primorsky district</t>
        </is>
      </c>
      <c r="C279" s="176" t="inlineStr">
        <is>
          <t>Infrastructure &amp; the Underground City</t>
        </is>
      </c>
      <c r="D279" s="163" t="n">
        <v>4</v>
      </c>
      <c r="E279" s="177" t="inlineStr">
        <is>
          <t>News brief</t>
        </is>
      </c>
      <c r="F279" s="165" t="inlineStr">
        <is>
          <t>To review</t>
        </is>
      </c>
      <c r="G279" s="166" t="n"/>
      <c r="H279" s="167" t="n"/>
      <c r="I279" s="168" t="inlineStr">
        <is>
          <t>How did the shield tunnelling through the local soils, with groundwater and face-stability conditions, shape the progress of the St Petersburg metro extension?</t>
        </is>
      </c>
      <c r="J279" s="168" t="inlineStr">
        <is>
          <t>Piter.tv</t>
        </is>
      </c>
      <c r="K279" s="169" t="n">
        <v>46320</v>
      </c>
      <c r="L279" s="168" t="inlineStr">
        <is>
          <t>Щит "Надежда" завершил проходку тоннеля к будущим станциям метро Приморского района</t>
        </is>
      </c>
      <c r="M279" s="168" t="n"/>
      <c r="N279" s="170" t="inlineStr">
        <is>
          <t>Russia</t>
        </is>
      </c>
      <c r="O279" s="168" t="inlineStr">
        <is>
          <t>Primorsky district, St Petersburg</t>
        </is>
      </c>
      <c r="P279" s="168" t="n"/>
      <c r="Q279" s="171" t="inlineStr">
        <is>
          <t>Russia</t>
        </is>
      </c>
      <c r="R279" s="169" t="n">
        <v>46318</v>
      </c>
      <c r="S279" s="170" t="inlineStr">
        <is>
          <t>2026-Q4</t>
        </is>
      </c>
      <c r="T279" s="172" t="inlineStr">
        <is>
          <t>tunnel, metro line</t>
        </is>
      </c>
      <c r="U279" s="160" t="n">
        <v>2</v>
      </c>
      <c r="V279" s="173"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279" s="174">
        <f>IF($B279="",0,IF(AND(OR(OR(Dashboard!$B$5="All themes",Dashboard!$B$5=""),$C279=Dashboard!$B$5),OR(OR(Dashboard!$G$5="All uses",Dashboard!$G$5=""),$E279=Dashboard!$G$5),N($D279)&gt;=Lists!$H$2,OR(OR(Dashboard!$N$5="All windows",Dashboard!$N$5=""),$S279=Dashboard!$N$5)),1,0))</f>
        <v/>
      </c>
      <c r="X279" s="175">
        <f>IF($W279=1,N($D279)*1E14+MIN(MAX(N($U279),0),9999)*1E10+MIN(N($K279),99999)*1E5+99999-MIN(ROW(),99999),"")</f>
        <v/>
      </c>
    </row>
    <row r="280" ht="53" customHeight="1">
      <c r="A280" s="160" t="n">
        <v>277</v>
      </c>
      <c r="B280" s="161" t="inlineStr">
        <is>
          <t>Experts comment on the plan to level Mot mountain in Quy Nhon</t>
        </is>
      </c>
      <c r="C280" s="176" t="inlineStr">
        <is>
          <t>Infrastructure &amp; the Underground City</t>
        </is>
      </c>
      <c r="D280" s="163" t="n">
        <v>4</v>
      </c>
      <c r="E280" s="164" t="inlineStr">
        <is>
          <t>Feature lead</t>
        </is>
      </c>
      <c r="F280" s="165" t="inlineStr">
        <is>
          <t>To review</t>
        </is>
      </c>
      <c r="G280" s="166" t="n"/>
      <c r="H280" s="167" t="n"/>
      <c r="I280" s="168" t="inlineStr">
        <is>
          <t>What are the slope stability, rock-cutting and environmental trade-offs in levelling a granite mountain inside an urban area, and how should experts weigh them?</t>
        </is>
      </c>
      <c r="J280" s="168" t="inlineStr">
        <is>
          <t>Vietnam.vn</t>
        </is>
      </c>
      <c r="K280" s="169" t="n">
        <v>46320</v>
      </c>
      <c r="L280" s="168" t="inlineStr">
        <is>
          <t>Des experts s'expriment sur le projet de rasage du mont Mot à Quy Nhon.</t>
        </is>
      </c>
      <c r="M280" s="168" t="n"/>
      <c r="N280" s="170" t="inlineStr">
        <is>
          <t>Vietnam</t>
        </is>
      </c>
      <c r="O280" s="168" t="inlineStr">
        <is>
          <t>Mot Mountain, Quy Nhon</t>
        </is>
      </c>
      <c r="P280" s="168" t="inlineStr">
        <is>
          <t>Mot Mountain levelling proposal, Quy Nhon, Vietnam · Update · 2 reports</t>
        </is>
      </c>
      <c r="Q280" s="171" t="inlineStr">
        <is>
          <t>France</t>
        </is>
      </c>
      <c r="R280" s="169" t="n">
        <v>46318</v>
      </c>
      <c r="S280" s="170" t="inlineStr">
        <is>
          <t>2026-Q4</t>
        </is>
      </c>
      <c r="T280" s="172" t="n"/>
      <c r="U280" s="160" t="n">
        <v>0</v>
      </c>
      <c r="V280" s="173" t="inlineStr">
        <is>
          <t>https://news.google.com/rss/articles/CBMijwFBVV95cUxNVGtiZ0lmT1lzdnltdVZfN1RsaGl0c3g2Sll0bDJUMHd6UDdFQXN3VlJteWJjTTNHZ1R1TXVJcVBZTl94UDFaczBDUjdObXpScmpZeFZPVkpHRjBUSXFteDJ2dlhFeWxPdVgzamFWaFFRQ1lhSG55VFJKQnRWV1pkNE5TcEs1WWlIT25qbUxVbw?oc=5</t>
        </is>
      </c>
      <c r="W280" s="174">
        <f>IF($B280="",0,IF(AND(OR(OR(Dashboard!$B$5="All themes",Dashboard!$B$5=""),$C280=Dashboard!$B$5),OR(OR(Dashboard!$G$5="All uses",Dashboard!$G$5=""),$E280=Dashboard!$G$5),N($D280)&gt;=Lists!$H$2,OR(OR(Dashboard!$N$5="All windows",Dashboard!$N$5=""),$S280=Dashboard!$N$5)),1,0))</f>
        <v/>
      </c>
      <c r="X280" s="175">
        <f>IF($W280=1,N($D280)*1E14+MIN(MAX(N($U280),0),9999)*1E10+MIN(N($K280),99999)*1E5+99999-MIN(ROW(),99999),"")</f>
        <v/>
      </c>
    </row>
    <row r="281" ht="53" customHeight="1">
      <c r="A281" s="160" t="n">
        <v>278</v>
      </c>
      <c r="B281" s="161" t="inlineStr">
        <is>
          <t>Imperial advances planning of block caving method at Red Chris mine</t>
        </is>
      </c>
      <c r="C281" s="176" t="inlineStr">
        <is>
          <t>Infrastructure &amp; the Underground City</t>
        </is>
      </c>
      <c r="D281" s="163" t="n">
        <v>4</v>
      </c>
      <c r="E281" s="182" t="inlineStr">
        <is>
          <t>Academia-to-Industry topic</t>
        </is>
      </c>
      <c r="F281" s="165" t="inlineStr">
        <is>
          <t>To review</t>
        </is>
      </c>
      <c r="G281" s="166" t="n"/>
      <c r="H281" s="167" t="n"/>
      <c r="I281" s="168" t="inlineStr">
        <is>
          <t>What geomechanical data and rock mass characterisation are needed to plan block caving sequences safely in a large porphyry copper mine?</t>
        </is>
      </c>
      <c r="J281" s="168" t="inlineStr">
        <is>
          <t>MarketScreener España</t>
        </is>
      </c>
      <c r="K281" s="169" t="n">
        <v>46320</v>
      </c>
      <c r="L281" s="168" t="inlineStr">
        <is>
          <t>Imperial avanza en la planificación del método de hundimiento por bloques en la mina Red Chris</t>
        </is>
      </c>
      <c r="M281" s="168" t="n"/>
      <c r="N281" s="170" t="inlineStr">
        <is>
          <t>Canada</t>
        </is>
      </c>
      <c r="O281" s="168" t="inlineStr">
        <is>
          <t>Red Chris mine</t>
        </is>
      </c>
      <c r="P281" s="168" t="n"/>
      <c r="Q281" s="171" t="inlineStr">
        <is>
          <t>Argentina</t>
        </is>
      </c>
      <c r="R281" s="169" t="n">
        <v>46318</v>
      </c>
      <c r="S281" s="170" t="inlineStr">
        <is>
          <t>2026-Q4</t>
        </is>
      </c>
      <c r="T281" s="172" t="n"/>
      <c r="U281" s="160" t="n">
        <v>0</v>
      </c>
      <c r="V281" s="173"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281" s="174">
        <f>IF($B281="",0,IF(AND(OR(OR(Dashboard!$B$5="All themes",Dashboard!$B$5=""),$C281=Dashboard!$B$5),OR(OR(Dashboard!$G$5="All uses",Dashboard!$G$5=""),$E281=Dashboard!$G$5),N($D281)&gt;=Lists!$H$2,OR(OR(Dashboard!$N$5="All windows",Dashboard!$N$5=""),$S281=Dashboard!$N$5)),1,0))</f>
        <v/>
      </c>
      <c r="X281" s="175">
        <f>IF($W281=1,N($D281)*1E14+MIN(MAX(N($U281),0),9999)*1E10+MIN(N($K281),99999)*1E5+99999-MIN(ROW(),99999),"")</f>
        <v/>
      </c>
    </row>
    <row r="282" ht="40.5" customHeight="1">
      <c r="A282" s="160" t="n">
        <v>279</v>
      </c>
      <c r="B282" s="161" t="inlineStr">
        <is>
          <t>SAM demands answers over fatal Penang landslide which killed doctor</t>
        </is>
      </c>
      <c r="C282" s="186" t="inlineStr">
        <is>
          <t>Geotechnics &amp; Society</t>
        </is>
      </c>
      <c r="D282" s="163" t="n">
        <v>3</v>
      </c>
      <c r="E282" s="177" t="inlineStr">
        <is>
          <t>News brief</t>
        </is>
      </c>
      <c r="F282" s="165" t="inlineStr">
        <is>
          <t>To review</t>
        </is>
      </c>
      <c r="G282" s="166" t="n"/>
      <c r="H282" s="167" t="n"/>
      <c r="I282" s="168" t="inlineStr">
        <is>
          <t>What accountability and slope regulation gaps are revealed after a fatal landslide in a hillside urban area?</t>
        </is>
      </c>
      <c r="J282" s="168" t="inlineStr">
        <is>
          <t>NST Online</t>
        </is>
      </c>
      <c r="K282" s="169" t="n">
        <v>46320</v>
      </c>
      <c r="L282" s="168" t="n"/>
      <c r="M282" s="168" t="n"/>
      <c r="N282" s="170" t="inlineStr">
        <is>
          <t>Malaysia</t>
        </is>
      </c>
      <c r="O282" s="168" t="inlineStr">
        <is>
          <t>Penang</t>
        </is>
      </c>
      <c r="P282" s="168" t="inlineStr">
        <is>
          <t>Paya Terubong landslide, Penang, Malaysia (Oct 2026) · Legal &amp; policy · 9 reports</t>
        </is>
      </c>
      <c r="Q282" s="171" t="inlineStr">
        <is>
          <t>United Kingdom</t>
        </is>
      </c>
      <c r="R282" s="169" t="n">
        <v>46320</v>
      </c>
      <c r="S282" s="170" t="inlineStr">
        <is>
          <t>2026-Q4</t>
        </is>
      </c>
      <c r="T282" s="172" t="inlineStr">
        <is>
          <t>landslide</t>
        </is>
      </c>
      <c r="U282" s="160" t="n">
        <v>4</v>
      </c>
      <c r="V282" s="173"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282" s="174">
        <f>IF($B282="",0,IF(AND(OR(OR(Dashboard!$B$5="All themes",Dashboard!$B$5=""),$C282=Dashboard!$B$5),OR(OR(Dashboard!$G$5="All uses",Dashboard!$G$5=""),$E282=Dashboard!$G$5),N($D282)&gt;=Lists!$H$2,OR(OR(Dashboard!$N$5="All windows",Dashboard!$N$5=""),$S282=Dashboard!$N$5)),1,0))</f>
        <v/>
      </c>
      <c r="X282" s="175">
        <f>IF($W282=1,N($D282)*1E14+MIN(MAX(N($U282),0),9999)*1E10+MIN(N($K282),99999)*1E5+99999-MIN(ROW(),99999),"")</f>
        <v/>
      </c>
    </row>
    <row r="283" ht="53" customHeight="1">
      <c r="A283" s="160" t="n">
        <v>280</v>
      </c>
      <c r="B283" s="161" t="inlineStr">
        <is>
          <t>'The 1956 Landslide and the Church of San Pietro': photographic exhibition extended</t>
        </is>
      </c>
      <c r="C283" s="186" t="inlineStr">
        <is>
          <t>Geotechnics &amp; Society</t>
        </is>
      </c>
      <c r="D283" s="163" t="n">
        <v>3</v>
      </c>
      <c r="E283" s="179" t="inlineStr">
        <is>
          <t>Watch only</t>
        </is>
      </c>
      <c r="F283" s="165" t="inlineStr">
        <is>
          <t>To review</t>
        </is>
      </c>
      <c r="G283" s="166" t="n"/>
      <c r="H283" s="167" t="n"/>
      <c r="I283" s="168" t="inlineStr">
        <is>
          <t>How did the 1956 landslide shape settlement decisions and church site safety, and what does that history teach about landslide memory?</t>
        </is>
      </c>
      <c r="J283" s="168" t="inlineStr">
        <is>
          <t>Trigno.net</t>
        </is>
      </c>
      <c r="K283" s="169" t="n">
        <v>46320</v>
      </c>
      <c r="L283" s="168" t="inlineStr">
        <is>
          <t>"La Frana del 1956 e la Chiesa di San Pietro", prorogata la mostra fotografica</t>
        </is>
      </c>
      <c r="M283" s="168" t="n"/>
      <c r="N283" s="170" t="inlineStr">
        <is>
          <t>Italy</t>
        </is>
      </c>
      <c r="O283" s="168" t="n"/>
      <c r="P283" s="168" t="n"/>
      <c r="Q283" s="171" t="inlineStr">
        <is>
          <t>Italy</t>
        </is>
      </c>
      <c r="R283" s="169" t="n">
        <v>46319</v>
      </c>
      <c r="S283" s="170" t="inlineStr">
        <is>
          <t>2026-Q4</t>
        </is>
      </c>
      <c r="T283" s="172" t="inlineStr">
        <is>
          <t>landslide</t>
        </is>
      </c>
      <c r="U283" s="160" t="n">
        <v>4</v>
      </c>
      <c r="V283" s="173"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283" s="174">
        <f>IF($B283="",0,IF(AND(OR(OR(Dashboard!$B$5="All themes",Dashboard!$B$5=""),$C283=Dashboard!$B$5),OR(OR(Dashboard!$G$5="All uses",Dashboard!$G$5=""),$E283=Dashboard!$G$5),N($D283)&gt;=Lists!$H$2,OR(OR(Dashboard!$N$5="All windows",Dashboard!$N$5=""),$S283=Dashboard!$N$5)),1,0))</f>
        <v/>
      </c>
      <c r="X283" s="175">
        <f>IF($W283=1,N($D283)*1E14+MIN(MAX(N($U283),0),9999)*1E10+MIN(N($K283),99999)*1E5+99999-MIN(ROW(),99999),"")</f>
        <v/>
      </c>
    </row>
    <row r="284" ht="53" customHeight="1">
      <c r="A284" s="160" t="n">
        <v>281</v>
      </c>
      <c r="B284" s="161" t="inlineStr">
        <is>
          <t>Exploring Phong Nha-Ke Bang’s famous sinkholes</t>
        </is>
      </c>
      <c r="C284" s="180" t="inlineStr">
        <is>
          <t>Characterisation &amp; Modelling</t>
        </is>
      </c>
      <c r="D284" s="163" t="n">
        <v>3</v>
      </c>
      <c r="E284" s="183" t="inlineStr">
        <is>
          <t>Regional insight</t>
        </is>
      </c>
      <c r="F284" s="165" t="inlineStr">
        <is>
          <t>To review</t>
        </is>
      </c>
      <c r="G284" s="166" t="n"/>
      <c r="H284" s="167" t="n"/>
      <c r="I284" s="168" t="inlineStr">
        <is>
          <t>How can karst cave systems and sinkhole susceptibility be mapped and characterised in tropical limestone terrain for tourism and infrastructure?</t>
        </is>
      </c>
      <c r="J284" s="168" t="inlineStr">
        <is>
          <t>DTiNews</t>
        </is>
      </c>
      <c r="K284" s="169" t="n">
        <v>46320</v>
      </c>
      <c r="L284" s="168" t="n"/>
      <c r="M284" s="168" t="n"/>
      <c r="N284" s="170" t="inlineStr">
        <is>
          <t>Vietnam</t>
        </is>
      </c>
      <c r="O284" s="168" t="inlineStr">
        <is>
          <t>Phong Nha-Ke Bang</t>
        </is>
      </c>
      <c r="P284" s="168" t="n"/>
      <c r="Q284" s="171" t="inlineStr">
        <is>
          <t>United Kingdom</t>
        </is>
      </c>
      <c r="R284" s="169" t="n">
        <v>46320</v>
      </c>
      <c r="S284" s="170" t="inlineStr">
        <is>
          <t>2026-Q4</t>
        </is>
      </c>
      <c r="T284" s="172" t="inlineStr">
        <is>
          <t>sinkhole</t>
        </is>
      </c>
      <c r="U284" s="160" t="n">
        <v>4</v>
      </c>
      <c r="V284" s="173"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284" s="174">
        <f>IF($B284="",0,IF(AND(OR(OR(Dashboard!$B$5="All themes",Dashboard!$B$5=""),$C284=Dashboard!$B$5),OR(OR(Dashboard!$G$5="All uses",Dashboard!$G$5=""),$E284=Dashboard!$G$5),N($D284)&gt;=Lists!$H$2,OR(OR(Dashboard!$N$5="All windows",Dashboard!$N$5=""),$S284=Dashboard!$N$5)),1,0))</f>
        <v/>
      </c>
      <c r="X284" s="175">
        <f>IF($W284=1,N($D284)*1E14+MIN(MAX(N($U284),0),9999)*1E10+MIN(N($K284),99999)*1E5+99999-MIN(ROW(),99999),"")</f>
        <v/>
      </c>
    </row>
    <row r="285" ht="40.5" customHeight="1">
      <c r="A285" s="160" t="n">
        <v>282</v>
      </c>
      <c r="B285" s="161" t="inlineStr">
        <is>
          <t>Dong Thap province spends 330 billion dong to tackle landslide-hit areas</t>
        </is>
      </c>
      <c r="C285" s="185" t="inlineStr">
        <is>
          <t>Offshore, Coasts &amp; Water</t>
        </is>
      </c>
      <c r="D285" s="163" t="n">
        <v>3</v>
      </c>
      <c r="E285" s="183" t="inlineStr">
        <is>
          <t>Regional insight</t>
        </is>
      </c>
      <c r="F285" s="165" t="inlineStr">
        <is>
          <t>To review</t>
        </is>
      </c>
      <c r="G285" s="166" t="n"/>
      <c r="H285" s="167" t="n"/>
      <c r="I285" s="168" t="inlineStr">
        <is>
          <t>How does riverbank failure in the Mekong delta drive the cost and design choice between revetments and managed retreat?</t>
        </is>
      </c>
      <c r="J285" s="168" t="inlineStr">
        <is>
          <t>Vietnam.vn</t>
        </is>
      </c>
      <c r="K285" s="169" t="n">
        <v>46320</v>
      </c>
      <c r="L285" s="168" t="inlineStr">
        <is>
          <t>La provincia di Dong Thap spende 330 miliardi di dong vietnamiti per affrontare le zone colpite dalle frane.</t>
        </is>
      </c>
      <c r="M285" s="168" t="n"/>
      <c r="N285" s="170" t="inlineStr">
        <is>
          <t>Vietnam</t>
        </is>
      </c>
      <c r="O285" s="168" t="inlineStr">
        <is>
          <t>Dong Thap province</t>
        </is>
      </c>
      <c r="P285" s="168" t="n"/>
      <c r="Q285" s="171" t="inlineStr">
        <is>
          <t>Italy</t>
        </is>
      </c>
      <c r="R285" s="169" t="n">
        <v>46318</v>
      </c>
      <c r="S285" s="170" t="inlineStr">
        <is>
          <t>2026-Q4</t>
        </is>
      </c>
      <c r="T285" s="172" t="inlineStr">
        <is>
          <t>landslide</t>
        </is>
      </c>
      <c r="U285" s="160" t="n">
        <v>4</v>
      </c>
      <c r="V285" s="173" t="inlineStr">
        <is>
          <t>https://news.google.com/rss/articles/CBMifkFVX3lxTE1VN2xaNDhXeTdHWkRoTGZuYXhscnI4SnFCeDFqTVdEWHl1anViQ0hlemlUN1FIN1RaSTl0RjRJUlJ2Y2NmWVZuajROZzdULVVZWTRKV2gyeElnWkZ0MUNILXdPeWEwUlNyMldoZkU4MFJEODZSY3dYYnlFOXZ4dw?oc=5</t>
        </is>
      </c>
      <c r="W285" s="174">
        <f>IF($B285="",0,IF(AND(OR(OR(Dashboard!$B$5="All themes",Dashboard!$B$5=""),$C285=Dashboard!$B$5),OR(OR(Dashboard!$G$5="All uses",Dashboard!$G$5=""),$E285=Dashboard!$G$5),N($D285)&gt;=Lists!$H$2,OR(OR(Dashboard!$N$5="All windows",Dashboard!$N$5=""),$S285=Dashboard!$N$5)),1,0))</f>
        <v/>
      </c>
      <c r="X285" s="175">
        <f>IF($W285=1,N($D285)*1E14+MIN(MAX(N($U285),0),9999)*1E10+MIN(N($K285),99999)*1E5+99999-MIN(ROW(),99999),"")</f>
        <v/>
      </c>
    </row>
    <row r="286" ht="53" customHeight="1">
      <c r="A286" s="160" t="n">
        <v>283</v>
      </c>
      <c r="B286" s="161" t="inlineStr">
        <is>
          <t>A sinkhole in Cerro fills with water and threatens pedestrians and drivers after rains</t>
        </is>
      </c>
      <c r="C286" s="176" t="inlineStr">
        <is>
          <t>Infrastructure &amp; the Underground City</t>
        </is>
      </c>
      <c r="D286" s="163" t="n">
        <v>3</v>
      </c>
      <c r="E286" s="177" t="inlineStr">
        <is>
          <t>News brief</t>
        </is>
      </c>
      <c r="F286" s="165" t="inlineStr">
        <is>
          <t>To review</t>
        </is>
      </c>
      <c r="G286" s="166" t="n"/>
      <c r="H286" s="167" t="n"/>
      <c r="I286" s="168" t="inlineStr">
        <is>
          <t>What causes water-filled sinkholes to form in urban ground after rainfall, and how should pedestrian and traffic exclusion zones be set?</t>
        </is>
      </c>
      <c r="J286" s="168" t="inlineStr">
        <is>
          <t>Infobae</t>
        </is>
      </c>
      <c r="K286" s="169" t="n">
        <v>46320</v>
      </c>
      <c r="L286" s="168" t="inlineStr">
        <is>
          <t>Un socavón en Cerro se llena de agua y amenaza a peatones y conductores tras las lluvias</t>
        </is>
      </c>
      <c r="M286" s="168" t="n"/>
      <c r="N286" s="170" t="n"/>
      <c r="O286" s="168" t="inlineStr">
        <is>
          <t>Cerro</t>
        </is>
      </c>
      <c r="P286" s="168" t="n"/>
      <c r="Q286" s="171" t="inlineStr">
        <is>
          <t>Colombia</t>
        </is>
      </c>
      <c r="R286" s="169" t="n">
        <v>46319</v>
      </c>
      <c r="S286" s="170" t="inlineStr">
        <is>
          <t>2026-Q4</t>
        </is>
      </c>
      <c r="T286" s="172" t="inlineStr">
        <is>
          <t>sinkhole</t>
        </is>
      </c>
      <c r="U286" s="160" t="n">
        <v>4</v>
      </c>
      <c r="V286" s="173"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286" s="174">
        <f>IF($B286="",0,IF(AND(OR(OR(Dashboard!$B$5="All themes",Dashboard!$B$5=""),$C286=Dashboard!$B$5),OR(OR(Dashboard!$G$5="All uses",Dashboard!$G$5=""),$E286=Dashboard!$G$5),N($D286)&gt;=Lists!$H$2,OR(OR(Dashboard!$N$5="All windows",Dashboard!$N$5=""),$S286=Dashboard!$N$5)),1,0))</f>
        <v/>
      </c>
      <c r="X286" s="175">
        <f>IF($W286=1,N($D286)*1E14+MIN(MAX(N($U286),0),9999)*1E10+MIN(N($K286),99999)*1E5+99999-MIN(ROW(),99999),"")</f>
        <v/>
      </c>
    </row>
    <row r="287" ht="40.5" customHeight="1">
      <c r="A287" s="160" t="n">
        <v>284</v>
      </c>
      <c r="B287" s="161" t="inlineStr">
        <is>
          <t>A sinkhole trapped an ambulance transporting a patient</t>
        </is>
      </c>
      <c r="C287" s="176" t="inlineStr">
        <is>
          <t>Infrastructure &amp; the Underground City</t>
        </is>
      </c>
      <c r="D287" s="163" t="n">
        <v>3</v>
      </c>
      <c r="E287" s="177" t="inlineStr">
        <is>
          <t>News brief</t>
        </is>
      </c>
      <c r="F287" s="165" t="inlineStr">
        <is>
          <t>To review</t>
        </is>
      </c>
      <c r="G287" s="166" t="n"/>
      <c r="H287" s="167" t="n"/>
      <c r="I287" s="168" t="inlineStr">
        <is>
          <t>What ground investigation is needed to explain sudden road sinkholes that trap emergency vehicles on mountain-road pavements?</t>
        </is>
      </c>
      <c r="J287" s="168" t="inlineStr">
        <is>
          <t>Diario 7 lagos</t>
        </is>
      </c>
      <c r="K287" s="169" t="n">
        <v>46320</v>
      </c>
      <c r="L287" s="168" t="inlineStr">
        <is>
          <t>Un socavón dejó atrapada a una ambulancia que trasladaba a una paciente</t>
        </is>
      </c>
      <c r="M287" s="168" t="n"/>
      <c r="N287" s="170" t="inlineStr">
        <is>
          <t>Argentina</t>
        </is>
      </c>
      <c r="O287" s="168" t="inlineStr">
        <is>
          <t>Siete Lagos, Patagonia</t>
        </is>
      </c>
      <c r="P287" s="168" t="inlineStr">
        <is>
          <t>Aucapán road sinkhole traps ambulance, Argentina (Oct 2026) · Event · 2 reports</t>
        </is>
      </c>
      <c r="Q287" s="171" t="inlineStr">
        <is>
          <t>Colombia</t>
        </is>
      </c>
      <c r="R287" s="169" t="n">
        <v>46319</v>
      </c>
      <c r="S287" s="170" t="inlineStr">
        <is>
          <t>2026-Q4</t>
        </is>
      </c>
      <c r="T287" s="172" t="inlineStr">
        <is>
          <t>sinkhole</t>
        </is>
      </c>
      <c r="U287" s="160" t="n">
        <v>4</v>
      </c>
      <c r="V287" s="173"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287" s="174">
        <f>IF($B287="",0,IF(AND(OR(OR(Dashboard!$B$5="All themes",Dashboard!$B$5=""),$C287=Dashboard!$B$5),OR(OR(Dashboard!$G$5="All uses",Dashboard!$G$5=""),$E287=Dashboard!$G$5),N($D287)&gt;=Lists!$H$2,OR(OR(Dashboard!$N$5="All windows",Dashboard!$N$5=""),$S287=Dashboard!$N$5)),1,0))</f>
        <v/>
      </c>
      <c r="X287" s="175">
        <f>IF($W287=1,N($D287)*1E14+MIN(MAX(N($U287),0),9999)*1E10+MIN(N($K287),99999)*1E5+99999-MIN(ROW(),99999),"")</f>
        <v/>
      </c>
    </row>
    <row r="288" ht="53" customHeight="1">
      <c r="A288" s="160" t="n">
        <v>285</v>
      </c>
      <c r="B288" s="161" t="inlineStr">
        <is>
          <t>Sinkhole endangers motorists and pedestrians in the 21 de Marzo neighbourhood</t>
        </is>
      </c>
      <c r="C288" s="176" t="inlineStr">
        <is>
          <t>Infrastructure &amp; the Underground City</t>
        </is>
      </c>
      <c r="D288" s="163" t="n">
        <v>3</v>
      </c>
      <c r="E288" s="177" t="inlineStr">
        <is>
          <t>News brief</t>
        </is>
      </c>
      <c r="F288" s="165" t="inlineStr">
        <is>
          <t>To review</t>
        </is>
      </c>
      <c r="G288" s="166" t="n"/>
      <c r="H288" s="167" t="n"/>
      <c r="I288" s="168" t="inlineStr">
        <is>
          <t>What are the likely causes of urban road sinkholes, such as leaking pipes or subsurface erosion, and how should they be detected early?</t>
        </is>
      </c>
      <c r="J288" s="168" t="inlineStr">
        <is>
          <t>El Sol de México</t>
        </is>
      </c>
      <c r="K288" s="169" t="n">
        <v>46320</v>
      </c>
      <c r="L288" s="168" t="inlineStr">
        <is>
          <t>Socavón pone en riesgo a automovilistas y peatones en la colonia 21 de Marzo</t>
        </is>
      </c>
      <c r="M288" s="168" t="n"/>
      <c r="N288" s="170" t="inlineStr">
        <is>
          <t>Mexico</t>
        </is>
      </c>
      <c r="O288" s="168" t="inlineStr">
        <is>
          <t>Colonia 21 de Marzo</t>
        </is>
      </c>
      <c r="P288" s="168" t="n"/>
      <c r="Q288" s="171" t="inlineStr">
        <is>
          <t>Colombia</t>
        </is>
      </c>
      <c r="R288" s="169" t="n">
        <v>46320</v>
      </c>
      <c r="S288" s="170" t="inlineStr">
        <is>
          <t>2026-Q4</t>
        </is>
      </c>
      <c r="T288" s="172" t="inlineStr">
        <is>
          <t>sinkhole</t>
        </is>
      </c>
      <c r="U288" s="160" t="n">
        <v>4</v>
      </c>
      <c r="V288" s="173"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288" s="174">
        <f>IF($B288="",0,IF(AND(OR(OR(Dashboard!$B$5="All themes",Dashboard!$B$5=""),$C288=Dashboard!$B$5),OR(OR(Dashboard!$G$5="All uses",Dashboard!$G$5=""),$E288=Dashboard!$G$5),N($D288)&gt;=Lists!$H$2,OR(OR(Dashboard!$N$5="All windows",Dashboard!$N$5=""),$S288=Dashboard!$N$5)),1,0))</f>
        <v/>
      </c>
      <c r="X288" s="175">
        <f>IF($W288=1,N($D288)*1E14+MIN(MAX(N($U288),0),9999)*1E10+MIN(N($K288),99999)*1E5+99999-MIN(ROW(),99999),"")</f>
        <v/>
      </c>
    </row>
    <row r="289" ht="53" customHeight="1">
      <c r="A289" s="160" t="n">
        <v>286</v>
      </c>
      <c r="B289" s="161" t="inlineStr">
        <is>
          <t>Government abandons community with an enormous sinkhole</t>
        </is>
      </c>
      <c r="C289" s="176" t="inlineStr">
        <is>
          <t>Infrastructure &amp; the Underground City</t>
        </is>
      </c>
      <c r="D289" s="163" t="n">
        <v>3</v>
      </c>
      <c r="E289" s="179" t="inlineStr">
        <is>
          <t>Watch only</t>
        </is>
      </c>
      <c r="F289" s="165" t="inlineStr">
        <is>
          <t>To review</t>
        </is>
      </c>
      <c r="G289" s="166" t="n"/>
      <c r="H289" s="167" t="n"/>
      <c r="I289" s="168" t="inlineStr">
        <is>
          <t>Large community sinkhole left without official remediation; the geotechnical cause and responsibility for investigation remain open.</t>
        </is>
      </c>
      <c r="J289" s="168" t="inlineStr">
        <is>
          <t>emsavalles.com</t>
        </is>
      </c>
      <c r="K289" s="169" t="n">
        <v>46320</v>
      </c>
      <c r="L289" s="168" t="inlineStr">
        <is>
          <t>Gobierno abandona comunidad con un enorme socavón</t>
        </is>
      </c>
      <c r="M289" s="168" t="n"/>
      <c r="N289" s="170" t="n"/>
      <c r="O289" s="168" t="n"/>
      <c r="P289" s="168" t="n"/>
      <c r="Q289" s="171" t="inlineStr">
        <is>
          <t>Colombia</t>
        </is>
      </c>
      <c r="R289" s="169" t="n">
        <v>46319</v>
      </c>
      <c r="S289" s="170" t="inlineStr">
        <is>
          <t>2026-Q4</t>
        </is>
      </c>
      <c r="T289" s="172" t="inlineStr">
        <is>
          <t>sinkhole</t>
        </is>
      </c>
      <c r="U289" s="160" t="n">
        <v>4</v>
      </c>
      <c r="V289" s="173" t="inlineStr">
        <is>
          <t>https://news.google.com/rss/articles/CBMiiAFBVV95cUxOM3hmcTdXVUJhd1hTblR3RXJ5ZzRQbm80a1dYa21RTlo0T1VmWVUwN1htemlUYnlUbWlxcFZzbjZsQWo2UzZsbGozVHNXRG1MNndqdkJRb1BSVW1GcWFQd1BNdzF0NWNJZGxpWGF0Q3hGNkl3R3E2QnhidTZ1SElMUDFFMm9Ib1lf?oc=5</t>
        </is>
      </c>
      <c r="W289" s="174">
        <f>IF($B289="",0,IF(AND(OR(OR(Dashboard!$B$5="All themes",Dashboard!$B$5=""),$C289=Dashboard!$B$5),OR(OR(Dashboard!$G$5="All uses",Dashboard!$G$5=""),$E289=Dashboard!$G$5),N($D289)&gt;=Lists!$H$2,OR(OR(Dashboard!$N$5="All windows",Dashboard!$N$5=""),$S289=Dashboard!$N$5)),1,0))</f>
        <v/>
      </c>
      <c r="X289" s="175">
        <f>IF($W289=1,N($D289)*1E14+MIN(MAX(N($U289),0),9999)*1E10+MIN(N($K289),99999)*1E5+99999-MIN(ROW(),99999),"")</f>
        <v/>
      </c>
    </row>
    <row r="290" ht="53" customHeight="1">
      <c r="A290" s="160" t="n">
        <v>287</v>
      </c>
      <c r="B290" s="161" t="inlineStr">
        <is>
          <t>Sinkhole repair will close Route 241 in Lebanon County for a week</t>
        </is>
      </c>
      <c r="C290" s="176" t="inlineStr">
        <is>
          <t>Infrastructure &amp; the Underground City</t>
        </is>
      </c>
      <c r="D290" s="163" t="n">
        <v>3</v>
      </c>
      <c r="E290" s="177" t="inlineStr">
        <is>
          <t>News brief</t>
        </is>
      </c>
      <c r="F290" s="165" t="inlineStr">
        <is>
          <t>To review</t>
        </is>
      </c>
      <c r="G290" s="166" t="n"/>
      <c r="H290" s="167" t="n"/>
      <c r="I290" s="168" t="inlineStr">
        <is>
          <t>What causes sinkholes under pavement in karst or mined ground, and which investigation methods would have identified the void before the road failed?</t>
        </is>
      </c>
      <c r="J290" s="168" t="inlineStr">
        <is>
          <t>ABC27</t>
        </is>
      </c>
      <c r="K290" s="169" t="n">
        <v>46320</v>
      </c>
      <c r="L290" s="168" t="n"/>
      <c r="M290" s="168" t="n"/>
      <c r="N290" s="170" t="inlineStr">
        <is>
          <t>United States</t>
        </is>
      </c>
      <c r="O290" s="168" t="inlineStr">
        <is>
          <t>Route 241, Lebanon County</t>
        </is>
      </c>
      <c r="P290" s="168" t="n"/>
      <c r="Q290" s="171" t="inlineStr">
        <is>
          <t>United Kingdom</t>
        </is>
      </c>
      <c r="R290" s="169" t="n">
        <v>46319</v>
      </c>
      <c r="S290" s="170" t="inlineStr">
        <is>
          <t>2026-Q4</t>
        </is>
      </c>
      <c r="T290" s="172" t="inlineStr">
        <is>
          <t>sinkhole</t>
        </is>
      </c>
      <c r="U290" s="160" t="n">
        <v>4</v>
      </c>
      <c r="V290" s="173"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290" s="174">
        <f>IF($B290="",0,IF(AND(OR(OR(Dashboard!$B$5="All themes",Dashboard!$B$5=""),$C290=Dashboard!$B$5),OR(OR(Dashboard!$G$5="All uses",Dashboard!$G$5=""),$E290=Dashboard!$G$5),N($D290)&gt;=Lists!$H$2,OR(OR(Dashboard!$N$5="All windows",Dashboard!$N$5=""),$S290=Dashboard!$N$5)),1,0))</f>
        <v/>
      </c>
      <c r="X290" s="175">
        <f>IF($W290=1,N($D290)*1E14+MIN(MAX(N($U290),0),9999)*1E10+MIN(N($K290),99999)*1E5+99999-MIN(ROW(),99999),"")</f>
        <v/>
      </c>
    </row>
    <row r="291" ht="53" customHeight="1">
      <c r="A291" s="160" t="n">
        <v>288</v>
      </c>
      <c r="B291" s="161" t="inlineStr">
        <is>
          <t>TBMs to be produced under Aatmanirbhar Bharat, says Ashwini Vaishnaw</t>
        </is>
      </c>
      <c r="C291" s="176" t="inlineStr">
        <is>
          <t>Infrastructure &amp; the Underground City</t>
        </is>
      </c>
      <c r="D291" s="163" t="n">
        <v>3</v>
      </c>
      <c r="E291" s="177" t="inlineStr">
        <is>
          <t>News brief</t>
        </is>
      </c>
      <c r="F291" s="165" t="inlineStr">
        <is>
          <t>To review</t>
        </is>
      </c>
      <c r="G291" s="166" t="n"/>
      <c r="H291" s="167" t="n"/>
      <c r="I291" s="168" t="inlineStr">
        <is>
          <t>How does local manufacturing of tunnel boring machines affect the technical adaptation of TBMs to varied ground conditions in India's tunnelling projects?</t>
        </is>
      </c>
      <c r="J291" s="168" t="inlineStr">
        <is>
          <t>The Hindu</t>
        </is>
      </c>
      <c r="K291" s="169" t="n">
        <v>46320</v>
      </c>
      <c r="L291" s="168" t="n"/>
      <c r="M291" s="168" t="n"/>
      <c r="N291" s="170" t="inlineStr">
        <is>
          <t>India</t>
        </is>
      </c>
      <c r="O291" s="168" t="n"/>
      <c r="P291" s="168" t="n"/>
      <c r="Q291" s="171" t="inlineStr">
        <is>
          <t>United Kingdom</t>
        </is>
      </c>
      <c r="R291" s="169" t="n">
        <v>46318</v>
      </c>
      <c r="S291" s="170" t="inlineStr">
        <is>
          <t>2026-Q4</t>
        </is>
      </c>
      <c r="T291" s="172" t="inlineStr">
        <is>
          <t>tbm</t>
        </is>
      </c>
      <c r="U291" s="160" t="n">
        <v>3</v>
      </c>
      <c r="V291" s="173"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291" s="174">
        <f>IF($B291="",0,IF(AND(OR(OR(Dashboard!$B$5="All themes",Dashboard!$B$5=""),$C291=Dashboard!$B$5),OR(OR(Dashboard!$G$5="All uses",Dashboard!$G$5=""),$E291=Dashboard!$G$5),N($D291)&gt;=Lists!$H$2,OR(OR(Dashboard!$N$5="All windows",Dashboard!$N$5=""),$S291=Dashboard!$N$5)),1,0))</f>
        <v/>
      </c>
      <c r="X291" s="175">
        <f>IF($W291=1,N($D291)*1E14+MIN(MAX(N($U291),0),9999)*1E10+MIN(N($K291),99999)*1E5+99999-MIN(ROW(),99999),"")</f>
        <v/>
      </c>
    </row>
    <row r="292" ht="53" customHeight="1">
      <c r="A292" s="160" t="n">
        <v>289</v>
      </c>
      <c r="B292" s="161" t="inlineStr">
        <is>
          <t>A section of the Esquina waterfront promenade closed due to subsidence</t>
        </is>
      </c>
      <c r="C292" s="185" t="inlineStr">
        <is>
          <t>Offshore, Coasts &amp; Water</t>
        </is>
      </c>
      <c r="D292" s="163" t="n">
        <v>3</v>
      </c>
      <c r="E292" s="177" t="inlineStr">
        <is>
          <t>News brief</t>
        </is>
      </c>
      <c r="F292" s="165" t="inlineStr">
        <is>
          <t>To review</t>
        </is>
      </c>
      <c r="G292" s="166" t="n"/>
      <c r="H292" s="167" t="n"/>
      <c r="I292" s="168" t="inlineStr">
        <is>
          <t>What causes subsidence along a riverfront promenade, and what ground investigation would identify the weak or eroded soils behind it?</t>
        </is>
      </c>
      <c r="J292" s="168" t="inlineStr">
        <is>
          <t>Diario 1588</t>
        </is>
      </c>
      <c r="K292" s="169" t="n">
        <v>46320</v>
      </c>
      <c r="L292" s="168" t="inlineStr">
        <is>
          <t>Cerraron un sector de la costanera de Esquina por hundimiento</t>
        </is>
      </c>
      <c r="M292" s="168" t="n"/>
      <c r="N292" s="170" t="inlineStr">
        <is>
          <t>Argentina</t>
        </is>
      </c>
      <c r="O292" s="168" t="inlineStr">
        <is>
          <t>Esquina costanera</t>
        </is>
      </c>
      <c r="P292" s="168" t="inlineStr">
        <is>
          <t>Esquina riverfront promenade subsidence, Argentina (Oct 2026) · Event · 2 reports</t>
        </is>
      </c>
      <c r="Q292" s="171" t="inlineStr">
        <is>
          <t>Argentina</t>
        </is>
      </c>
      <c r="R292" s="169" t="n">
        <v>46317</v>
      </c>
      <c r="S292" s="170" t="inlineStr">
        <is>
          <t>2026-Q4</t>
        </is>
      </c>
      <c r="T292" s="172" t="n"/>
      <c r="U292" s="160" t="n">
        <v>0</v>
      </c>
      <c r="V292" s="173" t="inlineStr">
        <is>
          <t>https://news.google.com/rss/articles/CBMiR0FVX3lxTE5mbFg4a3ZhOWpyZElUSEpyVUR4NllITUlLeGFWV1B2V2JUQng0WUltSk9ENGNmQk1EWVdhM0tjejVqWjJvb0tF0gFHQVVfeXFMTmZsWDhrdmE5anJkSVRISnJVRHg2WUhNSUt4YVZXUHZXYlRCeDRZSW1KT0Q0Y2ZCTURZV2EzS2N6NWpaMm9vS0U?oc=5</t>
        </is>
      </c>
      <c r="W292" s="174">
        <f>IF($B292="",0,IF(AND(OR(OR(Dashboard!$B$5="All themes",Dashboard!$B$5=""),$C292=Dashboard!$B$5),OR(OR(Dashboard!$G$5="All uses",Dashboard!$G$5=""),$E292=Dashboard!$G$5),N($D292)&gt;=Lists!$H$2,OR(OR(Dashboard!$N$5="All windows",Dashboard!$N$5=""),$S292=Dashboard!$N$5)),1,0))</f>
        <v/>
      </c>
      <c r="X292" s="175">
        <f>IF($W292=1,N($D292)*1E14+MIN(MAX(N($U292),0),9999)*1E10+MIN(N($K292),99999)*1E5+99999-MIN(ROW(),99999),"")</f>
        <v/>
      </c>
    </row>
    <row r="293" ht="53" customHeight="1">
      <c r="A293" s="160" t="n">
        <v>290</v>
      </c>
      <c r="B293" s="161" t="inlineStr">
        <is>
          <t>Experts from Hong Kong propose solutions to counter sea-level rise in Vietnam</t>
        </is>
      </c>
      <c r="C293" s="185" t="inlineStr">
        <is>
          <t>Offshore, Coasts &amp; Water</t>
        </is>
      </c>
      <c r="D293" s="163" t="n">
        <v>3</v>
      </c>
      <c r="E293" s="183" t="inlineStr">
        <is>
          <t>Regional insight</t>
        </is>
      </c>
      <c r="F293" s="165" t="inlineStr">
        <is>
          <t>To review</t>
        </is>
      </c>
      <c r="G293" s="166" t="n"/>
      <c r="H293" s="167" t="n"/>
      <c r="I293" s="168" t="inlineStr">
        <is>
          <t>Which ground-engineering measures, such as seawalls and soft-soil improvement, best protect low-lying deltas and coasts facing sea-level rise and subsidence?</t>
        </is>
      </c>
      <c r="J293" s="168" t="inlineStr">
        <is>
          <t>Vietnam.vn</t>
        </is>
      </c>
      <c r="K293" s="169" t="n">
        <v>46320</v>
      </c>
      <c r="L293" s="168" t="inlineStr">
        <is>
          <t>来自中国香港的专家为应对越南海平面上升提出了解决方案。</t>
        </is>
      </c>
      <c r="M293" s="168" t="n"/>
      <c r="N293" s="170" t="inlineStr">
        <is>
          <t>Vietnam</t>
        </is>
      </c>
      <c r="O293" s="168" t="inlineStr">
        <is>
          <t>Vietnam coast</t>
        </is>
      </c>
      <c r="P293" s="168" t="n"/>
      <c r="Q293" s="171" t="inlineStr">
        <is>
          <t>China</t>
        </is>
      </c>
      <c r="R293" s="169" t="n">
        <v>46319</v>
      </c>
      <c r="S293" s="170" t="inlineStr">
        <is>
          <t>2026-Q4</t>
        </is>
      </c>
      <c r="T293" s="172" t="n"/>
      <c r="U293" s="160" t="n">
        <v>0</v>
      </c>
      <c r="V293" s="173"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293" s="174">
        <f>IF($B293="",0,IF(AND(OR(OR(Dashboard!$B$5="All themes",Dashboard!$B$5=""),$C293=Dashboard!$B$5),OR(OR(Dashboard!$G$5="All uses",Dashboard!$G$5=""),$E293=Dashboard!$G$5),N($D293)&gt;=Lists!$H$2,OR(OR(Dashboard!$N$5="All windows",Dashboard!$N$5=""),$S293=Dashboard!$N$5)),1,0))</f>
        <v/>
      </c>
      <c r="X293" s="175">
        <f>IF($W293=1,N($D293)*1E14+MIN(MAX(N($U293),0),9999)*1E10+MIN(N($K293),99999)*1E5+99999-MIN(ROW(),99999),"")</f>
        <v/>
      </c>
    </row>
    <row r="294" ht="53" customHeight="1">
      <c r="A294" s="160" t="n">
        <v>291</v>
      </c>
      <c r="B294" s="161" t="inlineStr">
        <is>
          <t>Paving train rehabilitated Prolongación Moctezuma, but a sinkhole remained in front of a private road and vehicles block sidewalks</t>
        </is>
      </c>
      <c r="C294" s="176" t="inlineStr">
        <is>
          <t>Infrastructure &amp; the Underground City</t>
        </is>
      </c>
      <c r="D294" s="163" t="n">
        <v>3</v>
      </c>
      <c r="E294" s="177" t="inlineStr">
        <is>
          <t>News brief</t>
        </is>
      </c>
      <c r="F294" s="165" t="inlineStr">
        <is>
          <t>To review</t>
        </is>
      </c>
      <c r="G294" s="166" t="n"/>
      <c r="H294" s="167" t="n"/>
      <c r="I294" s="168" t="inlineStr">
        <is>
          <t>Why did the newly paved street develop a subsidence in front of a private road, and how could trench backfill and compaction have prevented it?</t>
        </is>
      </c>
      <c r="J294" s="168" t="inlineStr">
        <is>
          <t>El Portal de Chicoloapan</t>
        </is>
      </c>
      <c r="K294" s="169" t="n">
        <v>46320</v>
      </c>
      <c r="L294" s="168" t="inlineStr">
        <is>
          <t>Con el tren de pavimentación rehabilitaron Prolongación Moctezuma, sin embargo quedó un hundimiento frente a la privada y vehículos bloqueando las banquetas</t>
        </is>
      </c>
      <c r="M294" s="168" t="n"/>
      <c r="N294" s="170" t="inlineStr">
        <is>
          <t>Mexico</t>
        </is>
      </c>
      <c r="O294" s="168" t="inlineStr">
        <is>
          <t>Prolongación Moctezuma, Chicoloapan</t>
        </is>
      </c>
      <c r="P294" s="168" t="n"/>
      <c r="Q294" s="171" t="inlineStr">
        <is>
          <t>Argentina</t>
        </is>
      </c>
      <c r="R294" s="169" t="n">
        <v>46320</v>
      </c>
      <c r="S294" s="170" t="inlineStr">
        <is>
          <t>2026-Q4</t>
        </is>
      </c>
      <c r="T294" s="172" t="n"/>
      <c r="U294" s="160" t="n">
        <v>0</v>
      </c>
      <c r="V294" s="173"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294" s="174">
        <f>IF($B294="",0,IF(AND(OR(OR(Dashboard!$B$5="All themes",Dashboard!$B$5=""),$C294=Dashboard!$B$5),OR(OR(Dashboard!$G$5="All uses",Dashboard!$G$5=""),$E294=Dashboard!$G$5),N($D294)&gt;=Lists!$H$2,OR(OR(Dashboard!$N$5="All windows",Dashboard!$N$5=""),$S294=Dashboard!$N$5)),1,0))</f>
        <v/>
      </c>
      <c r="X294" s="175">
        <f>IF($W294=1,N($D294)*1E14+MIN(MAX(N($U294),0),9999)*1E10+MIN(N($K294),99999)*1E5+99999-MIN(ROW(),99999),"")</f>
        <v/>
      </c>
    </row>
    <row r="295" ht="53" customHeight="1">
      <c r="A295" s="160" t="n">
        <v>292</v>
      </c>
      <c r="B295" s="161" t="inlineStr">
        <is>
          <t>Experts comment on the plan to level Mot Mountain in Quy Nhon</t>
        </is>
      </c>
      <c r="C295" s="176" t="inlineStr">
        <is>
          <t>Infrastructure &amp; the Underground City</t>
        </is>
      </c>
      <c r="D295" s="163" t="n">
        <v>3</v>
      </c>
      <c r="E295" s="164" t="inlineStr">
        <is>
          <t>Feature lead</t>
        </is>
      </c>
      <c r="F295" s="165" t="inlineStr">
        <is>
          <t>To review</t>
        </is>
      </c>
      <c r="G295" s="166" t="n"/>
      <c r="H295" s="167" t="n"/>
      <c r="I295" s="168" t="inlineStr">
        <is>
          <t>What geotechnical challenges arise in levelling a hill in Quy Nhon, including slope stability, cut volumes, and the reuse of excavated soil?</t>
        </is>
      </c>
      <c r="J295" s="168" t="inlineStr">
        <is>
          <t>Vietnam.vn</t>
        </is>
      </c>
      <c r="K295" s="169" t="n">
        <v>46320</v>
      </c>
      <c r="L295" s="168" t="inlineStr">
        <is>
          <t>전문가들이 꾸이년의 못산을 평탄화하려는 계획에 대해 의견을 밝혔다.</t>
        </is>
      </c>
      <c r="M295" s="168" t="n"/>
      <c r="N295" s="170" t="inlineStr">
        <is>
          <t>Vietnam</t>
        </is>
      </c>
      <c r="O295" s="168" t="inlineStr">
        <is>
          <t>Quy Nhon, Binh Dinh</t>
        </is>
      </c>
      <c r="P295" s="168" t="inlineStr">
        <is>
          <t>Mot Mountain levelling proposal, Quy Nhon, Vietnam · Update · 2 reports</t>
        </is>
      </c>
      <c r="Q295" s="171" t="inlineStr">
        <is>
          <t>South Korea</t>
        </is>
      </c>
      <c r="R295" s="169" t="n">
        <v>46318</v>
      </c>
      <c r="S295" s="170" t="inlineStr">
        <is>
          <t>2026-Q4</t>
        </is>
      </c>
      <c r="T295" s="172" t="n"/>
      <c r="U295" s="160" t="n">
        <v>0</v>
      </c>
      <c r="V295" s="173" t="inlineStr">
        <is>
          <t>https://news.google.com/rss/articles/CBMijwFBVV95cUxOVjhkZVg1Qms4dWZyT3MxQ2FrSmFPVE1Vak9PNnEwS1RjOTl5dHAxQkZ5WWZkTFlKdHV3U256bU9tZ2syWGFaSnM3YklHNnV2aWVoa1p3SFpnMFBMN1NEVFlVd2laNlhROVh6NFBzX1hxQklRRGk2dGJ3SWhyS2RKYVFOdDRRaHFkR2hueEJqRQ?oc=5</t>
        </is>
      </c>
      <c r="W295" s="174">
        <f>IF($B295="",0,IF(AND(OR(OR(Dashboard!$B$5="All themes",Dashboard!$B$5=""),$C295=Dashboard!$B$5),OR(OR(Dashboard!$G$5="All uses",Dashboard!$G$5=""),$E295=Dashboard!$G$5),N($D295)&gt;=Lists!$H$2,OR(OR(Dashboard!$N$5="All windows",Dashboard!$N$5=""),$S295=Dashboard!$N$5)),1,0))</f>
        <v/>
      </c>
      <c r="X295" s="175">
        <f>IF($W295=1,N($D295)*1E14+MIN(MAX(N($U295),0),9999)*1E10+MIN(N($K295),99999)*1E5+99999-MIN(ROW(),99999),"")</f>
        <v/>
      </c>
    </row>
    <row r="296" ht="53" customHeight="1">
      <c r="A296" s="160" t="n">
        <v>293</v>
      </c>
      <c r="B296" s="161" t="inlineStr">
        <is>
          <t>Voronezh replaces another six metres of damaged collector on Moskovsky Avenue</t>
        </is>
      </c>
      <c r="C296" s="176" t="inlineStr">
        <is>
          <t>Infrastructure &amp; the Underground City</t>
        </is>
      </c>
      <c r="D296" s="163" t="n">
        <v>3</v>
      </c>
      <c r="E296" s="177" t="inlineStr">
        <is>
          <t>News brief</t>
        </is>
      </c>
      <c r="F296" s="165" t="inlineStr">
        <is>
          <t>To review</t>
        </is>
      </c>
      <c r="G296" s="166" t="n"/>
      <c r="H296" s="167" t="n"/>
      <c r="I296" s="168" t="inlineStr">
        <is>
          <t>How do ground movements or soil conditions around urban collector pipes cause damage, and what should guide repair and reinstatement works?</t>
        </is>
      </c>
      <c r="J296" s="168" t="inlineStr">
        <is>
          <t>Новости Воронежа интернет-газета</t>
        </is>
      </c>
      <c r="K296" s="169" t="n">
        <v>46320</v>
      </c>
      <c r="L296" s="168" t="inlineStr">
        <is>
          <t>В Воронеже заменили еще шесть метров поврежденного коллектора на Московском проспекте</t>
        </is>
      </c>
      <c r="M296" s="168" t="n"/>
      <c r="N296" s="170" t="inlineStr">
        <is>
          <t>Russia</t>
        </is>
      </c>
      <c r="O296" s="168" t="inlineStr">
        <is>
          <t>Moskovsky Avenue, Voronezh</t>
        </is>
      </c>
      <c r="P296" s="168" t="inlineStr">
        <is>
          <t>Voronezh Moskovsky Avenue collector repair, Russia · Event · 2 reports</t>
        </is>
      </c>
      <c r="Q296" s="171" t="inlineStr">
        <is>
          <t>Russia</t>
        </is>
      </c>
      <c r="R296" s="169" t="n">
        <v>46319</v>
      </c>
      <c r="S296" s="170" t="inlineStr">
        <is>
          <t>2026-Q4</t>
        </is>
      </c>
      <c r="T296" s="172" t="n"/>
      <c r="U296" s="160" t="n">
        <v>0</v>
      </c>
      <c r="V296" s="173" t="inlineStr">
        <is>
          <t>https://news.google.com/rss/articles/CBMiWEFVX3lxTE43cWdqNnRTM1lrNU1sbElSd09YdDFzdGJhdFBFdldKb3V6R2taUV9IbUtjM3ZUUm5jNkU0QnJvcGdMTUVfR3k4UVNGeTRER2oycE1fZEFGeXE?oc=5</t>
        </is>
      </c>
      <c r="W296" s="174">
        <f>IF($B296="",0,IF(AND(OR(OR(Dashboard!$B$5="All themes",Dashboard!$B$5=""),$C296=Dashboard!$B$5),OR(OR(Dashboard!$G$5="All uses",Dashboard!$G$5=""),$E296=Dashboard!$G$5),N($D296)&gt;=Lists!$H$2,OR(OR(Dashboard!$N$5="All windows",Dashboard!$N$5=""),$S296=Dashboard!$N$5)),1,0))</f>
        <v/>
      </c>
      <c r="X296" s="175">
        <f>IF($W296=1,N($D296)*1E14+MIN(MAX(N($U296),0),9999)*1E10+MIN(N($K296),99999)*1E5+99999-MIN(ROW(),99999),"")</f>
        <v/>
      </c>
    </row>
    <row r="297" ht="53" customHeight="1">
      <c r="A297" s="160" t="n">
        <v>294</v>
      </c>
      <c r="B297" s="161" t="inlineStr">
        <is>
          <t>Experts weigh in on proposal to level Mot Mountain in Quy Nhon</t>
        </is>
      </c>
      <c r="C297" s="176" t="inlineStr">
        <is>
          <t>Infrastructure &amp; the Underground City</t>
        </is>
      </c>
      <c r="D297" s="163" t="n">
        <v>3</v>
      </c>
      <c r="E297" s="183" t="inlineStr">
        <is>
          <t>Regional insight</t>
        </is>
      </c>
      <c r="F297" s="165" t="inlineStr">
        <is>
          <t>To review</t>
        </is>
      </c>
      <c r="G297" s="166" t="n"/>
      <c r="H297" s="167" t="n"/>
      <c r="I297" s="168" t="inlineStr">
        <is>
          <t>How can slope stability, rock cutting and geohazard risks be assessed when a coastal hill is proposed for levelling in an urban area?</t>
        </is>
      </c>
      <c r="J297" s="168" t="inlineStr">
        <is>
          <t>Vietnam.vn</t>
        </is>
      </c>
      <c r="K297" s="169" t="n">
        <v>46320</v>
      </c>
      <c r="L297" s="168" t="inlineStr">
        <is>
          <t>Para ahli angkat bicara tentang usulan untuk meratakan Gunung Mot di Quy Nhon.</t>
        </is>
      </c>
      <c r="M297" s="168" t="n"/>
      <c r="N297" s="170" t="inlineStr">
        <is>
          <t>Vietnam</t>
        </is>
      </c>
      <c r="O297" s="168" t="inlineStr">
        <is>
          <t>Mot Mountain, Quy Nhon</t>
        </is>
      </c>
      <c r="P297" s="168" t="inlineStr">
        <is>
          <t>Mot Mountain levelling proposal, Quy Nhon, Vietnam · Event · 2 reports</t>
        </is>
      </c>
      <c r="Q297" s="171" t="inlineStr">
        <is>
          <t>Indonesia</t>
        </is>
      </c>
      <c r="R297" s="169" t="n">
        <v>46319</v>
      </c>
      <c r="S297" s="170" t="inlineStr">
        <is>
          <t>2026-Q4</t>
        </is>
      </c>
      <c r="T297" s="172" t="n"/>
      <c r="U297" s="160" t="n">
        <v>0</v>
      </c>
      <c r="V297" s="173" t="inlineStr">
        <is>
          <t>https://news.google.com/rss/articles/CBMijwFBVV95cUxQbVc4RlhHZWJTeHV3YlBWTjYzSURERHpMLTJuWHUwU3lpdWdvcS04WlZBYUNwY01aNEVkQmJpZzBqYXhQRXlTWEVpMHlPcUhjb3lvM3h1YWhNQXVJSWhqTEFYVmRkMGpmRTlkN0FPRW5SZzM1YW4xVXRmMVFpYzlkMk5YMUhabnk2eURnN0NJNA?oc=5</t>
        </is>
      </c>
      <c r="W297" s="174">
        <f>IF($B297="",0,IF(AND(OR(OR(Dashboard!$B$5="All themes",Dashboard!$B$5=""),$C297=Dashboard!$B$5),OR(OR(Dashboard!$G$5="All uses",Dashboard!$G$5=""),$E297=Dashboard!$G$5),N($D297)&gt;=Lists!$H$2,OR(OR(Dashboard!$N$5="All windows",Dashboard!$N$5=""),$S297=Dashboard!$N$5)),1,0))</f>
        <v/>
      </c>
      <c r="X297" s="175">
        <f>IF($W297=1,N($D297)*1E14+MIN(MAX(N($U297),0),9999)*1E10+MIN(N($K297),99999)*1E5+99999-MIN(ROW(),99999),"")</f>
        <v/>
      </c>
    </row>
    <row r="298" ht="53" customHeight="1">
      <c r="A298" s="160" t="n">
        <v>295</v>
      </c>
      <c r="B298" s="161" t="inlineStr">
        <is>
          <t>Behavior of Square-Round Shaft Combination Helical Piles and Anchors</t>
        </is>
      </c>
      <c r="C298" s="184" t="inlineStr">
        <is>
          <t>Ground Improvement &amp; Innovation</t>
        </is>
      </c>
      <c r="D298" s="163" t="n">
        <v>5</v>
      </c>
      <c r="E298" s="182" t="inlineStr">
        <is>
          <t>Academia-to-Industry topic</t>
        </is>
      </c>
      <c r="F298" s="165" t="inlineStr">
        <is>
          <t>To review</t>
        </is>
      </c>
      <c r="G298" s="166" t="n"/>
      <c r="H298" s="167" t="n"/>
      <c r="I298" s="168" t="inlineStr">
        <is>
          <t>How do square-round shaft combination helical piles and anchors behave under load, and how can their capacity be predicted reliably?</t>
        </is>
      </c>
      <c r="J298" s="168" t="inlineStr">
        <is>
          <t>Geoengineer.org</t>
        </is>
      </c>
      <c r="K298" s="169" t="n">
        <v>46319</v>
      </c>
      <c r="L298" s="168" t="n"/>
      <c r="M298" s="168" t="n"/>
      <c r="N298" s="170" t="n"/>
      <c r="O298" s="168" t="n"/>
      <c r="P298" s="168" t="n"/>
      <c r="Q298" s="171" t="inlineStr">
        <is>
          <t>United States</t>
        </is>
      </c>
      <c r="R298" s="169" t="n">
        <v>46318</v>
      </c>
      <c r="S298" s="170" t="inlineStr">
        <is>
          <t>2026-Q4</t>
        </is>
      </c>
      <c r="T298" s="172" t="inlineStr">
        <is>
          <t>pile, shaft</t>
        </is>
      </c>
      <c r="U298" s="160" t="n">
        <v>7</v>
      </c>
      <c r="V298" s="173"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298" s="174">
        <f>IF($B298="",0,IF(AND(OR(OR(Dashboard!$B$5="All themes",Dashboard!$B$5=""),$C298=Dashboard!$B$5),OR(OR(Dashboard!$G$5="All uses",Dashboard!$G$5=""),$E298=Dashboard!$G$5),N($D298)&gt;=Lists!$H$2,OR(OR(Dashboard!$N$5="All windows",Dashboard!$N$5=""),$S298=Dashboard!$N$5)),1,0))</f>
        <v/>
      </c>
      <c r="X298" s="175">
        <f>IF($W298=1,N($D298)*1E14+MIN(MAX(N($U298),0),9999)*1E10+MIN(N($K298),99999)*1E5+99999-MIN(ROW(),99999),"")</f>
        <v/>
      </c>
    </row>
    <row r="299" ht="53" customHeight="1">
      <c r="A299" s="160" t="n">
        <v>296</v>
      </c>
      <c r="B299" s="161" t="inlineStr">
        <is>
          <t>Floating wind needs grounded solutions</t>
        </is>
      </c>
      <c r="C299" s="185" t="inlineStr">
        <is>
          <t>Offshore, Coasts &amp; Water</t>
        </is>
      </c>
      <c r="D299" s="163" t="n">
        <v>5</v>
      </c>
      <c r="E299" s="164" t="inlineStr">
        <is>
          <t>Feature lead</t>
        </is>
      </c>
      <c r="F299" s="165" t="inlineStr">
        <is>
          <t>To review</t>
        </is>
      </c>
      <c r="G299" s="166" t="n"/>
      <c r="H299" s="167" t="n"/>
      <c r="I299" s="168" t="inlineStr">
        <is>
          <t>What geotechnical challenges arise in anchoring floating offshore wind foundations in variable seabed soils under extreme loading?</t>
        </is>
      </c>
      <c r="J299" s="168" t="inlineStr">
        <is>
          <t>Ground Engineering</t>
        </is>
      </c>
      <c r="K299" s="169" t="n">
        <v>46319</v>
      </c>
      <c r="L299" s="168" t="n"/>
      <c r="M299" s="168" t="n"/>
      <c r="N299" s="170" t="n"/>
      <c r="O299" s="168" t="n"/>
      <c r="P299" s="168" t="n"/>
      <c r="Q299" s="171" t="n"/>
      <c r="R299" s="169" t="n">
        <v>46318</v>
      </c>
      <c r="S299" s="170" t="inlineStr">
        <is>
          <t>2026-Q4</t>
        </is>
      </c>
      <c r="T299" s="172" t="inlineStr">
        <is>
          <t>offshore wind</t>
        </is>
      </c>
      <c r="U299" s="160" t="n">
        <v>6</v>
      </c>
      <c r="V299" s="173" t="inlineStr">
        <is>
          <t>https://www.geplus.co.uk/key-topics/sustainability/floating-wind-needs-grounded-solutions-23-10-2026/</t>
        </is>
      </c>
      <c r="W299" s="174">
        <f>IF($B299="",0,IF(AND(OR(OR(Dashboard!$B$5="All themes",Dashboard!$B$5=""),$C299=Dashboard!$B$5),OR(OR(Dashboard!$G$5="All uses",Dashboard!$G$5=""),$E299=Dashboard!$G$5),N($D299)&gt;=Lists!$H$2,OR(OR(Dashboard!$N$5="All windows",Dashboard!$N$5=""),$S299=Dashboard!$N$5)),1,0))</f>
        <v/>
      </c>
      <c r="X299" s="175">
        <f>IF($W299=1,N($D299)*1E14+MIN(MAX(N($U299),0),9999)*1E10+MIN(N($K299),99999)*1E5+99999-MIN(ROW(),99999),"")</f>
        <v/>
      </c>
    </row>
    <row r="300" ht="53" customHeight="1">
      <c r="A300" s="160" t="n">
        <v>297</v>
      </c>
      <c r="B300" s="161" t="inlineStr">
        <is>
          <t>Sinkhole at excavation site: ground sank even after underground safety assessment</t>
        </is>
      </c>
      <c r="C300" s="176" t="inlineStr">
        <is>
          <t>Infrastructure &amp; the Underground City</t>
        </is>
      </c>
      <c r="D300" s="163" t="n">
        <v>5</v>
      </c>
      <c r="E300" s="164" t="inlineStr">
        <is>
          <t>Feature lead</t>
        </is>
      </c>
      <c r="F300" s="165" t="inlineStr">
        <is>
          <t>To review</t>
        </is>
      </c>
      <c r="G300" s="166" t="n"/>
      <c r="H300" s="167" t="n"/>
      <c r="I300" s="168" t="inlineStr">
        <is>
          <t>Why did ground sink at an excavation despite a completed underground safety assessment, and what gaps exist in such assessments?</t>
        </is>
      </c>
      <c r="J300" s="168" t="inlineStr">
        <is>
          <t>충청신문</t>
        </is>
      </c>
      <c r="K300" s="169" t="n">
        <v>46319</v>
      </c>
      <c r="L300" s="168" t="inlineStr">
        <is>
          <t>장종태, "굴착 현장 싱크홀...지하안전평가 받고도 땅 꺼졌다"</t>
        </is>
      </c>
      <c r="M300" s="168" t="n"/>
      <c r="N300" s="170" t="inlineStr">
        <is>
          <t>South Korea</t>
        </is>
      </c>
      <c r="O300" s="168" t="n"/>
      <c r="P300" s="168" t="n"/>
      <c r="Q300" s="171" t="inlineStr">
        <is>
          <t>South Korea</t>
        </is>
      </c>
      <c r="R300" s="169" t="n">
        <v>46317</v>
      </c>
      <c r="S300" s="170" t="inlineStr">
        <is>
          <t>2026-Q4</t>
        </is>
      </c>
      <c r="T300" s="172" t="inlineStr">
        <is>
          <t>sinkhole, excavation</t>
        </is>
      </c>
      <c r="U300" s="160" t="n">
        <v>6</v>
      </c>
      <c r="V300" s="173"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300" s="174">
        <f>IF($B300="",0,IF(AND(OR(OR(Dashboard!$B$5="All themes",Dashboard!$B$5=""),$C300=Dashboard!$B$5),OR(OR(Dashboard!$G$5="All uses",Dashboard!$G$5=""),$E300=Dashboard!$G$5),N($D300)&gt;=Lists!$H$2,OR(OR(Dashboard!$N$5="All windows",Dashboard!$N$5=""),$S300=Dashboard!$N$5)),1,0))</f>
        <v/>
      </c>
      <c r="X300" s="175">
        <f>IF($W300=1,N($D300)*1E14+MIN(MAX(N($U300),0),9999)*1E10+MIN(N($K300),99999)*1E5+99999-MIN(ROW(),99999),"")</f>
        <v/>
      </c>
    </row>
    <row r="301" ht="65.5" customHeight="1">
      <c r="A301" s="160" t="n">
        <v>298</v>
      </c>
      <c r="B301" s="161" t="inlineStr">
        <is>
          <t>Mussolini's engineers drilled 361 holes under Pisa's foundations in 1934 to straighten it, making it lean more.</t>
        </is>
      </c>
      <c r="C301" s="184" t="inlineStr">
        <is>
          <t>Ground Improvement &amp; Innovation</t>
        </is>
      </c>
      <c r="D301" s="163" t="n">
        <v>5</v>
      </c>
      <c r="E301" s="164" t="inlineStr">
        <is>
          <t>Feature lead</t>
        </is>
      </c>
      <c r="F301" s="165" t="inlineStr">
        <is>
          <t>To review</t>
        </is>
      </c>
      <c r="G301" s="166" t="n"/>
      <c r="H301" s="167" t="n"/>
      <c r="I301" s="168" t="inlineStr">
        <is>
          <t>Why did drilling holes beneath Pisa's foundations to correct its tilt backfire, and what does this teach about controlled soil removal and differential settlement in stabilisation works?</t>
        </is>
      </c>
      <c r="J301" s="168" t="inlineStr">
        <is>
          <t>Sciencepost</t>
        </is>
      </c>
      <c r="K301" s="169" t="n">
        <v>46319</v>
      </c>
      <c r="L301" s="168" t="inlineStr">
        <is>
          <t>En perçant 361 trous dans ses fondations en 1934 pour la redresser, les ingénieurs de Mussolini ont littéralement fait pencher la tour de Pise encore plus</t>
        </is>
      </c>
      <c r="M301" s="168" t="n"/>
      <c r="N301" s="170" t="inlineStr">
        <is>
          <t>Italy</t>
        </is>
      </c>
      <c r="O301" s="168" t="inlineStr">
        <is>
          <t>Pisa</t>
        </is>
      </c>
      <c r="P301" s="168" t="n"/>
      <c r="Q301" s="171" t="inlineStr">
        <is>
          <t>Senegal</t>
        </is>
      </c>
      <c r="R301" s="169" t="n">
        <v>46319</v>
      </c>
      <c r="S301" s="170" t="inlineStr">
        <is>
          <t>2026-Q4</t>
        </is>
      </c>
      <c r="T301" s="172" t="inlineStr">
        <is>
          <t>foundation</t>
        </is>
      </c>
      <c r="U301" s="160" t="n">
        <v>2</v>
      </c>
      <c r="V301" s="173"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301" s="174">
        <f>IF($B301="",0,IF(AND(OR(OR(Dashboard!$B$5="All themes",Dashboard!$B$5=""),$C301=Dashboard!$B$5),OR(OR(Dashboard!$G$5="All uses",Dashboard!$G$5=""),$E301=Dashboard!$G$5),N($D301)&gt;=Lists!$H$2,OR(OR(Dashboard!$N$5="All windows",Dashboard!$N$5=""),$S301=Dashboard!$N$5)),1,0))</f>
        <v/>
      </c>
      <c r="X301" s="175">
        <f>IF($W301=1,N($D301)*1E14+MIN(MAX(N($U301),0),9999)*1E10+MIN(N($K301),99999)*1E5+99999-MIN(ROW(),99999),"")</f>
        <v/>
      </c>
    </row>
    <row r="302" ht="65.5" customHeight="1">
      <c r="A302" s="160" t="n">
        <v>299</v>
      </c>
      <c r="B302" s="161" t="inlineStr">
        <is>
          <t>Serious landslides in South Gia Nghia</t>
        </is>
      </c>
      <c r="C302" s="162" t="inlineStr">
        <is>
          <t>Hazards &amp; Resilience</t>
        </is>
      </c>
      <c r="D302" s="163" t="n">
        <v>5</v>
      </c>
      <c r="E302" s="164" t="inlineStr">
        <is>
          <t>Feature lead</t>
        </is>
      </c>
      <c r="F302" s="165" t="inlineStr">
        <is>
          <t>To review</t>
        </is>
      </c>
      <c r="G302" s="166" t="n"/>
      <c r="H302" s="167" t="n"/>
      <c r="I302" s="168" t="inlineStr">
        <is>
          <t>What rainfall and slope geometry triggered this serious landslide in Nam Gia Nghia, and how should weathered residual soils on such slopes be investigated and stabilised?</t>
        </is>
      </c>
      <c r="J302" s="168" t="inlineStr">
        <is>
          <t>Vietnam.vn</t>
        </is>
      </c>
      <c r="K302" s="169" t="n">
        <v>46319</v>
      </c>
      <c r="L302" s="168" t="inlineStr">
        <is>
          <t>Sụt trượt đất nghiêm trọng ở Nam Gia Nghĩa</t>
        </is>
      </c>
      <c r="M302" s="168" t="n"/>
      <c r="N302" s="170" t="inlineStr">
        <is>
          <t>Vietnam</t>
        </is>
      </c>
      <c r="O302" s="168" t="inlineStr">
        <is>
          <t>Nam Gia Nghia, Dak Nong</t>
        </is>
      </c>
      <c r="P302" s="168" t="n"/>
      <c r="Q302" s="171" t="inlineStr">
        <is>
          <t>Vietnam</t>
        </is>
      </c>
      <c r="R302" s="169" t="n">
        <v>46317</v>
      </c>
      <c r="S302" s="170" t="inlineStr">
        <is>
          <t>2026-Q4</t>
        </is>
      </c>
      <c r="T302" s="172" t="n"/>
      <c r="U302" s="160" t="n">
        <v>0</v>
      </c>
      <c r="V302" s="173" t="inlineStr">
        <is>
          <t>https://news.google.com/rss/articles/CBMic0FVX3lxTE1zSGZTbjJtMlg2SGZxUUtTSjJMZVdlSUkxSjZBeEV1WExBUUh4ZjdOZWIzcGRHczE1dVZiOWgyQUxTdkZWOEJfM0Y1dk1mcGpKekl0dGR4VE1YRVhoYTFjV09IZGQ3dUNQcl9BSlN0QzhUSkE?oc=5</t>
        </is>
      </c>
      <c r="W302" s="174">
        <f>IF($B302="",0,IF(AND(OR(OR(Dashboard!$B$5="All themes",Dashboard!$B$5=""),$C302=Dashboard!$B$5),OR(OR(Dashboard!$G$5="All uses",Dashboard!$G$5=""),$E302=Dashboard!$G$5),N($D302)&gt;=Lists!$H$2,OR(OR(Dashboard!$N$5="All windows",Dashboard!$N$5=""),$S302=Dashboard!$N$5)),1,0))</f>
        <v/>
      </c>
      <c r="X302" s="175">
        <f>IF($W302=1,N($D302)*1E14+MIN(MAX(N($U302),0),9999)*1E10+MIN(N($K302),99999)*1E5+99999-MIN(ROW(),99999),"")</f>
        <v/>
      </c>
    </row>
    <row r="303" ht="53" customHeight="1">
      <c r="A303" s="160" t="n">
        <v>300</v>
      </c>
      <c r="B303" s="161" t="inlineStr">
        <is>
          <t>Automatic segmentation of rock mass fracture networks from UAV imagery using cross-domain transfer learning under scarce labels.</t>
        </is>
      </c>
      <c r="C303" s="181" t="inlineStr">
        <is>
          <t>Digital Geotechnics</t>
        </is>
      </c>
      <c r="D303" s="163" t="n">
        <v>5</v>
      </c>
      <c r="E303" s="182" t="inlineStr">
        <is>
          <t>Academia-to-Industry topic</t>
        </is>
      </c>
      <c r="F303" s="165" t="inlineStr">
        <is>
          <t>To review</t>
        </is>
      </c>
      <c r="G303" s="166" t="n"/>
      <c r="H303" s="167" t="n"/>
      <c r="I303" s="168" t="inlineStr">
        <is>
          <t>Can transfer learning from related image domains reliably segment rock fracture networks in UAV imagery when labelled data are scarce, and how accurate are the results?</t>
        </is>
      </c>
      <c r="J303" s="168" t="inlineStr">
        <is>
          <t>生物通</t>
        </is>
      </c>
      <c r="K303" s="169" t="n">
        <v>46319</v>
      </c>
      <c r="L303" s="168" t="inlineStr">
        <is>
          <t>标签稀缺条件下基于跨域迁移学习的无人机岩体裂隙网络自动分割方法</t>
        </is>
      </c>
      <c r="M303" s="168" t="n"/>
      <c r="N303" s="170" t="n"/>
      <c r="O303" s="168" t="n"/>
      <c r="P303" s="168" t="n"/>
      <c r="Q303" s="171" t="inlineStr">
        <is>
          <t>China</t>
        </is>
      </c>
      <c r="R303" s="169" t="n">
        <v>46318</v>
      </c>
      <c r="S303" s="170" t="inlineStr">
        <is>
          <t>2026-Q4</t>
        </is>
      </c>
      <c r="T303" s="172" t="n"/>
      <c r="U303" s="160" t="n">
        <v>0</v>
      </c>
      <c r="V303" s="173" t="inlineStr">
        <is>
          <t>https://news.google.com/rss/articles/CBMibkFVX3lxTE8wdVhYVXYyQ3RwMHAtOTNnUkh5TnhCcEtVem9XenhDMFo2UVFHbWtIaGIzVHhLb1BFQmd2akRLZkFMd1pQNWJDRElESUY1SUdvLWFfd1ZaUW5tZ0ZFcmIxckZxbXg1Z1RrbXI5V0Zn?oc=5</t>
        </is>
      </c>
      <c r="W303" s="174">
        <f>IF($B303="",0,IF(AND(OR(OR(Dashboard!$B$5="All themes",Dashboard!$B$5=""),$C303=Dashboard!$B$5),OR(OR(Dashboard!$G$5="All uses",Dashboard!$G$5=""),$E303=Dashboard!$G$5),N($D303)&gt;=Lists!$H$2,OR(OR(Dashboard!$N$5="All windows",Dashboard!$N$5=""),$S303=Dashboard!$N$5)),1,0))</f>
        <v/>
      </c>
      <c r="X303" s="175">
        <f>IF($W303=1,N($D303)*1E14+MIN(MAX(N($U303),0),9999)*1E10+MIN(N($K303),99999)*1E5+99999-MIN(ROW(),99999),"")</f>
        <v/>
      </c>
    </row>
    <row r="304" ht="53" customHeight="1">
      <c r="A304" s="160" t="n">
        <v>301</v>
      </c>
      <c r="B304" s="161" t="inlineStr">
        <is>
          <t>M4 landslip work begins as part of wider repair programme</t>
        </is>
      </c>
      <c r="C304" s="162" t="inlineStr">
        <is>
          <t>Hazards &amp; Resilience</t>
        </is>
      </c>
      <c r="D304" s="163" t="n">
        <v>4</v>
      </c>
      <c r="E304" s="164" t="inlineStr">
        <is>
          <t>Feature lead</t>
        </is>
      </c>
      <c r="F304" s="165" t="inlineStr">
        <is>
          <t>To review</t>
        </is>
      </c>
      <c r="G304" s="166" t="n"/>
      <c r="H304" s="167" t="n"/>
      <c r="I304" s="168" t="inlineStr">
        <is>
          <t>How should engineers diagnose and stabilise a landslipped motorway embankment, and what drainage and monitoring measures prevent recurrence?</t>
        </is>
      </c>
      <c r="J304" s="168" t="inlineStr">
        <is>
          <t>Ground Engineering</t>
        </is>
      </c>
      <c r="K304" s="169" t="n">
        <v>46319</v>
      </c>
      <c r="L304" s="168" t="n"/>
      <c r="M304" s="168" t="n"/>
      <c r="N304" s="170" t="inlineStr">
        <is>
          <t>United Kingdom</t>
        </is>
      </c>
      <c r="O304" s="168" t="inlineStr">
        <is>
          <t>M4 Wiltshire</t>
        </is>
      </c>
      <c r="P304" s="168" t="n"/>
      <c r="Q304" s="171" t="n"/>
      <c r="R304" s="169" t="n">
        <v>46318</v>
      </c>
      <c r="S304" s="170" t="inlineStr">
        <is>
          <t>2026-Q4</t>
        </is>
      </c>
      <c r="T304" s="172" t="inlineStr">
        <is>
          <t>landslide, landslip, embankment</t>
        </is>
      </c>
      <c r="U304" s="160" t="n">
        <v>14</v>
      </c>
      <c r="V304" s="173" t="inlineStr">
        <is>
          <t>https://www.geplus.co.uk/news/project-news/m4-landslip-work-begins-as-part-of-wider-repair-programme-23-10-2026/</t>
        </is>
      </c>
      <c r="W304" s="174">
        <f>IF($B304="",0,IF(AND(OR(OR(Dashboard!$B$5="All themes",Dashboard!$B$5=""),$C304=Dashboard!$B$5),OR(OR(Dashboard!$G$5="All uses",Dashboard!$G$5=""),$E304=Dashboard!$G$5),N($D304)&gt;=Lists!$H$2,OR(OR(Dashboard!$N$5="All windows",Dashboard!$N$5=""),$S304=Dashboard!$N$5)),1,0))</f>
        <v/>
      </c>
      <c r="X304" s="175">
        <f>IF($W304=1,N($D304)*1E14+MIN(MAX(N($U304),0),9999)*1E10+MIN(N($K304),99999)*1E5+99999-MIN(ROW(),99999),"")</f>
        <v/>
      </c>
    </row>
    <row r="305" ht="53" customHeight="1">
      <c r="A305" s="160" t="n">
        <v>302</v>
      </c>
      <c r="B305" s="161" t="inlineStr">
        <is>
          <t>Landslide-prevention embankment threatens residential area</t>
        </is>
      </c>
      <c r="C305" s="162" t="inlineStr">
        <is>
          <t>Hazards &amp; Resilience</t>
        </is>
      </c>
      <c r="D305" s="163" t="n">
        <v>4</v>
      </c>
      <c r="E305" s="164" t="inlineStr">
        <is>
          <t>Feature lead</t>
        </is>
      </c>
      <c r="F305" s="165" t="inlineStr">
        <is>
          <t>To review</t>
        </is>
      </c>
      <c r="G305" s="166" t="n"/>
      <c r="H305" s="167" t="n"/>
      <c r="I305" s="168" t="inlineStr">
        <is>
          <t>Can retaining and protective embankments be designed to resist landslide loading from upslope slopes beside settlements, and how should such risk be assessed?</t>
        </is>
      </c>
      <c r="J305" s="168" t="inlineStr">
        <is>
          <t>Vietnam.vn</t>
        </is>
      </c>
      <c r="K305" s="169" t="n">
        <v>46319</v>
      </c>
      <c r="L305" s="168" t="inlineStr">
        <is>
          <t>Tanggul pencegah tanah longsor 'mengancam' kawasan permukiman.</t>
        </is>
      </c>
      <c r="M305" s="168" t="n"/>
      <c r="N305" s="170" t="inlineStr">
        <is>
          <t>Indonesia</t>
        </is>
      </c>
      <c r="O305" s="168" t="n"/>
      <c r="P305" s="168" t="n"/>
      <c r="Q305" s="171" t="inlineStr">
        <is>
          <t>Indonesia</t>
        </is>
      </c>
      <c r="R305" s="169" t="n">
        <v>46318</v>
      </c>
      <c r="S305" s="170" t="inlineStr">
        <is>
          <t>2026-Q4</t>
        </is>
      </c>
      <c r="T305" s="172" t="inlineStr">
        <is>
          <t>landslide, embankment</t>
        </is>
      </c>
      <c r="U305" s="160" t="n">
        <v>13</v>
      </c>
      <c r="V305" s="173" t="inlineStr">
        <is>
          <t>https://news.google.com/rss/articles/CBMia0FVX3lxTE45UVhrbTdIV2NXaVloOTBleGdWeThGbHNoSTJtMTE3cFlfalpoYVBnUEFoUVRJQUp5Z2pVOEZvaGZzRUtjRWtOMzY3Wll0RHJOUTB6c0JYdGEzOXk2VXltZUFkc3RURDBUYUg4?oc=5</t>
        </is>
      </c>
      <c r="W305" s="174">
        <f>IF($B305="",0,IF(AND(OR(OR(Dashboard!$B$5="All themes",Dashboard!$B$5=""),$C305=Dashboard!$B$5),OR(OR(Dashboard!$G$5="All uses",Dashboard!$G$5=""),$E305=Dashboard!$G$5),N($D305)&gt;=Lists!$H$2,OR(OR(Dashboard!$N$5="All windows",Dashboard!$N$5=""),$S305=Dashboard!$N$5)),1,0))</f>
        <v/>
      </c>
      <c r="X305" s="175">
        <f>IF($W305=1,N($D305)*1E14+MIN(MAX(N($U305),0),9999)*1E10+MIN(N($K305),99999)*1E5+99999-MIN(ROW(),99999),"")</f>
        <v/>
      </c>
    </row>
    <row r="306" ht="53" customHeight="1">
      <c r="A306" s="160" t="n">
        <v>303</v>
      </c>
      <c r="B306" s="161" t="inlineStr">
        <is>
          <t>Storms in Liguria, major landslide in Savona: the collapse destroyed a city road</t>
        </is>
      </c>
      <c r="C306" s="162" t="inlineStr">
        <is>
          <t>Hazards &amp; Resilience</t>
        </is>
      </c>
      <c r="D306" s="163" t="n">
        <v>4</v>
      </c>
      <c r="E306" s="177" t="inlineStr">
        <is>
          <t>News brief</t>
        </is>
      </c>
      <c r="F306" s="165" t="inlineStr">
        <is>
          <t>To review</t>
        </is>
      </c>
      <c r="G306" s="166" t="n"/>
      <c r="H306" s="167" t="n"/>
      <c r="I306" s="168" t="inlineStr">
        <is>
          <t>What triggered this large rock or soil slope failure in Savona during heavy rain, and what does the collapse reveal about slope stability in Liguria?</t>
        </is>
      </c>
      <c r="J306" s="168" t="inlineStr">
        <is>
          <t>agenzia giornalistica opinione</t>
        </is>
      </c>
      <c r="K306" s="169" t="n">
        <v>46319</v>
      </c>
      <c r="L306" s="168" t="inlineStr">
        <is>
          <t>RAINEWS * CRONACA: «MALTEMPO IN LIGURIA, GRANDE FRANA A SAVONA: IL CROLLO HA DISTRUTTO UNA STRADA CITTADINA</t>
        </is>
      </c>
      <c r="M306" s="168" t="n"/>
      <c r="N306" s="170" t="inlineStr">
        <is>
          <t>Italy</t>
        </is>
      </c>
      <c r="O306" s="168" t="inlineStr">
        <is>
          <t>Savona, Liguria</t>
        </is>
      </c>
      <c r="P306" s="168" t="n"/>
      <c r="Q306" s="171" t="inlineStr">
        <is>
          <t>Italy</t>
        </is>
      </c>
      <c r="R306" s="169" t="n">
        <v>46317</v>
      </c>
      <c r="S306" s="170" t="inlineStr">
        <is>
          <t>2026-Q4</t>
        </is>
      </c>
      <c r="T306" s="172" t="inlineStr">
        <is>
          <t>landslide, collapse</t>
        </is>
      </c>
      <c r="U306" s="160" t="n">
        <v>11</v>
      </c>
      <c r="V306" s="173"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306" s="174">
        <f>IF($B306="",0,IF(AND(OR(OR(Dashboard!$B$5="All themes",Dashboard!$B$5=""),$C306=Dashboard!$B$5),OR(OR(Dashboard!$G$5="All uses",Dashboard!$G$5=""),$E306=Dashboard!$G$5),N($D306)&gt;=Lists!$H$2,OR(OR(Dashboard!$N$5="All windows",Dashboard!$N$5=""),$S306=Dashboard!$N$5)),1,0))</f>
        <v/>
      </c>
      <c r="X306" s="175">
        <f>IF($W306=1,N($D306)*1E14+MIN(MAX(N($U306),0),9999)*1E10+MIN(N($K306),99999)*1E5+99999-MIN(ROW(),99999),"")</f>
        <v/>
      </c>
    </row>
    <row r="307" ht="65.5" customHeight="1">
      <c r="A307" s="160" t="n">
        <v>304</v>
      </c>
      <c r="B307" s="161" t="inlineStr">
        <is>
          <t>At Khanh Le pass, traffic will be interrupted at 30-minute intervals to deal with landslides; road users should plan accordingly</t>
        </is>
      </c>
      <c r="C307" s="162" t="inlineStr">
        <is>
          <t>Hazards &amp; Resilience</t>
        </is>
      </c>
      <c r="D307" s="163" t="n">
        <v>4</v>
      </c>
      <c r="E307" s="164" t="inlineStr">
        <is>
          <t>Feature lead</t>
        </is>
      </c>
      <c r="F307" s="165" t="inlineStr">
        <is>
          <t>To review</t>
        </is>
      </c>
      <c r="G307" s="166" t="n"/>
      <c r="H307" s="167" t="n"/>
      <c r="I307" s="168" t="inlineStr">
        <is>
          <t>How should traffic management and monitoring be combined with slope stabilisation on mountain passes subject to recurrent landslides?</t>
        </is>
      </c>
      <c r="J307" s="168" t="inlineStr">
        <is>
          <t>Vietnam.vn</t>
        </is>
      </c>
      <c r="K307" s="169" t="n">
        <v>46319</v>
      </c>
      <c r="L307" s="168" t="inlineStr">
        <is>
          <t>En el paso de Khanh Le, el tráfico se interrumpirá a intervalos de 30 minutos para hacer frente a los deslizamientos de tierra; los usuarios de la carretera deben tenerlo en cuenta.</t>
        </is>
      </c>
      <c r="M307" s="168" t="n"/>
      <c r="N307" s="170" t="inlineStr">
        <is>
          <t>Vietnam</t>
        </is>
      </c>
      <c r="O307" s="168" t="inlineStr">
        <is>
          <t>Khanh Le pass</t>
        </is>
      </c>
      <c r="P307" s="168" t="n"/>
      <c r="Q307" s="171" t="inlineStr">
        <is>
          <t>Spain</t>
        </is>
      </c>
      <c r="R307" s="169" t="n">
        <v>46319</v>
      </c>
      <c r="S307" s="170" t="inlineStr">
        <is>
          <t>2026-Q4</t>
        </is>
      </c>
      <c r="T307" s="172" t="inlineStr">
        <is>
          <t>landslide</t>
        </is>
      </c>
      <c r="U307" s="160" t="n">
        <v>10</v>
      </c>
      <c r="V307" s="173"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307" s="174">
        <f>IF($B307="",0,IF(AND(OR(OR(Dashboard!$B$5="All themes",Dashboard!$B$5=""),$C307=Dashboard!$B$5),OR(OR(Dashboard!$G$5="All uses",Dashboard!$G$5=""),$E307=Dashboard!$G$5),N($D307)&gt;=Lists!$H$2,OR(OR(Dashboard!$N$5="All windows",Dashboard!$N$5=""),$S307=Dashboard!$N$5)),1,0))</f>
        <v/>
      </c>
      <c r="X307" s="175">
        <f>IF($W307=1,N($D307)*1E14+MIN(MAX(N($U307),0),9999)*1E10+MIN(N($K307),99999)*1E5+99999-MIN(ROW(),99999),"")</f>
        <v/>
      </c>
    </row>
    <row r="308" ht="53" customHeight="1">
      <c r="A308" s="160" t="n">
        <v>305</v>
      </c>
      <c r="B308" s="161" t="inlineStr">
        <is>
          <t>Valmontone, bad weather: tuff slope collapses onto Prenestina road, road partially closed</t>
        </is>
      </c>
      <c r="C308" s="162" t="inlineStr">
        <is>
          <t>Hazards &amp; Resilience</t>
        </is>
      </c>
      <c r="D308" s="163" t="n">
        <v>4</v>
      </c>
      <c r="E308" s="177" t="inlineStr">
        <is>
          <t>News brief</t>
        </is>
      </c>
      <c r="F308" s="165" t="inlineStr">
        <is>
          <t>To review</t>
        </is>
      </c>
      <c r="G308" s="166" t="n"/>
      <c r="H308" s="167" t="n"/>
      <c r="I308" s="168" t="inlineStr">
        <is>
          <t>What causes tuff cliff collapse in volcanic deposits under rainfall, and how can such slopes be assessed and stabilised near roads?</t>
        </is>
      </c>
      <c r="J308" s="168" t="inlineStr">
        <is>
          <t>Il Giornale dei Castelli Romani</t>
        </is>
      </c>
      <c r="K308" s="169" t="n">
        <v>46319</v>
      </c>
      <c r="L308" s="168" t="inlineStr">
        <is>
          <t>Valmontone, maltempo: frana costone di tufo sulla via Prenestina, strada parzialmente chiusa</t>
        </is>
      </c>
      <c r="M308" s="168" t="n"/>
      <c r="N308" s="170" t="inlineStr">
        <is>
          <t>Italy</t>
        </is>
      </c>
      <c r="O308" s="168" t="inlineStr">
        <is>
          <t>Valmontone, Prenestina road</t>
        </is>
      </c>
      <c r="P308" s="168" t="n"/>
      <c r="Q308" s="171" t="inlineStr">
        <is>
          <t>Italy</t>
        </is>
      </c>
      <c r="R308" s="169" t="n">
        <v>46319</v>
      </c>
      <c r="S308" s="170" t="inlineStr">
        <is>
          <t>2026-Q4</t>
        </is>
      </c>
      <c r="T308" s="172" t="inlineStr">
        <is>
          <t>landslide</t>
        </is>
      </c>
      <c r="U308" s="160" t="n">
        <v>10</v>
      </c>
      <c r="V308" s="173"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308" s="174">
        <f>IF($B308="",0,IF(AND(OR(OR(Dashboard!$B$5="All themes",Dashboard!$B$5=""),$C308=Dashboard!$B$5),OR(OR(Dashboard!$G$5="All uses",Dashboard!$G$5=""),$E308=Dashboard!$G$5),N($D308)&gt;=Lists!$H$2,OR(OR(Dashboard!$N$5="All windows",Dashboard!$N$5=""),$S308=Dashboard!$N$5)),1,0))</f>
        <v/>
      </c>
      <c r="X308" s="175">
        <f>IF($W308=1,N($D308)*1E14+MIN(MAX(N($U308),0),9999)*1E10+MIN(N($K308),99999)*1E5+99999-MIN(ROW(),99999),"")</f>
        <v/>
      </c>
    </row>
    <row r="309" ht="53" customHeight="1">
      <c r="A309" s="160" t="n">
        <v>306</v>
      </c>
      <c r="B309" s="161" t="inlineStr">
        <is>
          <t>Bonea, landslide in Capo locality: mayor closes three roads by urgent order</t>
        </is>
      </c>
      <c r="C309" s="162" t="inlineStr">
        <is>
          <t>Hazards &amp; Resilience</t>
        </is>
      </c>
      <c r="D309" s="163" t="n">
        <v>4</v>
      </c>
      <c r="E309" s="177" t="inlineStr">
        <is>
          <t>News brief</t>
        </is>
      </c>
      <c r="F309" s="165" t="inlineStr">
        <is>
          <t>To review</t>
        </is>
      </c>
      <c r="G309" s="166" t="n"/>
      <c r="H309" s="167" t="n"/>
      <c r="I309" s="168" t="inlineStr">
        <is>
          <t>What ground investigation would confirm the landslide mechanism at Capo locality and guide safe reopening of the three closed roads?</t>
        </is>
      </c>
      <c r="J309" s="168" t="inlineStr">
        <is>
          <t>Tv7 Benevento</t>
        </is>
      </c>
      <c r="K309" s="169" t="n">
        <v>46319</v>
      </c>
      <c r="L309" s="168" t="inlineStr">
        <is>
          <t>BONEA, FRANA IN LOCALITÀ CAPO: IL SINDACO CHIUDE TRE STRADE CON ORDINANZA URGENTE</t>
        </is>
      </c>
      <c r="M309" s="168" t="n"/>
      <c r="N309" s="170" t="inlineStr">
        <is>
          <t>Italy</t>
        </is>
      </c>
      <c r="O309" s="168" t="inlineStr">
        <is>
          <t>Bonea, Capo locality</t>
        </is>
      </c>
      <c r="P309" s="168" t="n"/>
      <c r="Q309" s="171" t="inlineStr">
        <is>
          <t>Italy</t>
        </is>
      </c>
      <c r="R309" s="169" t="n">
        <v>46319</v>
      </c>
      <c r="S309" s="170" t="inlineStr">
        <is>
          <t>2026-Q4</t>
        </is>
      </c>
      <c r="T309" s="172" t="inlineStr">
        <is>
          <t>landslide</t>
        </is>
      </c>
      <c r="U309" s="160" t="n">
        <v>10</v>
      </c>
      <c r="V309" s="173"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309" s="174">
        <f>IF($B309="",0,IF(AND(OR(OR(Dashboard!$B$5="All themes",Dashboard!$B$5=""),$C309=Dashboard!$B$5),OR(OR(Dashboard!$G$5="All uses",Dashboard!$G$5=""),$E309=Dashboard!$G$5),N($D309)&gt;=Lists!$H$2,OR(OR(Dashboard!$N$5="All windows",Dashboard!$N$5=""),$S309=Dashboard!$N$5)),1,0))</f>
        <v/>
      </c>
      <c r="X309" s="175">
        <f>IF($W309=1,N($D309)*1E14+MIN(MAX(N($U309),0),9999)*1E10+MIN(N($K309),99999)*1E5+99999-MIN(ROW(),99999),"")</f>
        <v/>
      </c>
    </row>
    <row r="310" ht="53" customHeight="1">
      <c r="A310" s="160" t="n">
        <v>307</v>
      </c>
      <c r="B310" s="161" t="inlineStr">
        <is>
          <t>The Cencione landslide: amid mud and controversy, bulldozers are at work</t>
        </is>
      </c>
      <c r="C310" s="162" t="inlineStr">
        <is>
          <t>Hazards &amp; Resilience</t>
        </is>
      </c>
      <c r="D310" s="163" t="n">
        <v>4</v>
      </c>
      <c r="E310" s="164" t="inlineStr">
        <is>
          <t>Feature lead</t>
        </is>
      </c>
      <c r="F310" s="165" t="inlineStr">
        <is>
          <t>To review</t>
        </is>
      </c>
      <c r="G310" s="166" t="n"/>
      <c r="H310" s="167" t="n"/>
      <c r="I310" s="168" t="inlineStr">
        <is>
          <t>How should authorities balance urgent earthworks with geotechnical investigation and accountability when a landslide site becomes politically contested?</t>
        </is>
      </c>
      <c r="J310" s="168" t="inlineStr">
        <is>
          <t>Zazoom Social News</t>
        </is>
      </c>
      <c r="K310" s="169" t="n">
        <v>46319</v>
      </c>
      <c r="L310" s="168" t="inlineStr">
        <is>
          <t>La frana del Cencione Tra fango e polemiche Le ruspe sono al lavoro</t>
        </is>
      </c>
      <c r="M310" s="168" t="n"/>
      <c r="N310" s="170" t="inlineStr">
        <is>
          <t>Italy</t>
        </is>
      </c>
      <c r="O310" s="168" t="inlineStr">
        <is>
          <t>Cencione</t>
        </is>
      </c>
      <c r="P310" s="168" t="n"/>
      <c r="Q310" s="171" t="inlineStr">
        <is>
          <t>Italy</t>
        </is>
      </c>
      <c r="R310" s="169" t="n">
        <v>46318</v>
      </c>
      <c r="S310" s="170" t="inlineStr">
        <is>
          <t>2026-Q4</t>
        </is>
      </c>
      <c r="T310" s="172" t="inlineStr">
        <is>
          <t>landslide</t>
        </is>
      </c>
      <c r="U310" s="160" t="n">
        <v>10</v>
      </c>
      <c r="V310" s="173"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310" s="174">
        <f>IF($B310="",0,IF(AND(OR(OR(Dashboard!$B$5="All themes",Dashboard!$B$5=""),$C310=Dashboard!$B$5),OR(OR(Dashboard!$G$5="All uses",Dashboard!$G$5=""),$E310=Dashboard!$G$5),N($D310)&gt;=Lists!$H$2,OR(OR(Dashboard!$N$5="All windows",Dashboard!$N$5=""),$S310=Dashboard!$N$5)),1,0))</f>
        <v/>
      </c>
      <c r="X310" s="175">
        <f>IF($W310=1,N($D310)*1E14+MIN(MAX(N($U310),0),9999)*1E10+MIN(N($K310),99999)*1E5+99999-MIN(ROW(),99999),"")</f>
        <v/>
      </c>
    </row>
    <row r="311" ht="40.5" customHeight="1">
      <c r="A311" s="160" t="n">
        <v>308</v>
      </c>
      <c r="B311" s="161" t="inlineStr">
        <is>
          <t>TNI helps landslide victims in Lae Ikan, Subulussalam</t>
        </is>
      </c>
      <c r="C311" s="162" t="inlineStr">
        <is>
          <t>Hazards &amp; Resilience</t>
        </is>
      </c>
      <c r="D311" s="163" t="n">
        <v>4</v>
      </c>
      <c r="E311" s="177" t="inlineStr">
        <is>
          <t>News brief</t>
        </is>
      </c>
      <c r="F311" s="165" t="inlineStr">
        <is>
          <t>To review</t>
        </is>
      </c>
      <c r="G311" s="166" t="n"/>
      <c r="H311" s="167" t="n"/>
      <c r="I311" s="168" t="inlineStr">
        <is>
          <t>What role can emergency response and rapid geotechnical assessment play after a landslide in a mountainous Indonesian village?</t>
        </is>
      </c>
      <c r="J311" s="168" t="inlineStr">
        <is>
          <t>RRI.co.id</t>
        </is>
      </c>
      <c r="K311" s="169" t="n">
        <v>46319</v>
      </c>
      <c r="L311" s="168" t="inlineStr">
        <is>
          <t>TNI Bantu Korban Longsor di Lae Ikan Subulussalam</t>
        </is>
      </c>
      <c r="M311" s="168" t="n"/>
      <c r="N311" s="170" t="inlineStr">
        <is>
          <t>Indonesia</t>
        </is>
      </c>
      <c r="O311" s="168" t="inlineStr">
        <is>
          <t>Lae Ikan, Subulussalam</t>
        </is>
      </c>
      <c r="P311" s="168" t="n"/>
      <c r="Q311" s="171" t="inlineStr">
        <is>
          <t>Indonesia</t>
        </is>
      </c>
      <c r="R311" s="169" t="n">
        <v>46319</v>
      </c>
      <c r="S311" s="170" t="inlineStr">
        <is>
          <t>2026-Q4</t>
        </is>
      </c>
      <c r="T311" s="172" t="inlineStr">
        <is>
          <t>landslide</t>
        </is>
      </c>
      <c r="U311" s="160" t="n">
        <v>10</v>
      </c>
      <c r="V311" s="173"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311" s="174">
        <f>IF($B311="",0,IF(AND(OR(OR(Dashboard!$B$5="All themes",Dashboard!$B$5=""),$C311=Dashboard!$B$5),OR(OR(Dashboard!$G$5="All uses",Dashboard!$G$5=""),$E311=Dashboard!$G$5),N($D311)&gt;=Lists!$H$2,OR(OR(Dashboard!$N$5="All windows",Dashboard!$N$5=""),$S311=Dashboard!$N$5)),1,0))</f>
        <v/>
      </c>
      <c r="X311" s="175">
        <f>IF($W311=1,N($D311)*1E14+MIN(MAX(N($U311),0),9999)*1E10+MIN(N($K311),99999)*1E5+99999-MIN(ROW(),99999),"")</f>
        <v/>
      </c>
    </row>
    <row r="312" ht="53" customHeight="1">
      <c r="A312" s="160" t="n">
        <v>309</v>
      </c>
      <c r="B312" s="161" t="inlineStr">
        <is>
          <t>Intense rains cause alluvion in rural sector of Concepción: residents fear new landslides</t>
        </is>
      </c>
      <c r="C312" s="162" t="inlineStr">
        <is>
          <t>Hazards &amp; Resilience</t>
        </is>
      </c>
      <c r="D312" s="163" t="n">
        <v>4</v>
      </c>
      <c r="E312" s="164" t="inlineStr">
        <is>
          <t>Feature lead</t>
        </is>
      </c>
      <c r="F312" s="165" t="inlineStr">
        <is>
          <t>To review</t>
        </is>
      </c>
      <c r="G312" s="166" t="n"/>
      <c r="H312" s="167" t="n"/>
      <c r="I312" s="168" t="inlineStr">
        <is>
          <t>What triggered the rain-induced debris flow and slope failure in this rural hillside, and how can residents' risk of further slides be assessed?</t>
        </is>
      </c>
      <c r="J312" s="168" t="inlineStr">
        <is>
          <t>Meganoticias</t>
        </is>
      </c>
      <c r="K312" s="169" t="n">
        <v>46319</v>
      </c>
      <c r="L312" s="168" t="inlineStr">
        <is>
          <t>Intensas lluvias provocan aluvión en sector rural de Concepción: Vecinos temen nuevos deslizamientos</t>
        </is>
      </c>
      <c r="M312" s="168" t="n"/>
      <c r="N312" s="170" t="inlineStr">
        <is>
          <t>Chile</t>
        </is>
      </c>
      <c r="O312" s="168" t="inlineStr">
        <is>
          <t>Concepción</t>
        </is>
      </c>
      <c r="P312" s="168" t="n"/>
      <c r="Q312" s="171" t="inlineStr">
        <is>
          <t>Chile</t>
        </is>
      </c>
      <c r="R312" s="169" t="n">
        <v>46317</v>
      </c>
      <c r="S312" s="170" t="inlineStr">
        <is>
          <t>2026-Q4</t>
        </is>
      </c>
      <c r="T312" s="172" t="inlineStr">
        <is>
          <t>landslide, debris flow</t>
        </is>
      </c>
      <c r="U312" s="160" t="n">
        <v>8</v>
      </c>
      <c r="V312" s="173"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312" s="174">
        <f>IF($B312="",0,IF(AND(OR(OR(Dashboard!$B$5="All themes",Dashboard!$B$5=""),$C312=Dashboard!$B$5),OR(OR(Dashboard!$G$5="All uses",Dashboard!$G$5=""),$E312=Dashboard!$G$5),N($D312)&gt;=Lists!$H$2,OR(OR(Dashboard!$N$5="All windows",Dashboard!$N$5=""),$S312=Dashboard!$N$5)),1,0))</f>
        <v/>
      </c>
      <c r="X312" s="175">
        <f>IF($W312=1,N($D312)*1E14+MIN(MAX(N($U312),0),9999)*1E10+MIN(N($K312),99999)*1E5+99999-MIN(ROW(),99999),"")</f>
        <v/>
      </c>
    </row>
    <row r="313" ht="53" customHeight="1">
      <c r="A313" s="160" t="n">
        <v>310</v>
      </c>
      <c r="B313" s="161" t="inlineStr">
        <is>
          <t>Rockfall onto houses in Chi Lang commune, Lang Son province</t>
        </is>
      </c>
      <c r="C313" s="162" t="inlineStr">
        <is>
          <t>Hazards &amp; Resilience</t>
        </is>
      </c>
      <c r="D313" s="163" t="n">
        <v>4</v>
      </c>
      <c r="E313" s="177" t="inlineStr">
        <is>
          <t>News brief</t>
        </is>
      </c>
      <c r="F313" s="165" t="inlineStr">
        <is>
          <t>To review</t>
        </is>
      </c>
      <c r="G313" s="166" t="n"/>
      <c r="H313" s="167" t="n"/>
      <c r="I313" s="168" t="inlineStr">
        <is>
          <t>What mechanisms cause rockfall onto houses below steep slopes, and how should hazard mitigation be designed for rural settlements?</t>
        </is>
      </c>
      <c r="J313" s="168" t="inlineStr">
        <is>
          <t>Baolangson.vn</t>
        </is>
      </c>
      <c r="K313" s="169" t="n">
        <v>46319</v>
      </c>
      <c r="L313" s="168" t="inlineStr">
        <is>
          <t>Sạt lở đá xuống nhà dân tại xã Chi Lăng - Báo và Phát thanh, Truyền hình Lạng Sơn</t>
        </is>
      </c>
      <c r="M313" s="168" t="n"/>
      <c r="N313" s="170" t="inlineStr">
        <is>
          <t>Vietnam</t>
        </is>
      </c>
      <c r="O313" s="168" t="inlineStr">
        <is>
          <t>Chi Lang commune, Lang Son</t>
        </is>
      </c>
      <c r="P313" s="168" t="n"/>
      <c r="Q313" s="171" t="inlineStr">
        <is>
          <t>Vietnam</t>
        </is>
      </c>
      <c r="R313" s="169" t="n">
        <v>46317</v>
      </c>
      <c r="S313" s="170" t="inlineStr">
        <is>
          <t>2026-Q4</t>
        </is>
      </c>
      <c r="T313" s="172" t="inlineStr">
        <is>
          <t>landslide, rockfall</t>
        </is>
      </c>
      <c r="U313" s="160" t="n">
        <v>8</v>
      </c>
      <c r="V313" s="173" t="inlineStr">
        <is>
          <t>https://news.google.com/rss/articles/CBMif0FVX3lxTE4zQm1aVUtwTUM2RWlZZXpKOEdDX0xZYk41cGNLaDNFNDNlQko2SGxxTmVtLVBBQm9VZkFIOFBmUE1PSE1KclNSUHNQMDhUTGRiWnE0R0ZPcDFFV3E4R3U4M19FZzI2akVUNFRvRkgwSkxuMkZpWmU4Tlh5WTNoQ2M?oc=5</t>
        </is>
      </c>
      <c r="W313" s="174">
        <f>IF($B313="",0,IF(AND(OR(OR(Dashboard!$B$5="All themes",Dashboard!$B$5=""),$C313=Dashboard!$B$5),OR(OR(Dashboard!$G$5="All uses",Dashboard!$G$5=""),$E313=Dashboard!$G$5),N($D313)&gt;=Lists!$H$2,OR(OR(Dashboard!$N$5="All windows",Dashboard!$N$5=""),$S313=Dashboard!$N$5)),1,0))</f>
        <v/>
      </c>
      <c r="X313" s="175">
        <f>IF($W313=1,N($D313)*1E14+MIN(MAX(N($U313),0),9999)*1E10+MIN(N($K313),99999)*1E5+99999-MIN(ROW(),99999),"")</f>
        <v/>
      </c>
    </row>
    <row r="314" ht="53" customHeight="1">
      <c r="A314" s="160" t="n">
        <v>311</v>
      </c>
      <c r="B314" s="161" t="inlineStr">
        <is>
          <t>Close-up of a 500-metre street section in Lam Dong province severely damaged by subsidence and landslides</t>
        </is>
      </c>
      <c r="C314" s="162" t="inlineStr">
        <is>
          <t>Hazards &amp; Resilience</t>
        </is>
      </c>
      <c r="D314" s="163" t="n">
        <v>4</v>
      </c>
      <c r="E314" s="183" t="inlineStr">
        <is>
          <t>Regional insight</t>
        </is>
      </c>
      <c r="F314" s="165" t="inlineStr">
        <is>
          <t>To review</t>
        </is>
      </c>
      <c r="G314" s="166" t="n"/>
      <c r="H314" s="167" t="n"/>
      <c r="I314" s="168" t="inlineStr">
        <is>
          <t>What combination of subsidence and landslide processes damaged this 500 m road, and how should such ground be investigated and repaired?</t>
        </is>
      </c>
      <c r="J314" s="168" t="inlineStr">
        <is>
          <t>Vietnam.vn</t>
        </is>
      </c>
      <c r="K314" s="169" t="n">
        <v>46319</v>
      </c>
      <c r="L314" s="168" t="inlineStr">
        <is>
          <t>Крупный план участка улицы длиной 500 метров в провинции Ламдонг, сильно пострадавшего от проседания грунта и оползней.</t>
        </is>
      </c>
      <c r="M314" s="168" t="n"/>
      <c r="N314" s="170" t="inlineStr">
        <is>
          <t>Vietnam</t>
        </is>
      </c>
      <c r="O314" s="168" t="inlineStr">
        <is>
          <t>Lam Dong province</t>
        </is>
      </c>
      <c r="P314" s="168" t="n"/>
      <c r="Q314" s="171" t="inlineStr">
        <is>
          <t>Russia</t>
        </is>
      </c>
      <c r="R314" s="169" t="n">
        <v>46317</v>
      </c>
      <c r="S314" s="170" t="inlineStr">
        <is>
          <t>2026-Q4</t>
        </is>
      </c>
      <c r="T314" s="172" t="inlineStr">
        <is>
          <t>landslide, subsidence, soil</t>
        </is>
      </c>
      <c r="U314" s="160" t="n">
        <v>8</v>
      </c>
      <c r="V314" s="173" t="inlineStr">
        <is>
          <t>https://news.google.com/rss/articles/CBMimwFBVV95cUxPLTkyck5DaWR1VmtTV3hIeXVJaWNDUnNpR1AzZDlLbVdzdC1kSmJfTjM3T000WGlLSWt5S2hfSzItS3Y5MkFJZWRZaktBTlNVVFFyRjNHRndpczhWYkdvNFBFY1MxbXA4VTRWWlpCeVdqTWFNbG9HTldyRlRwQkdUYVV2SDNBOGFRUU9WM3pIMG16RUZBWGttYTRmVQ?oc=5</t>
        </is>
      </c>
      <c r="W314" s="174">
        <f>IF($B314="",0,IF(AND(OR(OR(Dashboard!$B$5="All themes",Dashboard!$B$5=""),$C314=Dashboard!$B$5),OR(OR(Dashboard!$G$5="All uses",Dashboard!$G$5=""),$E314=Dashboard!$G$5),N($D314)&gt;=Lists!$H$2,OR(OR(Dashboard!$N$5="All windows",Dashboard!$N$5=""),$S314=Dashboard!$N$5)),1,0))</f>
        <v/>
      </c>
      <c r="X314" s="175">
        <f>IF($W314=1,N($D314)*1E14+MIN(MAX(N($U314),0),9999)*1E10+MIN(N($K314),99999)*1E5+99999-MIN(ROW(),99999),"")</f>
        <v/>
      </c>
    </row>
    <row r="315" ht="40.5" customHeight="1">
      <c r="A315" s="160" t="n">
        <v>312</v>
      </c>
      <c r="B315" s="161" t="inlineStr">
        <is>
          <t>Quang Tri: Severe coastal erosion threatens dikes, embankments, and people's lives.</t>
        </is>
      </c>
      <c r="C315" s="185" t="inlineStr">
        <is>
          <t>Offshore, Coasts &amp; Water</t>
        </is>
      </c>
      <c r="D315" s="163" t="n">
        <v>4</v>
      </c>
      <c r="E315" s="183" t="inlineStr">
        <is>
          <t>Regional insight</t>
        </is>
      </c>
      <c r="F315" s="165" t="inlineStr">
        <is>
          <t>To review</t>
        </is>
      </c>
      <c r="G315" s="166" t="n"/>
      <c r="H315" s="167" t="n"/>
      <c r="I315" s="168" t="inlineStr">
        <is>
          <t>What processes drive severe coastal erosion undermining dikes, and what protection measures suit such shorelines?</t>
        </is>
      </c>
      <c r="J315" s="168" t="inlineStr">
        <is>
          <t>Vietnam.vn</t>
        </is>
      </c>
      <c r="K315" s="169" t="n">
        <v>46319</v>
      </c>
      <c r="L315" s="168" t="n"/>
      <c r="M315" s="168" t="n"/>
      <c r="N315" s="170" t="inlineStr">
        <is>
          <t>Vietnam</t>
        </is>
      </c>
      <c r="O315" s="168" t="inlineStr">
        <is>
          <t>Quang Tri</t>
        </is>
      </c>
      <c r="P315" s="168" t="inlineStr">
        <is>
          <t>Quang Tri coastal erosion threatening dykes, Vietnam (Oct 2026) · Event · 2 reports</t>
        </is>
      </c>
      <c r="Q315" s="171" t="inlineStr">
        <is>
          <t>Vietnam</t>
        </is>
      </c>
      <c r="R315" s="169" t="n">
        <v>46318</v>
      </c>
      <c r="S315" s="170" t="inlineStr">
        <is>
          <t>2026-Q4</t>
        </is>
      </c>
      <c r="T315" s="172" t="inlineStr">
        <is>
          <t>embankment, dike, erosion</t>
        </is>
      </c>
      <c r="U315" s="160" t="n">
        <v>7</v>
      </c>
      <c r="V315" s="173" t="inlineStr">
        <is>
          <t>https://news.google.com/rss/articles/CBMingFBVV95cUxQS3doM1BoVjZsRlp4V0theDZtSFZUWEhySWJwSDIzUFpjV09lV201bzV0OFFuYVZrS1lJT3BXd2ZJNVpWbWpJbm5MSlpUb004MnlwRlJYMmV3bnpNWEZSc0pocTBxaWRHcHVYc3lPdmFESG85TUc5UkJ4YVljMWZPbmJzcWlXd25iTTRuQmNjNHg3U3BHalpHTUNTWE9nQQ?oc=5</t>
        </is>
      </c>
      <c r="W315" s="174">
        <f>IF($B315="",0,IF(AND(OR(OR(Dashboard!$B$5="All themes",Dashboard!$B$5=""),$C315=Dashboard!$B$5),OR(OR(Dashboard!$G$5="All uses",Dashboard!$G$5=""),$E315=Dashboard!$G$5),N($D315)&gt;=Lists!$H$2,OR(OR(Dashboard!$N$5="All windows",Dashboard!$N$5=""),$S315=Dashboard!$N$5)),1,0))</f>
        <v/>
      </c>
      <c r="X315" s="175">
        <f>IF($W315=1,N($D315)*1E14+MIN(MAX(N($U315),0),9999)*1E10+MIN(N($K315),99999)*1E5+99999-MIN(ROW(),99999),"")</f>
        <v/>
      </c>
    </row>
    <row r="316" ht="40.5" customHeight="1">
      <c r="A316" s="160" t="n">
        <v>313</v>
      </c>
      <c r="B316" s="161" t="inlineStr">
        <is>
          <t>Nghe An: urgent measures needed to prevent landslide on embankment along coastal road</t>
        </is>
      </c>
      <c r="C316" s="185" t="inlineStr">
        <is>
          <t>Offshore, Coasts &amp; Water</t>
        </is>
      </c>
      <c r="D316" s="163" t="n">
        <v>4</v>
      </c>
      <c r="E316" s="183" t="inlineStr">
        <is>
          <t>Regional insight</t>
        </is>
      </c>
      <c r="F316" s="165" t="inlineStr">
        <is>
          <t>To review</t>
        </is>
      </c>
      <c r="G316" s="166" t="n"/>
      <c r="H316" s="167" t="n"/>
      <c r="I316" s="168" t="inlineStr">
        <is>
          <t>What urgent stabilisation options suit a failing embankment on a coastal road, and how should slope failure risk be assessed?</t>
        </is>
      </c>
      <c r="J316" s="168" t="inlineStr">
        <is>
          <t>Vietnam.vn</t>
        </is>
      </c>
      <c r="K316" s="169" t="n">
        <v>46319</v>
      </c>
      <c r="L316" s="168" t="inlineStr">
        <is>
          <t>Нге Ан: Необходимы срочные меры для предотвращения оползня на насыпи вдоль прибрежной дороги.</t>
        </is>
      </c>
      <c r="M316" s="168" t="n"/>
      <c r="N316" s="170" t="inlineStr">
        <is>
          <t>Vietnam</t>
        </is>
      </c>
      <c r="O316" s="168" t="inlineStr">
        <is>
          <t>Nghe An</t>
        </is>
      </c>
      <c r="P316" s="168" t="n"/>
      <c r="Q316" s="171" t="inlineStr">
        <is>
          <t>Russia</t>
        </is>
      </c>
      <c r="R316" s="169" t="n">
        <v>46318</v>
      </c>
      <c r="S316" s="170" t="inlineStr">
        <is>
          <t>2026-Q4</t>
        </is>
      </c>
      <c r="T316" s="172" t="inlineStr">
        <is>
          <t>landslide, embankment</t>
        </is>
      </c>
      <c r="U316" s="160" t="n">
        <v>7</v>
      </c>
      <c r="V316" s="173" t="inlineStr">
        <is>
          <t>https://news.google.com/rss/articles/CBMilwFBVV95cUxNcG13NlMtVlJSQ0ZDYTM0cGN0NmZzaEtGVDFnV2ZGNkIzM1p0MU0wdUFpbnNDdFFDa0l6M1F6NW5hX2pMNFViN2lfWE80dlJFUGpiOWRfSFhBRWN1d1g2b3o5a1kxNUhIVHRNUUJ6TG5EMXdxcnE2bG9TTWxIc2dDUjBLTlpmNjg5WFVtZE15SWhRY0sxSWtv?oc=5</t>
        </is>
      </c>
      <c r="W316" s="174">
        <f>IF($B316="",0,IF(AND(OR(OR(Dashboard!$B$5="All themes",Dashboard!$B$5=""),$C316=Dashboard!$B$5),OR(OR(Dashboard!$G$5="All uses",Dashboard!$G$5=""),$E316=Dashboard!$G$5),N($D316)&gt;=Lists!$H$2,OR(OR(Dashboard!$N$5="All windows",Dashboard!$N$5=""),$S316=Dashboard!$N$5)),1,0))</f>
        <v/>
      </c>
      <c r="X316" s="175">
        <f>IF($W316=1,N($D316)*1E14+MIN(MAX(N($U316),0),9999)*1E10+MIN(N($K316),99999)*1E5+99999-MIN(ROW(),99999),"")</f>
        <v/>
      </c>
    </row>
    <row r="317" ht="40.5" customHeight="1">
      <c r="A317" s="160" t="n">
        <v>314</v>
      </c>
      <c r="B317" s="161" t="inlineStr">
        <is>
          <t>57-billion-dong erosion revetment in Thanh Hoa subsides and cracks right after completion</t>
        </is>
      </c>
      <c r="C317" s="162" t="inlineStr">
        <is>
          <t>Hazards &amp; Resilience</t>
        </is>
      </c>
      <c r="D317" s="163" t="n">
        <v>4</v>
      </c>
      <c r="E317" s="164" t="inlineStr">
        <is>
          <t>Feature lead</t>
        </is>
      </c>
      <c r="F317" s="165" t="inlineStr">
        <is>
          <t>To review</t>
        </is>
      </c>
      <c r="G317" s="166" t="n"/>
      <c r="H317" s="167" t="n"/>
      <c r="I317" s="168" t="inlineStr">
        <is>
          <t>Why did a newly completed revetment subside and crack so soon, and what foundation or design checks could have prevented it?</t>
        </is>
      </c>
      <c r="J317" s="168" t="inlineStr">
        <is>
          <t>Báo Thanh Niên</t>
        </is>
      </c>
      <c r="K317" s="169" t="n">
        <v>46319</v>
      </c>
      <c r="L317" s="168" t="inlineStr">
        <is>
          <t>Kè chống sạt lở hơn 57 tỉ đồng ở Thanh Hóa vừa làm xong đã sụt lún, đứt gãy</t>
        </is>
      </c>
      <c r="M317" s="168" t="n"/>
      <c r="N317" s="170" t="inlineStr">
        <is>
          <t>Vietnam</t>
        </is>
      </c>
      <c r="O317" s="168" t="inlineStr">
        <is>
          <t>Thanh Hoa</t>
        </is>
      </c>
      <c r="P317" s="168" t="n"/>
      <c r="Q317" s="171" t="inlineStr">
        <is>
          <t>Vietnam</t>
        </is>
      </c>
      <c r="R317" s="169" t="n">
        <v>46319</v>
      </c>
      <c r="S317" s="170" t="inlineStr">
        <is>
          <t>2026-Q4</t>
        </is>
      </c>
      <c r="T317" s="172" t="inlineStr">
        <is>
          <t>landslide, subsidence</t>
        </is>
      </c>
      <c r="U317" s="160" t="n">
        <v>7</v>
      </c>
      <c r="V317" s="173"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317" s="174">
        <f>IF($B317="",0,IF(AND(OR(OR(Dashboard!$B$5="All themes",Dashboard!$B$5=""),$C317=Dashboard!$B$5),OR(OR(Dashboard!$G$5="All uses",Dashboard!$G$5=""),$E317=Dashboard!$G$5),N($D317)&gt;=Lists!$H$2,OR(OR(Dashboard!$N$5="All windows",Dashboard!$N$5=""),$S317=Dashboard!$N$5)),1,0))</f>
        <v/>
      </c>
      <c r="X317" s="175">
        <f>IF($W317=1,N($D317)*1E14+MIN(MAX(N($U317),0),9999)*1E10+MIN(N($K317),99999)*1E5+99999-MIN(ROW(),99999),"")</f>
        <v/>
      </c>
    </row>
    <row r="318" ht="40.5" customHeight="1">
      <c r="A318" s="160" t="n">
        <v>315</v>
      </c>
      <c r="B318" s="161" t="inlineStr">
        <is>
          <t>Lam Dong warns of serious subsidence and sliding on city streets</t>
        </is>
      </c>
      <c r="C318" s="162" t="inlineStr">
        <is>
          <t>Hazards &amp; Resilience</t>
        </is>
      </c>
      <c r="D318" s="163" t="n">
        <v>4</v>
      </c>
      <c r="E318" s="183" t="inlineStr">
        <is>
          <t>Regional insight</t>
        </is>
      </c>
      <c r="F318" s="165" t="inlineStr">
        <is>
          <t>To review</t>
        </is>
      </c>
      <c r="G318" s="166" t="n"/>
      <c r="H318" s="167" t="n"/>
      <c r="I318" s="168" t="inlineStr">
        <is>
          <t>What causes urban street subsidence and sliding in this highland city, and how should authorities monitor and warn residents?</t>
        </is>
      </c>
      <c r="J318" s="168" t="inlineStr">
        <is>
          <t>Báo và phát thanh, truyền hình Đồng Tháp</t>
        </is>
      </c>
      <c r="K318" s="169" t="n">
        <v>46319</v>
      </c>
      <c r="L318" s="168" t="inlineStr">
        <is>
          <t>Lâm Đồng: Cảnh báo sụt lún, sạt trượt nghiêm trọng đường phố</t>
        </is>
      </c>
      <c r="M318" s="168" t="n"/>
      <c r="N318" s="170" t="inlineStr">
        <is>
          <t>Vietnam</t>
        </is>
      </c>
      <c r="O318" s="168" t="inlineStr">
        <is>
          <t>Da Lat, Lam Dong</t>
        </is>
      </c>
      <c r="P318" s="168" t="n"/>
      <c r="Q318" s="171" t="inlineStr">
        <is>
          <t>Vietnam</t>
        </is>
      </c>
      <c r="R318" s="169" t="n">
        <v>46318</v>
      </c>
      <c r="S318" s="170" t="inlineStr">
        <is>
          <t>2026-Q4</t>
        </is>
      </c>
      <c r="T318" s="172" t="inlineStr">
        <is>
          <t>landslide, subsidence</t>
        </is>
      </c>
      <c r="U318" s="160" t="n">
        <v>7</v>
      </c>
      <c r="V318" s="173" t="inlineStr">
        <is>
          <t>https://news.google.com/rss/articles/CBMiigFBVV95cUxPZWVidFMzVlYxMDdISl9EQ2U0U3hiaVU2NmFPN09jYzZUem1CaXB3N1I4S1l0VW9Ka1l1LU9kVnY2bDQzUnFKWUFiNnF3azVkeEZoUGpxREdXNExtd2ZwRWVtNmZPTUkxUnA5TmFsczUyX3hkLUpJYmtFVU5yeTRONV9nb2VfNjVPZnc?oc=5</t>
        </is>
      </c>
      <c r="W318" s="174">
        <f>IF($B318="",0,IF(AND(OR(OR(Dashboard!$B$5="All themes",Dashboard!$B$5=""),$C318=Dashboard!$B$5),OR(OR(Dashboard!$G$5="All uses",Dashboard!$G$5=""),$E318=Dashboard!$G$5),N($D318)&gt;=Lists!$H$2,OR(OR(Dashboard!$N$5="All windows",Dashboard!$N$5=""),$S318=Dashboard!$N$5)),1,0))</f>
        <v/>
      </c>
      <c r="X318" s="175">
        <f>IF($W318=1,N($D318)*1E14+MIN(MAX(N($U318),0),9999)*1E10+MIN(N($K318),99999)*1E5+99999-MIN(ROW(),99999),"")</f>
        <v/>
      </c>
    </row>
    <row r="319" ht="40.5" customHeight="1">
      <c r="A319" s="160" t="n">
        <v>316</v>
      </c>
      <c r="B319" s="161" t="inlineStr">
        <is>
          <t>Identifying a huge sinkhole in Phong Nha-Ke Bang National Park; exploring Thien Ha cave in Ninh Binh</t>
        </is>
      </c>
      <c r="C319" s="162" t="inlineStr">
        <is>
          <t>Hazards &amp; Resilience</t>
        </is>
      </c>
      <c r="D319" s="163" t="n">
        <v>4</v>
      </c>
      <c r="E319" s="164" t="inlineStr">
        <is>
          <t>Feature lead</t>
        </is>
      </c>
      <c r="F319" s="165" t="inlineStr">
        <is>
          <t>To review</t>
        </is>
      </c>
      <c r="G319" s="166" t="n"/>
      <c r="H319" s="167" t="n"/>
      <c r="I319" s="168" t="inlineStr">
        <is>
          <t>What karst processes produce giant sinkholes, and how can they be detected and assessed in limestone terrain?</t>
        </is>
      </c>
      <c r="J319" s="168" t="inlineStr">
        <is>
          <t>Kenh14.vn</t>
        </is>
      </c>
      <c r="K319" s="169" t="n">
        <v>46319</v>
      </c>
      <c r="L319" s="168" t="inlineStr">
        <is>
          <t>Xác định hố sụt lún “khủng” ở Vườn quốc gia Phong Nha-Kẻ Bàng Khám phá hang động Thiên Hà huyền ảo ở Ninh Bình</t>
        </is>
      </c>
      <c r="M319" s="168" t="n"/>
      <c r="N319" s="170" t="inlineStr">
        <is>
          <t>Vietnam</t>
        </is>
      </c>
      <c r="O319" s="168" t="inlineStr">
        <is>
          <t>Phong Nha-Ke Bang National Park</t>
        </is>
      </c>
      <c r="P319" s="168" t="n"/>
      <c r="Q319" s="171" t="inlineStr">
        <is>
          <t>Vietnam</t>
        </is>
      </c>
      <c r="R319" s="169" t="n">
        <v>46318</v>
      </c>
      <c r="S319" s="170" t="inlineStr">
        <is>
          <t>2026-Q4</t>
        </is>
      </c>
      <c r="T319" s="172" t="inlineStr">
        <is>
          <t>sinkhole, subsidence</t>
        </is>
      </c>
      <c r="U319" s="160" t="n">
        <v>7</v>
      </c>
      <c r="V319" s="173"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319" s="174">
        <f>IF($B319="",0,IF(AND(OR(OR(Dashboard!$B$5="All themes",Dashboard!$B$5=""),$C319=Dashboard!$B$5),OR(OR(Dashboard!$G$5="All uses",Dashboard!$G$5=""),$E319=Dashboard!$G$5),N($D319)&gt;=Lists!$H$2,OR(OR(Dashboard!$N$5="All windows",Dashboard!$N$5=""),$S319=Dashboard!$N$5)),1,0))</f>
        <v/>
      </c>
      <c r="X319" s="175">
        <f>IF($W319=1,N($D319)*1E14+MIN(MAX(N($U319),0),9999)*1E10+MIN(N($K319),99999)*1E5+99999-MIN(ROW(),99999),"")</f>
        <v/>
      </c>
    </row>
    <row r="320" ht="53" customHeight="1">
      <c r="A320" s="160" t="n">
        <v>317</v>
      </c>
      <c r="B320" s="161" t="inlineStr">
        <is>
          <t>Close-up of a 500-metre street in Lam Dong province, badly hit by subsidence and landslides</t>
        </is>
      </c>
      <c r="C320" s="162" t="inlineStr">
        <is>
          <t>Hazards &amp; Resilience</t>
        </is>
      </c>
      <c r="D320" s="163" t="n">
        <v>4</v>
      </c>
      <c r="E320" s="183" t="inlineStr">
        <is>
          <t>Regional insight</t>
        </is>
      </c>
      <c r="F320" s="165" t="inlineStr">
        <is>
          <t>To review</t>
        </is>
      </c>
      <c r="G320" s="166" t="n"/>
      <c r="H320" s="167" t="n"/>
      <c r="I320" s="168" t="inlineStr">
        <is>
          <t>What combination of subsidence and landslide processes damaged this 500 m road, and how should such ground be investigated and repaired?</t>
        </is>
      </c>
      <c r="J320" s="168" t="inlineStr">
        <is>
          <t>Vietnam.vn</t>
        </is>
      </c>
      <c r="K320" s="169" t="n">
        <v>46319</v>
      </c>
      <c r="L320" s="168" t="inlineStr">
        <is>
          <t>Gros plan sur 500 mètres de rue dans la province de Lam Dong, gravement touchée par des affaissements et des glissements de terrain.</t>
        </is>
      </c>
      <c r="M320" s="168" t="n"/>
      <c r="N320" s="170" t="inlineStr">
        <is>
          <t>Vietnam</t>
        </is>
      </c>
      <c r="O320" s="168" t="inlineStr">
        <is>
          <t>Lam Dong province</t>
        </is>
      </c>
      <c r="P320" s="168" t="n"/>
      <c r="Q320" s="171" t="inlineStr">
        <is>
          <t>Vietnam</t>
        </is>
      </c>
      <c r="R320" s="169" t="n">
        <v>46317</v>
      </c>
      <c r="S320" s="170" t="inlineStr">
        <is>
          <t>2026-Q4</t>
        </is>
      </c>
      <c r="T320" s="172" t="inlineStr">
        <is>
          <t>landslide, subsidence</t>
        </is>
      </c>
      <c r="U320" s="160" t="n">
        <v>7</v>
      </c>
      <c r="V320" s="173" t="inlineStr">
        <is>
          <t>https://news.google.com/rss/articles/CBMimwFBVV95cUxPMFBaWmJuQ3NGTklKMkNGckRqWFA0WW1sLXlvY1QxanR4YkN6YVVpejBld3ctZVREbkVPWnVab2FBOEZtTXoyeVRmTDE3TXF3ck5IRzNkNFJRZ0lmZmlqLTIwWGZhV0N0RFFiNGVPMnJBcHc4RXBBdjRqdmh5WnZSb1VkZ3B2Q3hva0JybF8tbVI0WjVQVFVsNHUxTQ?oc=5</t>
        </is>
      </c>
      <c r="W320" s="174">
        <f>IF($B320="",0,IF(AND(OR(OR(Dashboard!$B$5="All themes",Dashboard!$B$5=""),$C320=Dashboard!$B$5),OR(OR(Dashboard!$G$5="All uses",Dashboard!$G$5=""),$E320=Dashboard!$G$5),N($D320)&gt;=Lists!$H$2,OR(OR(Dashboard!$N$5="All windows",Dashboard!$N$5=""),$S320=Dashboard!$N$5)),1,0))</f>
        <v/>
      </c>
      <c r="X320" s="175">
        <f>IF($W320=1,N($D320)*1E14+MIN(MAX(N($U320),0),9999)*1E10+MIN(N($K320),99999)*1E5+99999-MIN(ROW(),99999),"")</f>
        <v/>
      </c>
    </row>
    <row r="321" ht="53" customHeight="1">
      <c r="A321" s="160" t="n">
        <v>318</v>
      </c>
      <c r="B321" s="161" t="inlineStr">
        <is>
          <t>Anti-landslide embankment threatens residential area</t>
        </is>
      </c>
      <c r="C321" s="162" t="inlineStr">
        <is>
          <t>Hazards &amp; Resilience</t>
        </is>
      </c>
      <c r="D321" s="163" t="n">
        <v>4</v>
      </c>
      <c r="E321" s="183" t="inlineStr">
        <is>
          <t>Regional insight</t>
        </is>
      </c>
      <c r="F321" s="165" t="inlineStr">
        <is>
          <t>To review</t>
        </is>
      </c>
      <c r="G321" s="166" t="n"/>
      <c r="H321" s="167" t="n"/>
      <c r="I321" s="168" t="inlineStr">
        <is>
          <t>Why does this anti-landslide embankment threaten housing, and what stability checks should apply to embankments near settlements?</t>
        </is>
      </c>
      <c r="J321" s="168" t="inlineStr">
        <is>
          <t>Vietnam.vn</t>
        </is>
      </c>
      <c r="K321" s="169" t="n">
        <v>46319</v>
      </c>
      <c r="L321" s="168" t="inlineStr">
        <is>
          <t>산사태 방지 제방이 주거 지역을 위협하고 있다.</t>
        </is>
      </c>
      <c r="M321" s="168" t="n"/>
      <c r="N321" s="170" t="inlineStr">
        <is>
          <t>Vietnam</t>
        </is>
      </c>
      <c r="O321" s="168" t="n"/>
      <c r="P321" s="168" t="n"/>
      <c r="Q321" s="171" t="inlineStr">
        <is>
          <t>South Korea</t>
        </is>
      </c>
      <c r="R321" s="169" t="n">
        <v>46319</v>
      </c>
      <c r="S321" s="170" t="inlineStr">
        <is>
          <t>2026-Q4</t>
        </is>
      </c>
      <c r="T321" s="172" t="inlineStr">
        <is>
          <t>landslide, embankment</t>
        </is>
      </c>
      <c r="U321" s="160" t="n">
        <v>7</v>
      </c>
      <c r="V321" s="173" t="inlineStr">
        <is>
          <t>https://news.google.com/rss/articles/CBMia0FVX3lxTE5yN3NxbVRJdUpIaWRZaHJQMGx1MktYUTdSRHlXd0xCR0tiSkhtNEotVmltaFRvVzFvY3Qxcm1JOFVCb1RBWXVtMTZRVWRtdC1DMERha1RoblFxTjhBT01GR1hWQ1JLTlRFMW1V?oc=5</t>
        </is>
      </c>
      <c r="W321" s="174">
        <f>IF($B321="",0,IF(AND(OR(OR(Dashboard!$B$5="All themes",Dashboard!$B$5=""),$C321=Dashboard!$B$5),OR(OR(Dashboard!$G$5="All uses",Dashboard!$G$5=""),$E321=Dashboard!$G$5),N($D321)&gt;=Lists!$H$2,OR(OR(Dashboard!$N$5="All windows",Dashboard!$N$5=""),$S321=Dashboard!$N$5)),1,0))</f>
        <v/>
      </c>
      <c r="X321" s="175">
        <f>IF($W321=1,N($D321)*1E14+MIN(MAX(N($U321),0),9999)*1E10+MIN(N($K321),99999)*1E5+99999-MIN(ROW(),99999),"")</f>
        <v/>
      </c>
    </row>
    <row r="322" ht="40.5" customHeight="1">
      <c r="A322" s="160" t="n">
        <v>319</v>
      </c>
      <c r="B322" s="161" t="inlineStr">
        <is>
          <t>Nghe An: early treatment needed for slope failure on coastal road cut</t>
        </is>
      </c>
      <c r="C322" s="185" t="inlineStr">
        <is>
          <t>Offshore, Coasts &amp; Water</t>
        </is>
      </c>
      <c r="D322" s="163" t="n">
        <v>4</v>
      </c>
      <c r="E322" s="183" t="inlineStr">
        <is>
          <t>Regional insight</t>
        </is>
      </c>
      <c r="F322" s="165" t="inlineStr">
        <is>
          <t>To review</t>
        </is>
      </c>
      <c r="G322" s="166" t="n"/>
      <c r="H322" s="167" t="n"/>
      <c r="I322" s="168" t="inlineStr">
        <is>
          <t>What causes slope failure in coastal road cuts, and which stabilisation methods are most suitable for weathered coastal soils?</t>
        </is>
      </c>
      <c r="J322" s="168" t="inlineStr">
        <is>
          <t>Vietnam.vn</t>
        </is>
      </c>
      <c r="K322" s="169" t="n">
        <v>46319</v>
      </c>
      <c r="L322" s="168" t="inlineStr">
        <is>
          <t>Nghệ An: Cần sớm xử lý sạt lở taluy dương trên tuyến đường ven biển</t>
        </is>
      </c>
      <c r="M322" s="168" t="n"/>
      <c r="N322" s="170" t="inlineStr">
        <is>
          <t>Vietnam</t>
        </is>
      </c>
      <c r="O322" s="168" t="inlineStr">
        <is>
          <t>Nghe An</t>
        </is>
      </c>
      <c r="P322" s="168" t="inlineStr">
        <is>
          <t>Nghe An coastal road embankment landslide, Vietnam (Oct 2026) · Event · 2 reports</t>
        </is>
      </c>
      <c r="Q322" s="171" t="inlineStr">
        <is>
          <t>Vietnam</t>
        </is>
      </c>
      <c r="R322" s="169" t="n">
        <v>46318</v>
      </c>
      <c r="S322" s="170" t="inlineStr">
        <is>
          <t>2026-Q4</t>
        </is>
      </c>
      <c r="T322" s="172" t="inlineStr">
        <is>
          <t>landslide, slope</t>
        </is>
      </c>
      <c r="U322" s="160" t="n">
        <v>6</v>
      </c>
      <c r="V322" s="173" t="inlineStr">
        <is>
          <t>https://news.google.com/rss/articles/CBMikwFBVV95cUxOUmJPNnl3dVdQRml6UUt3S1Joa05VaE9sdjdhNWZZeVN6QUdqdnFIS2NiMWdGMl9KN093Wm1naTRFcDRoek1UTVQxNGJkZ2lkajUyVnhRRFF4ZTV1UlhsS3NodG80YlpGdlpuOHRaaGFnaXJ5cDN4eTd0VFZJdldPMlczVVZ1NmZZdExSemVKM3lXWUk?oc=5</t>
        </is>
      </c>
      <c r="W322" s="174">
        <f>IF($B322="",0,IF(AND(OR(OR(Dashboard!$B$5="All themes",Dashboard!$B$5=""),$C322=Dashboard!$B$5),OR(OR(Dashboard!$G$5="All uses",Dashboard!$G$5=""),$E322=Dashboard!$G$5),N($D322)&gt;=Lists!$H$2,OR(OR(Dashboard!$N$5="All windows",Dashboard!$N$5=""),$S322=Dashboard!$N$5)),1,0))</f>
        <v/>
      </c>
      <c r="X322" s="175">
        <f>IF($W322=1,N($D322)*1E14+MIN(MAX(N($U322),0),9999)*1E10+MIN(N($K322),99999)*1E5+99999-MIN(ROW(),99999),"")</f>
        <v/>
      </c>
    </row>
    <row r="323" ht="40.5" customHeight="1">
      <c r="A323" s="160" t="n">
        <v>320</v>
      </c>
      <c r="B323" s="161" t="inlineStr">
        <is>
          <t>Osan: Jo Yong-ho's restoration of Seobu-ro retaining wall after road collapse, aiming to restore public trust</t>
        </is>
      </c>
      <c r="C323" s="176" t="inlineStr">
        <is>
          <t>Infrastructure &amp; the Underground City</t>
        </is>
      </c>
      <c r="D323" s="163" t="n">
        <v>4</v>
      </c>
      <c r="E323" s="164" t="inlineStr">
        <is>
          <t>Feature lead</t>
        </is>
      </c>
      <c r="F323" s="165" t="inlineStr">
        <is>
          <t>To review</t>
        </is>
      </c>
      <c r="G323" s="166" t="n"/>
      <c r="H323" s="167" t="n"/>
      <c r="I323" s="168" t="inlineStr">
        <is>
          <t>What caused the road collapse behind this retaining wall, and how should wall reconstruction address backfill and drainage?</t>
        </is>
      </c>
      <c r="J323" s="168" t="inlineStr">
        <is>
          <t>아주경제</t>
        </is>
      </c>
      <c r="K323" s="169" t="n">
        <v>46319</v>
      </c>
      <c r="L323" s="168" t="inlineStr">
        <is>
          <t>[강대웅의 정문일침(頂門一鍼)] 조용호 시장의 오산시 서부로 옹벽 복구...무너진 도로 넘어 시민 신뢰 회복</t>
        </is>
      </c>
      <c r="M323" s="168" t="n"/>
      <c r="N323" s="170" t="inlineStr">
        <is>
          <t>South Korea</t>
        </is>
      </c>
      <c r="O323" s="168" t="inlineStr">
        <is>
          <t>Osan, Seobu-ro</t>
        </is>
      </c>
      <c r="P323" s="168" t="n"/>
      <c r="Q323" s="171" t="inlineStr">
        <is>
          <t>South Korea</t>
        </is>
      </c>
      <c r="R323" s="169" t="n">
        <v>46319</v>
      </c>
      <c r="S323" s="170" t="inlineStr">
        <is>
          <t>2026-Q4</t>
        </is>
      </c>
      <c r="T323" s="172" t="inlineStr">
        <is>
          <t>retaining wall, collapse</t>
        </is>
      </c>
      <c r="U323" s="160" t="n">
        <v>5</v>
      </c>
      <c r="V323" s="173"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323" s="174">
        <f>IF($B323="",0,IF(AND(OR(OR(Dashboard!$B$5="All themes",Dashboard!$B$5=""),$C323=Dashboard!$B$5),OR(OR(Dashboard!$G$5="All uses",Dashboard!$G$5=""),$E323=Dashboard!$G$5),N($D323)&gt;=Lists!$H$2,OR(OR(Dashboard!$N$5="All windows",Dashboard!$N$5=""),$S323=Dashboard!$N$5)),1,0))</f>
        <v/>
      </c>
      <c r="X323" s="175">
        <f>IF($W323=1,N($D323)*1E14+MIN(MAX(N($U323),0),9999)*1E10+MIN(N($K323),99999)*1E5+99999-MIN(ROW(),99999),"")</f>
        <v/>
      </c>
    </row>
    <row r="324" ht="53" customHeight="1">
      <c r="A324" s="160" t="n">
        <v>321</v>
      </c>
      <c r="B324" s="161" t="inlineStr">
        <is>
          <t>Lawmakers warn of major accidents as retaining wall near apartments repeatedly collapses; drainage and private land issues</t>
        </is>
      </c>
      <c r="C324" s="176" t="inlineStr">
        <is>
          <t>Infrastructure &amp; the Underground City</t>
        </is>
      </c>
      <c r="D324" s="163" t="n">
        <v>4</v>
      </c>
      <c r="E324" s="183" t="inlineStr">
        <is>
          <t>Regional insight</t>
        </is>
      </c>
      <c r="F324" s="165" t="inlineStr">
        <is>
          <t>To review</t>
        </is>
      </c>
      <c r="G324" s="166" t="n"/>
      <c r="H324" s="167" t="n"/>
      <c r="I324" s="168" t="inlineStr">
        <is>
          <t>Why do retaining walls beside apartments collapse repeatedly, and how do drainage and private land ownership complicate remediation?</t>
        </is>
      </c>
      <c r="J324" s="168" t="inlineStr">
        <is>
          <t>Naver Blog</t>
        </is>
      </c>
      <c r="K324" s="169" t="n">
        <v>46319</v>
      </c>
      <c r="L324" s="168" t="inlineStr">
        <is>
          <t>반주영 의원 “인명피해로 이어지면 큰 사고”…황성석 의원도 고촌 옹벽 안전대책 촉구 | 아파트 인접 옹벽 반복 붕괴 우려…상부 배수로·사유지 문제에 시의 적극적인 협의 주문</t>
        </is>
      </c>
      <c r="M324" s="168" t="n"/>
      <c r="N324" s="170" t="inlineStr">
        <is>
          <t>South Korea</t>
        </is>
      </c>
      <c r="O324" s="168" t="inlineStr">
        <is>
          <t>Gochon, Gimpo</t>
        </is>
      </c>
      <c r="P324" s="168" t="n"/>
      <c r="Q324" s="171" t="inlineStr">
        <is>
          <t>South Korea</t>
        </is>
      </c>
      <c r="R324" s="169" t="n">
        <v>46318</v>
      </c>
      <c r="S324" s="170" t="inlineStr">
        <is>
          <t>2026-Q4</t>
        </is>
      </c>
      <c r="T324" s="172" t="inlineStr">
        <is>
          <t>retaining wall, collapse</t>
        </is>
      </c>
      <c r="U324" s="160" t="n">
        <v>5</v>
      </c>
      <c r="V324" s="173" t="inlineStr">
        <is>
          <t>https://news.google.com/rss/articles/CBMikgFBVV95cUxPcTFMNDFOcFc5MjJHLWgxTldJbW9TT3doRG10TDRuSzlYNGNSSU5DOU1Razc0dkRYY0IyeVN1OHoyT3U2WG9wNUh5VW81UEd6anIwMDF1Ym1yQ3VlVk4wZ05saEh2VFFBMnZqOV9nbkFud0NMbWZ6NW9UU0pha0E3enQxdHQtU3JaNktBMlNxWTg2Zw?oc=5</t>
        </is>
      </c>
      <c r="W324" s="174">
        <f>IF($B324="",0,IF(AND(OR(OR(Dashboard!$B$5="All themes",Dashboard!$B$5=""),$C324=Dashboard!$B$5),OR(OR(Dashboard!$G$5="All uses",Dashboard!$G$5=""),$E324=Dashboard!$G$5),N($D324)&gt;=Lists!$H$2,OR(OR(Dashboard!$N$5="All windows",Dashboard!$N$5=""),$S324=Dashboard!$N$5)),1,0))</f>
        <v/>
      </c>
      <c r="X324" s="175">
        <f>IF($W324=1,N($D324)*1E14+MIN(MAX(N($U324),0),9999)*1E10+MIN(N($K324),99999)*1E5+99999-MIN(ROW(),99999),"")</f>
        <v/>
      </c>
    </row>
    <row r="325" ht="40.5" customHeight="1">
      <c r="A325" s="160" t="n">
        <v>322</v>
      </c>
      <c r="B325" s="161" t="inlineStr">
        <is>
          <t>Part of a retaining wall collapsed near Pioneer Park in Yalta after rains</t>
        </is>
      </c>
      <c r="C325" s="176" t="inlineStr">
        <is>
          <t>Infrastructure &amp; the Underground City</t>
        </is>
      </c>
      <c r="D325" s="163" t="n">
        <v>4</v>
      </c>
      <c r="E325" s="183" t="inlineStr">
        <is>
          <t>Regional insight</t>
        </is>
      </c>
      <c r="F325" s="165" t="inlineStr">
        <is>
          <t>To review</t>
        </is>
      </c>
      <c r="G325" s="166" t="n"/>
      <c r="H325" s="167" t="n"/>
      <c r="I325" s="168" t="inlineStr">
        <is>
          <t>Why did this retaining wall fail after heavy rain, and what drainage and wall design checks should coastal slopes receive?</t>
        </is>
      </c>
      <c r="J325" s="168" t="inlineStr">
        <is>
          <t>Крыминформ</t>
        </is>
      </c>
      <c r="K325" s="169" t="n">
        <v>46319</v>
      </c>
      <c r="L325" s="168" t="inlineStr">
        <is>
          <t>После ливней у Пионерского парка в Ялте обрушилась часть подпорной стены</t>
        </is>
      </c>
      <c r="M325" s="168" t="n"/>
      <c r="N325" s="170" t="inlineStr">
        <is>
          <t>Ukraine</t>
        </is>
      </c>
      <c r="O325" s="168" t="inlineStr">
        <is>
          <t>Yalta, Pioneer Park</t>
        </is>
      </c>
      <c r="P325" s="168" t="n"/>
      <c r="Q325" s="171" t="inlineStr">
        <is>
          <t>Russia</t>
        </is>
      </c>
      <c r="R325" s="169" t="n">
        <v>46317</v>
      </c>
      <c r="S325" s="170" t="inlineStr">
        <is>
          <t>2026-Q4</t>
        </is>
      </c>
      <c r="T325" s="172" t="inlineStr">
        <is>
          <t>retaining wall, collapse</t>
        </is>
      </c>
      <c r="U325" s="160" t="n">
        <v>5</v>
      </c>
      <c r="V325" s="173" t="inlineStr">
        <is>
          <t>https://news.google.com/rss/articles/CBMiUkFVX3lxTFBBaDhzbmpCUVV6Y1lGN3hyYllJRGRHNkUta1M3SVpkamJ5MGktVWZHdDJqLWloWW40SmVzTldUSWc0UXliVXJOVWR2VmJoWUtGc0E?oc=5</t>
        </is>
      </c>
      <c r="W325" s="174">
        <f>IF($B325="",0,IF(AND(OR(OR(Dashboard!$B$5="All themes",Dashboard!$B$5=""),$C325=Dashboard!$B$5),OR(OR(Dashboard!$G$5="All uses",Dashboard!$G$5=""),$E325=Dashboard!$G$5),N($D325)&gt;=Lists!$H$2,OR(OR(Dashboard!$N$5="All windows",Dashboard!$N$5=""),$S325=Dashboard!$N$5)),1,0))</f>
        <v/>
      </c>
      <c r="X325" s="175">
        <f>IF($W325=1,N($D325)*1E14+MIN(MAX(N($U325),0),9999)*1E10+MIN(N($K325),99999)*1E5+99999-MIN(ROW(),99999),"")</f>
        <v/>
      </c>
    </row>
    <row r="326" ht="40.5" customHeight="1">
      <c r="A326" s="160" t="n">
        <v>323</v>
      </c>
      <c r="B326" s="161" t="inlineStr">
        <is>
          <t>Two houses collapse due to Tien River bank erosion</t>
        </is>
      </c>
      <c r="C326" s="185" t="inlineStr">
        <is>
          <t>Offshore, Coasts &amp; Water</t>
        </is>
      </c>
      <c r="D326" s="163" t="n">
        <v>4</v>
      </c>
      <c r="E326" s="177" t="inlineStr">
        <is>
          <t>News brief</t>
        </is>
      </c>
      <c r="F326" s="165" t="inlineStr">
        <is>
          <t>To review</t>
        </is>
      </c>
      <c r="G326" s="166" t="n"/>
      <c r="H326" s="167" t="n"/>
      <c r="I326" s="168" t="inlineStr">
        <is>
          <t>What riverbank erosion processes undermined these houses, and how can bank stability be assessed near settlements?</t>
        </is>
      </c>
      <c r="J326" s="168" t="inlineStr">
        <is>
          <t>VTV.vn</t>
        </is>
      </c>
      <c r="K326" s="169" t="n">
        <v>46319</v>
      </c>
      <c r="L326" s="168" t="inlineStr">
        <is>
          <t>Hai căn nhà đổ sập do sạt lở bờ sông Tiền</t>
        </is>
      </c>
      <c r="M326" s="168" t="n"/>
      <c r="N326" s="170" t="inlineStr">
        <is>
          <t>Vietnam</t>
        </is>
      </c>
      <c r="O326" s="168" t="inlineStr">
        <is>
          <t>Tien River</t>
        </is>
      </c>
      <c r="P326" s="168" t="n"/>
      <c r="Q326" s="171" t="inlineStr">
        <is>
          <t>Vietnam</t>
        </is>
      </c>
      <c r="R326" s="169" t="n">
        <v>46318</v>
      </c>
      <c r="S326" s="170" t="inlineStr">
        <is>
          <t>2026-Q4</t>
        </is>
      </c>
      <c r="T326" s="172" t="inlineStr">
        <is>
          <t>landslide, collapse</t>
        </is>
      </c>
      <c r="U326" s="160" t="n">
        <v>5</v>
      </c>
      <c r="V326" s="173" t="inlineStr">
        <is>
          <t>https://news.google.com/rss/articles/CBMihgFBVV95cUxNZlBjUzdTUHFfNm9fQnZtclVPRG1ZdWtERFVpMHRYYzRrTGV1alZYeU4yR240ZnM4bFZEMkhFMEtJbk1fakR3dzgyRm12YkZZdkpnTjE4UGNBR2otMlpsbkVpdDdGbXBPbUdYaU5ldjBqUnA1c1hwcFF4Yjl3NXVFcHRacHlTZw?oc=5</t>
        </is>
      </c>
      <c r="W326" s="174">
        <f>IF($B326="",0,IF(AND(OR(OR(Dashboard!$B$5="All themes",Dashboard!$B$5=""),$C326=Dashboard!$B$5),OR(OR(Dashboard!$G$5="All uses",Dashboard!$G$5=""),$E326=Dashboard!$G$5),N($D326)&gt;=Lists!$H$2,OR(OR(Dashboard!$N$5="All windows",Dashboard!$N$5=""),$S326=Dashboard!$N$5)),1,0))</f>
        <v/>
      </c>
      <c r="X326" s="175">
        <f>IF($W326=1,N($D326)*1E14+MIN(MAX(N($U326),0),9999)*1E10+MIN(N($K326),99999)*1E5+99999-MIN(ROW(),99999),"")</f>
        <v/>
      </c>
    </row>
    <row r="327" ht="53" customHeight="1">
      <c r="A327" s="160" t="n">
        <v>324</v>
      </c>
      <c r="B327" s="161" t="inlineStr">
        <is>
          <t>Gochang-Buan Noeuldaegyo Enters Geotechnical Survey Phase; Construction Targeted for January 2028</t>
        </is>
      </c>
      <c r="C327" s="176" t="inlineStr">
        <is>
          <t>Infrastructure &amp; the Underground City</t>
        </is>
      </c>
      <c r="D327" s="163" t="n">
        <v>4</v>
      </c>
      <c r="E327" s="177" t="inlineStr">
        <is>
          <t>News brief</t>
        </is>
      </c>
      <c r="F327" s="165" t="inlineStr">
        <is>
          <t>To review</t>
        </is>
      </c>
      <c r="G327" s="166" t="n"/>
      <c r="H327" s="167" t="n"/>
      <c r="I327" s="168" t="inlineStr">
        <is>
          <t>What ground conditions will the geotechnical survey reveal for this Korean nuclear-related or major construction project, and how will they shape the 2028 schedule?</t>
        </is>
      </c>
      <c r="J327" s="168" t="inlineStr">
        <is>
          <t>아시아경제</t>
        </is>
      </c>
      <c r="K327" s="169" t="n">
        <v>46319</v>
      </c>
      <c r="L327" s="168" t="n"/>
      <c r="M327" s="168" t="n"/>
      <c r="N327" s="170" t="inlineStr">
        <is>
          <t>South Korea</t>
        </is>
      </c>
      <c r="O327" s="168" t="inlineStr">
        <is>
          <t>Gochang-Buan</t>
        </is>
      </c>
      <c r="P327" s="168" t="n"/>
      <c r="Q327" s="171" t="inlineStr">
        <is>
          <t>United Kingdom</t>
        </is>
      </c>
      <c r="R327" s="169" t="n">
        <v>46317</v>
      </c>
      <c r="S327" s="170" t="inlineStr">
        <is>
          <t>2026-Q4</t>
        </is>
      </c>
      <c r="T327" s="172" t="inlineStr">
        <is>
          <t>geotechnical</t>
        </is>
      </c>
      <c r="U327" s="160" t="n">
        <v>5</v>
      </c>
      <c r="V327" s="173" t="inlineStr">
        <is>
          <t>https://news.google.com/rss/articles/CBMibEFVX3lxTE9qd0p2T2p3a1lzbEg5TnFXNDZ2VXRhLWIzbGk1U0pnQlFCUk1RU2tqdFFXeEt4RkM3bThuVUUyelBfNHJMdlFmMThyZG9UakhLLTFqTGJBTDBKVmN1bXlqQmYyX1U3eHIyWTNfTw?oc=5</t>
        </is>
      </c>
      <c r="W327" s="174">
        <f>IF($B327="",0,IF(AND(OR(OR(Dashboard!$B$5="All themes",Dashboard!$B$5=""),$C327=Dashboard!$B$5),OR(OR(Dashboard!$G$5="All uses",Dashboard!$G$5=""),$E327=Dashboard!$G$5),N($D327)&gt;=Lists!$H$2,OR(OR(Dashboard!$N$5="All windows",Dashboard!$N$5=""),$S327=Dashboard!$N$5)),1,0))</f>
        <v/>
      </c>
      <c r="X327" s="175">
        <f>IF($W327=1,N($D327)*1E14+MIN(MAX(N($U327),0),9999)*1E10+MIN(N($K327),99999)*1E5+99999-MIN(ROW(),99999),"")</f>
        <v/>
      </c>
    </row>
    <row r="328" ht="53" customHeight="1">
      <c r="A328" s="160" t="n">
        <v>325</v>
      </c>
      <c r="B328" s="161" t="inlineStr">
        <is>
          <t>A sinkhole nearly three football fields in size has been discovered in Phong Nha-Ke Bang.</t>
        </is>
      </c>
      <c r="C328" s="180" t="inlineStr">
        <is>
          <t>Characterisation &amp; Modelling</t>
        </is>
      </c>
      <c r="D328" s="163" t="n">
        <v>4</v>
      </c>
      <c r="E328" s="164" t="inlineStr">
        <is>
          <t>Feature lead</t>
        </is>
      </c>
      <c r="F328" s="165" t="inlineStr">
        <is>
          <t>To review</t>
        </is>
      </c>
      <c r="G328" s="166" t="n"/>
      <c r="H328" s="167" t="n"/>
      <c r="I328" s="168" t="inlineStr">
        <is>
          <t>How do karst dissolution and roof collapse produce giant dolines like the one in Phong Nha Ke Bang, and how can such cavities be characterised?</t>
        </is>
      </c>
      <c r="J328" s="168" t="inlineStr">
        <is>
          <t>Vietnam.vn</t>
        </is>
      </c>
      <c r="K328" s="169" t="n">
        <v>46319</v>
      </c>
      <c r="L328" s="168" t="inlineStr">
        <is>
          <t>Se ha descubierto un socavón del tamaño de casi tres campos de fútbol en Phong Nha Ke Bang.</t>
        </is>
      </c>
      <c r="M328" s="168" t="n"/>
      <c r="N328" s="170" t="inlineStr">
        <is>
          <t>Vietnam</t>
        </is>
      </c>
      <c r="O328" s="168" t="inlineStr">
        <is>
          <t>Phong Nha Ke Bang</t>
        </is>
      </c>
      <c r="P328" s="168" t="n"/>
      <c r="Q328" s="171" t="inlineStr">
        <is>
          <t>Colombia</t>
        </is>
      </c>
      <c r="R328" s="169" t="n">
        <v>46318</v>
      </c>
      <c r="S328" s="170" t="inlineStr">
        <is>
          <t>2026-Q4</t>
        </is>
      </c>
      <c r="T328" s="172" t="inlineStr">
        <is>
          <t>sinkhole</t>
        </is>
      </c>
      <c r="U328" s="160" t="n">
        <v>4</v>
      </c>
      <c r="V328" s="173" t="inlineStr">
        <is>
          <t>https://news.google.com/rss/articles/CBMilgFBVV95cUxPaWJCQW9La1Z3UklqdWVaNWVLV3l0TFplUEg0R3h5ZzBSNlJtZnpNb2FONml5V3FqbnJGTnZvQ2JZSllHZGRoX3NWR0l6Q0oyWE02RXlncnRfREVCa0xBRnVMTDNhcWRxLURrVTNJUEl5UkdlU0RtdU9UcUpVdVFzblQ0UmdOVlR0YTBfTVpDbjZud2p5d1E?oc=5</t>
        </is>
      </c>
      <c r="W328" s="174">
        <f>IF($B328="",0,IF(AND(OR(OR(Dashboard!$B$5="All themes",Dashboard!$B$5=""),$C328=Dashboard!$B$5),OR(OR(Dashboard!$G$5="All uses",Dashboard!$G$5=""),$E328=Dashboard!$G$5),N($D328)&gt;=Lists!$H$2,OR(OR(Dashboard!$N$5="All windows",Dashboard!$N$5=""),$S328=Dashboard!$N$5)),1,0))</f>
        <v/>
      </c>
      <c r="X328" s="175">
        <f>IF($W328=1,N($D328)*1E14+MIN(MAX(N($U328),0),9999)*1E10+MIN(N($K328),99999)*1E5+99999-MIN(ROW(),99999),"")</f>
        <v/>
      </c>
    </row>
    <row r="329" ht="53" customHeight="1">
      <c r="A329" s="160" t="n">
        <v>326</v>
      </c>
      <c r="B329" s="161" t="inlineStr">
        <is>
          <t>CEDH finds negligence by Guasave municipality in death of teacher who fell into sinkhole</t>
        </is>
      </c>
      <c r="C329" s="186" t="inlineStr">
        <is>
          <t>Geotechnics &amp; Society</t>
        </is>
      </c>
      <c r="D329" s="163" t="n">
        <v>4</v>
      </c>
      <c r="E329" s="164" t="inlineStr">
        <is>
          <t>Feature lead</t>
        </is>
      </c>
      <c r="F329" s="165" t="inlineStr">
        <is>
          <t>To review</t>
        </is>
      </c>
      <c r="G329" s="166" t="n"/>
      <c r="H329" s="167" t="n"/>
      <c r="I329" s="168" t="inlineStr">
        <is>
          <t>What duty of care should municipalities meet in managing known ground-collapse hazards in urban areas, as the Guasave case suggests?</t>
        </is>
      </c>
      <c r="J329" s="168" t="inlineStr">
        <is>
          <t>www.noroeste.com.mx</t>
        </is>
      </c>
      <c r="K329" s="169" t="n">
        <v>46319</v>
      </c>
      <c r="L329" s="168" t="inlineStr">
        <is>
          <t>CEDH acredita negligencia del Ayuntamiento de Guasave por muerte de profesor que cayó en socavón</t>
        </is>
      </c>
      <c r="M329" s="168" t="n"/>
      <c r="N329" s="170" t="inlineStr">
        <is>
          <t>Mexico</t>
        </is>
      </c>
      <c r="O329" s="168" t="inlineStr">
        <is>
          <t>Guasave, Sinaloa</t>
        </is>
      </c>
      <c r="P329" s="168" t="n"/>
      <c r="Q329" s="171" t="inlineStr">
        <is>
          <t>Colombia</t>
        </is>
      </c>
      <c r="R329" s="169" t="n">
        <v>46317</v>
      </c>
      <c r="S329" s="170" t="inlineStr">
        <is>
          <t>2026-Q4</t>
        </is>
      </c>
      <c r="T329" s="172" t="inlineStr">
        <is>
          <t>sinkhole</t>
        </is>
      </c>
      <c r="U329" s="160" t="n">
        <v>4</v>
      </c>
      <c r="V329" s="173"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329" s="174">
        <f>IF($B329="",0,IF(AND(OR(OR(Dashboard!$B$5="All themes",Dashboard!$B$5=""),$C329=Dashboard!$B$5),OR(OR(Dashboard!$G$5="All uses",Dashboard!$G$5=""),$E329=Dashboard!$G$5),N($D329)&gt;=Lists!$H$2,OR(OR(Dashboard!$N$5="All windows",Dashboard!$N$5=""),$S329=Dashboard!$N$5)),1,0))</f>
        <v/>
      </c>
      <c r="X329" s="175">
        <f>IF($W329=1,N($D329)*1E14+MIN(MAX(N($U329),0),9999)*1E10+MIN(N($K329),99999)*1E5+99999-MIN(ROW(),99999),"")</f>
        <v/>
      </c>
    </row>
    <row r="330" ht="53" customHeight="1">
      <c r="A330" s="160" t="n">
        <v>327</v>
      </c>
      <c r="B330" s="161" t="inlineStr">
        <is>
          <t>Close look at the giant 120-meter-deep sinkhole recently discovered in Vietnam.</t>
        </is>
      </c>
      <c r="C330" s="180" t="inlineStr">
        <is>
          <t>Characterisation &amp; Modelling</t>
        </is>
      </c>
      <c r="D330" s="163" t="n">
        <v>4</v>
      </c>
      <c r="E330" s="164" t="inlineStr">
        <is>
          <t>Feature lead</t>
        </is>
      </c>
      <c r="F330" s="165" t="inlineStr">
        <is>
          <t>To review</t>
        </is>
      </c>
      <c r="G330" s="166" t="n"/>
      <c r="H330" s="167" t="n"/>
      <c r="I330" s="168" t="inlineStr">
        <is>
          <t>Which geomorphological and hydrogeological processes produced a 120 m deep collapse, and how can the stability of its steep walls be assessed?</t>
        </is>
      </c>
      <c r="J330" s="168" t="inlineStr">
        <is>
          <t>Vietnam.vn</t>
        </is>
      </c>
      <c r="K330" s="169" t="n">
        <v>46319</v>
      </c>
      <c r="L330" s="168" t="inlineStr">
        <is>
          <t>Vista de cerca del gigantesco socavón de 120 metros de profundidad descubierto recientemente en Vietnam.</t>
        </is>
      </c>
      <c r="M330" s="168" t="n"/>
      <c r="N330" s="170" t="inlineStr">
        <is>
          <t>Vietnam</t>
        </is>
      </c>
      <c r="O330" s="168" t="inlineStr">
        <is>
          <t>Quang Binh</t>
        </is>
      </c>
      <c r="P330" s="168" t="n"/>
      <c r="Q330" s="171" t="inlineStr">
        <is>
          <t>Colombia</t>
        </is>
      </c>
      <c r="R330" s="169" t="n">
        <v>46318</v>
      </c>
      <c r="S330" s="170" t="inlineStr">
        <is>
          <t>2026-Q4</t>
        </is>
      </c>
      <c r="T330" s="172" t="inlineStr">
        <is>
          <t>sinkhole</t>
        </is>
      </c>
      <c r="U330" s="160" t="n">
        <v>4</v>
      </c>
      <c r="V330" s="173" t="inlineStr">
        <is>
          <t>https://news.google.com/rss/articles/CBMijgFBVV95cUxORHhvYWNuVVRGRXIybWtsektBWDRYYkhhLWlYd2FwS0pBV2wzWklDdzN3UGxXLWZpa1ZLT0lWM0RZa1RXY0ZDRS1HYUdDV1RJU2dWWFpWalZ3cEhkaGJsYjk2WUZrWXQ3M2hXTWFVSGxSYjFhUzBOVlNnSUYxdVhtMGNBellTcmV4Q295SDJ3?oc=5</t>
        </is>
      </c>
      <c r="W330" s="174">
        <f>IF($B330="",0,IF(AND(OR(OR(Dashboard!$B$5="All themes",Dashboard!$B$5=""),$C330=Dashboard!$B$5),OR(OR(Dashboard!$G$5="All uses",Dashboard!$G$5=""),$E330=Dashboard!$G$5),N($D330)&gt;=Lists!$H$2,OR(OR(Dashboard!$N$5="All windows",Dashboard!$N$5=""),$S330=Dashboard!$N$5)),1,0))</f>
        <v/>
      </c>
      <c r="X330" s="175">
        <f>IF($W330=1,N($D330)*1E14+MIN(MAX(N($U330),0),9999)*1E10+MIN(N($K330),99999)*1E5+99999-MIN(ROW(),99999),"")</f>
        <v/>
      </c>
    </row>
    <row r="331" ht="53" customHeight="1">
      <c r="A331" s="160" t="n">
        <v>328</v>
      </c>
      <c r="B331" s="161" t="inlineStr">
        <is>
          <t>Primeval forest grows at bottom of 120-meter-deep sinkhole in central Vietnam</t>
        </is>
      </c>
      <c r="C331" s="180" t="inlineStr">
        <is>
          <t>Characterisation &amp; Modelling</t>
        </is>
      </c>
      <c r="D331" s="163" t="n">
        <v>4</v>
      </c>
      <c r="E331" s="164" t="inlineStr">
        <is>
          <t>Feature lead</t>
        </is>
      </c>
      <c r="F331" s="165" t="inlineStr">
        <is>
          <t>To review</t>
        </is>
      </c>
      <c r="G331" s="166" t="n"/>
      <c r="H331" s="167" t="n"/>
      <c r="I331" s="168" t="inlineStr">
        <is>
          <t>How do karst collapse sinkholes form in limestone terrain, and what do such deep features reveal about cave ground stability and hazard mapping?</t>
        </is>
      </c>
      <c r="J331" s="168" t="inlineStr">
        <is>
          <t>VnExpress International</t>
        </is>
      </c>
      <c r="K331" s="169" t="n">
        <v>46319</v>
      </c>
      <c r="L331" s="168" t="n"/>
      <c r="M331" s="168" t="n"/>
      <c r="N331" s="170" t="inlineStr">
        <is>
          <t>Vietnam</t>
        </is>
      </c>
      <c r="O331" s="168" t="inlineStr">
        <is>
          <t>Quang Binh</t>
        </is>
      </c>
      <c r="P331" s="168" t="inlineStr">
        <is>
          <t>Phong Nha-Ke Bang 120 m sinkhole discovery, Vietnam · Event · 5 reports</t>
        </is>
      </c>
      <c r="Q331" s="171" t="inlineStr">
        <is>
          <t>United Kingdom</t>
        </is>
      </c>
      <c r="R331" s="169" t="n">
        <v>46319</v>
      </c>
      <c r="S331" s="170" t="inlineStr">
        <is>
          <t>2026-Q4</t>
        </is>
      </c>
      <c r="T331" s="172" t="inlineStr">
        <is>
          <t>sinkhole</t>
        </is>
      </c>
      <c r="U331" s="160" t="n">
        <v>4</v>
      </c>
      <c r="V331" s="173"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331" s="174">
        <f>IF($B331="",0,IF(AND(OR(OR(Dashboard!$B$5="All themes",Dashboard!$B$5=""),$C331=Dashboard!$B$5),OR(OR(Dashboard!$G$5="All uses",Dashboard!$G$5=""),$E331=Dashboard!$G$5),N($D331)&gt;=Lists!$H$2,OR(OR(Dashboard!$N$5="All windows",Dashboard!$N$5=""),$S331=Dashboard!$N$5)),1,0))</f>
        <v/>
      </c>
      <c r="X331" s="175">
        <f>IF($W331=1,N($D331)*1E14+MIN(MAX(N($U331),0),9999)*1E10+MIN(N($K331),99999)*1E5+99999-MIN(ROW(),99999),"")</f>
        <v/>
      </c>
    </row>
    <row r="332" ht="53" customHeight="1">
      <c r="A332" s="160" t="n">
        <v>329</v>
      </c>
      <c r="B332" s="161" t="inlineStr">
        <is>
          <t>Mystery in El Bosque: sinkhole appears amid rain and swallows a car</t>
        </is>
      </c>
      <c r="C332" s="176" t="inlineStr">
        <is>
          <t>Infrastructure &amp; the Underground City</t>
        </is>
      </c>
      <c r="D332" s="163" t="n">
        <v>4</v>
      </c>
      <c r="E332" s="177" t="inlineStr">
        <is>
          <t>News brief</t>
        </is>
      </c>
      <c r="F332" s="165" t="inlineStr">
        <is>
          <t>To review</t>
        </is>
      </c>
      <c r="G332" s="166" t="n"/>
      <c r="H332" s="167" t="n"/>
      <c r="I332" s="168" t="inlineStr">
        <is>
          <t>How do rainfall, leaking pipes and soil erosion combine to create sudden road sinkholes that swallow vehicles, as in El Bosque?</t>
        </is>
      </c>
      <c r="J332" s="168" t="inlineStr">
        <is>
          <t>BioBioChile</t>
        </is>
      </c>
      <c r="K332" s="169" t="n">
        <v>46319</v>
      </c>
      <c r="L332" s="168" t="inlineStr">
        <is>
          <t>Misterio en El Bosque: socavón aparece en medio de la lluvia y se traga un auto</t>
        </is>
      </c>
      <c r="M332" s="168" t="n"/>
      <c r="N332" s="170" t="inlineStr">
        <is>
          <t>Chile</t>
        </is>
      </c>
      <c r="O332" s="168" t="inlineStr">
        <is>
          <t>El Bosque, Santiago</t>
        </is>
      </c>
      <c r="P332" s="168" t="n"/>
      <c r="Q332" s="171" t="inlineStr">
        <is>
          <t>Colombia</t>
        </is>
      </c>
      <c r="R332" s="169" t="n">
        <v>46317</v>
      </c>
      <c r="S332" s="170" t="inlineStr">
        <is>
          <t>2026-Q4</t>
        </is>
      </c>
      <c r="T332" s="172" t="inlineStr">
        <is>
          <t>sinkhole</t>
        </is>
      </c>
      <c r="U332" s="160" t="n">
        <v>4</v>
      </c>
      <c r="V332" s="173"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332" s="174">
        <f>IF($B332="",0,IF(AND(OR(OR(Dashboard!$B$5="All themes",Dashboard!$B$5=""),$C332=Dashboard!$B$5),OR(OR(Dashboard!$G$5="All uses",Dashboard!$G$5=""),$E332=Dashboard!$G$5),N($D332)&gt;=Lists!$H$2,OR(OR(Dashboard!$N$5="All windows",Dashboard!$N$5=""),$S332=Dashboard!$N$5)),1,0))</f>
        <v/>
      </c>
      <c r="X332" s="175">
        <f>IF($W332=1,N($D332)*1E14+MIN(MAX(N($U332),0),9999)*1E10+MIN(N($K332),99999)*1E5+99999-MIN(ROW(),99999),"")</f>
        <v/>
      </c>
    </row>
    <row r="333" ht="53" customHeight="1">
      <c r="A333" s="160" t="n">
        <v>330</v>
      </c>
      <c r="B333" s="161" t="inlineStr">
        <is>
          <t>More than 300 neighbourhoods at risk from rain; Eloy Alfaro sinkhole casts doubt on Quito's underground infrastructure</t>
        </is>
      </c>
      <c r="C333" s="176" t="inlineStr">
        <is>
          <t>Infrastructure &amp; the Underground City</t>
        </is>
      </c>
      <c r="D333" s="163" t="n">
        <v>4</v>
      </c>
      <c r="E333" s="164" t="inlineStr">
        <is>
          <t>Feature lead</t>
        </is>
      </c>
      <c r="F333" s="165" t="inlineStr">
        <is>
          <t>To review</t>
        </is>
      </c>
      <c r="G333" s="166" t="n"/>
      <c r="H333" s="167" t="n"/>
      <c r="I333" s="168" t="inlineStr">
        <is>
          <t>What does the Eloy Alfaro sinkhole reveal about the condition of Quito's buried infrastructure and the ground beneath rain-affected neighbourhoods?</t>
        </is>
      </c>
      <c r="J333" s="168" t="inlineStr">
        <is>
          <t>El Universo</t>
        </is>
      </c>
      <c r="K333" s="169" t="n">
        <v>46319</v>
      </c>
      <c r="L333" s="168" t="inlineStr">
        <is>
          <t>Más de 300 barrios en riesgo por las lluvias, socavón en la Eloy Alfaro pone en duda la infraestructura subterránea de Quito</t>
        </is>
      </c>
      <c r="M333" s="168" t="n"/>
      <c r="N333" s="170" t="inlineStr">
        <is>
          <t>Ecuador</t>
        </is>
      </c>
      <c r="O333" s="168" t="inlineStr">
        <is>
          <t>Eloy Alfaro, Quito</t>
        </is>
      </c>
      <c r="P333" s="168" t="n"/>
      <c r="Q333" s="171" t="inlineStr">
        <is>
          <t>Colombia</t>
        </is>
      </c>
      <c r="R333" s="169" t="n">
        <v>46318</v>
      </c>
      <c r="S333" s="170" t="inlineStr">
        <is>
          <t>2026-Q4</t>
        </is>
      </c>
      <c r="T333" s="172" t="inlineStr">
        <is>
          <t>sinkhole</t>
        </is>
      </c>
      <c r="U333" s="160" t="n">
        <v>4</v>
      </c>
      <c r="V333" s="173"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333" s="174">
        <f>IF($B333="",0,IF(AND(OR(OR(Dashboard!$B$5="All themes",Dashboard!$B$5=""),$C333=Dashboard!$B$5),OR(OR(Dashboard!$G$5="All uses",Dashboard!$G$5=""),$E333=Dashboard!$G$5),N($D333)&gt;=Lists!$H$2,OR(OR(Dashboard!$N$5="All windows",Dashboard!$N$5=""),$S333=Dashboard!$N$5)),1,0))</f>
        <v/>
      </c>
      <c r="X333" s="175">
        <f>IF($W333=1,N($D333)*1E14+MIN(MAX(N($U333),0),9999)*1E10+MIN(N($K333),99999)*1E5+99999-MIN(ROW(),99999),"")</f>
        <v/>
      </c>
    </row>
    <row r="334" ht="53" customHeight="1">
      <c r="A334" s="160" t="n">
        <v>331</v>
      </c>
      <c r="B334" s="161" t="inlineStr">
        <is>
          <t>Presidential delegate on Arauco sinkhole: 'It was built on land that was not optimal'</t>
        </is>
      </c>
      <c r="C334" s="176" t="inlineStr">
        <is>
          <t>Infrastructure &amp; the Underground City</t>
        </is>
      </c>
      <c r="D334" s="163" t="n">
        <v>4</v>
      </c>
      <c r="E334" s="164" t="inlineStr">
        <is>
          <t>Feature lead</t>
        </is>
      </c>
      <c r="F334" s="165" t="inlineStr">
        <is>
          <t>To review</t>
        </is>
      </c>
      <c r="G334" s="166" t="n"/>
      <c r="H334" s="167" t="n"/>
      <c r="I334" s="168" t="inlineStr">
        <is>
          <t>What ground investigation and foundation decisions should be scrutinised when a structure is built on unsuitable terrain, as officials claim in Arauco?</t>
        </is>
      </c>
      <c r="J334" s="168" t="inlineStr">
        <is>
          <t>Cooperativa</t>
        </is>
      </c>
      <c r="K334" s="169" t="n">
        <v>46319</v>
      </c>
      <c r="L334" s="168" t="inlineStr">
        <is>
          <t>Delegado presidencial y el socavón en Arauco: "Aquí se construyó en un terreno que no era óptimo"</t>
        </is>
      </c>
      <c r="M334" s="168" t="n"/>
      <c r="N334" s="170" t="inlineStr">
        <is>
          <t>Chile</t>
        </is>
      </c>
      <c r="O334" s="168" t="inlineStr">
        <is>
          <t>Arauco</t>
        </is>
      </c>
      <c r="P334" s="168" t="n"/>
      <c r="Q334" s="171" t="inlineStr">
        <is>
          <t>Colombia</t>
        </is>
      </c>
      <c r="R334" s="169" t="n">
        <v>46319</v>
      </c>
      <c r="S334" s="170" t="inlineStr">
        <is>
          <t>2026-Q4</t>
        </is>
      </c>
      <c r="T334" s="172" t="inlineStr">
        <is>
          <t>sinkhole</t>
        </is>
      </c>
      <c r="U334" s="160" t="n">
        <v>4</v>
      </c>
      <c r="V334" s="173"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334" s="174">
        <f>IF($B334="",0,IF(AND(OR(OR(Dashboard!$B$5="All themes",Dashboard!$B$5=""),$C334=Dashboard!$B$5),OR(OR(Dashboard!$G$5="All uses",Dashboard!$G$5=""),$E334=Dashboard!$G$5),N($D334)&gt;=Lists!$H$2,OR(OR(Dashboard!$N$5="All windows",Dashboard!$N$5=""),$S334=Dashboard!$N$5)),1,0))</f>
        <v/>
      </c>
      <c r="X334" s="175">
        <f>IF($W334=1,N($D334)*1E14+MIN(MAX(N($U334),0),9999)*1E10+MIN(N($K334),99999)*1E5+99999-MIN(ROW(),99999),"")</f>
        <v/>
      </c>
    </row>
    <row r="335" ht="40.5" customHeight="1">
      <c r="A335" s="160" t="n">
        <v>332</v>
      </c>
      <c r="B335" s="161" t="inlineStr">
        <is>
          <t>JUMAPAM and Pemex evaluate underground network after sinkhole on Emilio Barragán avenue in Mazatlán</t>
        </is>
      </c>
      <c r="C335" s="176" t="inlineStr">
        <is>
          <t>Infrastructure &amp; the Underground City</t>
        </is>
      </c>
      <c r="D335" s="163" t="n">
        <v>4</v>
      </c>
      <c r="E335" s="164" t="inlineStr">
        <is>
          <t>Feature lead</t>
        </is>
      </c>
      <c r="F335" s="165" t="inlineStr">
        <is>
          <t>To review</t>
        </is>
      </c>
      <c r="G335" s="166" t="n"/>
      <c r="H335" s="167" t="n"/>
      <c r="I335" s="168" t="inlineStr">
        <is>
          <t>How can utilities mapping and leak detection clarify whether pipe defects caused the Emilio Barragán sinkhole in Mazatlán?</t>
        </is>
      </c>
      <c r="J335" s="168" t="inlineStr">
        <is>
          <t>Debate</t>
        </is>
      </c>
      <c r="K335" s="169" t="n">
        <v>46319</v>
      </c>
      <c r="L335" s="168" t="inlineStr">
        <is>
          <t>JUMAPAM y Pemex evalúan red subterránea tras socavón en la avenida Emilio Barragán en Mazatlán</t>
        </is>
      </c>
      <c r="M335" s="168" t="n"/>
      <c r="N335" s="170" t="inlineStr">
        <is>
          <t>Mexico</t>
        </is>
      </c>
      <c r="O335" s="168" t="inlineStr">
        <is>
          <t>Mazatlan, Emilio Barragan avenue</t>
        </is>
      </c>
      <c r="P335" s="168" t="inlineStr">
        <is>
          <t>JUMAPAM and Pemex evaluate underground network after sinkhole on Emil… (Oct 2026) · Event · 2 reports</t>
        </is>
      </c>
      <c r="Q335" s="171" t="inlineStr">
        <is>
          <t>Colombia</t>
        </is>
      </c>
      <c r="R335" s="169" t="n">
        <v>46317</v>
      </c>
      <c r="S335" s="170" t="inlineStr">
        <is>
          <t>2026-Q4</t>
        </is>
      </c>
      <c r="T335" s="172" t="inlineStr">
        <is>
          <t>sinkhole</t>
        </is>
      </c>
      <c r="U335" s="160" t="n">
        <v>4</v>
      </c>
      <c r="V335" s="173"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335" s="174">
        <f>IF($B335="",0,IF(AND(OR(OR(Dashboard!$B$5="All themes",Dashboard!$B$5=""),$C335=Dashboard!$B$5),OR(OR(Dashboard!$G$5="All uses",Dashboard!$G$5=""),$E335=Dashboard!$G$5),N($D335)&gt;=Lists!$H$2,OR(OR(Dashboard!$N$5="All windows",Dashboard!$N$5=""),$S335=Dashboard!$N$5)),1,0))</f>
        <v/>
      </c>
      <c r="X335" s="175">
        <f>IF($W335=1,N($D335)*1E14+MIN(MAX(N($U335),0),9999)*1E10+MIN(N($K335),99999)*1E5+99999-MIN(ROW(),99999),"")</f>
        <v/>
      </c>
    </row>
    <row r="336" ht="65.5" customHeight="1">
      <c r="A336" s="160" t="n">
        <v>333</v>
      </c>
      <c r="B336" s="161" t="inlineStr">
        <is>
          <t>What lies inside the hole over two hectares wide in the middle of Phong Nha-Ke Bang forest?</t>
        </is>
      </c>
      <c r="C336" s="180" t="inlineStr">
        <is>
          <t>Characterisation &amp; Modelling</t>
        </is>
      </c>
      <c r="D336" s="163" t="n">
        <v>4</v>
      </c>
      <c r="E336" s="164" t="inlineStr">
        <is>
          <t>Feature lead</t>
        </is>
      </c>
      <c r="F336" s="165" t="inlineStr">
        <is>
          <t>To review</t>
        </is>
      </c>
      <c r="G336" s="166" t="n"/>
      <c r="H336" s="167" t="n"/>
      <c r="I336" s="168" t="inlineStr">
        <is>
          <t>What karst processes, such as collapse or dissolution, could create a large sinkhole of over two hectares in a tropical forest, and how should it be investigated and monitored?</t>
        </is>
      </c>
      <c r="J336" s="168" t="inlineStr">
        <is>
          <t>Vietnam.vn</t>
        </is>
      </c>
      <c r="K336" s="169" t="n">
        <v>46319</v>
      </c>
      <c r="L336" s="168" t="inlineStr">
        <is>
          <t>ما الذي يوجد داخل الحفرة التي تزيد مساحتها عن هكتارين في وسط غابة فونغ نها - كي بانغ؟</t>
        </is>
      </c>
      <c r="M336" s="168" t="n"/>
      <c r="N336" s="170" t="inlineStr">
        <is>
          <t>Vietnam</t>
        </is>
      </c>
      <c r="O336" s="168" t="inlineStr">
        <is>
          <t>Phong Nha-Ke Bang</t>
        </is>
      </c>
      <c r="P336" s="168" t="n"/>
      <c r="Q336" s="171" t="inlineStr">
        <is>
          <t>Egypt</t>
        </is>
      </c>
      <c r="R336" s="169" t="n">
        <v>46319</v>
      </c>
      <c r="S336" s="170" t="inlineStr">
        <is>
          <t>2026-Q4</t>
        </is>
      </c>
      <c r="T336" s="172" t="n"/>
      <c r="U336" s="160" t="n">
        <v>0</v>
      </c>
      <c r="V336" s="173" t="inlineStr">
        <is>
          <t>https://news.google.com/rss/articles/CBMijAFBVV95cUxOLWcwOXFBTWY2NnVDYW5EVi1yMldxeWpKd3NNTjB6SjMtS2FFRjBYQUd6ek1FYkVnVndOX0J3YXk1a3dVZW9KRWFCaV9KaHc4a25tdDBTWmFXc2hnU09sWEtNb2gxVjFhQ3RJaEJpVWhURWowRjNwVlV6ZG9RWVRlb1lpYXBrUV9YU0dDOQ?oc=5</t>
        </is>
      </c>
      <c r="W336" s="174">
        <f>IF($B336="",0,IF(AND(OR(OR(Dashboard!$B$5="All themes",Dashboard!$B$5=""),$C336=Dashboard!$B$5),OR(OR(Dashboard!$G$5="All uses",Dashboard!$G$5=""),$E336=Dashboard!$G$5),N($D336)&gt;=Lists!$H$2,OR(OR(Dashboard!$N$5="All windows",Dashboard!$N$5=""),$S336=Dashboard!$N$5)),1,0))</f>
        <v/>
      </c>
      <c r="X336" s="175">
        <f>IF($W336=1,N($D336)*1E14+MIN(MAX(N($U336),0),9999)*1E10+MIN(N($K336),99999)*1E5+99999-MIN(ROW(),99999),"")</f>
        <v/>
      </c>
    </row>
    <row r="337" ht="53" customHeight="1">
      <c r="A337" s="160" t="n">
        <v>334</v>
      </c>
      <c r="B337" s="161" t="inlineStr">
        <is>
          <t>Analytical study of 3D transient dynamic response of a cylindrical cavity in an elastic medium under triangular pulse load.</t>
        </is>
      </c>
      <c r="C337" s="180" t="inlineStr">
        <is>
          <t>Characterisation &amp; Modelling</t>
        </is>
      </c>
      <c r="D337" s="163" t="n">
        <v>4</v>
      </c>
      <c r="E337" s="182" t="inlineStr">
        <is>
          <t>Academia-to-Industry topic</t>
        </is>
      </c>
      <c r="F337" s="165" t="inlineStr">
        <is>
          <t>To review</t>
        </is>
      </c>
      <c r="G337" s="166" t="n"/>
      <c r="H337" s="167" t="n"/>
      <c r="I337" s="168" t="inlineStr">
        <is>
          <t>How do analytical solutions for a cylindrical cavity under triangular pulse loads inform the validation of numerical models for underground openings under impact?</t>
        </is>
      </c>
      <c r="J337" s="168" t="inlineStr">
        <is>
          <t>生物通</t>
        </is>
      </c>
      <c r="K337" s="169" t="n">
        <v>46319</v>
      </c>
      <c r="L337" s="168" t="inlineStr">
        <is>
          <t>弹性介质中圆柱形空腔受三角形脉冲冲击载荷的三维瞬态动力响应解析研究</t>
        </is>
      </c>
      <c r="M337" s="168" t="n"/>
      <c r="N337" s="170" t="n"/>
      <c r="O337" s="168" t="n"/>
      <c r="P337" s="168" t="n"/>
      <c r="Q337" s="171" t="inlineStr">
        <is>
          <t>China</t>
        </is>
      </c>
      <c r="R337" s="169" t="n">
        <v>46318</v>
      </c>
      <c r="S337" s="170" t="inlineStr">
        <is>
          <t>2026-Q4</t>
        </is>
      </c>
      <c r="T337" s="172" t="n"/>
      <c r="U337" s="160" t="n">
        <v>0</v>
      </c>
      <c r="V337" s="173" t="inlineStr">
        <is>
          <t>https://news.google.com/rss/articles/CBMibkFVX3lxTE5PclBzMHZTYkNxbkRYVWFacWgzMjRTdE1JdmNYSi1xbTlBaVZLRTVjTHpCTlQ4c2lEQ2xoMk9kcEdROGxBOFI4Zk9YV3JGSXdUZDg1blVlelJzbU54VjkzTkUySEV5Z2x2aHY5R0xB?oc=5</t>
        </is>
      </c>
      <c r="W337" s="174">
        <f>IF($B337="",0,IF(AND(OR(OR(Dashboard!$B$5="All themes",Dashboard!$B$5=""),$C337=Dashboard!$B$5),OR(OR(Dashboard!$G$5="All uses",Dashboard!$G$5=""),$E337=Dashboard!$G$5),N($D337)&gt;=Lists!$H$2,OR(OR(Dashboard!$N$5="All windows",Dashboard!$N$5=""),$S337=Dashboard!$N$5)),1,0))</f>
        <v/>
      </c>
      <c r="X337" s="175">
        <f>IF($W337=1,N($D337)*1E14+MIN(MAX(N($U337),0),9999)*1E10+MIN(N($K337),99999)*1E5+99999-MIN(ROW(),99999),"")</f>
        <v/>
      </c>
    </row>
    <row r="338" ht="53" customHeight="1">
      <c r="A338" s="160" t="n">
        <v>335</v>
      </c>
      <c r="B338" s="161" t="inlineStr">
        <is>
          <t>Concerns over riverbank erosion leading to loss of farmland</t>
        </is>
      </c>
      <c r="C338" s="185" t="inlineStr">
        <is>
          <t>Offshore, Coasts &amp; Water</t>
        </is>
      </c>
      <c r="D338" s="163" t="n">
        <v>4</v>
      </c>
      <c r="E338" s="164" t="inlineStr">
        <is>
          <t>Feature lead</t>
        </is>
      </c>
      <c r="F338" s="165" t="inlineStr">
        <is>
          <t>To review</t>
        </is>
      </c>
      <c r="G338" s="166" t="n"/>
      <c r="H338" s="167" t="n"/>
      <c r="I338" s="168" t="inlineStr">
        <is>
          <t>What bank erosion mechanisms and protection measures are effective for riverbanks threatening farmland, and how can they be monitored over time?</t>
        </is>
      </c>
      <c r="J338" s="168" t="inlineStr">
        <is>
          <t>Vietnam.vn</t>
        </is>
      </c>
      <c r="K338" s="169" t="n">
        <v>46319</v>
      </c>
      <c r="L338" s="168" t="inlineStr">
        <is>
          <t>مخاوف بشأن تآكل ضفاف الأنهار مما يؤدي إلى فقدان الأراضي الزراعية.</t>
        </is>
      </c>
      <c r="M338" s="168" t="n"/>
      <c r="N338" s="170" t="inlineStr">
        <is>
          <t>Vietnam</t>
        </is>
      </c>
      <c r="O338" s="168" t="n"/>
      <c r="P338" s="168" t="n"/>
      <c r="Q338" s="171" t="inlineStr">
        <is>
          <t>Egypt</t>
        </is>
      </c>
      <c r="R338" s="169" t="n">
        <v>46318</v>
      </c>
      <c r="S338" s="170" t="inlineStr">
        <is>
          <t>2026-Q4</t>
        </is>
      </c>
      <c r="T338" s="172" t="n"/>
      <c r="U338" s="160" t="n">
        <v>0</v>
      </c>
      <c r="V338" s="173" t="inlineStr">
        <is>
          <t>https://news.google.com/rss/articles/CBMic0FVX3lxTE85MmNnNDd2QkUzaFV4QTZmTmJXNTAzbUZfMjdpdlNaSjEyODN0eW51ZUp0RzE3SHY2NzRuQlZtOHdtcnFQLWlBOGQ5eVQ3QTU1REJMWTRvZm1qTFZHZWZ0ZU9WTGRiYkhJNGVEaEliZW9GZWc?oc=5</t>
        </is>
      </c>
      <c r="W338" s="174">
        <f>IF($B338="",0,IF(AND(OR(OR(Dashboard!$B$5="All themes",Dashboard!$B$5=""),$C338=Dashboard!$B$5),OR(OR(Dashboard!$G$5="All uses",Dashboard!$G$5=""),$E338=Dashboard!$G$5),N($D338)&gt;=Lists!$H$2,OR(OR(Dashboard!$N$5="All windows",Dashboard!$N$5=""),$S338=Dashboard!$N$5)),1,0))</f>
        <v/>
      </c>
      <c r="X338" s="175">
        <f>IF($W338=1,N($D338)*1E14+MIN(MAX(N($U338),0),9999)*1E10+MIN(N($K338),99999)*1E5+99999-MIN(ROW(),99999),"")</f>
        <v/>
      </c>
    </row>
    <row r="339" ht="53" customHeight="1">
      <c r="A339" s="160" t="n">
        <v>336</v>
      </c>
      <c r="B339" s="161" t="inlineStr">
        <is>
          <t>Quang Tri: Severe sea erosion threatens dykes and residents' livelihoods</t>
        </is>
      </c>
      <c r="C339" s="185" t="inlineStr">
        <is>
          <t>Offshore, Coasts &amp; Water</t>
        </is>
      </c>
      <c r="D339" s="163" t="n">
        <v>4</v>
      </c>
      <c r="E339" s="164" t="inlineStr">
        <is>
          <t>Feature lead</t>
        </is>
      </c>
      <c r="F339" s="165" t="inlineStr">
        <is>
          <t>To review</t>
        </is>
      </c>
      <c r="G339" s="166" t="n"/>
      <c r="H339" s="167" t="n"/>
      <c r="I339" s="168" t="inlineStr">
        <is>
          <t>How do sea-level-driven erosion and scour undermine sea dyke foundations in Quang Tri, and which revetment and foundation designs suit eroding sandy coastal soils?</t>
        </is>
      </c>
      <c r="J339" s="168" t="inlineStr">
        <is>
          <t>Người Đưa Tin</t>
        </is>
      </c>
      <c r="K339" s="169" t="n">
        <v>46319</v>
      </c>
      <c r="L339" s="168" t="inlineStr">
        <is>
          <t>Quảng Trị: Biển xâm thực nghiêm trọng đe dọa đê kè và đời sống người dân</t>
        </is>
      </c>
      <c r="M339" s="168" t="n"/>
      <c r="N339" s="170" t="inlineStr">
        <is>
          <t>Vietnam</t>
        </is>
      </c>
      <c r="O339" s="168" t="inlineStr">
        <is>
          <t>Quang Tri</t>
        </is>
      </c>
      <c r="P339" s="168" t="n"/>
      <c r="Q339" s="171" t="inlineStr">
        <is>
          <t>Vietnam</t>
        </is>
      </c>
      <c r="R339" s="169" t="n">
        <v>46318</v>
      </c>
      <c r="S339" s="170" t="inlineStr">
        <is>
          <t>2026-Q4</t>
        </is>
      </c>
      <c r="T339" s="172" t="n"/>
      <c r="U339" s="160" t="n">
        <v>0</v>
      </c>
      <c r="V339" s="173"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339" s="174">
        <f>IF($B339="",0,IF(AND(OR(OR(Dashboard!$B$5="All themes",Dashboard!$B$5=""),$C339=Dashboard!$B$5),OR(OR(Dashboard!$G$5="All uses",Dashboard!$G$5=""),$E339=Dashboard!$G$5),N($D339)&gt;=Lists!$H$2,OR(OR(Dashboard!$N$5="All windows",Dashboard!$N$5=""),$S339=Dashboard!$N$5)),1,0))</f>
        <v/>
      </c>
      <c r="X339" s="175">
        <f>IF($W339=1,N($D339)*1E14+MIN(MAX(N($U339),0),9999)*1E10+MIN(N($K339),99999)*1E5+99999-MIN(ROW(),99999),"")</f>
        <v/>
      </c>
    </row>
    <row r="340" ht="65.5" customHeight="1">
      <c r="A340" s="160" t="n">
        <v>337</v>
      </c>
      <c r="B340" s="161" t="inlineStr">
        <is>
          <t>Ben Thanh - Tham Luong metro to have all 11 stations completed by end of 2026</t>
        </is>
      </c>
      <c r="C340" s="176" t="inlineStr">
        <is>
          <t>Infrastructure &amp; the Underground City</t>
        </is>
      </c>
      <c r="D340" s="163" t="n">
        <v>4</v>
      </c>
      <c r="E340" s="164" t="inlineStr">
        <is>
          <t>Feature lead</t>
        </is>
      </c>
      <c r="F340" s="165" t="inlineStr">
        <is>
          <t>To review</t>
        </is>
      </c>
      <c r="G340" s="166" t="n"/>
      <c r="H340" s="167" t="n"/>
      <c r="I340" s="168" t="inlineStr">
        <is>
          <t>What ground conditions and deep excavation and tunnelling methods are used for metro stations in soft Ho Chi Minh City clays with high groundwater, and what risks follow?</t>
        </is>
      </c>
      <c r="J340" s="168" t="inlineStr">
        <is>
          <t>VOH</t>
        </is>
      </c>
      <c r="K340" s="169" t="n">
        <v>46319</v>
      </c>
      <c r="L340" s="168" t="inlineStr">
        <is>
          <t>Metro Bến Thành - Tham Lương cuối năm 2026 làm cả 11 nhà ga</t>
        </is>
      </c>
      <c r="M340" s="168" t="n"/>
      <c r="N340" s="170" t="inlineStr">
        <is>
          <t>Vietnam</t>
        </is>
      </c>
      <c r="O340" s="168" t="inlineStr">
        <is>
          <t>Ho Chi Minh City</t>
        </is>
      </c>
      <c r="P340" s="168" t="n"/>
      <c r="Q340" s="171" t="inlineStr">
        <is>
          <t>Vietnam</t>
        </is>
      </c>
      <c r="R340" s="169" t="n">
        <v>46318</v>
      </c>
      <c r="S340" s="170" t="inlineStr">
        <is>
          <t>2026-Q4</t>
        </is>
      </c>
      <c r="T340" s="172" t="n"/>
      <c r="U340" s="160" t="n">
        <v>0</v>
      </c>
      <c r="V340" s="173" t="inlineStr">
        <is>
          <t>https://news.google.com/rss/articles/CBMioAFBVV95cUxQdGo5XzZaLXUtaGVxUE5qb0ltRENoMjhVWlN4b0dqZFpPREJTNGw4Rld2bmtEX2VnSlB4TkJYVkxPUjdzZXYxZ2tWOG5kaWpUSFF1UGRjaUNKY3NOTkpVeFZpOFhMOW1QYkZIQXZ0ZTV4NjBseUVBYzdBdDNPTGNtc0pMRXFSWWM0SmVhS05Ld2hVemp5bHdkX290ZFltU3NC?oc=5</t>
        </is>
      </c>
      <c r="W340" s="174">
        <f>IF($B340="",0,IF(AND(OR(OR(Dashboard!$B$5="All themes",Dashboard!$B$5=""),$C340=Dashboard!$B$5),OR(OR(Dashboard!$G$5="All uses",Dashboard!$G$5=""),$E340=Dashboard!$G$5),N($D340)&gt;=Lists!$H$2,OR(OR(Dashboard!$N$5="All windows",Dashboard!$N$5=""),$S340=Dashboard!$N$5)),1,0))</f>
        <v/>
      </c>
      <c r="X340" s="175">
        <f>IF($W340=1,N($D340)*1E14+MIN(MAX(N($U340),0),9999)*1E10+MIN(N($K340),99999)*1E5+99999-MIN(ROW(),99999),"")</f>
        <v/>
      </c>
    </row>
    <row r="341" ht="40.5" customHeight="1">
      <c r="A341" s="160" t="n">
        <v>338</v>
      </c>
      <c r="B341" s="161" t="inlineStr">
        <is>
          <t>Snowy 2.0 cost and completion date revised</t>
        </is>
      </c>
      <c r="C341" s="178" t="inlineStr">
        <is>
          <t>Sustainability &amp; the Energy Transition</t>
        </is>
      </c>
      <c r="D341" s="163" t="n">
        <v>3</v>
      </c>
      <c r="E341" s="177" t="inlineStr">
        <is>
          <t>News brief</t>
        </is>
      </c>
      <c r="F341" s="165" t="inlineStr">
        <is>
          <t>To review</t>
        </is>
      </c>
      <c r="G341" s="166" t="n"/>
      <c r="H341" s="167" t="n"/>
      <c r="I341" s="168" t="inlineStr">
        <is>
          <t>What ground-related risks drive cost and schedule overruns in large pumped hydro cavern and tunnel excavations?</t>
        </is>
      </c>
      <c r="J341" s="168" t="inlineStr">
        <is>
          <t>Tunnels &amp; Tunnelling</t>
        </is>
      </c>
      <c r="K341" s="169" t="n">
        <v>46319</v>
      </c>
      <c r="L341" s="168" t="n"/>
      <c r="M341" s="168" t="n"/>
      <c r="N341" s="170" t="inlineStr">
        <is>
          <t>Australia</t>
        </is>
      </c>
      <c r="O341" s="168" t="inlineStr">
        <is>
          <t>Snowy Mountains</t>
        </is>
      </c>
      <c r="P341" s="168" t="n"/>
      <c r="Q341" s="171" t="n"/>
      <c r="R341" s="169" t="n">
        <v>46318</v>
      </c>
      <c r="S341" s="170" t="inlineStr">
        <is>
          <t>2026-Q4</t>
        </is>
      </c>
      <c r="T341" s="172" t="inlineStr">
        <is>
          <t>excavation, tbm, tunnelling, tunnel</t>
        </is>
      </c>
      <c r="U341" s="160" t="n">
        <v>10</v>
      </c>
      <c r="V341" s="173" t="inlineStr">
        <is>
          <t>https://www.tunnelsandtunnelling.com/news/snowy-2-0-cost-and-completion-date-revised/</t>
        </is>
      </c>
      <c r="W341" s="174">
        <f>IF($B341="",0,IF(AND(OR(OR(Dashboard!$B$5="All themes",Dashboard!$B$5=""),$C341=Dashboard!$B$5),OR(OR(Dashboard!$G$5="All uses",Dashboard!$G$5=""),$E341=Dashboard!$G$5),N($D341)&gt;=Lists!$H$2,OR(OR(Dashboard!$N$5="All windows",Dashboard!$N$5=""),$S341=Dashboard!$N$5)),1,0))</f>
        <v/>
      </c>
      <c r="X341" s="175">
        <f>IF($W341=1,N($D341)*1E14+MIN(MAX(N($U341),0),9999)*1E10+MIN(N($K341),99999)*1E5+99999-MIN(ROW(),99999),"")</f>
        <v/>
      </c>
    </row>
    <row r="342" ht="53" customHeight="1">
      <c r="A342" s="160" t="n">
        <v>339</v>
      </c>
      <c r="B342" s="161" t="inlineStr">
        <is>
          <t>Mobile shield deployed for A14 Vinci Tunnel reconstruction</t>
        </is>
      </c>
      <c r="C342" s="176" t="inlineStr">
        <is>
          <t>Infrastructure &amp; the Underground City</t>
        </is>
      </c>
      <c r="D342" s="163" t="n">
        <v>3</v>
      </c>
      <c r="E342" s="177" t="inlineStr">
        <is>
          <t>News brief</t>
        </is>
      </c>
      <c r="F342" s="165" t="inlineStr">
        <is>
          <t>To review</t>
        </is>
      </c>
      <c r="G342" s="166" t="n"/>
      <c r="H342" s="167" t="n"/>
      <c r="I342" s="168" t="inlineStr">
        <is>
          <t>How does a mobile shield enable tunnel reconstruction within an operating motorway tunnel, and what ground support issues arise?</t>
        </is>
      </c>
      <c r="J342" s="168" t="inlineStr">
        <is>
          <t>Tunnelling Journal</t>
        </is>
      </c>
      <c r="K342" s="169" t="n">
        <v>46319</v>
      </c>
      <c r="L342" s="168" t="n"/>
      <c r="M342" s="168" t="n"/>
      <c r="N342" s="170" t="inlineStr">
        <is>
          <t>Italy</t>
        </is>
      </c>
      <c r="O342" s="168" t="inlineStr">
        <is>
          <t>A14 Vinci Tunnel</t>
        </is>
      </c>
      <c r="P342" s="168" t="n"/>
      <c r="Q342" s="171" t="n"/>
      <c r="R342" s="169" t="n">
        <v>46317</v>
      </c>
      <c r="S342" s="170" t="inlineStr">
        <is>
          <t>2026-Q4</t>
        </is>
      </c>
      <c r="T342" s="172" t="inlineStr">
        <is>
          <t>tunnelling, tunnel</t>
        </is>
      </c>
      <c r="U342" s="160" t="n">
        <v>7</v>
      </c>
      <c r="V342" s="173" t="inlineStr">
        <is>
          <t>https://tunnellingjournal.com/mobile-shield-deployed-for-a14-vinci-tunnel-reconstruction/</t>
        </is>
      </c>
      <c r="W342" s="174">
        <f>IF($B342="",0,IF(AND(OR(OR(Dashboard!$B$5="All themes",Dashboard!$B$5=""),$C342=Dashboard!$B$5),OR(OR(Dashboard!$G$5="All uses",Dashboard!$G$5=""),$E342=Dashboard!$G$5),N($D342)&gt;=Lists!$H$2,OR(OR(Dashboard!$N$5="All windows",Dashboard!$N$5=""),$S342=Dashboard!$N$5)),1,0))</f>
        <v/>
      </c>
      <c r="X342" s="175">
        <f>IF($W342=1,N($D342)*1E14+MIN(MAX(N($U342),0),9999)*1E10+MIN(N($K342),99999)*1E5+99999-MIN(ROW(),99999),"")</f>
        <v/>
      </c>
    </row>
    <row r="343" ht="53" customHeight="1">
      <c r="A343" s="160" t="n">
        <v>340</v>
      </c>
      <c r="B343" s="161" t="inlineStr">
        <is>
          <t>What options exist for Mot Mountain in Quy Nhon: levelling it or preserving the historic site?</t>
        </is>
      </c>
      <c r="C343" s="176" t="inlineStr">
        <is>
          <t>Infrastructure &amp; the Underground City</t>
        </is>
      </c>
      <c r="D343" s="163" t="n">
        <v>3</v>
      </c>
      <c r="E343" s="164" t="inlineStr">
        <is>
          <t>Feature lead</t>
        </is>
      </c>
      <c r="F343" s="165" t="inlineStr">
        <is>
          <t>To review</t>
        </is>
      </c>
      <c r="G343" s="166" t="n"/>
      <c r="H343" s="167" t="n"/>
      <c r="I343" s="168" t="inlineStr">
        <is>
          <t>What geotechnical and heritage considerations should guide levelling versus preserving a rocky hill site in an urban coastal city?</t>
        </is>
      </c>
      <c r="J343" s="168" t="inlineStr">
        <is>
          <t>Vietnam.vn</t>
        </is>
      </c>
      <c r="K343" s="169" t="n">
        <v>46319</v>
      </c>
      <c r="L343" s="168" t="inlineStr">
        <is>
          <t>Apa saja pilihan yang tersedia untuk Gunung Mot di Quy Nhon: meratakannya atau melestarikan situs bersejarah tersebut?</t>
        </is>
      </c>
      <c r="M343" s="168" t="n"/>
      <c r="N343" s="170" t="inlineStr">
        <is>
          <t>Vietnam</t>
        </is>
      </c>
      <c r="O343" s="168" t="inlineStr">
        <is>
          <t>Mot Mountain, Quy Nhon</t>
        </is>
      </c>
      <c r="P343" s="168" t="inlineStr">
        <is>
          <t>Mot Mountain levelling proposal, Quy Nhon, Vietnam · Event · 2 reports</t>
        </is>
      </c>
      <c r="Q343" s="171" t="inlineStr">
        <is>
          <t>Indonesia</t>
        </is>
      </c>
      <c r="R343" s="169" t="n">
        <v>46319</v>
      </c>
      <c r="S343" s="170" t="inlineStr">
        <is>
          <t>2026-Q4</t>
        </is>
      </c>
      <c r="T343" s="172" t="n"/>
      <c r="U343" s="160" t="n">
        <v>6</v>
      </c>
      <c r="V343" s="173" t="inlineStr">
        <is>
          <t>https://news.google.com/rss/articles/CBMilgFBVV95cUxPbVV1NmdrOGFidElfXzZzV1ppbDBCOEc5V0luUWxOSTAwMXNGdmhVMkoxMjUwSUpmbU5lQlBuNkFVTXZGMk5IRzd5Y0taREt0ckRUT3VqSjBfbGFPTmRjUTZFS18wLTQ5Wi1ZdnFtYWd1QmN0U0Nsekx4ZzR0YVk0dmhhTXVpTW1rdEpCbGlKLTZNVXVzMEE?oc=5</t>
        </is>
      </c>
      <c r="W343" s="174">
        <f>IF($B343="",0,IF(AND(OR(OR(Dashboard!$B$5="All themes",Dashboard!$B$5=""),$C343=Dashboard!$B$5),OR(OR(Dashboard!$G$5="All uses",Dashboard!$G$5=""),$E343=Dashboard!$G$5),N($D343)&gt;=Lists!$H$2,OR(OR(Dashboard!$N$5="All windows",Dashboard!$N$5=""),$S343=Dashboard!$N$5)),1,0))</f>
        <v/>
      </c>
      <c r="X343" s="175">
        <f>IF($W343=1,N($D343)*1E14+MIN(MAX(N($U343),0),9999)*1E10+MIN(N($K343),99999)*1E5+99999-MIN(ROW(),99999),"")</f>
        <v/>
      </c>
    </row>
    <row r="344" ht="40.5" customHeight="1">
      <c r="A344" s="160" t="n">
        <v>341</v>
      </c>
      <c r="B344" s="161" t="inlineStr">
        <is>
          <t>Abergeldie awarded patent for underground hydrogen storage solution</t>
        </is>
      </c>
      <c r="C344" s="178" t="inlineStr">
        <is>
          <t>Sustainability &amp; the Energy Transition</t>
        </is>
      </c>
      <c r="D344" s="163" t="n">
        <v>3</v>
      </c>
      <c r="E344" s="182" t="inlineStr">
        <is>
          <t>Academia-to-Industry topic</t>
        </is>
      </c>
      <c r="F344" s="165" t="inlineStr">
        <is>
          <t>To review</t>
        </is>
      </c>
      <c r="G344" s="166" t="n"/>
      <c r="H344" s="167" t="n"/>
      <c r="I344" s="168" t="inlineStr">
        <is>
          <t>What ground conditions and geomechanical criteria govern underground hydrogen storage, and how does blind boring apply?</t>
        </is>
      </c>
      <c r="J344" s="168" t="inlineStr">
        <is>
          <t>Tunnels &amp; Tunnelling</t>
        </is>
      </c>
      <c r="K344" s="169" t="n">
        <v>46319</v>
      </c>
      <c r="L344" s="168" t="n"/>
      <c r="M344" s="168" t="n"/>
      <c r="N344" s="170" t="n"/>
      <c r="O344" s="168" t="n"/>
      <c r="P344" s="168" t="n"/>
      <c r="Q344" s="171" t="n"/>
      <c r="R344" s="169" t="n">
        <v>46318</v>
      </c>
      <c r="S344" s="170" t="inlineStr">
        <is>
          <t>2026-Q4</t>
        </is>
      </c>
      <c r="T344" s="172" t="inlineStr">
        <is>
          <t>tunnelling, tunnel</t>
        </is>
      </c>
      <c r="U344" s="160" t="n">
        <v>5</v>
      </c>
      <c r="V344" s="173" t="inlineStr">
        <is>
          <t>https://www.tunnelsandtunnelling.com/news/abergeldie-awarded-patent-for-underground-hydrogen-storage-solution/</t>
        </is>
      </c>
      <c r="W344" s="174">
        <f>IF($B344="",0,IF(AND(OR(OR(Dashboard!$B$5="All themes",Dashboard!$B$5=""),$C344=Dashboard!$B$5),OR(OR(Dashboard!$G$5="All uses",Dashboard!$G$5=""),$E344=Dashboard!$G$5),N($D344)&gt;=Lists!$H$2,OR(OR(Dashboard!$N$5="All windows",Dashboard!$N$5=""),$S344=Dashboard!$N$5)),1,0))</f>
        <v/>
      </c>
      <c r="X344" s="175">
        <f>IF($W344=1,N($D344)*1E14+MIN(MAX(N($U344),0),9999)*1E10+MIN(N($K344),99999)*1E5+99999-MIN(ROW(),99999),"")</f>
        <v/>
      </c>
    </row>
    <row r="345" ht="40.5" customHeight="1">
      <c r="A345" s="160" t="n">
        <v>342</v>
      </c>
      <c r="B345" s="161" t="inlineStr">
        <is>
          <t>Snowy 2.0 cost rises to A$22.2bn</t>
        </is>
      </c>
      <c r="C345" s="178" t="inlineStr">
        <is>
          <t>Sustainability &amp; the Energy Transition</t>
        </is>
      </c>
      <c r="D345" s="163" t="n">
        <v>3</v>
      </c>
      <c r="E345" s="177" t="inlineStr">
        <is>
          <t>News brief</t>
        </is>
      </c>
      <c r="F345" s="165" t="inlineStr">
        <is>
          <t>To review</t>
        </is>
      </c>
      <c r="G345" s="166" t="n"/>
      <c r="H345" s="167" t="n"/>
      <c r="I345" s="168" t="inlineStr">
        <is>
          <t>What ground-related factors drive repeated cost increases in large underground pumped hydro projects?</t>
        </is>
      </c>
      <c r="J345" s="168" t="inlineStr">
        <is>
          <t>Tunnelling Journal</t>
        </is>
      </c>
      <c r="K345" s="169" t="n">
        <v>46319</v>
      </c>
      <c r="L345" s="168" t="n"/>
      <c r="M345" s="168" t="n"/>
      <c r="N345" s="170" t="inlineStr">
        <is>
          <t>Australia</t>
        </is>
      </c>
      <c r="O345" s="168" t="inlineStr">
        <is>
          <t>Snowy Mountains</t>
        </is>
      </c>
      <c r="P345" s="168" t="n"/>
      <c r="Q345" s="171" t="n"/>
      <c r="R345" s="169" t="n">
        <v>46318</v>
      </c>
      <c r="S345" s="170" t="inlineStr">
        <is>
          <t>2026-Q4</t>
        </is>
      </c>
      <c r="T345" s="172" t="inlineStr">
        <is>
          <t>tunnelling</t>
        </is>
      </c>
      <c r="U345" s="160" t="n">
        <v>5</v>
      </c>
      <c r="V345" s="173" t="inlineStr">
        <is>
          <t>https://tunnellingjournal.com/snowy-2-0-cost-rises-to-a22-2bn-as-tunnelling-reaches-65-completion/</t>
        </is>
      </c>
      <c r="W345" s="174">
        <f>IF($B345="",0,IF(AND(OR(OR(Dashboard!$B$5="All themes",Dashboard!$B$5=""),$C345=Dashboard!$B$5),OR(OR(Dashboard!$G$5="All uses",Dashboard!$G$5=""),$E345=Dashboard!$G$5),N($D345)&gt;=Lists!$H$2,OR(OR(Dashboard!$N$5="All windows",Dashboard!$N$5=""),$S345=Dashboard!$N$5)),1,0))</f>
        <v/>
      </c>
      <c r="X345" s="175">
        <f>IF($W345=1,N($D345)*1E14+MIN(MAX(N($U345),0),9999)*1E10+MIN(N($K345),99999)*1E5+99999-MIN(ROW(),99999),"")</f>
        <v/>
      </c>
    </row>
    <row r="346" ht="53" customHeight="1">
      <c r="A346" s="160" t="n">
        <v>343</v>
      </c>
      <c r="B346" s="161" t="inlineStr">
        <is>
          <t>Minvu advances 121 housing support cases in Villa El Mirador, Arauco, and prepares soil study</t>
        </is>
      </c>
      <c r="C346" s="180" t="inlineStr">
        <is>
          <t>Characterisation &amp; Modelling</t>
        </is>
      </c>
      <c r="D346" s="163" t="n">
        <v>3</v>
      </c>
      <c r="E346" s="177" t="inlineStr">
        <is>
          <t>News brief</t>
        </is>
      </c>
      <c r="F346" s="165" t="inlineStr">
        <is>
          <t>To review</t>
        </is>
      </c>
      <c r="G346" s="166" t="n"/>
      <c r="H346" s="167" t="n"/>
      <c r="I346" s="168" t="inlineStr">
        <is>
          <t>What soil investigation is needed before housing support works on this site, and how should ground conditions shape foundation choice?</t>
        </is>
      </c>
      <c r="J346" s="168" t="inlineStr">
        <is>
          <t>Trade-news.cl</t>
        </is>
      </c>
      <c r="K346" s="169" t="n">
        <v>46319</v>
      </c>
      <c r="L346" s="168" t="inlineStr">
        <is>
          <t>Minvu avanza en 121 casos de apoyo habitacional en la Villa El Mirador de Arauco y prepara estudio de suelos</t>
        </is>
      </c>
      <c r="M346" s="168" t="n"/>
      <c r="N346" s="170" t="inlineStr">
        <is>
          <t>Chile</t>
        </is>
      </c>
      <c r="O346" s="168" t="inlineStr">
        <is>
          <t>Villa El Mirador, Arauco</t>
        </is>
      </c>
      <c r="P346" s="168" t="inlineStr">
        <is>
          <t>Arauco sinkhole, Chile (Oct 2026) · Event · 2 reports</t>
        </is>
      </c>
      <c r="Q346" s="171" t="inlineStr">
        <is>
          <t>Peru</t>
        </is>
      </c>
      <c r="R346" s="169" t="n">
        <v>46318</v>
      </c>
      <c r="S346" s="170" t="inlineStr">
        <is>
          <t>2026-Q4</t>
        </is>
      </c>
      <c r="T346" s="172" t="inlineStr">
        <is>
          <t>site investigation, soil</t>
        </is>
      </c>
      <c r="U346" s="160" t="n">
        <v>5</v>
      </c>
      <c r="V346" s="173"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346" s="174">
        <f>IF($B346="",0,IF(AND(OR(OR(Dashboard!$B$5="All themes",Dashboard!$B$5=""),$C346=Dashboard!$B$5),OR(OR(Dashboard!$G$5="All uses",Dashboard!$G$5=""),$E346=Dashboard!$G$5),N($D346)&gt;=Lists!$H$2,OR(OR(Dashboard!$N$5="All windows",Dashboard!$N$5=""),$S346=Dashboard!$N$5)),1,0))</f>
        <v/>
      </c>
      <c r="X346" s="175">
        <f>IF($W346=1,N($D346)*1E14+MIN(MAX(N($U346),0),9999)*1E10+MIN(N($K346),99999)*1E5+99999-MIN(ROW(),99999),"")</f>
        <v/>
      </c>
    </row>
    <row r="347" ht="53" customHeight="1">
      <c r="A347" s="160" t="n">
        <v>344</v>
      </c>
      <c r="B347" s="161" t="inlineStr">
        <is>
          <t>Body of miner trapped in a tunnel collapse in Gámeza recovered</t>
        </is>
      </c>
      <c r="C347" s="186" t="inlineStr">
        <is>
          <t>Geotechnics &amp; Society</t>
        </is>
      </c>
      <c r="D347" s="163" t="n">
        <v>3</v>
      </c>
      <c r="E347" s="177" t="inlineStr">
        <is>
          <t>News brief</t>
        </is>
      </c>
      <c r="F347" s="165" t="inlineStr">
        <is>
          <t>To review</t>
        </is>
      </c>
      <c r="G347" s="166" t="n"/>
      <c r="H347" s="167" t="n"/>
      <c r="I347" s="168" t="inlineStr">
        <is>
          <t>What ground and support conditions lead to tunnel collapses in small mines, and how can rescue operations account for ground instability?</t>
        </is>
      </c>
      <c r="J347" s="168" t="inlineStr">
        <is>
          <t>Boyacá 7 Días</t>
        </is>
      </c>
      <c r="K347" s="169" t="n">
        <v>46319</v>
      </c>
      <c r="L347" s="168" t="inlineStr">
        <is>
          <t>Rescatan el cuerpo sin vida del minero que había quedado atrapado en un socavón en Gámeza</t>
        </is>
      </c>
      <c r="M347" s="168" t="n"/>
      <c r="N347" s="170" t="inlineStr">
        <is>
          <t>Colombia</t>
        </is>
      </c>
      <c r="O347" s="168" t="inlineStr">
        <is>
          <t>Gámeza, Boyacá</t>
        </is>
      </c>
      <c r="P347" s="168" t="n"/>
      <c r="Q347" s="171" t="inlineStr">
        <is>
          <t>Colombia</t>
        </is>
      </c>
      <c r="R347" s="169" t="n">
        <v>46317</v>
      </c>
      <c r="S347" s="170" t="inlineStr">
        <is>
          <t>2026-Q4</t>
        </is>
      </c>
      <c r="T347" s="172" t="inlineStr">
        <is>
          <t>sinkhole</t>
        </is>
      </c>
      <c r="U347" s="160" t="n">
        <v>4</v>
      </c>
      <c r="V347" s="173"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347" s="174">
        <f>IF($B347="",0,IF(AND(OR(OR(Dashboard!$B$5="All themes",Dashboard!$B$5=""),$C347=Dashboard!$B$5),OR(OR(Dashboard!$G$5="All uses",Dashboard!$G$5=""),$E347=Dashboard!$G$5),N($D347)&gt;=Lists!$H$2,OR(OR(Dashboard!$N$5="All windows",Dashboard!$N$5=""),$S347=Dashboard!$N$5)),1,0))</f>
        <v/>
      </c>
      <c r="X347" s="175">
        <f>IF($W347=1,N($D347)*1E14+MIN(MAX(N($U347),0),9999)*1E10+MIN(N($K347),99999)*1E5+99999-MIN(ROW(),99999),"")</f>
        <v/>
      </c>
    </row>
    <row r="348" ht="40.5" customHeight="1">
      <c r="A348" s="160" t="n">
        <v>345</v>
      </c>
      <c r="B348" s="161" t="inlineStr">
        <is>
          <t>Strong waves on Mazatlán beaches form sinkhole in monument</t>
        </is>
      </c>
      <c r="C348" s="185" t="inlineStr">
        <is>
          <t>Offshore, Coasts &amp; Water</t>
        </is>
      </c>
      <c r="D348" s="163" t="n">
        <v>3</v>
      </c>
      <c r="E348" s="177" t="inlineStr">
        <is>
          <t>News brief</t>
        </is>
      </c>
      <c r="F348" s="165" t="inlineStr">
        <is>
          <t>To review</t>
        </is>
      </c>
      <c r="G348" s="166" t="n"/>
      <c r="H348" s="167" t="n"/>
      <c r="I348" s="168" t="inlineStr">
        <is>
          <t>How do wave action and beach sand erosion undermine coastal monuments and promenade ground in Mazatlán?</t>
        </is>
      </c>
      <c r="J348" s="168" t="inlineStr">
        <is>
          <t>El Universal</t>
        </is>
      </c>
      <c r="K348" s="169" t="n">
        <v>46319</v>
      </c>
      <c r="L348" s="168" t="inlineStr">
        <is>
          <t>Fuerte oleaje en playas de Mazatlán forma socavón en monumento</t>
        </is>
      </c>
      <c r="M348" s="168" t="n"/>
      <c r="N348" s="170" t="inlineStr">
        <is>
          <t>Mexico</t>
        </is>
      </c>
      <c r="O348" s="168" t="inlineStr">
        <is>
          <t>Mazatlan beaches</t>
        </is>
      </c>
      <c r="P348" s="168" t="inlineStr">
        <is>
          <t>Mazatlán malecón wave sinkhole, Mexico (Oct 2026) · Event · 6 reports</t>
        </is>
      </c>
      <c r="Q348" s="171" t="inlineStr">
        <is>
          <t>Colombia</t>
        </is>
      </c>
      <c r="R348" s="169" t="n">
        <v>46319</v>
      </c>
      <c r="S348" s="170" t="inlineStr">
        <is>
          <t>2026-Q4</t>
        </is>
      </c>
      <c r="T348" s="172" t="inlineStr">
        <is>
          <t>sinkhole</t>
        </is>
      </c>
      <c r="U348" s="160" t="n">
        <v>4</v>
      </c>
      <c r="V348" s="173"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348" s="174">
        <f>IF($B348="",0,IF(AND(OR(OR(Dashboard!$B$5="All themes",Dashboard!$B$5=""),$C348=Dashboard!$B$5),OR(OR(Dashboard!$G$5="All uses",Dashboard!$G$5=""),$E348=Dashboard!$G$5),N($D348)&gt;=Lists!$H$2,OR(OR(Dashboard!$N$5="All windows",Dashboard!$N$5=""),$S348=Dashboard!$N$5)),1,0))</f>
        <v/>
      </c>
      <c r="X348" s="175">
        <f>IF($W348=1,N($D348)*1E14+MIN(MAX(N($U348),0),9999)*1E10+MIN(N($K348),99999)*1E5+99999-MIN(ROW(),99999),"")</f>
        <v/>
      </c>
    </row>
    <row r="349" ht="53" customHeight="1">
      <c r="A349" s="160" t="n">
        <v>346</v>
      </c>
      <c r="B349" s="161" t="inlineStr">
        <is>
          <t>Ivan Noskov announced restoration of a retaining wall on Vladimirskaya Street in Samara</t>
        </is>
      </c>
      <c r="C349" s="176" t="inlineStr">
        <is>
          <t>Infrastructure &amp; the Underground City</t>
        </is>
      </c>
      <c r="D349" s="163" t="n">
        <v>3</v>
      </c>
      <c r="E349" s="177" t="inlineStr">
        <is>
          <t>News brief</t>
        </is>
      </c>
      <c r="F349" s="165" t="inlineStr">
        <is>
          <t>To review</t>
        </is>
      </c>
      <c r="G349" s="166" t="n"/>
      <c r="H349" s="167" t="n"/>
      <c r="I349" s="168" t="inlineStr">
        <is>
          <t>What causes retaining-wall deterioration on urban slopes like Samara's, and how should restoration design address overall slope stability?</t>
        </is>
      </c>
      <c r="J349" s="168" t="inlineStr">
        <is>
          <t>Самарская газета</t>
        </is>
      </c>
      <c r="K349" s="169" t="n">
        <v>46319</v>
      </c>
      <c r="L349" s="168" t="inlineStr">
        <is>
          <t>Иван Носков анонсировал восстановление подпорной стены на Владимирской в Самаре</t>
        </is>
      </c>
      <c r="M349" s="168" t="n"/>
      <c r="N349" s="170" t="inlineStr">
        <is>
          <t>Russia</t>
        </is>
      </c>
      <c r="O349" s="168" t="inlineStr">
        <is>
          <t>Samara, Vladimirskaya Street</t>
        </is>
      </c>
      <c r="P349" s="168" t="n"/>
      <c r="Q349" s="171" t="inlineStr">
        <is>
          <t>Russia</t>
        </is>
      </c>
      <c r="R349" s="169" t="n">
        <v>46318</v>
      </c>
      <c r="S349" s="170" t="inlineStr">
        <is>
          <t>2026-Q4</t>
        </is>
      </c>
      <c r="T349" s="172" t="inlineStr">
        <is>
          <t>retaining wall</t>
        </is>
      </c>
      <c r="U349" s="160" t="n">
        <v>4</v>
      </c>
      <c r="V349" s="173" t="inlineStr">
        <is>
          <t>https://news.google.com/rss/articles/CBMiREFVX3lxTE9KcGh5bWlxWEhKT3FXdU5qVjNOd3c3clQ1bGw1YWFmaHljV0U3ckZYcndLVTgtakJFSHZZQ3ViYXg2QnV4?oc=5</t>
        </is>
      </c>
      <c r="W349" s="174">
        <f>IF($B349="",0,IF(AND(OR(OR(Dashboard!$B$5="All themes",Dashboard!$B$5=""),$C349=Dashboard!$B$5),OR(OR(Dashboard!$G$5="All uses",Dashboard!$G$5=""),$E349=Dashboard!$G$5),N($D349)&gt;=Lists!$H$2,OR(OR(Dashboard!$N$5="All windows",Dashboard!$N$5=""),$S349=Dashboard!$N$5)),1,0))</f>
        <v/>
      </c>
      <c r="X349" s="175">
        <f>IF($W349=1,N($D349)*1E14+MIN(MAX(N($U349),0),9999)*1E10+MIN(N($K349),99999)*1E5+99999-MIN(ROW(),99999),"")</f>
        <v/>
      </c>
    </row>
    <row r="350" ht="40.5" customHeight="1">
      <c r="A350" s="160" t="n">
        <v>347</v>
      </c>
      <c r="B350" s="161" t="inlineStr">
        <is>
          <t>Escobedo begins repair of sinkhole</t>
        </is>
      </c>
      <c r="C350" s="176" t="inlineStr">
        <is>
          <t>Infrastructure &amp; the Underground City</t>
        </is>
      </c>
      <c r="D350" s="163" t="n">
        <v>3</v>
      </c>
      <c r="E350" s="177" t="inlineStr">
        <is>
          <t>News brief</t>
        </is>
      </c>
      <c r="F350" s="165" t="inlineStr">
        <is>
          <t>To review</t>
        </is>
      </c>
      <c r="G350" s="166" t="n"/>
      <c r="H350" s="167" t="n"/>
      <c r="I350" s="168" t="inlineStr">
        <is>
          <t>What investigation and grouting methods are used to repair urban sinkholes like the one in Escobedo?</t>
        </is>
      </c>
      <c r="J350" s="168" t="inlineStr">
        <is>
          <t>Detona, Real News</t>
        </is>
      </c>
      <c r="K350" s="169" t="n">
        <v>46319</v>
      </c>
      <c r="L350" s="168" t="inlineStr">
        <is>
          <t>Inicia Escobedo reparación de socavón</t>
        </is>
      </c>
      <c r="M350" s="168" t="n"/>
      <c r="N350" s="170" t="inlineStr">
        <is>
          <t>Mexico</t>
        </is>
      </c>
      <c r="O350" s="168" t="inlineStr">
        <is>
          <t>Escobedo</t>
        </is>
      </c>
      <c r="P350" s="168" t="n"/>
      <c r="Q350" s="171" t="inlineStr">
        <is>
          <t>Colombia</t>
        </is>
      </c>
      <c r="R350" s="169" t="n">
        <v>46319</v>
      </c>
      <c r="S350" s="170" t="inlineStr">
        <is>
          <t>2026-Q4</t>
        </is>
      </c>
      <c r="T350" s="172" t="inlineStr">
        <is>
          <t>sinkhole</t>
        </is>
      </c>
      <c r="U350" s="160" t="n">
        <v>4</v>
      </c>
      <c r="V350" s="173" t="inlineStr">
        <is>
          <t>https://news.google.com/rss/articles/CBMijAFBVV95cUxQdDFPZ1hLdVRrLUxWRTkyRWtWTjdrMTlTMi1EdW5meVA1dG5ZUWxNZ09MRThFeTk0OThLTDg4QkhBRlQwMzZkTnRBWnh2ZjdTWkhVWTcxX0QxYnNrMW9XOHNyVFZxeHpJMkthZDJRbGtsV0VuTjkwLXFTN0JSS2k2NU85em9uLWgtTjBjUQ?oc=5</t>
        </is>
      </c>
      <c r="W350" s="174">
        <f>IF($B350="",0,IF(AND(OR(OR(Dashboard!$B$5="All themes",Dashboard!$B$5=""),$C350=Dashboard!$B$5),OR(OR(Dashboard!$G$5="All uses",Dashboard!$G$5=""),$E350=Dashboard!$G$5),N($D350)&gt;=Lists!$H$2,OR(OR(Dashboard!$N$5="All windows",Dashboard!$N$5=""),$S350=Dashboard!$N$5)),1,0))</f>
        <v/>
      </c>
      <c r="X350" s="175">
        <f>IF($W350=1,N($D350)*1E14+MIN(MAX(N($U350),0),9999)*1E10+MIN(N($K350),99999)*1E5+99999-MIN(ROW(),99999),"")</f>
        <v/>
      </c>
    </row>
    <row r="351" ht="40.5" customHeight="1">
      <c r="A351" s="160" t="n">
        <v>348</v>
      </c>
      <c r="B351" s="161" t="inlineStr">
        <is>
          <t>Center attends sinkhole in Casa Blanca</t>
        </is>
      </c>
      <c r="C351" s="176" t="inlineStr">
        <is>
          <t>Infrastructure &amp; the Underground City</t>
        </is>
      </c>
      <c r="D351" s="163" t="n">
        <v>3</v>
      </c>
      <c r="E351" s="177" t="inlineStr">
        <is>
          <t>News brief</t>
        </is>
      </c>
      <c r="F351" s="165" t="inlineStr">
        <is>
          <t>To review</t>
        </is>
      </c>
      <c r="G351" s="166" t="n"/>
      <c r="H351" s="167" t="n"/>
      <c r="I351" s="168" t="inlineStr">
        <is>
          <t>What subsurface causes are likely behind the Casa Blanca sinkhole, and how should emergency response proceed?</t>
        </is>
      </c>
      <c r="J351" s="168" t="inlineStr">
        <is>
          <t>Tabasco HOY</t>
        </is>
      </c>
      <c r="K351" s="169" t="n">
        <v>46319</v>
      </c>
      <c r="L351" s="168" t="inlineStr">
        <is>
          <t>Centro atiende socavón en Casa Blanca</t>
        </is>
      </c>
      <c r="M351" s="168" t="n"/>
      <c r="N351" s="170" t="inlineStr">
        <is>
          <t>Mexico</t>
        </is>
      </c>
      <c r="O351" s="168" t="inlineStr">
        <is>
          <t>Casa Blanca, Tabasco</t>
        </is>
      </c>
      <c r="P351" s="168" t="n"/>
      <c r="Q351" s="171" t="inlineStr">
        <is>
          <t>Colombia</t>
        </is>
      </c>
      <c r="R351" s="169" t="n">
        <v>46319</v>
      </c>
      <c r="S351" s="170" t="inlineStr">
        <is>
          <t>2026-Q4</t>
        </is>
      </c>
      <c r="T351" s="172" t="inlineStr">
        <is>
          <t>sinkhole</t>
        </is>
      </c>
      <c r="U351" s="160" t="n">
        <v>4</v>
      </c>
      <c r="V351" s="173" t="inlineStr">
        <is>
          <t>https://news.google.com/rss/articles/CBMic0FVX3lxTE56eFFxMjNpU2dPWkppM1RsMEJJbThwdXcyYk1id0t2V1RCYUFMQTJzVGRGMFBxODZlSi1IVERlM29jWGtJRUtkb1M5em1ISlMwd1hBVnkwNEVOb1hiWlkzNU9JZUJJbWZXNUFZWTh5YkE5SE0?oc=5</t>
        </is>
      </c>
      <c r="W351" s="174">
        <f>IF($B351="",0,IF(AND(OR(OR(Dashboard!$B$5="All themes",Dashboard!$B$5=""),$C351=Dashboard!$B$5),OR(OR(Dashboard!$G$5="All uses",Dashboard!$G$5=""),$E351=Dashboard!$G$5),N($D351)&gt;=Lists!$H$2,OR(OR(Dashboard!$N$5="All windows",Dashboard!$N$5=""),$S351=Dashboard!$N$5)),1,0))</f>
        <v/>
      </c>
      <c r="X351" s="175">
        <f>IF($W351=1,N($D351)*1E14+MIN(MAX(N($U351),0),9999)*1E10+MIN(N($K351),99999)*1E5+99999-MIN(ROW(),99999),"")</f>
        <v/>
      </c>
    </row>
    <row r="352" ht="40.5" customHeight="1">
      <c r="A352" s="160" t="n">
        <v>349</v>
      </c>
      <c r="B352" s="161" t="inlineStr">
        <is>
          <t>Sinkhole forms at top of underpass in Francisco I. Madero</t>
        </is>
      </c>
      <c r="C352" s="176" t="inlineStr">
        <is>
          <t>Infrastructure &amp; the Underground City</t>
        </is>
      </c>
      <c r="D352" s="163" t="n">
        <v>3</v>
      </c>
      <c r="E352" s="177" t="inlineStr">
        <is>
          <t>News brief</t>
        </is>
      </c>
      <c r="F352" s="165" t="inlineStr">
        <is>
          <t>To review</t>
        </is>
      </c>
      <c r="G352" s="166" t="n"/>
      <c r="H352" s="167" t="n"/>
      <c r="I352" s="168" t="inlineStr">
        <is>
          <t>What ground movements and drainage failures beneath an underpass cause sinkholes at its top surface?</t>
        </is>
      </c>
      <c r="J352" s="168" t="inlineStr">
        <is>
          <t>El Siglo de Torreón</t>
        </is>
      </c>
      <c r="K352" s="169" t="n">
        <v>46319</v>
      </c>
      <c r="L352" s="168" t="inlineStr">
        <is>
          <t>Se origina socavón en la parte superior del paso a desnivel en Francisco I. Madero</t>
        </is>
      </c>
      <c r="M352" s="168" t="n"/>
      <c r="N352" s="170" t="inlineStr">
        <is>
          <t>Mexico</t>
        </is>
      </c>
      <c r="O352" s="168" t="inlineStr">
        <is>
          <t>Francisco I. Madero, Torreon</t>
        </is>
      </c>
      <c r="P352" s="168" t="n"/>
      <c r="Q352" s="171" t="inlineStr">
        <is>
          <t>Colombia</t>
        </is>
      </c>
      <c r="R352" s="169" t="n">
        <v>46318</v>
      </c>
      <c r="S352" s="170" t="inlineStr">
        <is>
          <t>2026-Q4</t>
        </is>
      </c>
      <c r="T352" s="172" t="inlineStr">
        <is>
          <t>sinkhole</t>
        </is>
      </c>
      <c r="U352" s="160" t="n">
        <v>4</v>
      </c>
      <c r="V352" s="173"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352" s="174">
        <f>IF($B352="",0,IF(AND(OR(OR(Dashboard!$B$5="All themes",Dashboard!$B$5=""),$C352=Dashboard!$B$5),OR(OR(Dashboard!$G$5="All uses",Dashboard!$G$5=""),$E352=Dashboard!$G$5),N($D352)&gt;=Lists!$H$2,OR(OR(Dashboard!$N$5="All windows",Dashboard!$N$5=""),$S352=Dashboard!$N$5)),1,0))</f>
        <v/>
      </c>
      <c r="X352" s="175">
        <f>IF($W352=1,N($D352)*1E14+MIN(MAX(N($U352),0),9999)*1E10+MIN(N($K352),99999)*1E5+99999-MIN(ROW(),99999),"")</f>
        <v/>
      </c>
    </row>
    <row r="353" ht="40.5" customHeight="1">
      <c r="A353" s="160" t="n">
        <v>350</v>
      </c>
      <c r="B353" s="161" t="inlineStr">
        <is>
          <t>Ambulance left hanging in a sinkhole in Aucapán rescued</t>
        </is>
      </c>
      <c r="C353" s="176" t="inlineStr">
        <is>
          <t>Infrastructure &amp; the Underground City</t>
        </is>
      </c>
      <c r="D353" s="163" t="n">
        <v>3</v>
      </c>
      <c r="E353" s="177" t="inlineStr">
        <is>
          <t>News brief</t>
        </is>
      </c>
      <c r="F353" s="165" t="inlineStr">
        <is>
          <t>To review</t>
        </is>
      </c>
      <c r="G353" s="166" t="n"/>
      <c r="H353" s="167" t="n"/>
      <c r="I353" s="168" t="inlineStr">
        <is>
          <t>How do soil loss and void formation under a road lead to vehicles hanging over sinkholes, and what rescue precautions apply?</t>
        </is>
      </c>
      <c r="J353" s="168" t="inlineStr">
        <is>
          <t>Realidad Sanmartinense</t>
        </is>
      </c>
      <c r="K353" s="169" t="n">
        <v>46319</v>
      </c>
      <c r="L353" s="168" t="inlineStr">
        <is>
          <t>Rescatan ambulancia que quedó colgada en un socavón en Aucapán</t>
        </is>
      </c>
      <c r="M353" s="168" t="n"/>
      <c r="N353" s="170" t="inlineStr">
        <is>
          <t>Argentina</t>
        </is>
      </c>
      <c r="O353" s="168" t="inlineStr">
        <is>
          <t>Aucapan, Neuquen</t>
        </is>
      </c>
      <c r="P353" s="168" t="inlineStr">
        <is>
          <t>Aucapán road sinkhole traps ambulance, Argentina (Oct 2026) · Event · 2 reports</t>
        </is>
      </c>
      <c r="Q353" s="171" t="inlineStr">
        <is>
          <t>Colombia</t>
        </is>
      </c>
      <c r="R353" s="169" t="n">
        <v>46318</v>
      </c>
      <c r="S353" s="170" t="inlineStr">
        <is>
          <t>2026-Q4</t>
        </is>
      </c>
      <c r="T353" s="172" t="inlineStr">
        <is>
          <t>sinkhole</t>
        </is>
      </c>
      <c r="U353" s="160" t="n">
        <v>4</v>
      </c>
      <c r="V353" s="173"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353" s="174">
        <f>IF($B353="",0,IF(AND(OR(OR(Dashboard!$B$5="All themes",Dashboard!$B$5=""),$C353=Dashboard!$B$5),OR(OR(Dashboard!$G$5="All uses",Dashboard!$G$5=""),$E353=Dashboard!$G$5),N($D353)&gt;=Lists!$H$2,OR(OR(Dashboard!$N$5="All windows",Dashboard!$N$5=""),$S353=Dashboard!$N$5)),1,0))</f>
        <v/>
      </c>
      <c r="X353" s="175">
        <f>IF($W353=1,N($D353)*1E14+MIN(MAX(N($U353),0),9999)*1E10+MIN(N($K353),99999)*1E5+99999-MIN(ROW(),99999),"")</f>
        <v/>
      </c>
    </row>
    <row r="354" ht="53" customHeight="1">
      <c r="A354" s="160" t="n">
        <v>351</v>
      </c>
      <c r="B354" s="161" t="inlineStr">
        <is>
          <t>Gia Lai province People's Committee chairman discusses proposal to level Mot Mountain.</t>
        </is>
      </c>
      <c r="C354" s="186" t="inlineStr">
        <is>
          <t>Geotechnics &amp; Society</t>
        </is>
      </c>
      <c r="D354" s="163" t="n">
        <v>3</v>
      </c>
      <c r="E354" s="183" t="inlineStr">
        <is>
          <t>Regional insight</t>
        </is>
      </c>
      <c r="F354" s="165" t="inlineStr">
        <is>
          <t>To review</t>
        </is>
      </c>
      <c r="G354" s="166" t="n"/>
      <c r="H354" s="167" t="n"/>
      <c r="I354" s="168" t="inlineStr">
        <is>
          <t>What are the geotechnical feasibility issues of levelling a hill, including rock quality, slope excavation and stability, compared with preservation?</t>
        </is>
      </c>
      <c r="J354" s="168" t="inlineStr">
        <is>
          <t>Vietnam.vn</t>
        </is>
      </c>
      <c r="K354" s="169" t="n">
        <v>46319</v>
      </c>
      <c r="L354" s="168" t="inlineStr">
        <is>
          <t>رئيس اللجنة الشعبية لمقاطعة جيا لاي يتحدث عن اقتراح تسوية جبل موت.</t>
        </is>
      </c>
      <c r="M354" s="168" t="n"/>
      <c r="N354" s="170" t="inlineStr">
        <is>
          <t>Vietnam</t>
        </is>
      </c>
      <c r="O354" s="168" t="inlineStr">
        <is>
          <t>Mot Mountain, Gia Lai</t>
        </is>
      </c>
      <c r="P354" s="168" t="n"/>
      <c r="Q354" s="171" t="inlineStr">
        <is>
          <t>Egypt</t>
        </is>
      </c>
      <c r="R354" s="169" t="n">
        <v>46318</v>
      </c>
      <c r="S354" s="170" t="inlineStr">
        <is>
          <t>2026-Q4</t>
        </is>
      </c>
      <c r="T354" s="172" t="n"/>
      <c r="U354" s="160" t="n">
        <v>0</v>
      </c>
      <c r="V354" s="173" t="inlineStr">
        <is>
          <t>https://news.google.com/rss/articles/CBMijgFBVV95cUxNdzRhVnVlVUVUU1k4S3pUQVo2RFJENXlEM1V6Z2FrVzRMQ2cxb0pZNkJpWUY5UWFHd1ZIUEZmU2x4SGtydEtXN3k2bTBIYWQ3VmZNZkNTRkhfRFctd3JZdThkRW1HTWIxYmVXRDZsazFZVTJsUzVjTWk0R2FIUElZRG5lLUpaeXpHRlZSdFBn?oc=5</t>
        </is>
      </c>
      <c r="W354" s="174">
        <f>IF($B354="",0,IF(AND(OR(OR(Dashboard!$B$5="All themes",Dashboard!$B$5=""),$C354=Dashboard!$B$5),OR(OR(Dashboard!$G$5="All uses",Dashboard!$G$5=""),$E354=Dashboard!$G$5),N($D354)&gt;=Lists!$H$2,OR(OR(Dashboard!$N$5="All windows",Dashboard!$N$5=""),$S354=Dashboard!$N$5)),1,0))</f>
        <v/>
      </c>
      <c r="X354" s="175">
        <f>IF($W354=1,N($D354)*1E14+MIN(MAX(N($U354),0),9999)*1E10+MIN(N($K354),99999)*1E5+99999-MIN(ROW(),99999),"")</f>
        <v/>
      </c>
    </row>
    <row r="355" ht="53" customHeight="1">
      <c r="A355" s="160" t="n">
        <v>352</v>
      </c>
      <c r="B355" s="161" t="inlineStr">
        <is>
          <t>What are the options for Mot Mountain in Quy Nhon: level it or preserve the historic site?</t>
        </is>
      </c>
      <c r="C355" s="186" t="inlineStr">
        <is>
          <t>Geotechnics &amp; Society</t>
        </is>
      </c>
      <c r="D355" s="163" t="n">
        <v>3</v>
      </c>
      <c r="E355" s="183" t="inlineStr">
        <is>
          <t>Regional insight</t>
        </is>
      </c>
      <c r="F355" s="165" t="inlineStr">
        <is>
          <t>To review</t>
        </is>
      </c>
      <c r="G355" s="166" t="n"/>
      <c r="H355" s="167" t="n"/>
      <c r="I355" s="168" t="inlineStr">
        <is>
          <t>What geotechnical assessments would be needed to compare levelling Mot Mountain with conserving its historic site, including rock stability and foundation implications?</t>
        </is>
      </c>
      <c r="J355" s="168" t="inlineStr">
        <is>
          <t>Vietnam.vn</t>
        </is>
      </c>
      <c r="K355" s="169" t="n">
        <v>46319</v>
      </c>
      <c r="L355" s="168" t="inlineStr">
        <is>
          <t>Quais são as opções para o Monte Mot em Quy Nhon: nivelá-lo ou preservar o sítio histórico?</t>
        </is>
      </c>
      <c r="M355" s="168" t="n"/>
      <c r="N355" s="170" t="inlineStr">
        <is>
          <t>Vietnam</t>
        </is>
      </c>
      <c r="O355" s="168" t="inlineStr">
        <is>
          <t>Mot Mountain, Quy Nhon</t>
        </is>
      </c>
      <c r="P355" s="168" t="n"/>
      <c r="Q355" s="171" t="inlineStr">
        <is>
          <t>Brazil</t>
        </is>
      </c>
      <c r="R355" s="169" t="n">
        <v>46319</v>
      </c>
      <c r="S355" s="170" t="inlineStr">
        <is>
          <t>2026-Q4</t>
        </is>
      </c>
      <c r="T355" s="172" t="n"/>
      <c r="U355" s="160" t="n">
        <v>0</v>
      </c>
      <c r="V355" s="173" t="inlineStr">
        <is>
          <t>https://news.google.com/rss/articles/CBMilgFBVV95cUxNS29sd2RXaDlmWXJYMzNQSnJKZGpCWmJpOE9kVEdWQ2RFcUd0UHBGdHdRczJLbFRwTHFDb0ZPY1lHOHNsRGtTLXhTb081eGdyWF9YcmcxZkFrc2VNNzBJOUxNU1ppYnZtWlZBTTlZcXNfa2xNVUZWRTUyMkRlTHRUMmJ4Nk95a1kybUNTTmVPaklQSHktWUE?oc=5</t>
        </is>
      </c>
      <c r="W355" s="174">
        <f>IF($B355="",0,IF(AND(OR(OR(Dashboard!$B$5="All themes",Dashboard!$B$5=""),$C355=Dashboard!$B$5),OR(OR(Dashboard!$G$5="All uses",Dashboard!$G$5=""),$E355=Dashboard!$G$5),N($D355)&gt;=Lists!$H$2,OR(OR(Dashboard!$N$5="All windows",Dashboard!$N$5=""),$S355=Dashboard!$N$5)),1,0))</f>
        <v/>
      </c>
      <c r="X355" s="175">
        <f>IF($W355=1,N($D355)*1E14+MIN(MAX(N($U355),0),9999)*1E10+MIN(N($K355),99999)*1E5+99999-MIN(ROW(),99999),"")</f>
        <v/>
      </c>
    </row>
    <row r="356" ht="53" customHeight="1">
      <c r="A356" s="160" t="n">
        <v>353</v>
      </c>
      <c r="B356" s="161" t="inlineStr">
        <is>
          <t>A section of the coastal road in a Corrientes city was closed due to subsidence</t>
        </is>
      </c>
      <c r="C356" s="185" t="inlineStr">
        <is>
          <t>Offshore, Coasts &amp; Water</t>
        </is>
      </c>
      <c r="D356" s="163" t="n">
        <v>3</v>
      </c>
      <c r="E356" s="177" t="inlineStr">
        <is>
          <t>News brief</t>
        </is>
      </c>
      <c r="F356" s="165" t="inlineStr">
        <is>
          <t>To review</t>
        </is>
      </c>
      <c r="G356" s="166" t="n"/>
      <c r="H356" s="167" t="n"/>
      <c r="I356" s="168" t="inlineStr">
        <is>
          <t>What causes subsidence along a riverfront promenade in Corrientes, and how should ground investigation guide repair of the costanera?</t>
        </is>
      </c>
      <c r="J356" s="168" t="inlineStr">
        <is>
          <t>El Litoral | Novedades de Corrientes</t>
        </is>
      </c>
      <c r="K356" s="169" t="n">
        <v>46319</v>
      </c>
      <c r="L356" s="168" t="inlineStr">
        <is>
          <t>Cerraron un sector de la costanera de una ciudad correntina por hundimiento</t>
        </is>
      </c>
      <c r="M356" s="168" t="n"/>
      <c r="N356" s="170" t="inlineStr">
        <is>
          <t>Argentina</t>
        </is>
      </c>
      <c r="O356" s="168" t="inlineStr">
        <is>
          <t>Corrientes costanera</t>
        </is>
      </c>
      <c r="P356" s="168" t="inlineStr">
        <is>
          <t>Esquina riverfront promenade subsidence, Argentina (Oct 2026) · Event · 2 reports</t>
        </is>
      </c>
      <c r="Q356" s="171" t="inlineStr">
        <is>
          <t>Argentina</t>
        </is>
      </c>
      <c r="R356" s="169" t="n">
        <v>46317</v>
      </c>
      <c r="S356" s="170" t="inlineStr">
        <is>
          <t>2026-Q4</t>
        </is>
      </c>
      <c r="T356" s="172" t="n"/>
      <c r="U356" s="160" t="n">
        <v>0</v>
      </c>
      <c r="V356" s="173"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356" s="174">
        <f>IF($B356="",0,IF(AND(OR(OR(Dashboard!$B$5="All themes",Dashboard!$B$5=""),$C356=Dashboard!$B$5),OR(OR(Dashboard!$G$5="All uses",Dashboard!$G$5=""),$E356=Dashboard!$G$5),N($D356)&gt;=Lists!$H$2,OR(OR(Dashboard!$N$5="All windows",Dashboard!$N$5=""),$S356=Dashboard!$N$5)),1,0))</f>
        <v/>
      </c>
      <c r="X356" s="175">
        <f>IF($W356=1,N($D356)*1E14+MIN(MAX(N($U356),0),9999)*1E10+MIN(N($K356),99999)*1E5+99999-MIN(ROW(),99999),"")</f>
        <v/>
      </c>
    </row>
    <row r="357" ht="40.5" customHeight="1">
      <c r="A357" s="160" t="n">
        <v>354</v>
      </c>
      <c r="B357" s="161" t="inlineStr">
        <is>
          <t>Rehabilitation begins after slab subsidence on the Malecón Costero in Coatzacoalcos</t>
        </is>
      </c>
      <c r="C357" s="185" t="inlineStr">
        <is>
          <t>Offshore, Coasts &amp; Water</t>
        </is>
      </c>
      <c r="D357" s="163" t="n">
        <v>3</v>
      </c>
      <c r="E357" s="177" t="inlineStr">
        <is>
          <t>News brief</t>
        </is>
      </c>
      <c r="F357" s="165" t="inlineStr">
        <is>
          <t>To review</t>
        </is>
      </c>
      <c r="G357" s="166" t="n"/>
      <c r="H357" s="167" t="n"/>
      <c r="I357" s="168" t="inlineStr">
        <is>
          <t>What causes slab sinking on a coastal promenade exposed to waves, and what foundation and drainage remedies are appropriate?</t>
        </is>
      </c>
      <c r="J357" s="168" t="inlineStr">
        <is>
          <t>:: Foro Coatza ::</t>
        </is>
      </c>
      <c r="K357" s="169" t="n">
        <v>46319</v>
      </c>
      <c r="L357" s="168" t="inlineStr">
        <is>
          <t>Inician rehabilitación tras hundimiento de losa en el Malecón Costero de Coatzacoalcos</t>
        </is>
      </c>
      <c r="M357" s="168" t="n"/>
      <c r="N357" s="170" t="inlineStr">
        <is>
          <t>Mexico</t>
        </is>
      </c>
      <c r="O357" s="168" t="inlineStr">
        <is>
          <t>Coatzacoalcos malecon</t>
        </is>
      </c>
      <c r="P357" s="168" t="n"/>
      <c r="Q357" s="171" t="inlineStr">
        <is>
          <t>Argentina</t>
        </is>
      </c>
      <c r="R357" s="169" t="n">
        <v>46318</v>
      </c>
      <c r="S357" s="170" t="inlineStr">
        <is>
          <t>2026-Q4</t>
        </is>
      </c>
      <c r="T357" s="172" t="n"/>
      <c r="U357" s="160" t="n">
        <v>0</v>
      </c>
      <c r="V357" s="173"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357" s="174">
        <f>IF($B357="",0,IF(AND(OR(OR(Dashboard!$B$5="All themes",Dashboard!$B$5=""),$C357=Dashboard!$B$5),OR(OR(Dashboard!$G$5="All uses",Dashboard!$G$5=""),$E357=Dashboard!$G$5),N($D357)&gt;=Lists!$H$2,OR(OR(Dashboard!$N$5="All windows",Dashboard!$N$5=""),$S357=Dashboard!$N$5)),1,0))</f>
        <v/>
      </c>
      <c r="X357" s="175">
        <f>IF($W357=1,N($D357)*1E14+MIN(MAX(N($U357),0),9999)*1E10+MIN(N($K357),99999)*1E5+99999-MIN(ROW(),99999),"")</f>
        <v/>
      </c>
    </row>
  </sheetData>
  <conditionalFormatting sqref="F4:F357">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357">
    <cfRule type="expression" priority="6" dxfId="15">
      <formula>$F4="Not used"</formula>
    </cfRule>
  </conditionalFormatting>
  <conditionalFormatting sqref="D4:D357">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357"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 xmlns:r="http://schemas.openxmlformats.org/officeDocument/2006/relationships" ref="B154" r:id="rId151"/>
    <hyperlink xmlns:r="http://schemas.openxmlformats.org/officeDocument/2006/relationships" ref="B155" r:id="rId152"/>
    <hyperlink xmlns:r="http://schemas.openxmlformats.org/officeDocument/2006/relationships" ref="B156" r:id="rId153"/>
    <hyperlink xmlns:r="http://schemas.openxmlformats.org/officeDocument/2006/relationships" ref="B157" r:id="rId154"/>
    <hyperlink xmlns:r="http://schemas.openxmlformats.org/officeDocument/2006/relationships" ref="B158" r:id="rId155"/>
    <hyperlink xmlns:r="http://schemas.openxmlformats.org/officeDocument/2006/relationships" ref="B159" r:id="rId156"/>
    <hyperlink xmlns:r="http://schemas.openxmlformats.org/officeDocument/2006/relationships" ref="B160" r:id="rId157"/>
    <hyperlink xmlns:r="http://schemas.openxmlformats.org/officeDocument/2006/relationships" ref="B161" r:id="rId158"/>
    <hyperlink xmlns:r="http://schemas.openxmlformats.org/officeDocument/2006/relationships" ref="B162" r:id="rId159"/>
    <hyperlink xmlns:r="http://schemas.openxmlformats.org/officeDocument/2006/relationships" ref="B163" r:id="rId160"/>
    <hyperlink xmlns:r="http://schemas.openxmlformats.org/officeDocument/2006/relationships" ref="B164" r:id="rId161"/>
    <hyperlink xmlns:r="http://schemas.openxmlformats.org/officeDocument/2006/relationships" ref="B165" r:id="rId162"/>
    <hyperlink xmlns:r="http://schemas.openxmlformats.org/officeDocument/2006/relationships" ref="B166" r:id="rId163"/>
    <hyperlink xmlns:r="http://schemas.openxmlformats.org/officeDocument/2006/relationships" ref="B167" r:id="rId164"/>
    <hyperlink xmlns:r="http://schemas.openxmlformats.org/officeDocument/2006/relationships" ref="B168" r:id="rId165"/>
    <hyperlink xmlns:r="http://schemas.openxmlformats.org/officeDocument/2006/relationships" ref="B169" r:id="rId166"/>
    <hyperlink xmlns:r="http://schemas.openxmlformats.org/officeDocument/2006/relationships" ref="B170" r:id="rId167"/>
    <hyperlink xmlns:r="http://schemas.openxmlformats.org/officeDocument/2006/relationships" ref="B171" r:id="rId168"/>
    <hyperlink xmlns:r="http://schemas.openxmlformats.org/officeDocument/2006/relationships" ref="B172" r:id="rId169"/>
    <hyperlink xmlns:r="http://schemas.openxmlformats.org/officeDocument/2006/relationships" ref="B173" r:id="rId170"/>
    <hyperlink xmlns:r="http://schemas.openxmlformats.org/officeDocument/2006/relationships" ref="B174" r:id="rId171"/>
    <hyperlink xmlns:r="http://schemas.openxmlformats.org/officeDocument/2006/relationships" ref="B175" r:id="rId172"/>
    <hyperlink xmlns:r="http://schemas.openxmlformats.org/officeDocument/2006/relationships" ref="B176" r:id="rId173"/>
    <hyperlink xmlns:r="http://schemas.openxmlformats.org/officeDocument/2006/relationships" ref="B177" r:id="rId174"/>
    <hyperlink xmlns:r="http://schemas.openxmlformats.org/officeDocument/2006/relationships" ref="B178" r:id="rId175"/>
    <hyperlink xmlns:r="http://schemas.openxmlformats.org/officeDocument/2006/relationships" ref="B179" r:id="rId176"/>
    <hyperlink xmlns:r="http://schemas.openxmlformats.org/officeDocument/2006/relationships" ref="B180" r:id="rId177"/>
    <hyperlink xmlns:r="http://schemas.openxmlformats.org/officeDocument/2006/relationships" ref="B181" r:id="rId178"/>
    <hyperlink xmlns:r="http://schemas.openxmlformats.org/officeDocument/2006/relationships" ref="B182" r:id="rId179"/>
    <hyperlink xmlns:r="http://schemas.openxmlformats.org/officeDocument/2006/relationships" ref="B183" r:id="rId180"/>
    <hyperlink xmlns:r="http://schemas.openxmlformats.org/officeDocument/2006/relationships" ref="B184" r:id="rId181"/>
    <hyperlink xmlns:r="http://schemas.openxmlformats.org/officeDocument/2006/relationships" ref="B185" r:id="rId182"/>
    <hyperlink xmlns:r="http://schemas.openxmlformats.org/officeDocument/2006/relationships" ref="B186" r:id="rId183"/>
    <hyperlink xmlns:r="http://schemas.openxmlformats.org/officeDocument/2006/relationships" ref="B187" r:id="rId184"/>
    <hyperlink xmlns:r="http://schemas.openxmlformats.org/officeDocument/2006/relationships" ref="B188" r:id="rId185"/>
    <hyperlink xmlns:r="http://schemas.openxmlformats.org/officeDocument/2006/relationships" ref="B189" r:id="rId186"/>
    <hyperlink xmlns:r="http://schemas.openxmlformats.org/officeDocument/2006/relationships" ref="B190" r:id="rId187"/>
    <hyperlink xmlns:r="http://schemas.openxmlformats.org/officeDocument/2006/relationships" ref="B191" r:id="rId188"/>
    <hyperlink xmlns:r="http://schemas.openxmlformats.org/officeDocument/2006/relationships" ref="B192" r:id="rId189"/>
    <hyperlink xmlns:r="http://schemas.openxmlformats.org/officeDocument/2006/relationships" ref="B193" r:id="rId190"/>
    <hyperlink xmlns:r="http://schemas.openxmlformats.org/officeDocument/2006/relationships" ref="B194" r:id="rId191"/>
    <hyperlink xmlns:r="http://schemas.openxmlformats.org/officeDocument/2006/relationships" ref="B195" r:id="rId192"/>
    <hyperlink xmlns:r="http://schemas.openxmlformats.org/officeDocument/2006/relationships" ref="B196" r:id="rId193"/>
    <hyperlink xmlns:r="http://schemas.openxmlformats.org/officeDocument/2006/relationships" ref="B197" r:id="rId194"/>
    <hyperlink xmlns:r="http://schemas.openxmlformats.org/officeDocument/2006/relationships" ref="B198" r:id="rId195"/>
    <hyperlink xmlns:r="http://schemas.openxmlformats.org/officeDocument/2006/relationships" ref="B199" r:id="rId196"/>
    <hyperlink xmlns:r="http://schemas.openxmlformats.org/officeDocument/2006/relationships" ref="B200" r:id="rId197"/>
    <hyperlink xmlns:r="http://schemas.openxmlformats.org/officeDocument/2006/relationships" ref="B201" r:id="rId198"/>
    <hyperlink xmlns:r="http://schemas.openxmlformats.org/officeDocument/2006/relationships" ref="B202" r:id="rId199"/>
    <hyperlink xmlns:r="http://schemas.openxmlformats.org/officeDocument/2006/relationships" ref="B203" r:id="rId200"/>
    <hyperlink xmlns:r="http://schemas.openxmlformats.org/officeDocument/2006/relationships" ref="B204" r:id="rId201"/>
    <hyperlink xmlns:r="http://schemas.openxmlformats.org/officeDocument/2006/relationships" ref="B205" r:id="rId202"/>
    <hyperlink xmlns:r="http://schemas.openxmlformats.org/officeDocument/2006/relationships" ref="B206" r:id="rId203"/>
    <hyperlink xmlns:r="http://schemas.openxmlformats.org/officeDocument/2006/relationships" ref="B207" r:id="rId204"/>
    <hyperlink xmlns:r="http://schemas.openxmlformats.org/officeDocument/2006/relationships" ref="B208" r:id="rId205"/>
    <hyperlink xmlns:r="http://schemas.openxmlformats.org/officeDocument/2006/relationships" ref="B209" r:id="rId206"/>
    <hyperlink xmlns:r="http://schemas.openxmlformats.org/officeDocument/2006/relationships" ref="B210" r:id="rId207"/>
    <hyperlink xmlns:r="http://schemas.openxmlformats.org/officeDocument/2006/relationships" ref="B211" r:id="rId208"/>
    <hyperlink xmlns:r="http://schemas.openxmlformats.org/officeDocument/2006/relationships" ref="B212" r:id="rId209"/>
    <hyperlink xmlns:r="http://schemas.openxmlformats.org/officeDocument/2006/relationships" ref="B213" r:id="rId210"/>
    <hyperlink xmlns:r="http://schemas.openxmlformats.org/officeDocument/2006/relationships" ref="B214" r:id="rId211"/>
    <hyperlink xmlns:r="http://schemas.openxmlformats.org/officeDocument/2006/relationships" ref="B215" r:id="rId212"/>
    <hyperlink xmlns:r="http://schemas.openxmlformats.org/officeDocument/2006/relationships" ref="B216" r:id="rId213"/>
    <hyperlink xmlns:r="http://schemas.openxmlformats.org/officeDocument/2006/relationships" ref="B217" r:id="rId214"/>
    <hyperlink xmlns:r="http://schemas.openxmlformats.org/officeDocument/2006/relationships" ref="B218" r:id="rId215"/>
    <hyperlink xmlns:r="http://schemas.openxmlformats.org/officeDocument/2006/relationships" ref="B219" r:id="rId216"/>
    <hyperlink xmlns:r="http://schemas.openxmlformats.org/officeDocument/2006/relationships" ref="B220" r:id="rId217"/>
    <hyperlink xmlns:r="http://schemas.openxmlformats.org/officeDocument/2006/relationships" ref="B221" r:id="rId218"/>
    <hyperlink xmlns:r="http://schemas.openxmlformats.org/officeDocument/2006/relationships" ref="B222" r:id="rId219"/>
    <hyperlink xmlns:r="http://schemas.openxmlformats.org/officeDocument/2006/relationships" ref="B223" r:id="rId220"/>
    <hyperlink xmlns:r="http://schemas.openxmlformats.org/officeDocument/2006/relationships" ref="B224" r:id="rId221"/>
    <hyperlink xmlns:r="http://schemas.openxmlformats.org/officeDocument/2006/relationships" ref="B225" r:id="rId222"/>
    <hyperlink xmlns:r="http://schemas.openxmlformats.org/officeDocument/2006/relationships" ref="B226" r:id="rId223"/>
    <hyperlink xmlns:r="http://schemas.openxmlformats.org/officeDocument/2006/relationships" ref="B227" r:id="rId224"/>
    <hyperlink xmlns:r="http://schemas.openxmlformats.org/officeDocument/2006/relationships" ref="B228" r:id="rId225"/>
    <hyperlink xmlns:r="http://schemas.openxmlformats.org/officeDocument/2006/relationships" ref="B229" r:id="rId226"/>
    <hyperlink xmlns:r="http://schemas.openxmlformats.org/officeDocument/2006/relationships" ref="B230" r:id="rId227"/>
    <hyperlink xmlns:r="http://schemas.openxmlformats.org/officeDocument/2006/relationships" ref="B231" r:id="rId228"/>
    <hyperlink xmlns:r="http://schemas.openxmlformats.org/officeDocument/2006/relationships" ref="B232" r:id="rId229"/>
    <hyperlink xmlns:r="http://schemas.openxmlformats.org/officeDocument/2006/relationships" ref="B233" r:id="rId230"/>
    <hyperlink xmlns:r="http://schemas.openxmlformats.org/officeDocument/2006/relationships" ref="B234" r:id="rId231"/>
    <hyperlink xmlns:r="http://schemas.openxmlformats.org/officeDocument/2006/relationships" ref="B235" r:id="rId232"/>
    <hyperlink xmlns:r="http://schemas.openxmlformats.org/officeDocument/2006/relationships" ref="B236" r:id="rId233"/>
    <hyperlink xmlns:r="http://schemas.openxmlformats.org/officeDocument/2006/relationships" ref="B237" r:id="rId234"/>
    <hyperlink xmlns:r="http://schemas.openxmlformats.org/officeDocument/2006/relationships" ref="B238" r:id="rId235"/>
    <hyperlink xmlns:r="http://schemas.openxmlformats.org/officeDocument/2006/relationships" ref="B239" r:id="rId236"/>
    <hyperlink xmlns:r="http://schemas.openxmlformats.org/officeDocument/2006/relationships" ref="B240" r:id="rId237"/>
    <hyperlink xmlns:r="http://schemas.openxmlformats.org/officeDocument/2006/relationships" ref="B241" r:id="rId238"/>
    <hyperlink xmlns:r="http://schemas.openxmlformats.org/officeDocument/2006/relationships" ref="B242" r:id="rId239"/>
    <hyperlink xmlns:r="http://schemas.openxmlformats.org/officeDocument/2006/relationships" ref="B243" r:id="rId240"/>
    <hyperlink xmlns:r="http://schemas.openxmlformats.org/officeDocument/2006/relationships" ref="B244" r:id="rId241"/>
    <hyperlink xmlns:r="http://schemas.openxmlformats.org/officeDocument/2006/relationships" ref="B245" r:id="rId242"/>
    <hyperlink xmlns:r="http://schemas.openxmlformats.org/officeDocument/2006/relationships" ref="B246" r:id="rId243"/>
    <hyperlink xmlns:r="http://schemas.openxmlformats.org/officeDocument/2006/relationships" ref="B247" r:id="rId244"/>
    <hyperlink xmlns:r="http://schemas.openxmlformats.org/officeDocument/2006/relationships" ref="B248" r:id="rId245"/>
    <hyperlink xmlns:r="http://schemas.openxmlformats.org/officeDocument/2006/relationships" ref="B249" r:id="rId246"/>
    <hyperlink xmlns:r="http://schemas.openxmlformats.org/officeDocument/2006/relationships" ref="B250" r:id="rId247"/>
    <hyperlink xmlns:r="http://schemas.openxmlformats.org/officeDocument/2006/relationships" ref="B251" r:id="rId248"/>
    <hyperlink xmlns:r="http://schemas.openxmlformats.org/officeDocument/2006/relationships" ref="B252" r:id="rId249"/>
    <hyperlink xmlns:r="http://schemas.openxmlformats.org/officeDocument/2006/relationships" ref="B253" r:id="rId250"/>
    <hyperlink xmlns:r="http://schemas.openxmlformats.org/officeDocument/2006/relationships" ref="B254" r:id="rId251"/>
    <hyperlink xmlns:r="http://schemas.openxmlformats.org/officeDocument/2006/relationships" ref="B255" r:id="rId252"/>
    <hyperlink xmlns:r="http://schemas.openxmlformats.org/officeDocument/2006/relationships" ref="B256" r:id="rId253"/>
    <hyperlink xmlns:r="http://schemas.openxmlformats.org/officeDocument/2006/relationships" ref="B257" r:id="rId254"/>
    <hyperlink xmlns:r="http://schemas.openxmlformats.org/officeDocument/2006/relationships" ref="B258" r:id="rId255"/>
    <hyperlink xmlns:r="http://schemas.openxmlformats.org/officeDocument/2006/relationships" ref="B259" r:id="rId256"/>
    <hyperlink xmlns:r="http://schemas.openxmlformats.org/officeDocument/2006/relationships" ref="B260" r:id="rId257"/>
    <hyperlink xmlns:r="http://schemas.openxmlformats.org/officeDocument/2006/relationships" ref="B261" r:id="rId258"/>
    <hyperlink xmlns:r="http://schemas.openxmlformats.org/officeDocument/2006/relationships" ref="B262" r:id="rId259"/>
    <hyperlink xmlns:r="http://schemas.openxmlformats.org/officeDocument/2006/relationships" ref="B263" r:id="rId260"/>
    <hyperlink xmlns:r="http://schemas.openxmlformats.org/officeDocument/2006/relationships" ref="B264" r:id="rId261"/>
    <hyperlink xmlns:r="http://schemas.openxmlformats.org/officeDocument/2006/relationships" ref="B265" r:id="rId262"/>
    <hyperlink xmlns:r="http://schemas.openxmlformats.org/officeDocument/2006/relationships" ref="B266" r:id="rId263"/>
    <hyperlink xmlns:r="http://schemas.openxmlformats.org/officeDocument/2006/relationships" ref="B267" r:id="rId264"/>
    <hyperlink xmlns:r="http://schemas.openxmlformats.org/officeDocument/2006/relationships" ref="B268" r:id="rId265"/>
    <hyperlink xmlns:r="http://schemas.openxmlformats.org/officeDocument/2006/relationships" ref="B269" r:id="rId266"/>
    <hyperlink xmlns:r="http://schemas.openxmlformats.org/officeDocument/2006/relationships" ref="B270" r:id="rId267"/>
    <hyperlink xmlns:r="http://schemas.openxmlformats.org/officeDocument/2006/relationships" ref="B271" r:id="rId268"/>
    <hyperlink xmlns:r="http://schemas.openxmlformats.org/officeDocument/2006/relationships" ref="B272" r:id="rId269"/>
    <hyperlink xmlns:r="http://schemas.openxmlformats.org/officeDocument/2006/relationships" ref="B273" r:id="rId270"/>
    <hyperlink xmlns:r="http://schemas.openxmlformats.org/officeDocument/2006/relationships" ref="B274" r:id="rId271"/>
    <hyperlink xmlns:r="http://schemas.openxmlformats.org/officeDocument/2006/relationships" ref="B275" r:id="rId272"/>
    <hyperlink xmlns:r="http://schemas.openxmlformats.org/officeDocument/2006/relationships" ref="B276" r:id="rId273"/>
    <hyperlink xmlns:r="http://schemas.openxmlformats.org/officeDocument/2006/relationships" ref="B277" r:id="rId274"/>
    <hyperlink xmlns:r="http://schemas.openxmlformats.org/officeDocument/2006/relationships" ref="B278" r:id="rId275"/>
    <hyperlink xmlns:r="http://schemas.openxmlformats.org/officeDocument/2006/relationships" ref="B279" r:id="rId276"/>
    <hyperlink xmlns:r="http://schemas.openxmlformats.org/officeDocument/2006/relationships" ref="B280" r:id="rId277"/>
    <hyperlink xmlns:r="http://schemas.openxmlformats.org/officeDocument/2006/relationships" ref="B281" r:id="rId278"/>
    <hyperlink xmlns:r="http://schemas.openxmlformats.org/officeDocument/2006/relationships" ref="B282" r:id="rId279"/>
    <hyperlink xmlns:r="http://schemas.openxmlformats.org/officeDocument/2006/relationships" ref="B283" r:id="rId280"/>
    <hyperlink xmlns:r="http://schemas.openxmlformats.org/officeDocument/2006/relationships" ref="B284" r:id="rId281"/>
    <hyperlink xmlns:r="http://schemas.openxmlformats.org/officeDocument/2006/relationships" ref="B285" r:id="rId282"/>
    <hyperlink xmlns:r="http://schemas.openxmlformats.org/officeDocument/2006/relationships" ref="B286" r:id="rId283"/>
    <hyperlink xmlns:r="http://schemas.openxmlformats.org/officeDocument/2006/relationships" ref="B287" r:id="rId284"/>
    <hyperlink xmlns:r="http://schemas.openxmlformats.org/officeDocument/2006/relationships" ref="B288" r:id="rId285"/>
    <hyperlink xmlns:r="http://schemas.openxmlformats.org/officeDocument/2006/relationships" ref="B289" r:id="rId286"/>
    <hyperlink xmlns:r="http://schemas.openxmlformats.org/officeDocument/2006/relationships" ref="B290" r:id="rId287"/>
    <hyperlink xmlns:r="http://schemas.openxmlformats.org/officeDocument/2006/relationships" ref="B291" r:id="rId288"/>
    <hyperlink xmlns:r="http://schemas.openxmlformats.org/officeDocument/2006/relationships" ref="B292" r:id="rId289"/>
    <hyperlink xmlns:r="http://schemas.openxmlformats.org/officeDocument/2006/relationships" ref="B293" r:id="rId290"/>
    <hyperlink xmlns:r="http://schemas.openxmlformats.org/officeDocument/2006/relationships" ref="B294" r:id="rId291"/>
    <hyperlink xmlns:r="http://schemas.openxmlformats.org/officeDocument/2006/relationships" ref="B295" r:id="rId292"/>
    <hyperlink xmlns:r="http://schemas.openxmlformats.org/officeDocument/2006/relationships" ref="B296" r:id="rId293"/>
    <hyperlink xmlns:r="http://schemas.openxmlformats.org/officeDocument/2006/relationships" ref="B297" r:id="rId294"/>
    <hyperlink xmlns:r="http://schemas.openxmlformats.org/officeDocument/2006/relationships" ref="B298" r:id="rId295"/>
    <hyperlink xmlns:r="http://schemas.openxmlformats.org/officeDocument/2006/relationships" ref="B299" r:id="rId296"/>
    <hyperlink xmlns:r="http://schemas.openxmlformats.org/officeDocument/2006/relationships" ref="B300" r:id="rId297"/>
    <hyperlink xmlns:r="http://schemas.openxmlformats.org/officeDocument/2006/relationships" ref="B301" r:id="rId298"/>
    <hyperlink xmlns:r="http://schemas.openxmlformats.org/officeDocument/2006/relationships" ref="B302" r:id="rId299"/>
    <hyperlink xmlns:r="http://schemas.openxmlformats.org/officeDocument/2006/relationships" ref="B303" r:id="rId300"/>
    <hyperlink xmlns:r="http://schemas.openxmlformats.org/officeDocument/2006/relationships" ref="B304" r:id="rId301"/>
    <hyperlink xmlns:r="http://schemas.openxmlformats.org/officeDocument/2006/relationships" ref="B305" r:id="rId302"/>
    <hyperlink xmlns:r="http://schemas.openxmlformats.org/officeDocument/2006/relationships" ref="B306" r:id="rId303"/>
    <hyperlink xmlns:r="http://schemas.openxmlformats.org/officeDocument/2006/relationships" ref="B307" r:id="rId304"/>
    <hyperlink xmlns:r="http://schemas.openxmlformats.org/officeDocument/2006/relationships" ref="B308" r:id="rId305"/>
    <hyperlink xmlns:r="http://schemas.openxmlformats.org/officeDocument/2006/relationships" ref="B309" r:id="rId306"/>
    <hyperlink xmlns:r="http://schemas.openxmlformats.org/officeDocument/2006/relationships" ref="B310" r:id="rId307"/>
    <hyperlink xmlns:r="http://schemas.openxmlformats.org/officeDocument/2006/relationships" ref="B311" r:id="rId308"/>
    <hyperlink xmlns:r="http://schemas.openxmlformats.org/officeDocument/2006/relationships" ref="B312" r:id="rId309"/>
    <hyperlink xmlns:r="http://schemas.openxmlformats.org/officeDocument/2006/relationships" ref="B313" r:id="rId310"/>
    <hyperlink xmlns:r="http://schemas.openxmlformats.org/officeDocument/2006/relationships" ref="B314" r:id="rId311"/>
    <hyperlink xmlns:r="http://schemas.openxmlformats.org/officeDocument/2006/relationships" ref="B315" r:id="rId312"/>
    <hyperlink xmlns:r="http://schemas.openxmlformats.org/officeDocument/2006/relationships" ref="B316" r:id="rId313"/>
    <hyperlink xmlns:r="http://schemas.openxmlformats.org/officeDocument/2006/relationships" ref="B317" r:id="rId314"/>
    <hyperlink xmlns:r="http://schemas.openxmlformats.org/officeDocument/2006/relationships" ref="B318" r:id="rId315"/>
    <hyperlink xmlns:r="http://schemas.openxmlformats.org/officeDocument/2006/relationships" ref="B319" r:id="rId316"/>
    <hyperlink xmlns:r="http://schemas.openxmlformats.org/officeDocument/2006/relationships" ref="B320" r:id="rId317"/>
    <hyperlink xmlns:r="http://schemas.openxmlformats.org/officeDocument/2006/relationships" ref="B321" r:id="rId318"/>
    <hyperlink xmlns:r="http://schemas.openxmlformats.org/officeDocument/2006/relationships" ref="B322" r:id="rId319"/>
    <hyperlink xmlns:r="http://schemas.openxmlformats.org/officeDocument/2006/relationships" ref="B323" r:id="rId320"/>
    <hyperlink xmlns:r="http://schemas.openxmlformats.org/officeDocument/2006/relationships" ref="B324" r:id="rId321"/>
    <hyperlink xmlns:r="http://schemas.openxmlformats.org/officeDocument/2006/relationships" ref="B325" r:id="rId322"/>
    <hyperlink xmlns:r="http://schemas.openxmlformats.org/officeDocument/2006/relationships" ref="B326" r:id="rId323"/>
    <hyperlink xmlns:r="http://schemas.openxmlformats.org/officeDocument/2006/relationships" ref="B327" r:id="rId324"/>
    <hyperlink xmlns:r="http://schemas.openxmlformats.org/officeDocument/2006/relationships" ref="B328" r:id="rId325"/>
    <hyperlink xmlns:r="http://schemas.openxmlformats.org/officeDocument/2006/relationships" ref="B329" r:id="rId326"/>
    <hyperlink xmlns:r="http://schemas.openxmlformats.org/officeDocument/2006/relationships" ref="B330" r:id="rId327"/>
    <hyperlink xmlns:r="http://schemas.openxmlformats.org/officeDocument/2006/relationships" ref="B331" r:id="rId328"/>
    <hyperlink xmlns:r="http://schemas.openxmlformats.org/officeDocument/2006/relationships" ref="B332" r:id="rId329"/>
    <hyperlink xmlns:r="http://schemas.openxmlformats.org/officeDocument/2006/relationships" ref="B333" r:id="rId330"/>
    <hyperlink xmlns:r="http://schemas.openxmlformats.org/officeDocument/2006/relationships" ref="B334" r:id="rId331"/>
    <hyperlink xmlns:r="http://schemas.openxmlformats.org/officeDocument/2006/relationships" ref="B335" r:id="rId332"/>
    <hyperlink xmlns:r="http://schemas.openxmlformats.org/officeDocument/2006/relationships" ref="B336" r:id="rId333"/>
    <hyperlink xmlns:r="http://schemas.openxmlformats.org/officeDocument/2006/relationships" ref="B337" r:id="rId334"/>
    <hyperlink xmlns:r="http://schemas.openxmlformats.org/officeDocument/2006/relationships" ref="B338" r:id="rId335"/>
    <hyperlink xmlns:r="http://schemas.openxmlformats.org/officeDocument/2006/relationships" ref="B339" r:id="rId336"/>
    <hyperlink xmlns:r="http://schemas.openxmlformats.org/officeDocument/2006/relationships" ref="B340" r:id="rId337"/>
    <hyperlink xmlns:r="http://schemas.openxmlformats.org/officeDocument/2006/relationships" ref="B341" r:id="rId338"/>
    <hyperlink xmlns:r="http://schemas.openxmlformats.org/officeDocument/2006/relationships" ref="B342" r:id="rId339"/>
    <hyperlink xmlns:r="http://schemas.openxmlformats.org/officeDocument/2006/relationships" ref="B343" r:id="rId340"/>
    <hyperlink xmlns:r="http://schemas.openxmlformats.org/officeDocument/2006/relationships" ref="B344" r:id="rId341"/>
    <hyperlink xmlns:r="http://schemas.openxmlformats.org/officeDocument/2006/relationships" ref="B345" r:id="rId342"/>
    <hyperlink xmlns:r="http://schemas.openxmlformats.org/officeDocument/2006/relationships" ref="B346" r:id="rId343"/>
    <hyperlink xmlns:r="http://schemas.openxmlformats.org/officeDocument/2006/relationships" ref="B347" r:id="rId344"/>
    <hyperlink xmlns:r="http://schemas.openxmlformats.org/officeDocument/2006/relationships" ref="B348" r:id="rId345"/>
    <hyperlink xmlns:r="http://schemas.openxmlformats.org/officeDocument/2006/relationships" ref="B349" r:id="rId346"/>
    <hyperlink xmlns:r="http://schemas.openxmlformats.org/officeDocument/2006/relationships" ref="B350" r:id="rId347"/>
    <hyperlink xmlns:r="http://schemas.openxmlformats.org/officeDocument/2006/relationships" ref="B351" r:id="rId348"/>
    <hyperlink xmlns:r="http://schemas.openxmlformats.org/officeDocument/2006/relationships" ref="B352" r:id="rId349"/>
    <hyperlink xmlns:r="http://schemas.openxmlformats.org/officeDocument/2006/relationships" ref="B353" r:id="rId350"/>
    <hyperlink xmlns:r="http://schemas.openxmlformats.org/officeDocument/2006/relationships" ref="B354" r:id="rId351"/>
    <hyperlink xmlns:r="http://schemas.openxmlformats.org/officeDocument/2006/relationships" ref="B355" r:id="rId352"/>
    <hyperlink xmlns:r="http://schemas.openxmlformats.org/officeDocument/2006/relationships" ref="B356" r:id="rId353"/>
    <hyperlink xmlns:r="http://schemas.openxmlformats.org/officeDocument/2006/relationships" ref="B357" r:id="rId354"/>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55"/>
  </tableParts>
</worksheet>
</file>

<file path=xl/worksheets/sheet4.xml><?xml version="1.0" encoding="utf-8"?>
<worksheet xmlns="http://schemas.openxmlformats.org/spreadsheetml/2006/main">
  <sheetPr>
    <tabColor rgb="001F9D63"/>
    <outlinePr applyStyles="0" summaryBelow="0" summaryRight="1"/>
    <pageSetUpPr fitToPage="1"/>
  </sheetPr>
  <dimension ref="A1:I380"/>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4" t="inlineStr">
        <is>
          <t>Stories by theme</t>
        </is>
      </c>
      <c r="D1" s="155" t="inlineStr">
        <is>
          <t>← Dashboard</t>
        </is>
      </c>
      <c r="E1" s="155" t="inlineStr">
        <is>
          <t>↑ Start here</t>
        </is>
      </c>
      <c r="F1" s="155" t="inlineStr">
        <is>
          <t>Stories →</t>
        </is>
      </c>
    </row>
    <row r="2" ht="16" customHeight="1">
      <c r="A2" s="156" t="inlineStr">
        <is>
          <t>Read-only view, best stories first. Click − / + in the margin on the left to collapse or expand a theme (or the 1 / 2 buttons for all). Status comes from the Stories sheet.</t>
        </is>
      </c>
    </row>
    <row r="4" ht="26" customHeight="1">
      <c r="A4" s="187" t="inlineStr">
        <is>
          <t>Sustainability &amp; the Energy Transition   ·   7 stories   ·   1 rated 5 / 5   ·   2 feature leads</t>
        </is>
      </c>
      <c r="B4" s="188" t="n"/>
      <c r="C4" s="188" t="n"/>
      <c r="D4" s="188" t="n"/>
      <c r="E4" s="188" t="n"/>
      <c r="F4" s="188" t="n"/>
      <c r="G4" s="188" t="n"/>
      <c r="H4" s="188" t="n"/>
      <c r="I4" s="188" t="n"/>
    </row>
    <row r="5" outlineLevel="1">
      <c r="A5" s="189" t="inlineStr">
        <is>
          <t>No.</t>
        </is>
      </c>
      <c r="B5" s="189" t="inlineStr">
        <is>
          <t>Relevance</t>
        </is>
      </c>
      <c r="C5" s="190" t="inlineStr">
        <is>
          <t>Headline</t>
        </is>
      </c>
      <c r="D5" s="189" t="inlineStr">
        <is>
          <t>Link</t>
        </is>
      </c>
      <c r="E5" s="190" t="inlineStr">
        <is>
          <t>Suggested use</t>
        </is>
      </c>
      <c r="F5" s="189" t="inlineStr">
        <is>
          <t>Status</t>
        </is>
      </c>
      <c r="G5" s="190" t="inlineStr">
        <is>
          <t>Source</t>
        </is>
      </c>
      <c r="H5" s="189" t="inlineStr">
        <is>
          <t>Digest</t>
        </is>
      </c>
      <c r="I5" s="190" t="inlineStr">
        <is>
          <t>Magazine angle · check with</t>
        </is>
      </c>
    </row>
    <row r="6" outlineLevel="1" ht="79" customHeight="1">
      <c r="A6" s="191" t="n">
        <v>210</v>
      </c>
      <c r="B6" s="192" t="n">
        <v>5</v>
      </c>
      <c r="C6" s="193"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4" t="inlineStr">
        <is>
          <t>Open article</t>
        </is>
      </c>
      <c r="E6" s="195" t="inlineStr">
        <is>
          <t>Feature lead</t>
        </is>
      </c>
      <c r="F6" s="196">
        <f>IFERROR(INDEX(Stories!$F$4:$F$357,MATCH($A6,Stories!$A$4:$A$357,0))&amp;"","")</f>
        <v/>
      </c>
      <c r="G6" s="197" t="inlineStr">
        <is>
          <t>Life.ru</t>
        </is>
      </c>
      <c r="H6" s="198" t="n">
        <v>46321</v>
      </c>
      <c r="I6" s="197"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66.5" customHeight="1">
      <c r="A7" s="191" t="n">
        <v>6</v>
      </c>
      <c r="B7" s="192" t="n">
        <v>4</v>
      </c>
      <c r="C7" s="193" t="inlineStr">
        <is>
          <t>Borumba exploratory tunnelling procurement suspended</t>
        </is>
      </c>
      <c r="D7" s="194" t="inlineStr">
        <is>
          <t>Open article</t>
        </is>
      </c>
      <c r="E7" s="199" t="inlineStr">
        <is>
          <t>News brief</t>
        </is>
      </c>
      <c r="F7" s="196">
        <f>IFERROR(INDEX(Stories!$F$4:$F$357,MATCH($A7,Stories!$A$4:$A$357,0))&amp;"","")</f>
        <v/>
      </c>
      <c r="G7" s="197" t="inlineStr">
        <is>
          <t>Tunnelling Journal</t>
        </is>
      </c>
      <c r="H7" s="198" t="n">
        <v>46326</v>
      </c>
      <c r="I7" s="197" t="inlineStr">
        <is>
          <t>What ground investigation information is needed before exploratory tunnelling for a pumped hydro scheme, and why procurement pauses matter for site characterisation.
Check with: Queensland Hydro</t>
        </is>
      </c>
    </row>
    <row r="8" outlineLevel="1" ht="66.5" customHeight="1">
      <c r="A8" s="191" t="n">
        <v>15</v>
      </c>
      <c r="B8" s="192" t="n">
        <v>4</v>
      </c>
      <c r="C8" s="193" t="inlineStr">
        <is>
          <t>Off Suffolk's coast a single steel pile went in at 1,800 metric tons and 275 feet tall, and the vessel that set it drove all 95 into the seabed</t>
        </is>
      </c>
      <c r="D8" s="194" t="inlineStr">
        <is>
          <t>Open article</t>
        </is>
      </c>
      <c r="E8" s="195" t="inlineStr">
        <is>
          <t>Feature lead</t>
        </is>
      </c>
      <c r="F8" s="196">
        <f>IFERROR(INDEX(Stories!$F$4:$F$357,MATCH($A8,Stories!$A$4:$A$357,0))&amp;"","")</f>
        <v/>
      </c>
      <c r="G8" s="197" t="inlineStr">
        <is>
          <t>Energies Media</t>
        </is>
      </c>
      <c r="H8" s="198" t="n">
        <v>46326</v>
      </c>
      <c r="I8" s="197" t="inlineStr">
        <is>
          <t>How are very large monopile foundations driven into dense seabed soils, and what installation risks and ground-response data matter for offshore wind design?
Check with: the offshore wind farm developer and installing contractor</t>
        </is>
      </c>
    </row>
    <row r="9" outlineLevel="1" ht="41.5" customHeight="1">
      <c r="A9" s="191" t="n">
        <v>338</v>
      </c>
      <c r="B9" s="192" t="n">
        <v>3</v>
      </c>
      <c r="C9" s="193" t="inlineStr">
        <is>
          <t>Snowy 2.0 cost and completion date revised</t>
        </is>
      </c>
      <c r="D9" s="194" t="inlineStr">
        <is>
          <t>Open article</t>
        </is>
      </c>
      <c r="E9" s="199" t="inlineStr">
        <is>
          <t>News brief</t>
        </is>
      </c>
      <c r="F9" s="196">
        <f>IFERROR(INDEX(Stories!$F$4:$F$357,MATCH($A9,Stories!$A$4:$A$357,0))&amp;"","")</f>
        <v/>
      </c>
      <c r="G9" s="197" t="inlineStr">
        <is>
          <t>Tunnels &amp; Tunnelling</t>
        </is>
      </c>
      <c r="H9" s="198" t="n">
        <v>46319</v>
      </c>
      <c r="I9" s="197" t="inlineStr">
        <is>
          <t>What ground-related risks drive cost and schedule overruns in large pumped hydro cavern and tunnel excavations?</t>
        </is>
      </c>
    </row>
    <row r="10" outlineLevel="1" ht="54" customHeight="1">
      <c r="A10" s="191" t="n">
        <v>107</v>
      </c>
      <c r="B10" s="192" t="n">
        <v>3</v>
      </c>
      <c r="C10" s="193" t="inlineStr">
        <is>
          <t>Jones Bros’ construction milestone at Sanquhar II Wind Farm</t>
        </is>
      </c>
      <c r="D10" s="194" t="inlineStr">
        <is>
          <t>Open article</t>
        </is>
      </c>
      <c r="E10" s="199" t="inlineStr">
        <is>
          <t>News brief</t>
        </is>
      </c>
      <c r="F10" s="196">
        <f>IFERROR(INDEX(Stories!$F$4:$F$357,MATCH($A10,Stories!$A$4:$A$357,0))&amp;"","")</f>
        <v/>
      </c>
      <c r="G10" s="197" t="inlineStr">
        <is>
          <t>Ground Engineering</t>
        </is>
      </c>
      <c r="H10" s="198" t="n">
        <v>46324</v>
      </c>
      <c r="I10" s="197" t="inlineStr">
        <is>
          <t>What ground investigation and foundation design choices were needed to install foundations for a large onshore wind farm in upland Scotland?
Check with: Jones Bros Civil Engineering UK</t>
        </is>
      </c>
    </row>
    <row r="11" outlineLevel="1" ht="41.5" customHeight="1">
      <c r="A11" s="191" t="n">
        <v>341</v>
      </c>
      <c r="B11" s="192" t="n">
        <v>3</v>
      </c>
      <c r="C11" s="193" t="inlineStr">
        <is>
          <t>Abergeldie awarded patent for underground hydrogen storage solution</t>
        </is>
      </c>
      <c r="D11" s="194" t="inlineStr">
        <is>
          <t>Open article</t>
        </is>
      </c>
      <c r="E11" s="200" t="inlineStr">
        <is>
          <t>Academia-to-Industry topic</t>
        </is>
      </c>
      <c r="F11" s="196">
        <f>IFERROR(INDEX(Stories!$F$4:$F$357,MATCH($A11,Stories!$A$4:$A$357,0))&amp;"","")</f>
        <v/>
      </c>
      <c r="G11" s="197" t="inlineStr">
        <is>
          <t>Tunnels &amp; Tunnelling</t>
        </is>
      </c>
      <c r="H11" s="198" t="n">
        <v>46319</v>
      </c>
      <c r="I11" s="197" t="inlineStr">
        <is>
          <t>What ground conditions and geomechanical criteria govern underground hydrogen storage, and how does blind boring apply?</t>
        </is>
      </c>
    </row>
    <row r="12" outlineLevel="1" ht="29" customHeight="1">
      <c r="A12" s="191" t="n">
        <v>342</v>
      </c>
      <c r="B12" s="192" t="n">
        <v>3</v>
      </c>
      <c r="C12" s="193" t="inlineStr">
        <is>
          <t>Snowy 2.0 cost rises to A$22.2bn</t>
        </is>
      </c>
      <c r="D12" s="194" t="inlineStr">
        <is>
          <t>Open article</t>
        </is>
      </c>
      <c r="E12" s="199" t="inlineStr">
        <is>
          <t>News brief</t>
        </is>
      </c>
      <c r="F12" s="196">
        <f>IFERROR(INDEX(Stories!$F$4:$F$357,MATCH($A12,Stories!$A$4:$A$357,0))&amp;"","")</f>
        <v/>
      </c>
      <c r="G12" s="197" t="inlineStr">
        <is>
          <t>Tunnelling Journal</t>
        </is>
      </c>
      <c r="H12" s="198" t="n">
        <v>46319</v>
      </c>
      <c r="I12" s="197" t="inlineStr">
        <is>
          <t>What ground-related factors drive repeated cost increases in large underground pumped hydro projects?</t>
        </is>
      </c>
    </row>
    <row r="13" outlineLevel="1" ht="10" customHeight="1"/>
    <row r="14" ht="26" customHeight="1">
      <c r="A14" s="201" t="inlineStr">
        <is>
          <t>Digital Geotechnics   ·   11 stories   ·   1 rated 5 / 5   ·   4 feature leads</t>
        </is>
      </c>
      <c r="B14" s="202" t="n"/>
      <c r="C14" s="202" t="n"/>
      <c r="D14" s="202" t="n"/>
      <c r="E14" s="202" t="n"/>
      <c r="F14" s="202" t="n"/>
      <c r="G14" s="202" t="n"/>
      <c r="H14" s="202" t="n"/>
      <c r="I14" s="202" t="n"/>
    </row>
    <row r="15" outlineLevel="1">
      <c r="A15" s="203" t="inlineStr">
        <is>
          <t>No.</t>
        </is>
      </c>
      <c r="B15" s="203" t="inlineStr">
        <is>
          <t>Relevance</t>
        </is>
      </c>
      <c r="C15" s="204" t="inlineStr">
        <is>
          <t>Headline</t>
        </is>
      </c>
      <c r="D15" s="203" t="inlineStr">
        <is>
          <t>Link</t>
        </is>
      </c>
      <c r="E15" s="204" t="inlineStr">
        <is>
          <t>Suggested use</t>
        </is>
      </c>
      <c r="F15" s="203" t="inlineStr">
        <is>
          <t>Status</t>
        </is>
      </c>
      <c r="G15" s="204" t="inlineStr">
        <is>
          <t>Source</t>
        </is>
      </c>
      <c r="H15" s="203" t="inlineStr">
        <is>
          <t>Digest</t>
        </is>
      </c>
      <c r="I15" s="204" t="inlineStr">
        <is>
          <t>Magazine angle · check with</t>
        </is>
      </c>
    </row>
    <row r="16" outlineLevel="1" ht="66.5" customHeight="1">
      <c r="A16" s="191" t="n">
        <v>300</v>
      </c>
      <c r="B16" s="192" t="n">
        <v>5</v>
      </c>
      <c r="C16" s="193"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6" s="194" t="inlineStr">
        <is>
          <t>Open article</t>
        </is>
      </c>
      <c r="E16" s="200" t="inlineStr">
        <is>
          <t>Academia-to-Industry topic</t>
        </is>
      </c>
      <c r="F16" s="196">
        <f>IFERROR(INDEX(Stories!$F$4:$F$357,MATCH($A16,Stories!$A$4:$A$357,0))&amp;"","")</f>
        <v/>
      </c>
      <c r="G16" s="197" t="inlineStr">
        <is>
          <t>生物通</t>
        </is>
      </c>
      <c r="H16" s="198" t="n">
        <v>46319</v>
      </c>
      <c r="I16" s="197" t="inlineStr">
        <is>
          <t>Can transfer learning from related image domains reliably segment rock fracture networks in UAV imagery when labelled data are scarce, and how accurate are the results?</t>
        </is>
      </c>
    </row>
    <row r="17" outlineLevel="1" ht="66.5" customHeight="1">
      <c r="A17" s="191" t="n">
        <v>50</v>
      </c>
      <c r="B17" s="192" t="n">
        <v>4</v>
      </c>
      <c r="C17" s="193" t="inlineStr">
        <is>
          <t>Using machine learning to build safer cities</t>
        </is>
      </c>
      <c r="D17" s="194" t="inlineStr">
        <is>
          <t>Open article</t>
        </is>
      </c>
      <c r="E17" s="200" t="inlineStr">
        <is>
          <t>Academia-to-Industry topic</t>
        </is>
      </c>
      <c r="F17" s="196">
        <f>IFERROR(INDEX(Stories!$F$4:$F$357,MATCH($A17,Stories!$A$4:$A$357,0))&amp;"","")</f>
        <v/>
      </c>
      <c r="G17" s="197" t="inlineStr">
        <is>
          <t>Phys.org Earth Sciences</t>
        </is>
      </c>
      <c r="H17" s="198" t="n">
        <v>46325</v>
      </c>
      <c r="I17" s="197" t="inlineStr">
        <is>
          <t>How reliable are machine-learning landslide susceptibility maps when urbanisation, road building and vegetation loss continuously change slope conditions in a city?
Check with: eThekwini Municipality and the Scientific Reports study authors</t>
        </is>
      </c>
    </row>
    <row r="18" outlineLevel="1" ht="29" customHeight="1">
      <c r="A18" s="191" t="n">
        <v>259</v>
      </c>
      <c r="B18" s="192" t="n">
        <v>4</v>
      </c>
      <c r="C18" s="193" t="inlineStr">
        <is>
          <t>Using AI to provide early warning of landslide risks.</t>
        </is>
      </c>
      <c r="D18" s="194" t="inlineStr">
        <is>
          <t>Open article</t>
        </is>
      </c>
      <c r="E18" s="195" t="inlineStr">
        <is>
          <t>Feature lead</t>
        </is>
      </c>
      <c r="F18" s="196">
        <f>IFERROR(INDEX(Stories!$F$4:$F$357,MATCH($A18,Stories!$A$4:$A$357,0))&amp;"","")</f>
        <v/>
      </c>
      <c r="G18" s="197" t="inlineStr">
        <is>
          <t>Vietnam.vn</t>
        </is>
      </c>
      <c r="H18" s="198" t="n">
        <v>46320</v>
      </c>
      <c r="I18" s="197" t="inlineStr">
        <is>
          <t>How reliable are AI-based landslide early-warning models when trained on sparse ground monitoring data?</t>
        </is>
      </c>
    </row>
    <row r="19" outlineLevel="1" ht="41.5" customHeight="1">
      <c r="A19" s="191" t="n">
        <v>131</v>
      </c>
      <c r="B19" s="192" t="n">
        <v>4</v>
      </c>
      <c r="C19" s="193" t="inlineStr">
        <is>
          <t>Machine Learning Reads TBM Data to Classify Rock Mass Automatically</t>
        </is>
      </c>
      <c r="D19" s="194" t="inlineStr">
        <is>
          <t>Open article</t>
        </is>
      </c>
      <c r="E19" s="200" t="inlineStr">
        <is>
          <t>Academia-to-Industry topic</t>
        </is>
      </c>
      <c r="F19" s="196">
        <f>IFERROR(INDEX(Stories!$F$4:$F$357,MATCH($A19,Stories!$A$4:$A$357,0))&amp;"","")</f>
        <v/>
      </c>
      <c r="G19" s="197" t="inlineStr">
        <is>
          <t>Bioengineer.org</t>
        </is>
      </c>
      <c r="H19" s="198" t="n">
        <v>46323</v>
      </c>
      <c r="I19" s="197" t="inlineStr">
        <is>
          <t>Can machine learning on TBM operating data reliably classify rock mass quality in real time, and how should it be validated against conventional mapping?</t>
        </is>
      </c>
    </row>
    <row r="20" outlineLevel="1" ht="79" customHeight="1">
      <c r="A20" s="191" t="n">
        <v>230</v>
      </c>
      <c r="B20" s="192" t="n">
        <v>4</v>
      </c>
      <c r="C20" s="193"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20" s="194" t="inlineStr">
        <is>
          <t>Open article</t>
        </is>
      </c>
      <c r="E20" s="195" t="inlineStr">
        <is>
          <t>Feature lead</t>
        </is>
      </c>
      <c r="F20" s="196">
        <f>IFERROR(INDEX(Stories!$F$4:$F$357,MATCH($A20,Stories!$A$4:$A$357,0))&amp;"","")</f>
        <v/>
      </c>
      <c r="G20" s="197" t="inlineStr">
        <is>
          <t>ComNews.ru</t>
        </is>
      </c>
      <c r="H20" s="198" t="n">
        <v>46321</v>
      </c>
      <c r="I20" s="197" t="inlineStr">
        <is>
          <t>How reliable are 3D excavation models built from site investigation data for deep pits in dense urban sites, and how should their accuracy be verified before construction?
Check with: Setl Group (developer) and the nanoCAD GeoniCS software vendor</t>
        </is>
      </c>
    </row>
    <row r="21" outlineLevel="1" ht="79" customHeight="1">
      <c r="A21" s="191" t="n">
        <v>132</v>
      </c>
      <c r="B21" s="192" t="n">
        <v>4</v>
      </c>
      <c r="C21" s="193" t="inlineStr">
        <is>
          <t>Modern monitoring technology to be installed in Hanogi tunnel on Kiratpur-Manali four-lane to detect geological movement and cracks
(English headline translated by Claude · Original: कीरतपुर-मनाली फोरलेन पर हणोगी टनल में लगेगी आधुनिक निगरानी तकनीक, भूगर्भीय हलचल और दरारों का पता चलेगा)</t>
        </is>
      </c>
      <c r="D21" s="194" t="inlineStr">
        <is>
          <t>Open article</t>
        </is>
      </c>
      <c r="E21" s="195" t="inlineStr">
        <is>
          <t>Feature lead</t>
        </is>
      </c>
      <c r="F21" s="196">
        <f>IFERROR(INDEX(Stories!$F$4:$F$357,MATCH($A21,Stories!$A$4:$A$357,0))&amp;"","")</f>
        <v/>
      </c>
      <c r="G21" s="197" t="inlineStr">
        <is>
          <t>Jagran</t>
        </is>
      </c>
      <c r="H21" s="198" t="n">
        <v>46323</v>
      </c>
      <c r="I21" s="197" t="inlineStr">
        <is>
          <t>How can monitoring systems detect geological movement and cracking in a tunnel on a mountain highway, and what should be measured to give early warning?
Check with: National Highways Authority of India</t>
        </is>
      </c>
    </row>
    <row r="22" outlineLevel="1" ht="66.5" customHeight="1">
      <c r="A22" s="191" t="n">
        <v>100</v>
      </c>
      <c r="B22" s="192" t="n">
        <v>3</v>
      </c>
      <c r="C22" s="193" t="inlineStr">
        <is>
          <t>Talking Point with Angela Hillman – Unlocking the value in subsurface data</t>
        </is>
      </c>
      <c r="D22" s="194" t="inlineStr">
        <is>
          <t>Open article</t>
        </is>
      </c>
      <c r="E22" s="195" t="inlineStr">
        <is>
          <t>Feature lead</t>
        </is>
      </c>
      <c r="F22" s="196">
        <f>IFERROR(INDEX(Stories!$F$4:$F$357,MATCH($A22,Stories!$A$4:$A$357,0))&amp;"","")</f>
        <v/>
      </c>
      <c r="G22" s="197" t="inlineStr">
        <is>
          <t>Ground Engineering</t>
        </is>
      </c>
      <c r="H22" s="198" t="n">
        <v>46324</v>
      </c>
      <c r="I22" s="197" t="inlineStr">
        <is>
          <t>How can a national standardised AGS ground investigation data repository make legacy subsurface data usable for railway geotechnical design and asset management?
Check with: Network Rail</t>
        </is>
      </c>
    </row>
    <row r="23" outlineLevel="1" ht="54" customHeight="1">
      <c r="A23" s="191" t="n">
        <v>66</v>
      </c>
      <c r="B23" s="192" t="n">
        <v>3</v>
      </c>
      <c r="C23" s="193" t="inlineStr">
        <is>
          <t>Orica out to integrate geotechnical monitoring data in one environment with GEOExplorerIQ</t>
        </is>
      </c>
      <c r="D23" s="194" t="inlineStr">
        <is>
          <t>Open article</t>
        </is>
      </c>
      <c r="E23" s="199" t="inlineStr">
        <is>
          <t>News brief</t>
        </is>
      </c>
      <c r="F23" s="196">
        <f>IFERROR(INDEX(Stories!$F$4:$F$357,MATCH($A23,Stories!$A$4:$A$357,0))&amp;"","")</f>
        <v/>
      </c>
      <c r="G23" s="197" t="inlineStr">
        <is>
          <t>International Mining</t>
        </is>
      </c>
      <c r="H23" s="198" t="n">
        <v>46325</v>
      </c>
      <c r="I23" s="197" t="inlineStr">
        <is>
          <t>How can geotechnical monitoring data from mine slopes be integrated into one environment to improve slope stability decisions?
Check with: Orica</t>
        </is>
      </c>
    </row>
    <row r="24" outlineLevel="1" ht="54" customHeight="1">
      <c r="A24" s="191" t="n">
        <v>235</v>
      </c>
      <c r="B24" s="192" t="n">
        <v>3</v>
      </c>
      <c r="C24" s="193" t="inlineStr">
        <is>
          <t>Using AI to detect landslide risks early.
(English headline translated by Claude · Original: Utiliser l'IA pour détecter précocement les risques de glissements de terrain.)</t>
        </is>
      </c>
      <c r="D24" s="194" t="inlineStr">
        <is>
          <t>Open article</t>
        </is>
      </c>
      <c r="E24" s="200" t="inlineStr">
        <is>
          <t>Academia-to-Industry topic</t>
        </is>
      </c>
      <c r="F24" s="196">
        <f>IFERROR(INDEX(Stories!$F$4:$F$357,MATCH($A24,Stories!$A$4:$A$357,0))&amp;"","")</f>
        <v/>
      </c>
      <c r="G24" s="197" t="inlineStr">
        <is>
          <t>Vietnam.vn</t>
        </is>
      </c>
      <c r="H24" s="198" t="n">
        <v>46321</v>
      </c>
      <c r="I24" s="197" t="inlineStr">
        <is>
          <t>Can machine learning on rainfall and monitoring data reliably predict landslide initiation, and what validation would engineers need?</t>
        </is>
      </c>
    </row>
    <row r="25" outlineLevel="1" ht="66.5" customHeight="1">
      <c r="A25" s="191" t="n">
        <v>236</v>
      </c>
      <c r="B25" s="192" t="n">
        <v>3</v>
      </c>
      <c r="C25" s="193" t="inlineStr">
        <is>
          <t>Using artificial intelligence to provide early warnings of landslide risk.
(English headline translated by Claude · Original: Utilizar la inteligencia artificial para proporcionar alertas tempranas sobre riesgos de deslizamientos de tierra.)</t>
        </is>
      </c>
      <c r="D25" s="194" t="inlineStr">
        <is>
          <t>Open article</t>
        </is>
      </c>
      <c r="E25" s="205" t="inlineStr">
        <is>
          <t>Watch only</t>
        </is>
      </c>
      <c r="F25" s="196">
        <f>IFERROR(INDEX(Stories!$F$4:$F$357,MATCH($A25,Stories!$A$4:$A$357,0))&amp;"","")</f>
        <v/>
      </c>
      <c r="G25" s="197" t="inlineStr">
        <is>
          <t>Vietnam.vn</t>
        </is>
      </c>
      <c r="H25" s="198" t="n">
        <v>46321</v>
      </c>
      <c r="I25" s="197" t="inlineStr">
        <is>
          <t>Can machine learning on rainfall and monitoring data reliably predict landslide initiation, and what validation would engineers need?</t>
        </is>
      </c>
    </row>
    <row r="26" outlineLevel="1" ht="66.5" customHeight="1">
      <c r="A26" s="191" t="n">
        <v>203</v>
      </c>
      <c r="B26" s="192" t="n">
        <v>3</v>
      </c>
      <c r="C26" s="193" t="inlineStr">
        <is>
          <t>Zero cycle: how Setl Group builds 3D excavation models with nanoCAD GeoniCS
(English headline translated by Claude · Original: Нулевой цикл: как в Setl Group создают 3D модели котлованов жилых зданий при помощи nanoCAD GeoniCS)</t>
        </is>
      </c>
      <c r="D26" s="194" t="inlineStr">
        <is>
          <t>Open article</t>
        </is>
      </c>
      <c r="E26" s="200" t="inlineStr">
        <is>
          <t>Academia-to-Industry topic</t>
        </is>
      </c>
      <c r="F26" s="196">
        <f>IFERROR(INDEX(Stories!$F$4:$F$357,MATCH($A26,Stories!$A$4:$A$357,0))&amp;"","")</f>
        <v/>
      </c>
      <c r="G26" s="197" t="inlineStr">
        <is>
          <t>Хабр</t>
        </is>
      </c>
      <c r="H26" s="198" t="n">
        <v>46322</v>
      </c>
      <c r="I26" s="197" t="inlineStr">
        <is>
          <t>How can 3D excavation models built in CAD software support design checks and construction sequencing for residential excavations?
Check with: Setl Group and the nanoCAD GeoniCS software developer</t>
        </is>
      </c>
    </row>
    <row r="27" outlineLevel="1" ht="10" customHeight="1"/>
    <row r="28" ht="26" customHeight="1">
      <c r="A28" s="206" t="inlineStr">
        <is>
          <t>Hazards &amp; Resilience   ·   142 stories   ·   16 rated 5 / 5   ·   65 feature leads</t>
        </is>
      </c>
      <c r="B28" s="207" t="n"/>
      <c r="C28" s="207" t="n"/>
      <c r="D28" s="207" t="n"/>
      <c r="E28" s="207" t="n"/>
      <c r="F28" s="207" t="n"/>
      <c r="G28" s="207" t="n"/>
      <c r="H28" s="207" t="n"/>
      <c r="I28" s="207" t="n"/>
    </row>
    <row r="29" outlineLevel="1">
      <c r="A29" s="208" t="inlineStr">
        <is>
          <t>No.</t>
        </is>
      </c>
      <c r="B29" s="208" t="inlineStr">
        <is>
          <t>Relevance</t>
        </is>
      </c>
      <c r="C29" s="209" t="inlineStr">
        <is>
          <t>Headline</t>
        </is>
      </c>
      <c r="D29" s="208" t="inlineStr">
        <is>
          <t>Link</t>
        </is>
      </c>
      <c r="E29" s="209" t="inlineStr">
        <is>
          <t>Suggested use</t>
        </is>
      </c>
      <c r="F29" s="208" t="inlineStr">
        <is>
          <t>Status</t>
        </is>
      </c>
      <c r="G29" s="209" t="inlineStr">
        <is>
          <t>Source</t>
        </is>
      </c>
      <c r="H29" s="208" t="inlineStr">
        <is>
          <t>Digest</t>
        </is>
      </c>
      <c r="I29" s="209" t="inlineStr">
        <is>
          <t>Magazine angle · check with</t>
        </is>
      </c>
    </row>
    <row r="30" outlineLevel="1" ht="66.5" customHeight="1">
      <c r="A30" s="191" t="n">
        <v>163</v>
      </c>
      <c r="B30" s="192" t="n">
        <v>5</v>
      </c>
      <c r="C30" s="193" t="inlineStr">
        <is>
          <t>Compensations related to the dam collapse of Vale and BHP’s joint venture in Brazil reach US$16.52 billion</t>
        </is>
      </c>
      <c r="D30" s="194" t="inlineStr">
        <is>
          <t>Open article</t>
        </is>
      </c>
      <c r="E30" s="195" t="inlineStr">
        <is>
          <t>Feature lead</t>
        </is>
      </c>
      <c r="F30" s="196">
        <f>IFERROR(INDEX(Stories!$F$4:$F$357,MATCH($A30,Stories!$A$4:$A$357,0))&amp;"","")</f>
        <v/>
      </c>
      <c r="G30" s="197" t="inlineStr">
        <is>
          <t>BNamericas</t>
        </is>
      </c>
      <c r="H30" s="198" t="n">
        <v>46322</v>
      </c>
      <c r="I30" s="197" t="inlineStr">
        <is>
          <t>What geotechnical failure mechanisms and tailings dam design lessons emerge from the Mariana collapse, years after compensation was agreed?
Check with: Samarco, Vale and BHP; Brazilian court records</t>
        </is>
      </c>
    </row>
    <row r="31" outlineLevel="1" ht="66.5" customHeight="1">
      <c r="A31" s="191" t="n">
        <v>205</v>
      </c>
      <c r="B31" s="192" t="n">
        <v>5</v>
      </c>
      <c r="C31" s="193" t="inlineStr">
        <is>
          <t>Kumamoto earthquake: 96% of liquefaction sites reoccurred
(English headline translated by Claude · Original: 熊本地震 液状化地点の96%で再発)</t>
        </is>
      </c>
      <c r="D31" s="194" t="inlineStr">
        <is>
          <t>Open article</t>
        </is>
      </c>
      <c r="E31" s="195" t="inlineStr">
        <is>
          <t>Feature lead</t>
        </is>
      </c>
      <c r="F31" s="196">
        <f>IFERROR(INDEX(Stories!$F$4:$F$357,MATCH($A31,Stories!$A$4:$A$357,0))&amp;"","")</f>
        <v/>
      </c>
      <c r="G31" s="197" t="inlineStr">
        <is>
          <t>Yahoo!ニュース</t>
        </is>
      </c>
      <c r="H31" s="198" t="n">
        <v>46321</v>
      </c>
      <c r="I31" s="197" t="inlineStr">
        <is>
          <t>Why do the same sites re-liquefy in repeated earthquakes, and which ground improvement or site-specific measures actually stop recurrence?
Check with: Kumamoto Prefectural Government and the research team behind the liquefaction survey</t>
        </is>
      </c>
    </row>
    <row r="32" outlineLevel="1" ht="66.5" customHeight="1">
      <c r="A32" s="191" t="n">
        <v>206</v>
      </c>
      <c r="B32" s="192" t="n">
        <v>5</v>
      </c>
      <c r="C32" s="193"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32" s="194" t="inlineStr">
        <is>
          <t>Open article</t>
        </is>
      </c>
      <c r="E32" s="205" t="inlineStr">
        <is>
          <t>Watch only</t>
        </is>
      </c>
      <c r="F32" s="196">
        <f>IFERROR(INDEX(Stories!$F$4:$F$357,MATCH($A32,Stories!$A$4:$A$357,0))&amp;"","")</f>
        <v/>
      </c>
      <c r="G32" s="197" t="inlineStr">
        <is>
          <t>読売新聞</t>
        </is>
      </c>
      <c r="H32" s="198" t="n">
        <v>46321</v>
      </c>
      <c r="I32" s="197" t="inlineStr">
        <is>
          <t>Why do the same sites re-liquefy in repeated earthquakes, and which ground improvement or site-specific measures actually stop recurrence?
Check with: Kumamoto Prefectural Government and the research team behind the liquefaction survey</t>
        </is>
      </c>
    </row>
    <row r="33" outlineLevel="1" ht="66.5" customHeight="1">
      <c r="A33" s="191" t="n">
        <v>207</v>
      </c>
      <c r="B33" s="192" t="n">
        <v>5</v>
      </c>
      <c r="C33" s="193" t="inlineStr">
        <is>
          <t>Ancient Earthquakes Triggered Massive 10,000-Year-Old Landslides In Kashmir Himalaya, New Study Reveals</t>
        </is>
      </c>
      <c r="D33" s="194" t="inlineStr">
        <is>
          <t>Open article</t>
        </is>
      </c>
      <c r="E33" s="195" t="inlineStr">
        <is>
          <t>Feature lead</t>
        </is>
      </c>
      <c r="F33" s="196">
        <f>IFERROR(INDEX(Stories!$F$4:$F$357,MATCH($A33,Stories!$A$4:$A$357,0))&amp;"","")</f>
        <v/>
      </c>
      <c r="G33" s="197" t="inlineStr">
        <is>
          <t>Kashmir Life</t>
        </is>
      </c>
      <c r="H33" s="198" t="n">
        <v>46321</v>
      </c>
      <c r="I33" s="197" t="inlineStr">
        <is>
          <t>Can dating of ancient landslide deposits be used to infer earthquake recurrence and slope hazard in tectonically active Himalayan terrain?
Check with: the study's lead research institution (check the journal paper)</t>
        </is>
      </c>
    </row>
    <row r="34" outlineLevel="1" ht="41.5" customHeight="1">
      <c r="A34" s="191" t="n">
        <v>248</v>
      </c>
      <c r="B34" s="192" t="n">
        <v>5</v>
      </c>
      <c r="C34" s="193" t="inlineStr">
        <is>
          <t>More than 100 days after Kalladi landslip, twin-tunnel road project awaits safety reports</t>
        </is>
      </c>
      <c r="D34" s="194" t="inlineStr">
        <is>
          <t>Open article</t>
        </is>
      </c>
      <c r="E34" s="195" t="inlineStr">
        <is>
          <t>Feature lead</t>
        </is>
      </c>
      <c r="F34" s="196">
        <f>IFERROR(INDEX(Stories!$F$4:$F$357,MATCH($A34,Stories!$A$4:$A$357,0))&amp;"","")</f>
        <v/>
      </c>
      <c r="G34" s="197" t="inlineStr">
        <is>
          <t>Onmanorama</t>
        </is>
      </c>
      <c r="H34" s="198" t="n">
        <v>46320</v>
      </c>
      <c r="I34" s="197" t="inlineStr">
        <is>
          <t>How should twin-tunnel road projects be geotechnically assessed and safety-verified in landslide-prone hill terrain after a major slope failure?</t>
        </is>
      </c>
    </row>
    <row r="35" outlineLevel="1" ht="54" customHeight="1">
      <c r="A35" s="191" t="n">
        <v>249</v>
      </c>
      <c r="B35" s="192" t="n">
        <v>5</v>
      </c>
      <c r="C35" s="193" t="inlineStr">
        <is>
          <t>Fragility of port disaster prevention exposed: liquefaction halts logistics at Yatsushiro
(English headline translated by Claude · Original: 港湾防災のもろさ露呈 八代、液状化で物流停止)</t>
        </is>
      </c>
      <c r="D35" s="194" t="inlineStr">
        <is>
          <t>Open article</t>
        </is>
      </c>
      <c r="E35" s="195" t="inlineStr">
        <is>
          <t>Feature lead</t>
        </is>
      </c>
      <c r="F35" s="196">
        <f>IFERROR(INDEX(Stories!$F$4:$F$357,MATCH($A35,Stories!$A$4:$A$357,0))&amp;"","")</f>
        <v/>
      </c>
      <c r="G35" s="197" t="inlineStr">
        <is>
          <t>山陽新聞</t>
        </is>
      </c>
      <c r="H35" s="198" t="n">
        <v>46320</v>
      </c>
      <c r="I35" s="197" t="inlineStr">
        <is>
          <t>Why do reclaimed port areas liquefy during earthquakes, and how can quay and yard design reduce the risk of losing logistics function after shaking?</t>
        </is>
      </c>
    </row>
    <row r="36" outlineLevel="1" ht="66.5" customHeight="1">
      <c r="A36" s="191" t="n">
        <v>1</v>
      </c>
      <c r="B36" s="192" t="n">
        <v>5</v>
      </c>
      <c r="C36" s="193" t="inlineStr">
        <is>
          <t>Niscemi landslide: summit with Civil Protection chief on securing measures.
(English headline translated by Claude · Original: Frana di Niscemi, vertice col capo della Protezione Civile sulla messa in sicurezza)</t>
        </is>
      </c>
      <c r="D36" s="194" t="inlineStr">
        <is>
          <t>Open article</t>
        </is>
      </c>
      <c r="E36" s="195" t="inlineStr">
        <is>
          <t>Feature lead</t>
        </is>
      </c>
      <c r="F36" s="196">
        <f>IFERROR(INDEX(Stories!$F$4:$F$357,MATCH($A36,Stories!$A$4:$A$357,0))&amp;"","")</f>
        <v/>
      </c>
      <c r="G36" s="197" t="inlineStr">
        <is>
          <t>RaiNews</t>
        </is>
      </c>
      <c r="H36" s="198" t="n">
        <v>46326</v>
      </c>
      <c r="I36" s="197" t="inlineStr">
        <is>
          <t>What stabilisation strategy suits a very large, slowly moving clay landslide that threatens a whole town?
Check with: Italian Civil Protection Department</t>
        </is>
      </c>
    </row>
    <row r="37" outlineLevel="1" ht="91.5" customHeight="1">
      <c r="A37" s="191" t="n">
        <v>2</v>
      </c>
      <c r="B37" s="192" t="n">
        <v>5</v>
      </c>
      <c r="C37" s="193" t="inlineStr">
        <is>
          <t>Niscemi landslide still moving, Ciciliano: 'one of the largest in the world'. 300 technicians working on four projects.
(English headline translated by Claude · Original: Frana di Niscemi ancora in movimento, Ciciliano: "È una delle più grandi al mondo". Al lavoro 300 tecnici, quattro progetti per gli interventi)</t>
        </is>
      </c>
      <c r="D37" s="194" t="inlineStr">
        <is>
          <t>Open article</t>
        </is>
      </c>
      <c r="E37" s="195" t="inlineStr">
        <is>
          <t>Feature lead</t>
        </is>
      </c>
      <c r="F37" s="196">
        <f>IFERROR(INDEX(Stories!$F$4:$F$357,MATCH($A37,Stories!$A$4:$A$357,0))&amp;"","")</f>
        <v/>
      </c>
      <c r="G37" s="197" t="inlineStr">
        <is>
          <t>NewSicilia</t>
        </is>
      </c>
      <c r="H37" s="198" t="n">
        <v>46326</v>
      </c>
      <c r="I37" s="197" t="inlineStr">
        <is>
          <t>How should a continuing large landslide be monitored and staged, with several competing intervention projects?
Check with: Italian Civil Protection Department and Sicily regional government</t>
        </is>
      </c>
    </row>
    <row r="38" outlineLevel="1" ht="79" customHeight="1">
      <c r="A38" s="191" t="n">
        <v>208</v>
      </c>
      <c r="B38" s="192" t="n">
        <v>5</v>
      </c>
      <c r="C38" s="193" t="inlineStr">
        <is>
          <t>Niscemi, nine months after the landslide: the town hanging over the void and thirty years of broken promises.
(English headline translated by Claude · Original: Niscemi, nove mesi dopo la frana: la città sospesa sul vuoto e trent'anni di promesse tradite)</t>
        </is>
      </c>
      <c r="D38" s="194" t="inlineStr">
        <is>
          <t>Open article</t>
        </is>
      </c>
      <c r="E38" s="195" t="inlineStr">
        <is>
          <t>Feature lead</t>
        </is>
      </c>
      <c r="F38" s="196">
        <f>IFERROR(INDEX(Stories!$F$4:$F$357,MATCH($A38,Stories!$A$4:$A$357,0))&amp;"","")</f>
        <v/>
      </c>
      <c r="G38" s="197" t="inlineStr">
        <is>
          <t>la Repubblica</t>
        </is>
      </c>
      <c r="H38" s="198" t="n">
        <v>46321</v>
      </c>
      <c r="I38" s="197"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39" outlineLevel="1" ht="66.5" customHeight="1">
      <c r="A39" s="191" t="n">
        <v>250</v>
      </c>
      <c r="B39" s="192" t="n">
        <v>5</v>
      </c>
      <c r="C39" s="193"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39" s="194" t="inlineStr">
        <is>
          <t>Open article</t>
        </is>
      </c>
      <c r="E39" s="195" t="inlineStr">
        <is>
          <t>Feature lead</t>
        </is>
      </c>
      <c r="F39" s="196">
        <f>IFERROR(INDEX(Stories!$F$4:$F$357,MATCH($A39,Stories!$A$4:$A$357,0))&amp;"","")</f>
        <v/>
      </c>
      <c r="G39" s="197" t="inlineStr">
        <is>
          <t>Publimicro</t>
        </is>
      </c>
      <c r="H39" s="198" t="n">
        <v>46320</v>
      </c>
      <c r="I39" s="197" t="inlineStr">
        <is>
          <t>How should authorities act on prior geotechnical warnings about unstable ground, and what criteria should govern long-term evacuation and land reuse?</t>
        </is>
      </c>
    </row>
    <row r="40" outlineLevel="1" ht="66.5" customHeight="1">
      <c r="A40" s="191" t="n">
        <v>251</v>
      </c>
      <c r="B40" s="192" t="n">
        <v>5</v>
      </c>
      <c r="C40" s="193" t="inlineStr">
        <is>
          <t>Up to 1.20 metres of ground moved during the 7.5 earthquake that shook Panama
(English headline translated by Claude · Original: Hasta 1.20 metros se desplazó el suelo durante el terremoto de 7.5 que sacudió Panamá)</t>
        </is>
      </c>
      <c r="D40" s="194" t="inlineStr">
        <is>
          <t>Open article</t>
        </is>
      </c>
      <c r="E40" s="195" t="inlineStr">
        <is>
          <t>Feature lead</t>
        </is>
      </c>
      <c r="F40" s="196">
        <f>IFERROR(INDEX(Stories!$F$4:$F$357,MATCH($A40,Stories!$A$4:$A$357,0))&amp;"","")</f>
        <v/>
      </c>
      <c r="G40" s="197" t="inlineStr">
        <is>
          <t>Infobae</t>
        </is>
      </c>
      <c r="H40" s="198" t="n">
        <v>46320</v>
      </c>
      <c r="I40" s="197" t="inlineStr">
        <is>
          <t>What mechanisms produced metre-scale ground displacement during this magnitude 7.5 earthquake, and what do they imply for fault-zone hazard assessment in Panama?</t>
        </is>
      </c>
    </row>
    <row r="41" outlineLevel="1" ht="66.5" customHeight="1">
      <c r="A41" s="191" t="n">
        <v>209</v>
      </c>
      <c r="B41" s="192" t="n">
        <v>5</v>
      </c>
      <c r="C41" s="193" t="inlineStr">
        <is>
          <t>Liu Yushui garden earth collapse kills; SAM says it warned repeatedly about hillside development risks
(English headline translated by Claude · Original: 刘玉水花园土崩夺命 SAM：已多次警告 山坡发展风险)</t>
        </is>
      </c>
      <c r="D41" s="194" t="inlineStr">
        <is>
          <t>Open article</t>
        </is>
      </c>
      <c r="E41" s="195" t="inlineStr">
        <is>
          <t>Feature lead</t>
        </is>
      </c>
      <c r="F41" s="196">
        <f>IFERROR(INDEX(Stories!$F$4:$F$357,MATCH($A41,Stories!$A$4:$A$357,0))&amp;"","")</f>
        <v/>
      </c>
      <c r="G41" s="197" t="inlineStr">
        <is>
          <t>China Press</t>
        </is>
      </c>
      <c r="H41" s="198" t="n">
        <v>46321</v>
      </c>
      <c r="I41" s="197" t="inlineStr">
        <is>
          <t>How do hillside development practices and repeated unheeded warnings contribute to fatal slope failures, and what geotechnical due diligence should apply to hillside housing?
Check with: Penang state government and the police</t>
        </is>
      </c>
    </row>
    <row r="42" outlineLevel="1" ht="66.5" customHeight="1">
      <c r="A42" s="191" t="n">
        <v>212</v>
      </c>
      <c r="B42" s="192" t="n">
        <v>5</v>
      </c>
      <c r="C42" s="193"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42" s="194" t="inlineStr">
        <is>
          <t>Open article</t>
        </is>
      </c>
      <c r="E42" s="195" t="inlineStr">
        <is>
          <t>Feature lead</t>
        </is>
      </c>
      <c r="F42" s="196">
        <f>IFERROR(INDEX(Stories!$F$4:$F$357,MATCH($A42,Stories!$A$4:$A$357,0))&amp;"","")</f>
        <v/>
      </c>
      <c r="G42" s="197" t="inlineStr">
        <is>
          <t>تركيا عاجل</t>
        </is>
      </c>
      <c r="H42" s="198" t="n">
        <v>46321</v>
      </c>
      <c r="I42" s="197" t="inlineStr">
        <is>
          <t>How can rockfall hazard along a mountain highway be assessed for very large blocks, and what slope-scaling and stabilisation approach suits a 50 km stretch?
Check with: the General Directorate of Highways (KGM)</t>
        </is>
      </c>
    </row>
    <row r="43" outlineLevel="1" ht="54" customHeight="1">
      <c r="A43" s="191" t="n">
        <v>213</v>
      </c>
      <c r="B43" s="192" t="n">
        <v>5</v>
      </c>
      <c r="C43" s="193" t="inlineStr">
        <is>
          <t>Longwei earth collapse death: autopsy report released, cause is traumatic asphyxia
(English headline translated by Claude · Original: 垄尾土崩酿一死｜死者解剖报告出炉 死因是创伤性窒息)</t>
        </is>
      </c>
      <c r="D43" s="194" t="inlineStr">
        <is>
          <t>Open article</t>
        </is>
      </c>
      <c r="E43" s="195" t="inlineStr">
        <is>
          <t>Feature lead</t>
        </is>
      </c>
      <c r="F43" s="196">
        <f>IFERROR(INDEX(Stories!$F$4:$F$357,MATCH($A43,Stories!$A$4:$A$357,0))&amp;"","")</f>
        <v/>
      </c>
      <c r="G43" s="197" t="inlineStr">
        <is>
          <t>China Press</t>
        </is>
      </c>
      <c r="H43" s="198" t="n">
        <v>46321</v>
      </c>
      <c r="I43" s="197" t="inlineStr">
        <is>
          <t>What does the post-mortem finding of a traumatic death reveal about the safety of hillside collapse rescue and the failure of earlier slope warnings?
Check with: Penang state government and the police</t>
        </is>
      </c>
    </row>
    <row r="44" outlineLevel="1" ht="66.5" customHeight="1">
      <c r="A44" s="191" t="n">
        <v>252</v>
      </c>
      <c r="B44" s="192" t="n">
        <v>5</v>
      </c>
      <c r="C44" s="193" t="inlineStr">
        <is>
          <t>Zaruma sits on old gold galleries: where is the sinkhole risk concentrated?
(English headline translated by Claude · Original: Zaruma está sobre antiguas galerías de oro: ¿Dónde se concentra el riesgo de hundimiento?)</t>
        </is>
      </c>
      <c r="D44" s="194" t="inlineStr">
        <is>
          <t>Open article</t>
        </is>
      </c>
      <c r="E44" s="195" t="inlineStr">
        <is>
          <t>Feature lead</t>
        </is>
      </c>
      <c r="F44" s="196">
        <f>IFERROR(INDEX(Stories!$F$4:$F$357,MATCH($A44,Stories!$A$4:$A$357,0))&amp;"","")</f>
        <v/>
      </c>
      <c r="G44" s="197" t="inlineStr">
        <is>
          <t>Revista Digital Minera REDIMIN</t>
        </is>
      </c>
      <c r="H44" s="198" t="n">
        <v>46320</v>
      </c>
      <c r="I44" s="197" t="inlineStr">
        <is>
          <t>How do abandoned shallow gold mine galleries affect ground stability beneath an urban area, and how can the sinkhole risk be mapped and managed?</t>
        </is>
      </c>
    </row>
    <row r="45" outlineLevel="1" ht="54" customHeight="1">
      <c r="A45" s="191" t="n">
        <v>299</v>
      </c>
      <c r="B45" s="192" t="n">
        <v>5</v>
      </c>
      <c r="C45" s="193" t="inlineStr">
        <is>
          <t>Serious landslides in South Gia Nghia
(English headline translated by Claude · Original: Sụt trượt đất nghiêm trọng ở Nam Gia Nghĩa)</t>
        </is>
      </c>
      <c r="D45" s="194" t="inlineStr">
        <is>
          <t>Open article</t>
        </is>
      </c>
      <c r="E45" s="195" t="inlineStr">
        <is>
          <t>Feature lead</t>
        </is>
      </c>
      <c r="F45" s="196">
        <f>IFERROR(INDEX(Stories!$F$4:$F$357,MATCH($A45,Stories!$A$4:$A$357,0))&amp;"","")</f>
        <v/>
      </c>
      <c r="G45" s="197" t="inlineStr">
        <is>
          <t>Vietnam.vn</t>
        </is>
      </c>
      <c r="H45" s="198" t="n">
        <v>46319</v>
      </c>
      <c r="I45" s="197" t="inlineStr">
        <is>
          <t>What rainfall and slope geometry triggered this serious landslide in Nam Gia Nghia, and how should weathered residual soils on such slopes be investigated and stabilised?</t>
        </is>
      </c>
    </row>
    <row r="46" outlineLevel="1" ht="41.5" customHeight="1">
      <c r="A46" s="191" t="n">
        <v>301</v>
      </c>
      <c r="B46" s="192" t="n">
        <v>4</v>
      </c>
      <c r="C46" s="193" t="inlineStr">
        <is>
          <t>M4 landslip work begins as part of wider repair programme</t>
        </is>
      </c>
      <c r="D46" s="194" t="inlineStr">
        <is>
          <t>Open article</t>
        </is>
      </c>
      <c r="E46" s="195" t="inlineStr">
        <is>
          <t>Feature lead</t>
        </is>
      </c>
      <c r="F46" s="196">
        <f>IFERROR(INDEX(Stories!$F$4:$F$357,MATCH($A46,Stories!$A$4:$A$357,0))&amp;"","")</f>
        <v/>
      </c>
      <c r="G46" s="197" t="inlineStr">
        <is>
          <t>Ground Engineering</t>
        </is>
      </c>
      <c r="H46" s="198" t="n">
        <v>46319</v>
      </c>
      <c r="I46" s="197" t="inlineStr">
        <is>
          <t>How should engineers diagnose and stabilise a landslipped motorway embankment, and what drainage and monitoring measures prevent recurrence?</t>
        </is>
      </c>
    </row>
    <row r="47" outlineLevel="1" ht="54" customHeight="1">
      <c r="A47" s="191" t="n">
        <v>302</v>
      </c>
      <c r="B47" s="192" t="n">
        <v>4</v>
      </c>
      <c r="C47" s="193" t="inlineStr">
        <is>
          <t>Landslide-prevention embankment threatens residential area
(English headline translated by Claude · Original: Tanggul pencegah tanah longsor 'mengancam' kawasan permukiman.)</t>
        </is>
      </c>
      <c r="D47" s="194" t="inlineStr">
        <is>
          <t>Open article</t>
        </is>
      </c>
      <c r="E47" s="195" t="inlineStr">
        <is>
          <t>Feature lead</t>
        </is>
      </c>
      <c r="F47" s="196">
        <f>IFERROR(INDEX(Stories!$F$4:$F$357,MATCH($A47,Stories!$A$4:$A$357,0))&amp;"","")</f>
        <v/>
      </c>
      <c r="G47" s="197" t="inlineStr">
        <is>
          <t>Vietnam.vn</t>
        </is>
      </c>
      <c r="H47" s="198" t="n">
        <v>46319</v>
      </c>
      <c r="I47" s="197" t="inlineStr">
        <is>
          <t>Can retaining and protective embankments be designed to resist landslide loading from upslope slopes beside settlements, and how should such risk be assessed?</t>
        </is>
      </c>
    </row>
    <row r="48" outlineLevel="1" ht="66.5" customHeight="1">
      <c r="A48" s="191" t="n">
        <v>303</v>
      </c>
      <c r="B48" s="192" t="n">
        <v>4</v>
      </c>
      <c r="C48" s="193" t="inlineStr">
        <is>
          <t>Storms in Liguria, major landslide in Savona: the collapse destroyed a city road
(English headline translated by Claude · Original: RAINEWS * CRONACA: «MALTEMPO IN LIGURIA, GRANDE FRANA A SAVONA: IL CROLLO HA DISTRUTTO UNA STRADA CITTADINA)</t>
        </is>
      </c>
      <c r="D48" s="194" t="inlineStr">
        <is>
          <t>Open article</t>
        </is>
      </c>
      <c r="E48" s="199" t="inlineStr">
        <is>
          <t>News brief</t>
        </is>
      </c>
      <c r="F48" s="196">
        <f>IFERROR(INDEX(Stories!$F$4:$F$357,MATCH($A48,Stories!$A$4:$A$357,0))&amp;"","")</f>
        <v/>
      </c>
      <c r="G48" s="197" t="inlineStr">
        <is>
          <t>agenzia giornalistica opinione</t>
        </is>
      </c>
      <c r="H48" s="198" t="n">
        <v>46319</v>
      </c>
      <c r="I48" s="197" t="inlineStr">
        <is>
          <t>What triggered this large rock or soil slope failure in Savona during heavy rain, and what does the collapse reveal about slope stability in Liguria?</t>
        </is>
      </c>
    </row>
    <row r="49" outlineLevel="1" ht="66.5" customHeight="1">
      <c r="A49" s="191" t="n">
        <v>120</v>
      </c>
      <c r="B49" s="192" t="n">
        <v>4</v>
      </c>
      <c r="C49" s="193" t="inlineStr">
        <is>
          <t>Samancor Dikwena tailings dam collapse: Early warnings ignored</t>
        </is>
      </c>
      <c r="D49" s="194" t="inlineStr">
        <is>
          <t>Open article</t>
        </is>
      </c>
      <c r="E49" s="195" t="inlineStr">
        <is>
          <t>Feature lead</t>
        </is>
      </c>
      <c r="F49" s="196">
        <f>IFERROR(INDEX(Stories!$F$4:$F$357,MATCH($A49,Stories!$A$4:$A$357,0))&amp;"","")</f>
        <v/>
      </c>
      <c r="G49" s="197" t="inlineStr">
        <is>
          <t>The Citizen</t>
        </is>
      </c>
      <c r="H49" s="198" t="n">
        <v>46323</v>
      </c>
      <c r="I49" s="197" t="inlineStr">
        <is>
          <t>Why early warning signs of tailings dam instability were not acted on, and what monitoring thresholds should trigger intervention at mine tailings facilities.
Check with: Samancor Manganese and the South African mine safety regulator</t>
        </is>
      </c>
    </row>
    <row r="50" outlineLevel="1" ht="104" customHeight="1">
      <c r="A50" s="191" t="n">
        <v>304</v>
      </c>
      <c r="B50" s="192" t="n">
        <v>4</v>
      </c>
      <c r="C50" s="193"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50" s="194" t="inlineStr">
        <is>
          <t>Open article</t>
        </is>
      </c>
      <c r="E50" s="195" t="inlineStr">
        <is>
          <t>Feature lead</t>
        </is>
      </c>
      <c r="F50" s="196">
        <f>IFERROR(INDEX(Stories!$F$4:$F$357,MATCH($A50,Stories!$A$4:$A$357,0))&amp;"","")</f>
        <v/>
      </c>
      <c r="G50" s="197" t="inlineStr">
        <is>
          <t>Vietnam.vn</t>
        </is>
      </c>
      <c r="H50" s="198" t="n">
        <v>46319</v>
      </c>
      <c r="I50" s="197" t="inlineStr">
        <is>
          <t>How should traffic management and monitoring be combined with slope stabilisation on mountain passes subject to recurrent landslides?</t>
        </is>
      </c>
    </row>
    <row r="51" outlineLevel="1" ht="66.5" customHeight="1">
      <c r="A51" s="191" t="n">
        <v>305</v>
      </c>
      <c r="B51" s="192" t="n">
        <v>4</v>
      </c>
      <c r="C51" s="193" t="inlineStr">
        <is>
          <t>Valmontone, bad weather: tuff slope collapses onto Prenestina road, road partially closed
(English headline translated by Claude · Original: Valmontone, maltempo: frana costone di tufo sulla via Prenestina, strada parzialmente chiusa)</t>
        </is>
      </c>
      <c r="D51" s="194" t="inlineStr">
        <is>
          <t>Open article</t>
        </is>
      </c>
      <c r="E51" s="199" t="inlineStr">
        <is>
          <t>News brief</t>
        </is>
      </c>
      <c r="F51" s="196">
        <f>IFERROR(INDEX(Stories!$F$4:$F$357,MATCH($A51,Stories!$A$4:$A$357,0))&amp;"","")</f>
        <v/>
      </c>
      <c r="G51" s="197" t="inlineStr">
        <is>
          <t>Il Giornale dei Castelli Romani</t>
        </is>
      </c>
      <c r="H51" s="198" t="n">
        <v>46319</v>
      </c>
      <c r="I51" s="197" t="inlineStr">
        <is>
          <t>What causes tuff cliff collapse in volcanic deposits under rainfall, and how can such slopes be assessed and stabilised near roads?</t>
        </is>
      </c>
    </row>
    <row r="52" outlineLevel="1" ht="66.5" customHeight="1">
      <c r="A52" s="191" t="n">
        <v>306</v>
      </c>
      <c r="B52" s="192" t="n">
        <v>4</v>
      </c>
      <c r="C52" s="193" t="inlineStr">
        <is>
          <t>Bonea, landslide in Capo locality: mayor closes three roads by urgent order
(English headline translated by Claude · Original: BONEA, FRANA IN LOCALITÀ CAPO: IL SINDACO CHIUDE TRE STRADE CON ORDINANZA URGENTE)</t>
        </is>
      </c>
      <c r="D52" s="194" t="inlineStr">
        <is>
          <t>Open article</t>
        </is>
      </c>
      <c r="E52" s="199" t="inlineStr">
        <is>
          <t>News brief</t>
        </is>
      </c>
      <c r="F52" s="196">
        <f>IFERROR(INDEX(Stories!$F$4:$F$357,MATCH($A52,Stories!$A$4:$A$357,0))&amp;"","")</f>
        <v/>
      </c>
      <c r="G52" s="197" t="inlineStr">
        <is>
          <t>Tv7 Benevento</t>
        </is>
      </c>
      <c r="H52" s="198" t="n">
        <v>46319</v>
      </c>
      <c r="I52" s="197" t="inlineStr">
        <is>
          <t>What ground investigation would confirm the landslide mechanism at Capo locality and guide safe reopening of the three closed roads?</t>
        </is>
      </c>
    </row>
    <row r="53" outlineLevel="1" ht="66.5" customHeight="1">
      <c r="A53" s="191" t="n">
        <v>307</v>
      </c>
      <c r="B53" s="192" t="n">
        <v>4</v>
      </c>
      <c r="C53" s="193" t="inlineStr">
        <is>
          <t>The Cencione landslide: amid mud and controversy, bulldozers are at work
(English headline translated by Claude · Original: La frana del Cencione Tra fango e polemiche Le ruspe sono al lavoro)</t>
        </is>
      </c>
      <c r="D53" s="194" t="inlineStr">
        <is>
          <t>Open article</t>
        </is>
      </c>
      <c r="E53" s="195" t="inlineStr">
        <is>
          <t>Feature lead</t>
        </is>
      </c>
      <c r="F53" s="196">
        <f>IFERROR(INDEX(Stories!$F$4:$F$357,MATCH($A53,Stories!$A$4:$A$357,0))&amp;"","")</f>
        <v/>
      </c>
      <c r="G53" s="197" t="inlineStr">
        <is>
          <t>Zazoom Social News</t>
        </is>
      </c>
      <c r="H53" s="198" t="n">
        <v>46319</v>
      </c>
      <c r="I53" s="197" t="inlineStr">
        <is>
          <t>How should authorities balance urgent earthworks with geotechnical investigation and accountability when a landslide site becomes politically contested?</t>
        </is>
      </c>
    </row>
    <row r="54" outlineLevel="1" ht="41.5" customHeight="1">
      <c r="A54" s="191" t="n">
        <v>308</v>
      </c>
      <c r="B54" s="192" t="n">
        <v>4</v>
      </c>
      <c r="C54" s="193" t="inlineStr">
        <is>
          <t>TNI helps landslide victims in Lae Ikan, Subulussalam
(English headline translated by Claude · Original: TNI Bantu Korban Longsor di Lae Ikan Subulussalam)</t>
        </is>
      </c>
      <c r="D54" s="194" t="inlineStr">
        <is>
          <t>Open article</t>
        </is>
      </c>
      <c r="E54" s="199" t="inlineStr">
        <is>
          <t>News brief</t>
        </is>
      </c>
      <c r="F54" s="196">
        <f>IFERROR(INDEX(Stories!$F$4:$F$357,MATCH($A54,Stories!$A$4:$A$357,0))&amp;"","")</f>
        <v/>
      </c>
      <c r="G54" s="197" t="inlineStr">
        <is>
          <t>RRI.co.id</t>
        </is>
      </c>
      <c r="H54" s="198" t="n">
        <v>46319</v>
      </c>
      <c r="I54" s="197" t="inlineStr">
        <is>
          <t>What role can emergency response and rapid geotechnical assessment play after a landslide in a mountainous Indonesian village?</t>
        </is>
      </c>
    </row>
    <row r="55" outlineLevel="1" ht="66.5" customHeight="1">
      <c r="A55" s="191" t="n">
        <v>81</v>
      </c>
      <c r="B55" s="192" t="n">
        <v>4</v>
      </c>
      <c r="C55" s="193" t="inlineStr">
        <is>
          <t>In Canada, a new type of landslide: permafrost breaks away from slopes in huge blocks
(English headline translated by Claude · Original: В Канаде обнаружили новый тип оползней: вечная мерзлота срывается со склонов огромными глыбами)</t>
        </is>
      </c>
      <c r="D55" s="194" t="inlineStr">
        <is>
          <t>Open article</t>
        </is>
      </c>
      <c r="E55" s="195" t="inlineStr">
        <is>
          <t>Feature lead</t>
        </is>
      </c>
      <c r="F55" s="196">
        <f>IFERROR(INDEX(Stories!$F$4:$F$357,MATCH($A55,Stories!$A$4:$A$357,0))&amp;"","")</f>
        <v/>
      </c>
      <c r="G55" s="197" t="inlineStr">
        <is>
          <t>NEWS.am</t>
        </is>
      </c>
      <c r="H55" s="198" t="n">
        <v>46324</v>
      </c>
      <c r="I55" s="197" t="inlineStr">
        <is>
          <t>What failure mechanism lets warming permafrost slopes release large intact ice-rich blocks, and how should slope monitoring in cold regions change?
Check with: Geological Survey of Canada and the study's authors</t>
        </is>
      </c>
    </row>
    <row r="56" outlineLevel="1" ht="66.5" customHeight="1">
      <c r="A56" s="191" t="n">
        <v>46</v>
      </c>
      <c r="B56" s="192" t="n">
        <v>4</v>
      </c>
      <c r="C56" s="193" t="inlineStr">
        <is>
          <t>Cyclone Arnab Triggers Major Landslides and Flooding in Odisha Districts</t>
        </is>
      </c>
      <c r="D56" s="194" t="inlineStr">
        <is>
          <t>Open article</t>
        </is>
      </c>
      <c r="E56" s="199" t="inlineStr">
        <is>
          <t>News brief</t>
        </is>
      </c>
      <c r="F56" s="196">
        <f>IFERROR(INDEX(Stories!$F$4:$F$357,MATCH($A56,Stories!$A$4:$A$357,0))&amp;"","")</f>
        <v/>
      </c>
      <c r="G56" s="197" t="inlineStr">
        <is>
          <t>Asianet Newsable</t>
        </is>
      </c>
      <c r="H56" s="198" t="n">
        <v>46325</v>
      </c>
      <c r="I56" s="197" t="inlineStr">
        <is>
          <t>What slope-failure and debris-flow mechanisms were triggered by cyclone rainfall in Odisha's hill districts, and how should landslide susceptibility be mapped there?
Check with: Odisha State Disaster Management Authority</t>
        </is>
      </c>
    </row>
    <row r="57" outlineLevel="1" ht="66.5" customHeight="1">
      <c r="A57" s="191" t="n">
        <v>214</v>
      </c>
      <c r="B57" s="192" t="n">
        <v>4</v>
      </c>
      <c r="C57" s="193" t="inlineStr">
        <is>
          <t>Slope collapse affects basements and shops of a shopping plaza in Cuajimalpa
(English headline translated by Claude · Original: Deslizamiento de talud afecta sótanos y locales de plaza comercial en Cuajimalpa)</t>
        </is>
      </c>
      <c r="D57" s="194" t="inlineStr">
        <is>
          <t>Open article</t>
        </is>
      </c>
      <c r="E57" s="195" t="inlineStr">
        <is>
          <t>Feature lead</t>
        </is>
      </c>
      <c r="F57" s="196">
        <f>IFERROR(INDEX(Stories!$F$4:$F$357,MATCH($A57,Stories!$A$4:$A$357,0))&amp;"","")</f>
        <v/>
      </c>
      <c r="G57" s="197" t="inlineStr">
        <is>
          <t>El Universal</t>
        </is>
      </c>
      <c r="H57" s="198" t="n">
        <v>46321</v>
      </c>
      <c r="I57" s="197" t="inlineStr">
        <is>
          <t>How should basements and retail excavations beside unstable natural slopes be designed and monitored so that slope movement does not reach occupied spaces?
Check with: Mexico City Protección Civil and the borough's building authority</t>
        </is>
      </c>
    </row>
    <row r="58" outlineLevel="1" ht="66.5" customHeight="1">
      <c r="A58" s="191" t="n">
        <v>215</v>
      </c>
      <c r="B58" s="192" t="n">
        <v>4</v>
      </c>
      <c r="C58" s="193" t="inlineStr">
        <is>
          <t>Heavy landslide at Centro Santa Fe: 30-meter slope collapses and affects shops
(English headline translated by Claude · Original: Fuerte deslave en Centro Santa Fe: colapsa talud de 30 metros y afecta locales)</t>
        </is>
      </c>
      <c r="D58" s="194" t="inlineStr">
        <is>
          <t>Open article</t>
        </is>
      </c>
      <c r="E58" s="195" t="inlineStr">
        <is>
          <t>Feature lead</t>
        </is>
      </c>
      <c r="F58" s="196">
        <f>IFERROR(INDEX(Stories!$F$4:$F$357,MATCH($A58,Stories!$A$4:$A$357,0))&amp;"","")</f>
        <v/>
      </c>
      <c r="G58" s="197" t="inlineStr">
        <is>
          <t>PostaMx</t>
        </is>
      </c>
      <c r="H58" s="198" t="n">
        <v>46321</v>
      </c>
      <c r="I58" s="197" t="inlineStr">
        <is>
          <t>What failure mechanisms could bring down a 30 m cut slope in a dense urban business district, and what monitoring would have given early warning?
Check with: Mexico City Protección Civil and the developer's geotechnical consultant</t>
        </is>
      </c>
    </row>
    <row r="59" outlineLevel="1" ht="54" customHeight="1">
      <c r="A59" s="191" t="n">
        <v>253</v>
      </c>
      <c r="B59" s="192" t="n">
        <v>4</v>
      </c>
      <c r="C59" s="193"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59" s="194" t="inlineStr">
        <is>
          <t>Open article</t>
        </is>
      </c>
      <c r="E59" s="199" t="inlineStr">
        <is>
          <t>News brief</t>
        </is>
      </c>
      <c r="F59" s="196">
        <f>IFERROR(INDEX(Stories!$F$4:$F$357,MATCH($A59,Stories!$A$4:$A$357,0))&amp;"","")</f>
        <v/>
      </c>
      <c r="G59" s="197" t="inlineStr">
        <is>
          <t>FNNプライムオンライン</t>
        </is>
      </c>
      <c r="H59" s="198" t="n">
        <v>46320</v>
      </c>
      <c r="I59" s="197" t="inlineStr">
        <is>
          <t>What triggers rockfall and debris slides on steep volcanic-sedimentary mountain slopes, and how should hazard zoning account for such events near visitor routes?</t>
        </is>
      </c>
    </row>
    <row r="60" outlineLevel="1" ht="66.5" customHeight="1">
      <c r="A60" s="191" t="n">
        <v>309</v>
      </c>
      <c r="B60" s="192" t="n">
        <v>4</v>
      </c>
      <c r="C60" s="193" t="inlineStr">
        <is>
          <t>Intense rains cause alluvion in rural sector of Concepción: residents fear new landslides
(English headline translated by Claude · Original: Intensas lluvias provocan aluvión en sector rural de Concepción: Vecinos temen nuevos deslizamientos)</t>
        </is>
      </c>
      <c r="D60" s="194" t="inlineStr">
        <is>
          <t>Open article</t>
        </is>
      </c>
      <c r="E60" s="195" t="inlineStr">
        <is>
          <t>Feature lead</t>
        </is>
      </c>
      <c r="F60" s="196">
        <f>IFERROR(INDEX(Stories!$F$4:$F$357,MATCH($A60,Stories!$A$4:$A$357,0))&amp;"","")</f>
        <v/>
      </c>
      <c r="G60" s="197" t="inlineStr">
        <is>
          <t>Meganoticias</t>
        </is>
      </c>
      <c r="H60" s="198" t="n">
        <v>46319</v>
      </c>
      <c r="I60" s="197" t="inlineStr">
        <is>
          <t>What triggered the rain-induced debris flow and slope failure in this rural hillside, and how can residents' risk of further slides be assessed?</t>
        </is>
      </c>
    </row>
    <row r="61" outlineLevel="1" ht="66.5" customHeight="1">
      <c r="A61" s="191" t="n">
        <v>310</v>
      </c>
      <c r="B61" s="192" t="n">
        <v>4</v>
      </c>
      <c r="C61" s="193" t="inlineStr">
        <is>
          <t>Rockfall onto houses in Chi Lang commune, Lang Son province
(English headline translated by Claude · Original: Sạt lở đá xuống nhà dân tại xã Chi Lăng - Báo và Phát thanh, Truyền hình Lạng Sơn)</t>
        </is>
      </c>
      <c r="D61" s="194" t="inlineStr">
        <is>
          <t>Open article</t>
        </is>
      </c>
      <c r="E61" s="199" t="inlineStr">
        <is>
          <t>News brief</t>
        </is>
      </c>
      <c r="F61" s="196">
        <f>IFERROR(INDEX(Stories!$F$4:$F$357,MATCH($A61,Stories!$A$4:$A$357,0))&amp;"","")</f>
        <v/>
      </c>
      <c r="G61" s="197" t="inlineStr">
        <is>
          <t>Baolangson.vn</t>
        </is>
      </c>
      <c r="H61" s="198" t="n">
        <v>46319</v>
      </c>
      <c r="I61" s="197" t="inlineStr">
        <is>
          <t>What mechanisms cause rockfall onto houses below steep slopes, and how should hazard mitigation be designed for rural settlements?</t>
        </is>
      </c>
    </row>
    <row r="62" outlineLevel="1" ht="66.5" customHeight="1">
      <c r="A62" s="191" t="n">
        <v>311</v>
      </c>
      <c r="B62" s="192" t="n">
        <v>4</v>
      </c>
      <c r="C62" s="193"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62" s="194" t="inlineStr">
        <is>
          <t>Open article</t>
        </is>
      </c>
      <c r="E62" s="210" t="inlineStr">
        <is>
          <t>Regional insight</t>
        </is>
      </c>
      <c r="F62" s="196">
        <f>IFERROR(INDEX(Stories!$F$4:$F$357,MATCH($A62,Stories!$A$4:$A$357,0))&amp;"","")</f>
        <v/>
      </c>
      <c r="G62" s="197" t="inlineStr">
        <is>
          <t>Vietnam.vn</t>
        </is>
      </c>
      <c r="H62" s="198" t="n">
        <v>46319</v>
      </c>
      <c r="I62" s="197" t="inlineStr">
        <is>
          <t>What combination of subsidence and landslide processes damaged this 500 m road, and how should such ground be investigated and repaired?</t>
        </is>
      </c>
    </row>
    <row r="63" outlineLevel="1" ht="54" customHeight="1">
      <c r="A63" s="191" t="n">
        <v>5</v>
      </c>
      <c r="B63" s="192" t="n">
        <v>4</v>
      </c>
      <c r="C63" s="193" t="inlineStr">
        <is>
          <t>Response to liquefaction damage from the 2024 Noto Peninsula earthquake
(English headline translated by Claude · Original: 令和6年能登半島地震における液状化被害への対応)</t>
        </is>
      </c>
      <c r="D63" s="194" t="inlineStr">
        <is>
          <t>Open article</t>
        </is>
      </c>
      <c r="E63" s="195" t="inlineStr">
        <is>
          <t>Feature lead</t>
        </is>
      </c>
      <c r="F63" s="196">
        <f>IFERROR(INDEX(Stories!$F$4:$F$357,MATCH($A63,Stories!$A$4:$A$357,0))&amp;"","")</f>
        <v/>
      </c>
      <c r="G63" s="197" t="inlineStr">
        <is>
          <t>金沢市公式ホームページ</t>
        </is>
      </c>
      <c r="H63" s="198" t="n">
        <v>46326</v>
      </c>
      <c r="I63" s="197" t="inlineStr">
        <is>
          <t>How should liquefaction damage from the Noto earthquake be mapped, repaired and mitigated in reclaimed or sandy ground in a regional city?
Check with: Kanazawa City government</t>
        </is>
      </c>
    </row>
    <row r="64" outlineLevel="1" ht="66.5" customHeight="1">
      <c r="A64" s="191" t="n">
        <v>83</v>
      </c>
      <c r="B64" s="192" t="n">
        <v>4</v>
      </c>
      <c r="C64" s="193" t="inlineStr">
        <is>
          <t>Permafrost landslide in Canada reveals impact of climate warming
(English headline translated by Claude · Original: Longsor Permafrost Kanada Ungkap Dampak Pemanasan Iklim)</t>
        </is>
      </c>
      <c r="D64" s="194" t="inlineStr">
        <is>
          <t>Open article</t>
        </is>
      </c>
      <c r="E64" s="205" t="inlineStr">
        <is>
          <t>Watch only</t>
        </is>
      </c>
      <c r="F64" s="196">
        <f>IFERROR(INDEX(Stories!$F$4:$F$357,MATCH($A64,Stories!$A$4:$A$357,0))&amp;"","")</f>
        <v/>
      </c>
      <c r="G64" s="197" t="inlineStr">
        <is>
          <t>Demokratis.co.id</t>
        </is>
      </c>
      <c r="H64" s="198" t="n">
        <v>46324</v>
      </c>
      <c r="I64" s="197" t="inlineStr">
        <is>
          <t>How does warming permafrost degradation change slope stability and the ground-ice failure mechanisms in Canadian terrain?
Check with: Geological Survey of Canada and the study's authors</t>
        </is>
      </c>
    </row>
    <row r="65" outlineLevel="1" ht="66.5" customHeight="1">
      <c r="A65" s="191" t="n">
        <v>84</v>
      </c>
      <c r="B65" s="192" t="n">
        <v>4</v>
      </c>
      <c r="C65" s="193" t="inlineStr">
        <is>
          <t>Permafrost in Canada collapses, house-sized ice blocks fall uncontrolled
(English headline translated by Claude · Original: Permafrost di Kanada Longsor, Bongkah Es Sebesar Rumah Jatuh Tak Terkendali)</t>
        </is>
      </c>
      <c r="D65" s="194" t="inlineStr">
        <is>
          <t>Open article</t>
        </is>
      </c>
      <c r="E65" s="205" t="inlineStr">
        <is>
          <t>Watch only</t>
        </is>
      </c>
      <c r="F65" s="196">
        <f>IFERROR(INDEX(Stories!$F$4:$F$357,MATCH($A65,Stories!$A$4:$A$357,0))&amp;"","")</f>
        <v/>
      </c>
      <c r="G65" s="197" t="inlineStr">
        <is>
          <t>detikInet</t>
        </is>
      </c>
      <c r="H65" s="198" t="n">
        <v>46324</v>
      </c>
      <c r="I65" s="197" t="inlineStr">
        <is>
          <t>How does warming permafrost degradation change slope stability and the ground-ice failure mechanisms in Canadian terrain?
Check with: Geological Survey of Canada and the study's authors</t>
        </is>
      </c>
    </row>
    <row r="66" outlineLevel="1" ht="66.5" customHeight="1">
      <c r="A66" s="191" t="n">
        <v>85</v>
      </c>
      <c r="B66" s="192" t="n">
        <v>4</v>
      </c>
      <c r="C66" s="193" t="inlineStr">
        <is>
          <t>Permafrost landslide in Canada moves millions of cubic metres of soil
(English headline translated by Claude · Original: Longsor Permafrost di Kanada Mengangkut Jutaan Meter Kubik Tanah)</t>
        </is>
      </c>
      <c r="D66" s="194" t="inlineStr">
        <is>
          <t>Open article</t>
        </is>
      </c>
      <c r="E66" s="205" t="inlineStr">
        <is>
          <t>Watch only</t>
        </is>
      </c>
      <c r="F66" s="196">
        <f>IFERROR(INDEX(Stories!$F$4:$F$357,MATCH($A66,Stories!$A$4:$A$357,0))&amp;"","")</f>
        <v/>
      </c>
      <c r="G66" s="197" t="inlineStr">
        <is>
          <t>SuaraGarut.ID</t>
        </is>
      </c>
      <c r="H66" s="198" t="n">
        <v>46324</v>
      </c>
      <c r="I66" s="197" t="inlineStr">
        <is>
          <t>How does warming permafrost degradation change slope stability and the ground-ice failure mechanisms in Canadian terrain?
Check with: Geological Survey of Canada and the study's authors</t>
        </is>
      </c>
    </row>
    <row r="67" outlineLevel="1" ht="66.5" customHeight="1">
      <c r="A67" s="191" t="n">
        <v>86</v>
      </c>
      <c r="B67" s="192" t="n">
        <v>4</v>
      </c>
      <c r="C67" s="193" t="inlineStr">
        <is>
          <t>Canadian permafrost slides after warming and fire, 10 m frozen blocks slide down
(English headline translated by Claude · Original: Permafrost Kanada Longsor Setelah Pemanasan dan Kebakaran, Bongkah Beku 10 Meter Meluncur)</t>
        </is>
      </c>
      <c r="D67" s="194" t="inlineStr">
        <is>
          <t>Open article</t>
        </is>
      </c>
      <c r="E67" s="205" t="inlineStr">
        <is>
          <t>Watch only</t>
        </is>
      </c>
      <c r="F67" s="196">
        <f>IFERROR(INDEX(Stories!$F$4:$F$357,MATCH($A67,Stories!$A$4:$A$357,0))&amp;"","")</f>
        <v/>
      </c>
      <c r="G67" s="197" t="inlineStr">
        <is>
          <t>gadget.qoo10.co.id</t>
        </is>
      </c>
      <c r="H67" s="198" t="n">
        <v>46324</v>
      </c>
      <c r="I67" s="197" t="inlineStr">
        <is>
          <t>How does warming permafrost degradation change slope stability and the ground-ice failure mechanisms in Canadian terrain?
Check with: Geological Survey of Canada and the study's authors</t>
        </is>
      </c>
    </row>
    <row r="68" outlineLevel="1" ht="54" customHeight="1">
      <c r="A68" s="191" t="n">
        <v>123</v>
      </c>
      <c r="B68" s="192" t="n">
        <v>4</v>
      </c>
      <c r="C68" s="193" t="inlineStr">
        <is>
          <t>Kumamoto earthquake: 96% of intensity 6-upper sites re-liquefied; experts urge advance countermeasures
(English headline translated by Claude · Original: 熊本地震「震度６強」の９６％が再液状化…繰り返される被害、専門家は事前対策訴え（読売新聞オンライン）)</t>
        </is>
      </c>
      <c r="D68" s="194" t="inlineStr">
        <is>
          <t>Open article</t>
        </is>
      </c>
      <c r="E68" s="195" t="inlineStr">
        <is>
          <t>Feature lead</t>
        </is>
      </c>
      <c r="F68" s="196">
        <f>IFERROR(INDEX(Stories!$F$4:$F$357,MATCH($A68,Stories!$A$4:$A$357,0))&amp;"","")</f>
        <v/>
      </c>
      <c r="G68" s="197" t="inlineStr">
        <is>
          <t>Yahoo!ニュース</t>
        </is>
      </c>
      <c r="H68" s="198" t="n">
        <v>46323</v>
      </c>
      <c r="I68" s="197" t="inlineStr">
        <is>
          <t>Why the same sites liquefy again after repeated shaking, and when pre-event ground improvement is justified for urban areas.</t>
        </is>
      </c>
    </row>
    <row r="69" outlineLevel="1" ht="66.5" customHeight="1">
      <c r="A69" s="191" t="n">
        <v>167</v>
      </c>
      <c r="B69" s="192" t="n">
        <v>4</v>
      </c>
      <c r="C69" s="193" t="inlineStr">
        <is>
          <t>'Proceed with the work': re-liquefaction recurring after Kumamoto earthquake
(English headline translated by Claude · Original: 「工事進めて」熊本地震で再液状化相次ぐ)</t>
        </is>
      </c>
      <c r="D69" s="194" t="inlineStr">
        <is>
          <t>Open article</t>
        </is>
      </c>
      <c r="E69" s="199" t="inlineStr">
        <is>
          <t>News brief</t>
        </is>
      </c>
      <c r="F69" s="196">
        <f>IFERROR(INDEX(Stories!$F$4:$F$357,MATCH($A69,Stories!$A$4:$A$357,0))&amp;"","")</f>
        <v/>
      </c>
      <c r="G69" s="197" t="inlineStr">
        <is>
          <t>読売新聞</t>
        </is>
      </c>
      <c r="H69" s="198" t="n">
        <v>46322</v>
      </c>
      <c r="I69" s="197" t="inlineStr">
        <is>
          <t>Why does liquefaction recur at the same sites after repeated earthquakes, and what ground improvement should be prioritised before rebuilding?
Check with: Kumamoto Prefecture and affected municipal governments</t>
        </is>
      </c>
    </row>
    <row r="70" outlineLevel="1" ht="66.5" customHeight="1">
      <c r="A70" s="191" t="n">
        <v>168</v>
      </c>
      <c r="B70" s="192" t="n">
        <v>4</v>
      </c>
      <c r="C70" s="193" t="inlineStr">
        <is>
          <t>96% of Kumamoto 2016 shindo 6-strong sites re-liquefied; experts urge pre-emptive measures
(English headline translated by Claude · Original: 熊本地震「震度６強」の９６％が再液状化…繰り返される被害、専門家は事前対策訴え (2026年10月26日掲載))</t>
        </is>
      </c>
      <c r="D70" s="194" t="inlineStr">
        <is>
          <t>Open article</t>
        </is>
      </c>
      <c r="E70" s="205" t="inlineStr">
        <is>
          <t>Watch only</t>
        </is>
      </c>
      <c r="F70" s="196">
        <f>IFERROR(INDEX(Stories!$F$4:$F$357,MATCH($A70,Stories!$A$4:$A$357,0))&amp;"","")</f>
        <v/>
      </c>
      <c r="G70" s="197" t="inlineStr">
        <is>
          <t>ライブドアニュース</t>
        </is>
      </c>
      <c r="H70" s="198" t="n">
        <v>46322</v>
      </c>
      <c r="I70" s="197" t="inlineStr">
        <is>
          <t>Which ground improvement methods proved effective against repeated liquefaction in the Kumamoto sites, and how should they be specified in design?
Check with: Kumamoto Prefecture and the study's researchers</t>
        </is>
      </c>
    </row>
    <row r="71" outlineLevel="1" ht="66.5" customHeight="1">
      <c r="A71" s="191" t="n">
        <v>169</v>
      </c>
      <c r="B71" s="192" t="n">
        <v>4</v>
      </c>
      <c r="C71" s="193" t="inlineStr">
        <is>
          <t>Permafrost losing stability: more than 150 unusual landslides found in Canada
(English headline translated by Claude · Original: Вечная мерзлота теряет устойчивость: в Канаде обнаружили более 150 необычных оползней)</t>
        </is>
      </c>
      <c r="D71" s="194" t="inlineStr">
        <is>
          <t>Open article</t>
        </is>
      </c>
      <c r="E71" s="205" t="inlineStr">
        <is>
          <t>Watch only</t>
        </is>
      </c>
      <c r="F71" s="196">
        <f>IFERROR(INDEX(Stories!$F$4:$F$357,MATCH($A71,Stories!$A$4:$A$357,0))&amp;"","")</f>
        <v/>
      </c>
      <c r="G71" s="197" t="inlineStr">
        <is>
          <t>iXBT.com</t>
        </is>
      </c>
      <c r="H71" s="198" t="n">
        <v>46322</v>
      </c>
      <c r="I71" s="197" t="inlineStr">
        <is>
          <t>How does warming permafrost alter slope stability, and what mechanisms explain these newly identified landslide types?
Check with: Lead researchers' institution and the Geological Survey of Canada</t>
        </is>
      </c>
    </row>
    <row r="72" outlineLevel="1" ht="66.5" customHeight="1">
      <c r="A72" s="191" t="n">
        <v>170</v>
      </c>
      <c r="B72" s="192" t="n">
        <v>4</v>
      </c>
      <c r="C72" s="193" t="inlineStr">
        <is>
          <t>House-size blocks of ice are falling from permafrost landslides in Canada</t>
        </is>
      </c>
      <c r="D72" s="194" t="inlineStr">
        <is>
          <t>Open article</t>
        </is>
      </c>
      <c r="E72" s="195" t="inlineStr">
        <is>
          <t>Feature lead</t>
        </is>
      </c>
      <c r="F72" s="196">
        <f>IFERROR(INDEX(Stories!$F$4:$F$357,MATCH($A72,Stories!$A$4:$A$357,0))&amp;"","")</f>
        <v/>
      </c>
      <c r="G72" s="197" t="inlineStr">
        <is>
          <t>Live Science</t>
        </is>
      </c>
      <c r="H72" s="198" t="n">
        <v>46322</v>
      </c>
      <c r="I72" s="197" t="inlineStr">
        <is>
          <t>What ground ice and thaw processes produce these large block-falling landslides, and how should permafrost slope hazards be monitored in northern infrastructure?
Check with: Lead researchers' institution and the Geological Survey of Canada</t>
        </is>
      </c>
    </row>
    <row r="73" outlineLevel="1" ht="66.5" customHeight="1">
      <c r="A73" s="191" t="n">
        <v>171</v>
      </c>
      <c r="B73" s="192" t="n">
        <v>4</v>
      </c>
      <c r="C73" s="193" t="inlineStr">
        <is>
          <t>New type of permafrost landslides discovered in Canada — Live Science</t>
        </is>
      </c>
      <c r="D73" s="194" t="inlineStr">
        <is>
          <t>Open article</t>
        </is>
      </c>
      <c r="E73" s="205" t="inlineStr">
        <is>
          <t>Watch only</t>
        </is>
      </c>
      <c r="F73" s="196">
        <f>IFERROR(INDEX(Stories!$F$4:$F$357,MATCH($A73,Stories!$A$4:$A$357,0))&amp;"","")</f>
        <v/>
      </c>
      <c r="G73" s="197" t="inlineStr">
        <is>
          <t>UA.NEWS</t>
        </is>
      </c>
      <c r="H73" s="198" t="n">
        <v>46322</v>
      </c>
      <c r="I73" s="197" t="inlineStr">
        <is>
          <t>What distinguishes this newly recognised permafrost landslide type from conventional thaw slumps in terms of ground mechanics?
Check with: Lead researchers' institution and the Geological Survey of Canada</t>
        </is>
      </c>
    </row>
    <row r="74" outlineLevel="1" ht="79" customHeight="1">
      <c r="A74" s="191" t="n">
        <v>216</v>
      </c>
      <c r="B74" s="192" t="n">
        <v>4</v>
      </c>
      <c r="C74" s="193"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74" s="194" t="inlineStr">
        <is>
          <t>Open article</t>
        </is>
      </c>
      <c r="E74" s="210" t="inlineStr">
        <is>
          <t>Regional insight</t>
        </is>
      </c>
      <c r="F74" s="196">
        <f>IFERROR(INDEX(Stories!$F$4:$F$357,MATCH($A74,Stories!$A$4:$A$357,0))&amp;"","")</f>
        <v/>
      </c>
      <c r="G74" s="197" t="inlineStr">
        <is>
          <t>Vietnam.vn</t>
        </is>
      </c>
      <c r="H74" s="198" t="n">
        <v>46321</v>
      </c>
      <c r="I74" s="197" t="inlineStr">
        <is>
          <t>What design and construction sequencing issues arise when riverbank dykes and retaining walls are upgraded in stages along an active erosion-prone river?
Check with: the provincial project management board for the Tien River dyke works</t>
        </is>
      </c>
    </row>
    <row r="75" outlineLevel="1" ht="66.5" customHeight="1">
      <c r="A75" s="191" t="n">
        <v>314</v>
      </c>
      <c r="B75" s="192" t="n">
        <v>4</v>
      </c>
      <c r="C75" s="193" t="inlineStr">
        <is>
          <t>57-billion-dong erosion revetment in Thanh Hoa subsides and cracks right after completion
(English headline translated by Claude · Original: Kè chống sạt lở hơn 57 tỉ đồng ở Thanh Hóa vừa làm xong đã sụt lún, đứt gãy)</t>
        </is>
      </c>
      <c r="D75" s="194" t="inlineStr">
        <is>
          <t>Open article</t>
        </is>
      </c>
      <c r="E75" s="195" t="inlineStr">
        <is>
          <t>Feature lead</t>
        </is>
      </c>
      <c r="F75" s="196">
        <f>IFERROR(INDEX(Stories!$F$4:$F$357,MATCH($A75,Stories!$A$4:$A$357,0))&amp;"","")</f>
        <v/>
      </c>
      <c r="G75" s="197" t="inlineStr">
        <is>
          <t>Báo Thanh Niên</t>
        </is>
      </c>
      <c r="H75" s="198" t="n">
        <v>46319</v>
      </c>
      <c r="I75" s="197" t="inlineStr">
        <is>
          <t>Why did a newly completed revetment subside and crack so soon, and what foundation or design checks could have prevented it?</t>
        </is>
      </c>
    </row>
    <row r="76" outlineLevel="1" ht="54" customHeight="1">
      <c r="A76" s="191" t="n">
        <v>315</v>
      </c>
      <c r="B76" s="192" t="n">
        <v>4</v>
      </c>
      <c r="C76" s="193" t="inlineStr">
        <is>
          <t>Lam Dong warns of serious subsidence and sliding on city streets
(English headline translated by Claude · Original: Lâm Đồng: Cảnh báo sụt lún, sạt trượt nghiêm trọng đường phố)</t>
        </is>
      </c>
      <c r="D76" s="194" t="inlineStr">
        <is>
          <t>Open article</t>
        </is>
      </c>
      <c r="E76" s="210" t="inlineStr">
        <is>
          <t>Regional insight</t>
        </is>
      </c>
      <c r="F76" s="196">
        <f>IFERROR(INDEX(Stories!$F$4:$F$357,MATCH($A76,Stories!$A$4:$A$357,0))&amp;"","")</f>
        <v/>
      </c>
      <c r="G76" s="197" t="inlineStr">
        <is>
          <t>Báo và phát thanh, truyền hình Đồng Tháp</t>
        </is>
      </c>
      <c r="H76" s="198" t="n">
        <v>46319</v>
      </c>
      <c r="I76" s="197" t="inlineStr">
        <is>
          <t>What causes urban street subsidence and sliding in this highland city, and how should authorities monitor and warn residents?</t>
        </is>
      </c>
    </row>
    <row r="77" outlineLevel="1" ht="66.5" customHeight="1">
      <c r="A77" s="191" t="n">
        <v>316</v>
      </c>
      <c r="B77" s="192" t="n">
        <v>4</v>
      </c>
      <c r="C77" s="193"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77" s="194" t="inlineStr">
        <is>
          <t>Open article</t>
        </is>
      </c>
      <c r="E77" s="195" t="inlineStr">
        <is>
          <t>Feature lead</t>
        </is>
      </c>
      <c r="F77" s="196">
        <f>IFERROR(INDEX(Stories!$F$4:$F$357,MATCH($A77,Stories!$A$4:$A$357,0))&amp;"","")</f>
        <v/>
      </c>
      <c r="G77" s="197" t="inlineStr">
        <is>
          <t>Kenh14.vn</t>
        </is>
      </c>
      <c r="H77" s="198" t="n">
        <v>46319</v>
      </c>
      <c r="I77" s="197" t="inlineStr">
        <is>
          <t>What karst processes produce giant sinkholes, and how can they be detected and assessed in limestone terrain?</t>
        </is>
      </c>
    </row>
    <row r="78" outlineLevel="1" ht="79" customHeight="1">
      <c r="A78" s="191" t="n">
        <v>317</v>
      </c>
      <c r="B78" s="192" t="n">
        <v>4</v>
      </c>
      <c r="C78" s="193"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78" s="194" t="inlineStr">
        <is>
          <t>Open article</t>
        </is>
      </c>
      <c r="E78" s="210" t="inlineStr">
        <is>
          <t>Regional insight</t>
        </is>
      </c>
      <c r="F78" s="196">
        <f>IFERROR(INDEX(Stories!$F$4:$F$357,MATCH($A78,Stories!$A$4:$A$357,0))&amp;"","")</f>
        <v/>
      </c>
      <c r="G78" s="197" t="inlineStr">
        <is>
          <t>Vietnam.vn</t>
        </is>
      </c>
      <c r="H78" s="198" t="n">
        <v>46319</v>
      </c>
      <c r="I78" s="197" t="inlineStr">
        <is>
          <t>What combination of subsidence and landslide processes damaged this 500 m road, and how should such ground be investigated and repaired?</t>
        </is>
      </c>
    </row>
    <row r="79" outlineLevel="1" ht="41.5" customHeight="1">
      <c r="A79" s="191" t="n">
        <v>318</v>
      </c>
      <c r="B79" s="192" t="n">
        <v>4</v>
      </c>
      <c r="C79" s="193" t="inlineStr">
        <is>
          <t>Anti-landslide embankment threatens residential area
(English headline translated by Claude · Original: 산사태 방지 제방이 주거 지역을 위협하고 있다.)</t>
        </is>
      </c>
      <c r="D79" s="194" t="inlineStr">
        <is>
          <t>Open article</t>
        </is>
      </c>
      <c r="E79" s="210" t="inlineStr">
        <is>
          <t>Regional insight</t>
        </is>
      </c>
      <c r="F79" s="196">
        <f>IFERROR(INDEX(Stories!$F$4:$F$357,MATCH($A79,Stories!$A$4:$A$357,0))&amp;"","")</f>
        <v/>
      </c>
      <c r="G79" s="197" t="inlineStr">
        <is>
          <t>Vietnam.vn</t>
        </is>
      </c>
      <c r="H79" s="198" t="n">
        <v>46319</v>
      </c>
      <c r="I79" s="197" t="inlineStr">
        <is>
          <t>Why does this anti-landslide embankment threaten housing, and what stability checks should apply to embankments near settlements?</t>
        </is>
      </c>
    </row>
    <row r="80" outlineLevel="1" ht="54" customHeight="1">
      <c r="A80" s="191" t="n">
        <v>124</v>
      </c>
      <c r="B80" s="192" t="n">
        <v>4</v>
      </c>
      <c r="C80" s="193" t="inlineStr">
        <is>
          <t>MBPP advised project consultant on slope safety months before fatal landslide</t>
        </is>
      </c>
      <c r="D80" s="194" t="inlineStr">
        <is>
          <t>Open article</t>
        </is>
      </c>
      <c r="E80" s="195" t="inlineStr">
        <is>
          <t>Feature lead</t>
        </is>
      </c>
      <c r="F80" s="196">
        <f>IFERROR(INDEX(Stories!$F$4:$F$357,MATCH($A80,Stories!$A$4:$A$357,0))&amp;"","")</f>
        <v/>
      </c>
      <c r="G80" s="197" t="inlineStr">
        <is>
          <t>NST Online</t>
        </is>
      </c>
      <c r="H80" s="198" t="n">
        <v>46323</v>
      </c>
      <c r="I80" s="197" t="inlineStr">
        <is>
          <t>What slope safety advice given to a project consultant should have triggered, and how consultants should respond to slope warnings.
Check with: Penang Municipal Council (MBPP)</t>
        </is>
      </c>
    </row>
    <row r="81" outlineLevel="1" ht="66.5" customHeight="1">
      <c r="A81" s="191" t="n">
        <v>172</v>
      </c>
      <c r="B81" s="192" t="n">
        <v>4</v>
      </c>
      <c r="C81" s="193" t="inlineStr">
        <is>
          <t>Roads on the Brink: Mapping Compound Earthquake and Landslide Vulnerability in Ethiopia’s Rift</t>
        </is>
      </c>
      <c r="D81" s="194" t="inlineStr">
        <is>
          <t>Open article</t>
        </is>
      </c>
      <c r="E81" s="200" t="inlineStr">
        <is>
          <t>Academia-to-Industry topic</t>
        </is>
      </c>
      <c r="F81" s="196">
        <f>IFERROR(INDEX(Stories!$F$4:$F$357,MATCH($A81,Stories!$A$4:$A$357,0))&amp;"","")</f>
        <v/>
      </c>
      <c r="G81" s="197" t="inlineStr">
        <is>
          <t>Bioengineer.org</t>
        </is>
      </c>
      <c r="H81" s="198" t="n">
        <v>46322</v>
      </c>
      <c r="I81" s="197" t="inlineStr">
        <is>
          <t>How can combined seismic and landslide hazard mapping be used to prioritise road upgrades in rift-valley terrain with weak soils and steep slopes?
Check with: Authors' university, via the journal publication</t>
        </is>
      </c>
    </row>
    <row r="82" outlineLevel="1" ht="54" customHeight="1">
      <c r="A82" s="191" t="n">
        <v>217</v>
      </c>
      <c r="B82" s="192" t="n">
        <v>4</v>
      </c>
      <c r="C82" s="193" t="inlineStr">
        <is>
          <t>No signs of further slope movement at Paya Terubong landslide site, says MBPP</t>
        </is>
      </c>
      <c r="D82" s="194" t="inlineStr">
        <is>
          <t>Open article</t>
        </is>
      </c>
      <c r="E82" s="195" t="inlineStr">
        <is>
          <t>Feature lead</t>
        </is>
      </c>
      <c r="F82" s="196">
        <f>IFERROR(INDEX(Stories!$F$4:$F$357,MATCH($A82,Stories!$A$4:$A$357,0))&amp;"","")</f>
        <v/>
      </c>
      <c r="G82" s="197" t="inlineStr">
        <is>
          <t>The Star</t>
        </is>
      </c>
      <c r="H82" s="198" t="n">
        <v>46321</v>
      </c>
      <c r="I82" s="197" t="inlineStr">
        <is>
          <t>How should a landslide site be judged stable again after movement stops, and what monitoring period is needed before reoccupation?
Check with: Penang Municipal Council (MBPP)</t>
        </is>
      </c>
    </row>
    <row r="83" outlineLevel="1" ht="66.5" customHeight="1">
      <c r="A83" s="191" t="n">
        <v>218</v>
      </c>
      <c r="B83" s="192" t="n">
        <v>4</v>
      </c>
      <c r="C83" s="193" t="inlineStr">
        <is>
          <t>State Govt urged to act on slope safety after landslide kills 73-year-old doctor</t>
        </is>
      </c>
      <c r="D83" s="194" t="inlineStr">
        <is>
          <t>Open article</t>
        </is>
      </c>
      <c r="E83" s="195" t="inlineStr">
        <is>
          <t>Feature lead</t>
        </is>
      </c>
      <c r="F83" s="196">
        <f>IFERROR(INDEX(Stories!$F$4:$F$357,MATCH($A83,Stories!$A$4:$A$357,0))&amp;"","")</f>
        <v/>
      </c>
      <c r="G83" s="197" t="inlineStr">
        <is>
          <t>The Vibes</t>
        </is>
      </c>
      <c r="H83" s="198" t="n">
        <v>46321</v>
      </c>
      <c r="I83" s="197" t="inlineStr">
        <is>
          <t>What would a credible state-wide slope inventory and maintenance regime look like for hill-slope housing in tropical, rain-driven terrain?
Check with: Penang state government and its slope safety authority</t>
        </is>
      </c>
    </row>
    <row r="84" outlineLevel="1" ht="54" customHeight="1">
      <c r="A84" s="191" t="n">
        <v>48</v>
      </c>
      <c r="B84" s="192" t="n">
        <v>4</v>
      </c>
      <c r="C84" s="193" t="inlineStr">
        <is>
          <t>Morton Salt Ohio mine water breach: geotechnical failure lessons for engineers</t>
        </is>
      </c>
      <c r="D84" s="194" t="inlineStr">
        <is>
          <t>Open article</t>
        </is>
      </c>
      <c r="E84" s="195" t="inlineStr">
        <is>
          <t>Feature lead</t>
        </is>
      </c>
      <c r="F84" s="196">
        <f>IFERROR(INDEX(Stories!$F$4:$F$357,MATCH($A84,Stories!$A$4:$A$357,0))&amp;"","")</f>
        <v/>
      </c>
      <c r="G84" s="197" t="inlineStr">
        <is>
          <t>Geomechanics.io</t>
        </is>
      </c>
      <c r="H84" s="198" t="n">
        <v>46325</v>
      </c>
      <c r="I84" s="197" t="inlineStr">
        <is>
          <t>What ground and hydraulic mechanisms allowed water inflow into a salt mine, and what lessons apply to mine-void stability and flooding risk?
Check with: Morton Salt</t>
        </is>
      </c>
    </row>
    <row r="85" outlineLevel="1" ht="66.5" customHeight="1">
      <c r="A85" s="191" t="n">
        <v>176</v>
      </c>
      <c r="B85" s="192" t="n">
        <v>4</v>
      </c>
      <c r="C85" s="193" t="inlineStr">
        <is>
          <t>Senapred declares Red Alert in the Metropolitan Region: the 10 communes at risk of alluvial flows and landslides
(English headline translated by Claude · Original: Senapred declara Alerta Roja en la RM: las 10 comunas bajo riesgo de aluviones y derrumbes)</t>
        </is>
      </c>
      <c r="D85" s="194" t="inlineStr">
        <is>
          <t>Open article</t>
        </is>
      </c>
      <c r="E85" s="199" t="inlineStr">
        <is>
          <t>News brief</t>
        </is>
      </c>
      <c r="F85" s="196">
        <f>IFERROR(INDEX(Stories!$F$4:$F$357,MATCH($A85,Stories!$A$4:$A$357,0))&amp;"","")</f>
        <v/>
      </c>
      <c r="G85" s="197" t="inlineStr">
        <is>
          <t>El Dínamo</t>
        </is>
      </c>
      <c r="H85" s="198" t="n">
        <v>46322</v>
      </c>
      <c r="I85" s="197" t="inlineStr">
        <is>
          <t>Which ground and rainfall conditions explain the debris-flow and landslide risk across ten communes, and how is it mapped?
Check with: Senapred (national emergency service)</t>
        </is>
      </c>
    </row>
    <row r="86" outlineLevel="1" ht="66.5" customHeight="1">
      <c r="A86" s="191" t="n">
        <v>220</v>
      </c>
      <c r="B86" s="192" t="n">
        <v>4</v>
      </c>
      <c r="C86" s="193" t="inlineStr">
        <is>
          <t>In Penang, a landslide hit a house and killed a 73-year-old man — Channel NewsAsia
(English headline translated by Claude · Original: В Пенанге оползень обрушился на дом, погиб 73-летний мужчина — Channel NewsAsia)</t>
        </is>
      </c>
      <c r="D86" s="194" t="inlineStr">
        <is>
          <t>Open article</t>
        </is>
      </c>
      <c r="E86" s="205" t="inlineStr">
        <is>
          <t>Watch only</t>
        </is>
      </c>
      <c r="F86" s="196">
        <f>IFERROR(INDEX(Stories!$F$4:$F$357,MATCH($A86,Stories!$A$4:$A$357,0))&amp;"","")</f>
        <v/>
      </c>
      <c r="G86" s="197" t="inlineStr">
        <is>
          <t>UA.NEWS</t>
        </is>
      </c>
      <c r="H86" s="198" t="n">
        <v>46321</v>
      </c>
      <c r="I86" s="197" t="inlineStr">
        <is>
          <t>What slope failure mechanisms and early warning gaps are behind landslides that reach occupied homes on hillside sites?
Check with: Penang state authorities and Penang Municipal Council (MBPP)</t>
        </is>
      </c>
    </row>
    <row r="87" outlineLevel="1" ht="66.5" customHeight="1">
      <c r="A87" s="191" t="n">
        <v>256</v>
      </c>
      <c r="B87" s="192" t="n">
        <v>4</v>
      </c>
      <c r="C87" s="193"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87" s="194" t="inlineStr">
        <is>
          <t>Open article</t>
        </is>
      </c>
      <c r="E87" s="199" t="inlineStr">
        <is>
          <t>News brief</t>
        </is>
      </c>
      <c r="F87" s="196">
        <f>IFERROR(INDEX(Stories!$F$4:$F$357,MATCH($A87,Stories!$A$4:$A$357,0))&amp;"","")</f>
        <v/>
      </c>
      <c r="G87" s="197" t="inlineStr">
        <is>
          <t>千葉日報オンライン</t>
        </is>
      </c>
      <c r="H87" s="198" t="n">
        <v>46320</v>
      </c>
      <c r="I87" s="197" t="inlineStr">
        <is>
          <t>What slope and saturation conditions cause houses on hillsides to be destroyed by debris slides during typhoon rainfall, and how can early warning address them?</t>
        </is>
      </c>
    </row>
    <row r="88" outlineLevel="1" ht="66.5" customHeight="1">
      <c r="A88" s="191" t="n">
        <v>7</v>
      </c>
      <c r="B88" s="192" t="n">
        <v>4</v>
      </c>
      <c r="C88" s="193" t="inlineStr">
        <is>
          <t>Zero isotherm above 3,000 metres: ten communes under red alert for alluvium danger in the Metropolitan Region.
(English headline translated by Claude · Original: Isoterma cero sobre los 3 mil metros: las 10 comunas bajo Alerta Roja por peligro de aluvión en la RM)</t>
        </is>
      </c>
      <c r="D88" s="194" t="inlineStr">
        <is>
          <t>Open article</t>
        </is>
      </c>
      <c r="E88" s="195" t="inlineStr">
        <is>
          <t>Feature lead</t>
        </is>
      </c>
      <c r="F88" s="196">
        <f>IFERROR(INDEX(Stories!$F$4:$F$357,MATCH($A88,Stories!$A$4:$A$357,0))&amp;"","")</f>
        <v/>
      </c>
      <c r="G88" s="197" t="inlineStr">
        <is>
          <t>ADN Radio</t>
        </is>
      </c>
      <c r="H88" s="198" t="n">
        <v>46326</v>
      </c>
      <c r="I88" s="197" t="inlineStr">
        <is>
          <t>How does a rising freezing level change the debris-flow and alluvium hazard on steep Andean catchments near a capital city?
Check with: Senapred (national emergency office)</t>
        </is>
      </c>
    </row>
    <row r="89" outlineLevel="1" ht="66.5" customHeight="1">
      <c r="A89" s="191" t="n">
        <v>8</v>
      </c>
      <c r="B89" s="192" t="n">
        <v>4</v>
      </c>
      <c r="C89" s="193" t="inlineStr">
        <is>
          <t>Is your city at risk of landslides? New map reveals vulnerable areas in Paraná.
(English headline translated by Claude · Original: Sua cidade corre risco de deslizamentos? Novo mapa revela áreas vulneráveis no Paraná)</t>
        </is>
      </c>
      <c r="D89" s="194" t="inlineStr">
        <is>
          <t>Open article</t>
        </is>
      </c>
      <c r="E89" s="195" t="inlineStr">
        <is>
          <t>Feature lead</t>
        </is>
      </c>
      <c r="F89" s="196">
        <f>IFERROR(INDEX(Stories!$F$4:$F$357,MATCH($A89,Stories!$A$4:$A$357,0))&amp;"","")</f>
        <v/>
      </c>
      <c r="G89" s="197" t="inlineStr">
        <is>
          <t>Bem Paraná</t>
        </is>
      </c>
      <c r="H89" s="198" t="n">
        <v>46326</v>
      </c>
      <c r="I89" s="197" t="inlineStr">
        <is>
          <t>How is a regional landslide susceptibility map built from slope, soil and rainfall data, and how should its limits be communicated?
Check with: Paraná state civil defence and geological service</t>
        </is>
      </c>
    </row>
    <row r="90" outlineLevel="1" ht="66.5" customHeight="1">
      <c r="A90" s="191" t="n">
        <v>9</v>
      </c>
      <c r="B90" s="192" t="n">
        <v>4</v>
      </c>
      <c r="C90" s="193" t="inlineStr">
        <is>
          <t>Chieti landslide: Commissioner Marsilio adopts ordinance no. 4. Funds arrive.
(English headline translated by Claude · Original: Frana di Chieti: il Commissario Marsilio adotta l’ordinanza numero 4. Arrivano i soldi)</t>
        </is>
      </c>
      <c r="D90" s="194" t="inlineStr">
        <is>
          <t>Open article</t>
        </is>
      </c>
      <c r="E90" s="199" t="inlineStr">
        <is>
          <t>News brief</t>
        </is>
      </c>
      <c r="F90" s="196">
        <f>IFERROR(INDEX(Stories!$F$4:$F$357,MATCH($A90,Stories!$A$4:$A$357,0))&amp;"","")</f>
        <v/>
      </c>
      <c r="G90" s="197" t="inlineStr">
        <is>
          <t>Abruzzo Popolare</t>
        </is>
      </c>
      <c r="H90" s="198" t="n">
        <v>46326</v>
      </c>
      <c r="I90" s="197" t="inlineStr">
        <is>
          <t>What investigation and works are needed before a commissioner's funding for a landslide can be spent effectively?
Check with: Abruzzo regional government commissioner's office</t>
        </is>
      </c>
    </row>
    <row r="91" outlineLevel="1" ht="54" customHeight="1">
      <c r="A91" s="191" t="n">
        <v>10</v>
      </c>
      <c r="B91" s="192" t="n">
        <v>4</v>
      </c>
      <c r="C91" s="193" t="inlineStr">
        <is>
          <t>Niscemi landslide: Ciciliano at the Prefecture in Caltanissetta.
(English headline translated by Claude · Original: FRANA DI NISCEMI - CICILIANO IN PREFETTURA A CALTANISSETTA)</t>
        </is>
      </c>
      <c r="D91" s="194" t="inlineStr">
        <is>
          <t>Open article</t>
        </is>
      </c>
      <c r="E91" s="205" t="inlineStr">
        <is>
          <t>Watch only</t>
        </is>
      </c>
      <c r="F91" s="196">
        <f>IFERROR(INDEX(Stories!$F$4:$F$357,MATCH($A91,Stories!$A$4:$A$357,0))&amp;"","")</f>
        <v/>
      </c>
      <c r="G91" s="197" t="inlineStr">
        <is>
          <t>Video Mediterraneo</t>
        </is>
      </c>
      <c r="H91" s="198" t="n">
        <v>46326</v>
      </c>
      <c r="I91" s="197" t="inlineStr">
        <is>
          <t>Check with: Caltanissetta Prefecture</t>
        </is>
      </c>
    </row>
    <row r="92" outlineLevel="1" ht="79" customHeight="1">
      <c r="A92" s="191" t="n">
        <v>11</v>
      </c>
      <c r="B92" s="192" t="n">
        <v>4</v>
      </c>
      <c r="C92" s="193" t="inlineStr">
        <is>
          <t>Chieti landslide: ordinance no. 4 passes; FdI claims credit, Legnini says proposals accepted. Funding unresolved.
(English headline translated by Claude · Original: Frana di Chieti, passa l’ordinanza n. 4. FdI rivendica il risultato, Legnini: «Accolte le nostre proposte». Resta aperta la partita delle risorse)</t>
        </is>
      </c>
      <c r="D92" s="194" t="inlineStr">
        <is>
          <t>Open article</t>
        </is>
      </c>
      <c r="E92" s="199" t="inlineStr">
        <is>
          <t>News brief</t>
        </is>
      </c>
      <c r="F92" s="196">
        <f>IFERROR(INDEX(Stories!$F$4:$F$357,MATCH($A92,Stories!$A$4:$A$357,0))&amp;"","")</f>
        <v/>
      </c>
      <c r="G92" s="197" t="inlineStr">
        <is>
          <t>Il Giornale di Chieti</t>
        </is>
      </c>
      <c r="H92" s="198" t="n">
        <v>46326</v>
      </c>
      <c r="I92" s="197" t="inlineStr">
        <is>
          <t>Which technical priorities should guide the allocation of funds for a landslide that remains under active management?
Check with: Abruzzo regional government commissioner's office</t>
        </is>
      </c>
    </row>
    <row r="93" outlineLevel="1" ht="79" customHeight="1">
      <c r="A93" s="191" t="n">
        <v>12</v>
      </c>
      <c r="B93" s="192" t="n">
        <v>4</v>
      </c>
      <c r="C93" s="193" t="inlineStr">
        <is>
          <t>Cappadocia fairy chimney collapses, killing two; collapse blamed on heavy rain
(English headline translated by Claude · Original: Cappadocia, crolla un Camino delle fate: morte due persone. «Frana provocata dalle forti piogge»)</t>
        </is>
      </c>
      <c r="D93" s="194" t="inlineStr">
        <is>
          <t>Open article</t>
        </is>
      </c>
      <c r="E93" s="195" t="inlineStr">
        <is>
          <t>Feature lead</t>
        </is>
      </c>
      <c r="F93" s="196">
        <f>IFERROR(INDEX(Stories!$F$4:$F$357,MATCH($A93,Stories!$A$4:$A$357,0))&amp;"","")</f>
        <v/>
      </c>
      <c r="G93" s="197" t="inlineStr">
        <is>
          <t>Il Messaggero</t>
        </is>
      </c>
      <c r="H93" s="198" t="n">
        <v>46326</v>
      </c>
      <c r="I93" s="197" t="inlineStr">
        <is>
          <t>How does intense rainfall weaken the tuff pillars and fairy chimneys of volcanic landscapes, and what slope monitoring could protect visitors in such terrain?
Check with: Turkish disaster authority AFAD or the Nevşehir provincial governorate</t>
        </is>
      </c>
    </row>
    <row r="94" outlineLevel="1" ht="79" customHeight="1">
      <c r="A94" s="191" t="n">
        <v>13</v>
      </c>
      <c r="B94" s="192" t="n">
        <v>4</v>
      </c>
      <c r="C94" s="193" t="inlineStr">
        <is>
          <t>Chieti landslide: Ordinance No. 4 approved; Legnini: 'New resources are now needed'
(English headline translated by Claude · Original: Frana di Chieti, approvata l’Ordinanza n. 4. Legnini: «Ora servono nuove risorse» -)</t>
        </is>
      </c>
      <c r="D94" s="194" t="inlineStr">
        <is>
          <t>Open article</t>
        </is>
      </c>
      <c r="E94" s="195" t="inlineStr">
        <is>
          <t>Feature lead</t>
        </is>
      </c>
      <c r="F94" s="196">
        <f>IFERROR(INDEX(Stories!$F$4:$F$357,MATCH($A94,Stories!$A$4:$A$357,0))&amp;"","")</f>
        <v/>
      </c>
      <c r="G94" s="197" t="inlineStr">
        <is>
          <t>Zonalocale</t>
        </is>
      </c>
      <c r="H94" s="198" t="n">
        <v>46326</v>
      </c>
      <c r="I94" s="197" t="inlineStr">
        <is>
          <t>What funding and governance gaps slow the stabilisation of a major urban landslide, and what lessons does Chieti offer for managing slope risk in Italian towns?
Check with: Comune di Chieti and the Abruzzo civil protection department</t>
        </is>
      </c>
    </row>
    <row r="95" outlineLevel="1" ht="66.5" customHeight="1">
      <c r="A95" s="191" t="n">
        <v>51</v>
      </c>
      <c r="B95" s="192" t="n">
        <v>4</v>
      </c>
      <c r="C95" s="193" t="inlineStr">
        <is>
          <t>A year after efforts to repair the landslide at D'Ran pass, the danger still persists.
(English headline translated by Claude · Original: Un año después de los esfuerzos por reparar el deslizamiento de tierra en el paso de D'Ran, el peligro aún persiste.)</t>
        </is>
      </c>
      <c r="D95" s="194" t="inlineStr">
        <is>
          <t>Open article</t>
        </is>
      </c>
      <c r="E95" s="195" t="inlineStr">
        <is>
          <t>Feature lead</t>
        </is>
      </c>
      <c r="F95" s="196">
        <f>IFERROR(INDEX(Stories!$F$4:$F$357,MATCH($A95,Stories!$A$4:$A$357,0))&amp;"","")</f>
        <v/>
      </c>
      <c r="G95" s="197" t="inlineStr">
        <is>
          <t>Vietnam.vn</t>
        </is>
      </c>
      <c r="H95" s="198" t="n">
        <v>46325</v>
      </c>
      <c r="I95" s="197" t="inlineStr">
        <is>
          <t>Why did a year of repair work fail to remove the hazard at D'Ran pass, and what ground investigation and design changes would have been needed?
Check with: Lam Dong Provincial People's Committee</t>
        </is>
      </c>
    </row>
    <row r="96" outlineLevel="1" ht="66.5" customHeight="1">
      <c r="A96" s="191" t="n">
        <v>52</v>
      </c>
      <c r="B96" s="192" t="n">
        <v>4</v>
      </c>
      <c r="C96" s="193" t="inlineStr">
        <is>
          <t>Landslide in California affects more than 245 properties.
(English headline translated by Claude · Original: Deslizamiento de tierra en California afecta a más de 245 propiedades)</t>
        </is>
      </c>
      <c r="D96" s="194" t="inlineStr">
        <is>
          <t>Open article</t>
        </is>
      </c>
      <c r="E96" s="195" t="inlineStr">
        <is>
          <t>Feature lead</t>
        </is>
      </c>
      <c r="F96" s="196">
        <f>IFERROR(INDEX(Stories!$F$4:$F$357,MATCH($A96,Stories!$A$4:$A$357,0))&amp;"","")</f>
        <v/>
      </c>
      <c r="G96" s="197" t="inlineStr">
        <is>
          <t>Periódico La Voz</t>
        </is>
      </c>
      <c r="H96" s="198" t="n">
        <v>46325</v>
      </c>
      <c r="I96" s="197" t="inlineStr">
        <is>
          <t>How can hillside housing exposed to landslides be assessed and mitigated when hundreds of properties are affected at once?
Check with: County authorities and the California Geological Survey</t>
        </is>
      </c>
    </row>
    <row r="97" outlineLevel="1" ht="66.5" customHeight="1">
      <c r="A97" s="191" t="n">
        <v>88</v>
      </c>
      <c r="B97" s="192" t="n">
        <v>4</v>
      </c>
      <c r="C97" s="193" t="inlineStr">
        <is>
          <t>A year after efforts to repair the D'Ran pass landslide, the danger persists.
(English headline translated by Claude · Original: Un an après les efforts déployés pour réparer le glissement de terrain au col de D'Ran, le danger persiste.)</t>
        </is>
      </c>
      <c r="D97" s="194" t="inlineStr">
        <is>
          <t>Open article</t>
        </is>
      </c>
      <c r="E97" s="195" t="inlineStr">
        <is>
          <t>Feature lead</t>
        </is>
      </c>
      <c r="F97" s="196">
        <f>IFERROR(INDEX(Stories!$F$4:$F$357,MATCH($A97,Stories!$A$4:$A$357,0))&amp;"","")</f>
        <v/>
      </c>
      <c r="G97" s="197" t="inlineStr">
        <is>
          <t>Vietnam.vn</t>
        </is>
      </c>
      <c r="H97" s="198" t="n">
        <v>46324</v>
      </c>
      <c r="I97" s="197" t="inlineStr">
        <is>
          <t>Why did earlier repairs fail to stabilise this pass landslide, and what monitoring would show whether the slope is still moving?
Check with: Vietnam Road Administration or Lam Dong provincial authorities</t>
        </is>
      </c>
    </row>
    <row r="98" outlineLevel="1" ht="66.5" customHeight="1">
      <c r="A98" s="191" t="n">
        <v>89</v>
      </c>
      <c r="B98" s="192" t="n">
        <v>4</v>
      </c>
      <c r="C98" s="193" t="inlineStr">
        <is>
          <t>Heavy rains cause floods, landslides and disappearances in Haiti.
(English headline translated by Claude · Original: De fortes pluies provoquent des inondations, des glissements de terrain et des disparitions en Haïti.)</t>
        </is>
      </c>
      <c r="D98" s="194" t="inlineStr">
        <is>
          <t>Open article</t>
        </is>
      </c>
      <c r="E98" s="199" t="inlineStr">
        <is>
          <t>News brief</t>
        </is>
      </c>
      <c r="F98" s="196">
        <f>IFERROR(INDEX(Stories!$F$4:$F$357,MATCH($A98,Stories!$A$4:$A$357,0))&amp;"","")</f>
        <v/>
      </c>
      <c r="G98" s="197" t="inlineStr">
        <is>
          <t>The Haitian Times</t>
        </is>
      </c>
      <c r="H98" s="198" t="n">
        <v>46324</v>
      </c>
      <c r="I98" s="197" t="inlineStr">
        <is>
          <t>How do intense rainfall events trigger widespread landslides in steep, deforested terrain and what early warning would reduce losses?
Check with: Haiti's civil protection agency (DPC)</t>
        </is>
      </c>
    </row>
    <row r="99" outlineLevel="1" ht="54" customHeight="1">
      <c r="A99" s="191" t="n">
        <v>90</v>
      </c>
      <c r="B99" s="192" t="n">
        <v>4</v>
      </c>
      <c r="C99" s="193" t="inlineStr">
        <is>
          <t>Landslide in California affects more than 245 properties.
(English headline translated by Claude · Original: Deslizamiento de tierra en California afecta a más de 245 propiedades)</t>
        </is>
      </c>
      <c r="D99" s="194" t="inlineStr">
        <is>
          <t>Open article</t>
        </is>
      </c>
      <c r="E99" s="195" t="inlineStr">
        <is>
          <t>Feature lead</t>
        </is>
      </c>
      <c r="F99" s="196">
        <f>IFERROR(INDEX(Stories!$F$4:$F$357,MATCH($A99,Stories!$A$4:$A$357,0))&amp;"","")</f>
        <v/>
      </c>
      <c r="G99" s="197" t="inlineStr">
        <is>
          <t>Periódico La Voz</t>
        </is>
      </c>
      <c r="H99" s="198" t="n">
        <v>46324</v>
      </c>
      <c r="I99" s="197" t="inlineStr">
        <is>
          <t>What mechanism is driving a landslide that affects hundreds of properties, and what mitigation suits such a large-scale slide?
Check with: California Geological Survey</t>
        </is>
      </c>
    </row>
    <row r="100" outlineLevel="1" ht="66.5" customHeight="1">
      <c r="A100" s="191" t="n">
        <v>91</v>
      </c>
      <c r="B100" s="192" t="n">
        <v>4</v>
      </c>
      <c r="C100" s="193" t="inlineStr">
        <is>
          <t>Senapred maintains Red Alert for 10 communes of the Metropolitan Region due to mass movement risk.
(English headline translated by Claude · Original: Senapred mantiene Alerta Roja para 10 comunas de la Región Metropolitana por riesgo de remoción en masa)</t>
        </is>
      </c>
      <c r="D100" s="194" t="inlineStr">
        <is>
          <t>Open article</t>
        </is>
      </c>
      <c r="E100" s="199" t="inlineStr">
        <is>
          <t>News brief</t>
        </is>
      </c>
      <c r="F100" s="196">
        <f>IFERROR(INDEX(Stories!$F$4:$F$357,MATCH($A100,Stories!$A$4:$A$357,0))&amp;"","")</f>
        <v/>
      </c>
      <c r="G100" s="197" t="inlineStr">
        <is>
          <t>CNN Chile</t>
        </is>
      </c>
      <c r="H100" s="198" t="n">
        <v>46324</v>
      </c>
      <c r="I100" s="197" t="inlineStr">
        <is>
          <t>What criteria determine when a red alert for mass movement can be lifted across several communes?
Check with: Senapred</t>
        </is>
      </c>
    </row>
    <row r="101" outlineLevel="1" ht="79" customHeight="1">
      <c r="A101" s="191" t="n">
        <v>92</v>
      </c>
      <c r="B101" s="192" t="n">
        <v>4</v>
      </c>
      <c r="C101" s="193" t="inlineStr">
        <is>
          <t>From mud to dust: heat complicates clean-up after debris flows as new storms threaten central zone.
(English headline translated by Claude · Original: Del barro al polvo: calor complica las labores de limpieza tras los aluviones y nuevas tormentas amenazan a la zona central)</t>
        </is>
      </c>
      <c r="D101" s="194" t="inlineStr">
        <is>
          <t>Open article</t>
        </is>
      </c>
      <c r="E101" s="195" t="inlineStr">
        <is>
          <t>Feature lead</t>
        </is>
      </c>
      <c r="F101" s="196">
        <f>IFERROR(INDEX(Stories!$F$4:$F$357,MATCH($A101,Stories!$A$4:$A$357,0))&amp;"","")</f>
        <v/>
      </c>
      <c r="G101" s="197" t="inlineStr">
        <is>
          <t>La Tercera</t>
        </is>
      </c>
      <c r="H101" s="198" t="n">
        <v>46324</v>
      </c>
      <c r="I101" s="197" t="inlineStr">
        <is>
          <t>How should post-debris-flow clean-up and ground recovery be managed when new storms threaten the same area?
Check with: Senapred</t>
        </is>
      </c>
    </row>
    <row r="102" outlineLevel="1" ht="66.5" customHeight="1">
      <c r="A102" s="191" t="n">
        <v>93</v>
      </c>
      <c r="B102" s="192" t="n">
        <v>4</v>
      </c>
      <c r="C102" s="193" t="inlineStr">
        <is>
          <t>Intense rain in Santiago leaves flooded homes, evacuations and debris flows: 10 communes under Red Alert
(English headline translated by Claude · Original: Intensas lluvias en Santiago dejan viviendas inundadas, evacuaciones y aluviones: 10 comunas bajo Alerta Roja)</t>
        </is>
      </c>
      <c r="D102" s="194" t="inlineStr">
        <is>
          <t>Open article</t>
        </is>
      </c>
      <c r="E102" s="199" t="inlineStr">
        <is>
          <t>News brief</t>
        </is>
      </c>
      <c r="F102" s="196">
        <f>IFERROR(INDEX(Stories!$F$4:$F$357,MATCH($A102,Stories!$A$4:$A$357,0))&amp;"","")</f>
        <v/>
      </c>
      <c r="G102" s="197" t="inlineStr">
        <is>
          <t>Revista Digital Minera REDIMIN</t>
        </is>
      </c>
      <c r="H102" s="198" t="n">
        <v>46324</v>
      </c>
      <c r="I102" s="197" t="inlineStr">
        <is>
          <t>Which slopes and watercourses in the ten red-alert communes produced the debris flows, and how were their ground conditions assessed before evacuations?
Check with: Senapred, Chile's national emergency service</t>
        </is>
      </c>
    </row>
    <row r="103" outlineLevel="1" ht="66.5" customHeight="1">
      <c r="A103" s="191" t="n">
        <v>129</v>
      </c>
      <c r="B103" s="192" t="n">
        <v>4</v>
      </c>
      <c r="C103" s="193" t="inlineStr">
        <is>
          <t>Senapred declares red alert for mass movement in ten communes of Metropolitan Region
(English headline translated by Claude · Original: Senapred declara Alerta Roja por remoción en masa en diez comunas de la Región Metropolitana)</t>
        </is>
      </c>
      <c r="D103" s="194" t="inlineStr">
        <is>
          <t>Open article</t>
        </is>
      </c>
      <c r="E103" s="195" t="inlineStr">
        <is>
          <t>Feature lead</t>
        </is>
      </c>
      <c r="F103" s="196">
        <f>IFERROR(INDEX(Stories!$F$4:$F$357,MATCH($A103,Stories!$A$4:$A$357,0))&amp;"","")</f>
        <v/>
      </c>
      <c r="G103" s="197" t="inlineStr">
        <is>
          <t>laconexion.cl</t>
        </is>
      </c>
      <c r="H103" s="198" t="n">
        <v>46323</v>
      </c>
      <c r="I103" s="197" t="inlineStr">
        <is>
          <t>What rainfall and slope conditions justify a red alert for mass movement across a whole metropolitan region, and how is risk zoning used?
Check with: Senapred</t>
        </is>
      </c>
    </row>
    <row r="104" outlineLevel="1" ht="66.5" customHeight="1">
      <c r="A104" s="191" t="n">
        <v>177</v>
      </c>
      <c r="B104" s="192" t="n">
        <v>4</v>
      </c>
      <c r="C104" s="193" t="inlineStr">
        <is>
          <t>3 months after landslide, L'Ascension still waiting to fill its sinkhole
(English headline translated by Claude · Original: 3 mois après le glissement de terrain, L’Ascension attend encore de remplir son gouffre)</t>
        </is>
      </c>
      <c r="D104" s="194" t="inlineStr">
        <is>
          <t>Open article</t>
        </is>
      </c>
      <c r="E104" s="195" t="inlineStr">
        <is>
          <t>Feature lead</t>
        </is>
      </c>
      <c r="F104" s="196">
        <f>IFERROR(INDEX(Stories!$F$4:$F$357,MATCH($A104,Stories!$A$4:$A$357,0))&amp;"","")</f>
        <v/>
      </c>
      <c r="G104" s="197" t="inlineStr">
        <is>
          <t>Radio-Canada</t>
        </is>
      </c>
      <c r="H104" s="198" t="n">
        <v>46322</v>
      </c>
      <c r="I104" s="197" t="inlineStr">
        <is>
          <t>How should a landslide-triggered sinkhole be investigated and backfilled, and what does the delay reveal about ground remediation planning after slope failures?
Check with: the municipality of L'Ascension</t>
        </is>
      </c>
    </row>
    <row r="105" outlineLevel="1" ht="66.5" customHeight="1">
      <c r="A105" s="191" t="n">
        <v>178</v>
      </c>
      <c r="B105" s="192" t="n">
        <v>4</v>
      </c>
      <c r="C105" s="193" t="inlineStr">
        <is>
          <t>Son La: over 4,600 households still cannot be relocated due to high landslide risk
(English headline translated by Claude · Original: Son La : Plus de 4 600 ménages n'ont toujours pas pu être relogés en raison des risques élevés de glissements de terrain.)</t>
        </is>
      </c>
      <c r="D105" s="194" t="inlineStr">
        <is>
          <t>Open article</t>
        </is>
      </c>
      <c r="E105" s="195" t="inlineStr">
        <is>
          <t>Feature lead</t>
        </is>
      </c>
      <c r="F105" s="196">
        <f>IFERROR(INDEX(Stories!$F$4:$F$357,MATCH($A105,Stories!$A$4:$A$357,0))&amp;"","")</f>
        <v/>
      </c>
      <c r="G105" s="197" t="inlineStr">
        <is>
          <t>Vietnam.vn</t>
        </is>
      </c>
      <c r="H105" s="198" t="n">
        <v>46322</v>
      </c>
      <c r="I105" s="197" t="inlineStr">
        <is>
          <t>How should geotechnical hazard assessment guide the relocation of thousands of households from high-risk landslide zones, and what criteria apply?
Check with: Son La provincial People's Committee</t>
        </is>
      </c>
    </row>
    <row r="106" outlineLevel="1" ht="66.5" customHeight="1">
      <c r="A106" s="191" t="n">
        <v>179</v>
      </c>
      <c r="B106" s="192" t="n">
        <v>4</v>
      </c>
      <c r="C106" s="193" t="inlineStr">
        <is>
          <t>Son La: more than 4,600 families still cannot be relocated from high-risk landslide zones
(English headline translated by Claude · Original: Son La: Más de 4.600 familias siguen sin poder ser reubicadas de las zonas de alto riesgo de deslizamientos de tierra.)</t>
        </is>
      </c>
      <c r="D106" s="194" t="inlineStr">
        <is>
          <t>Open article</t>
        </is>
      </c>
      <c r="E106" s="205" t="inlineStr">
        <is>
          <t>Watch only</t>
        </is>
      </c>
      <c r="F106" s="196">
        <f>IFERROR(INDEX(Stories!$F$4:$F$357,MATCH($A106,Stories!$A$4:$A$357,0))&amp;"","")</f>
        <v/>
      </c>
      <c r="G106" s="197" t="inlineStr">
        <is>
          <t>Vietnam.vn</t>
        </is>
      </c>
      <c r="H106" s="198" t="n">
        <v>46322</v>
      </c>
      <c r="I106" s="197" t="inlineStr">
        <is>
          <t>How should geotechnical hazard assessment guide the relocation of thousands of households from high-risk landslide zones, and what criteria apply?
Check with: Son La provincial People's Committee</t>
        </is>
      </c>
    </row>
    <row r="107" outlineLevel="1" ht="41.5" customHeight="1">
      <c r="A107" s="191" t="n">
        <v>180</v>
      </c>
      <c r="B107" s="192" t="n">
        <v>4</v>
      </c>
      <c r="C107" s="193" t="inlineStr">
        <is>
          <t>Nine dead in landslide in a...
(English headline translated by Claude · Original: Nueve muertos deja deslizamiento de tierra en una...)</t>
        </is>
      </c>
      <c r="D107" s="194" t="inlineStr">
        <is>
          <t>Open article</t>
        </is>
      </c>
      <c r="E107" s="205" t="inlineStr">
        <is>
          <t>Watch only</t>
        </is>
      </c>
      <c r="F107" s="196">
        <f>IFERROR(INDEX(Stories!$F$4:$F$357,MATCH($A107,Stories!$A$4:$A$357,0))&amp;"","")</f>
        <v/>
      </c>
      <c r="G107" s="197" t="inlineStr">
        <is>
          <t>Panamericana TV</t>
        </is>
      </c>
      <c r="H107" s="198" t="n">
        <v>46322</v>
      </c>
      <c r="I107" s="197" t="inlineStr">
        <is>
          <t>What ground and rainfall conditions produced this fatal slope failure, and what early warning and slope assessment would have reduced the toll?</t>
        </is>
      </c>
    </row>
    <row r="108" outlineLevel="1" ht="66.5" customHeight="1">
      <c r="A108" s="191" t="n">
        <v>181</v>
      </c>
      <c r="B108" s="192" t="n">
        <v>4</v>
      </c>
      <c r="C108" s="193" t="inlineStr">
        <is>
          <t>Debris flow reported in Lo Barnechea and streets flooded in San Carlos de Apoquindo
(English headline translated by Claude · Original: Reportan aluvión en Lo Barnechea y calles anegadas en San Carlos de Apoquindo)</t>
        </is>
      </c>
      <c r="D108" s="194" t="inlineStr">
        <is>
          <t>Open article</t>
        </is>
      </c>
      <c r="E108" s="195" t="inlineStr">
        <is>
          <t>Feature lead</t>
        </is>
      </c>
      <c r="F108" s="196">
        <f>IFERROR(INDEX(Stories!$F$4:$F$357,MATCH($A108,Stories!$A$4:$A$357,0))&amp;"","")</f>
        <v/>
      </c>
      <c r="G108" s="197" t="inlineStr">
        <is>
          <t>La Tercera</t>
        </is>
      </c>
      <c r="H108" s="198" t="n">
        <v>46322</v>
      </c>
      <c r="I108" s="197" t="inlineStr">
        <is>
          <t>What ground and catchment conditions in the Andean foothills of Santiago make debris flows so sudden, and what mitigation has been effective there?
Check with: Lo Barnechea municipality and Chile's emergency service SENAPRED</t>
        </is>
      </c>
    </row>
    <row r="109" outlineLevel="1" ht="66.5" customHeight="1">
      <c r="A109" s="191" t="n">
        <v>182</v>
      </c>
      <c r="B109" s="192" t="n">
        <v>4</v>
      </c>
      <c r="C109" s="193" t="inlineStr">
        <is>
          <t>Video: Debris flow in Lo Barnechea and flooding in Las Condes
(English headline translated by Claude · Original: Video: Aluvión en Lo Barnechea e inundaciones en Las Condes)</t>
        </is>
      </c>
      <c r="D109" s="194" t="inlineStr">
        <is>
          <t>Open article</t>
        </is>
      </c>
      <c r="E109" s="205" t="inlineStr">
        <is>
          <t>Watch only</t>
        </is>
      </c>
      <c r="F109" s="196">
        <f>IFERROR(INDEX(Stories!$F$4:$F$357,MATCH($A109,Stories!$A$4:$A$357,0))&amp;"","")</f>
        <v/>
      </c>
      <c r="G109" s="197" t="inlineStr">
        <is>
          <t>TVN</t>
        </is>
      </c>
      <c r="H109" s="198" t="n">
        <v>46322</v>
      </c>
      <c r="I109" s="197" t="inlineStr">
        <is>
          <t>Video evidence of a debris flow and flooding could help reconstruct flow behaviour in Santiago's foothills, if verified against field observations.
Check with: Chile's emergency service SENAPRED and Las Condes municipality</t>
        </is>
      </c>
    </row>
    <row r="110" outlineLevel="1" ht="66.5" customHeight="1">
      <c r="A110" s="191" t="n">
        <v>183</v>
      </c>
      <c r="B110" s="192" t="n">
        <v>4</v>
      </c>
      <c r="C110" s="193" t="inlineStr">
        <is>
          <t>Debris flow on road to Farellones isolates nearly 150 people, reportedly workers and tourists
(English headline translated by Claude · Original: Aluvión en Camino a Farellones deja a cerca de 150 personas aisladas: serían trabajadores y turistas)</t>
        </is>
      </c>
      <c r="D110" s="194" t="inlineStr">
        <is>
          <t>Open article</t>
        </is>
      </c>
      <c r="E110" s="195" t="inlineStr">
        <is>
          <t>Feature lead</t>
        </is>
      </c>
      <c r="F110" s="196">
        <f>IFERROR(INDEX(Stories!$F$4:$F$357,MATCH($A110,Stories!$A$4:$A$357,0))&amp;"","")</f>
        <v/>
      </c>
      <c r="G110" s="197" t="inlineStr">
        <is>
          <t>Teletrece</t>
        </is>
      </c>
      <c r="H110" s="198" t="n">
        <v>46322</v>
      </c>
      <c r="I110" s="197" t="inlineStr">
        <is>
          <t>How can access roads in high mountain catchments be protected from debris flows so that workers and tourists are not cut off after storms?
Check with: Chile's Ministry of Public Works (MOP) and the road concessionaire</t>
        </is>
      </c>
    </row>
    <row r="111" outlineLevel="1" ht="91.5" customHeight="1">
      <c r="A111" s="191" t="n">
        <v>184</v>
      </c>
      <c r="B111" s="192" t="n">
        <v>4</v>
      </c>
      <c r="C111" s="193" t="inlineStr">
        <is>
          <t>"Far exceeded expectations": Quebrada Honda in Las Condes overflows again less than three weeks after the debris flow
(English headline translated by Claude · Original: “Superó totalmente lo que se esperaba”: Quebrada Honda en Las Condes vuelve a desbordarse a menos de tres semanas del aluvión)</t>
        </is>
      </c>
      <c r="D111" s="194" t="inlineStr">
        <is>
          <t>Open article</t>
        </is>
      </c>
      <c r="E111" s="195" t="inlineStr">
        <is>
          <t>Feature lead</t>
        </is>
      </c>
      <c r="F111" s="196">
        <f>IFERROR(INDEX(Stories!$F$4:$F$357,MATCH($A111,Stories!$A$4:$A$357,0))&amp;"","")</f>
        <v/>
      </c>
      <c r="G111" s="197" t="inlineStr">
        <is>
          <t>The Clinic</t>
        </is>
      </c>
      <c r="H111" s="198" t="n">
        <v>46322</v>
      </c>
      <c r="I111" s="197" t="inlineStr">
        <is>
          <t>Why did a recently installed debris barrier and channel in a canyon fail to contain a second flood, and what design assumptions need revisiting?
Check with: Las Condes municipality and the Ministry of Public Works (MOP)</t>
        </is>
      </c>
    </row>
    <row r="112" outlineLevel="1" ht="66.5" customHeight="1">
      <c r="A112" s="191" t="n">
        <v>185</v>
      </c>
      <c r="B112" s="192" t="n">
        <v>4</v>
      </c>
      <c r="C112" s="193" t="inlineStr">
        <is>
          <t>Las Condes and MOP begin work on dynamic debris nets in San Carlos de Apoquindo after debris flow
(English headline translated by Claude · Original: Las Condes y el MOP comienzan los trabajos de las mallas dinámicas en San Carlos de Apoquindo después del aluvión)</t>
        </is>
      </c>
      <c r="D112" s="194" t="inlineStr">
        <is>
          <t>Open article</t>
        </is>
      </c>
      <c r="E112" s="195" t="inlineStr">
        <is>
          <t>Feature lead</t>
        </is>
      </c>
      <c r="F112" s="196">
        <f>IFERROR(INDEX(Stories!$F$4:$F$357,MATCH($A112,Stories!$A$4:$A$357,0))&amp;"","")</f>
        <v/>
      </c>
      <c r="G112" s="197" t="inlineStr">
        <is>
          <t>La Tercera</t>
        </is>
      </c>
      <c r="H112" s="198" t="n">
        <v>46322</v>
      </c>
      <c r="I112" s="197" t="inlineStr">
        <is>
          <t>How do dynamic debris-retention nets perform on steep catchments, and what installation and maintenance details decide whether they work during a flow?
Check with: Las Condes municipality and the Ministry of Public Works (MOP)</t>
        </is>
      </c>
    </row>
    <row r="113" outlineLevel="1" ht="66.5" customHeight="1">
      <c r="A113" s="191" t="n">
        <v>225</v>
      </c>
      <c r="B113" s="192" t="n">
        <v>4</v>
      </c>
      <c r="C113" s="193" t="inlineStr">
        <is>
          <t>Panama intervenes at former gold mine after landslide threatens water sources
(English headline translated by Claude · Original: Panamá interviene antigua mina de oro tras deslizamiento que amenaza fuentes de agua)</t>
        </is>
      </c>
      <c r="D113" s="194" t="inlineStr">
        <is>
          <t>Open article</t>
        </is>
      </c>
      <c r="E113" s="195" t="inlineStr">
        <is>
          <t>Feature lead</t>
        </is>
      </c>
      <c r="F113" s="196">
        <f>IFERROR(INDEX(Stories!$F$4:$F$357,MATCH($A113,Stories!$A$4:$A$357,0))&amp;"","")</f>
        <v/>
      </c>
      <c r="G113" s="197" t="inlineStr">
        <is>
          <t>Infobae</t>
        </is>
      </c>
      <c r="H113" s="198" t="n">
        <v>46321</v>
      </c>
      <c r="I113" s="197" t="inlineStr">
        <is>
          <t>How should slope and waste-material stability in an abandoned mine be assessed where failure threatens downstream water supplies?
Check with: Panama's environment ministry (MiAmbiente)</t>
        </is>
      </c>
    </row>
    <row r="114" outlineLevel="1" ht="79" customHeight="1">
      <c r="A114" s="191" t="n">
        <v>226</v>
      </c>
      <c r="B114" s="192" t="n">
        <v>4</v>
      </c>
      <c r="C114" s="193" t="inlineStr">
        <is>
          <t>Sinkhole threatens to isolate two neighborhoods in Arraiján
(English headline translated by Claude · Original: Socavón amenaza con dejar incomunicadas a dos barriadas en Arraiján)</t>
        </is>
      </c>
      <c r="D114" s="194" t="inlineStr">
        <is>
          <t>Open article</t>
        </is>
      </c>
      <c r="E114" s="195" t="inlineStr">
        <is>
          <t>Feature lead</t>
        </is>
      </c>
      <c r="F114" s="196">
        <f>IFERROR(INDEX(Stories!$F$4:$F$357,MATCH($A114,Stories!$A$4:$A$357,0))&amp;"","")</f>
        <v/>
      </c>
      <c r="G114" s="197" t="inlineStr">
        <is>
          <t>Telemetro</t>
        </is>
      </c>
      <c r="H114" s="198" t="n">
        <v>46321</v>
      </c>
      <c r="I114" s="197"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115" outlineLevel="1" ht="79" customHeight="1">
      <c r="A115" s="191" t="n">
        <v>227</v>
      </c>
      <c r="B115" s="192" t="n">
        <v>4</v>
      </c>
      <c r="C115" s="193" t="inlineStr">
        <is>
          <t>Four guests reportedly fall into sinkhole at Occidental hotel in Cozumel
(English headline translated by Claude · Original: Reportan caída de cuatro huéspedes en socavón de hotel Occidental de Cozumel)</t>
        </is>
      </c>
      <c r="D115" s="194" t="inlineStr">
        <is>
          <t>Open article</t>
        </is>
      </c>
      <c r="E115" s="199" t="inlineStr">
        <is>
          <t>News brief</t>
        </is>
      </c>
      <c r="F115" s="196">
        <f>IFERROR(INDEX(Stories!$F$4:$F$357,MATCH($A115,Stories!$A$4:$A$357,0))&amp;"","")</f>
        <v/>
      </c>
      <c r="G115" s="197" t="inlineStr">
        <is>
          <t>Quinta Fuerza</t>
        </is>
      </c>
      <c r="H115" s="198" t="n">
        <v>46321</v>
      </c>
      <c r="I115" s="197"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116" outlineLevel="1" ht="66.5" customHeight="1">
      <c r="A116" s="191" t="n">
        <v>228</v>
      </c>
      <c r="B116" s="192" t="n">
        <v>4</v>
      </c>
      <c r="C116" s="193" t="inlineStr">
        <is>
          <t>SMS alerts, signage and evacuation routes: La Reina's plan for future floods
(English headline translated by Claude · Original: Alertas SMS, señaléticas y rutas de evacuación: el plan de La Reina ante futuros aluviones)</t>
        </is>
      </c>
      <c r="D116" s="194" t="inlineStr">
        <is>
          <t>Open article</t>
        </is>
      </c>
      <c r="E116" s="195" t="inlineStr">
        <is>
          <t>Feature lead</t>
        </is>
      </c>
      <c r="F116" s="196">
        <f>IFERROR(INDEX(Stories!$F$4:$F$357,MATCH($A116,Stories!$A$4:$A$357,0))&amp;"","")</f>
        <v/>
      </c>
      <c r="G116" s="197" t="inlineStr">
        <is>
          <t>Cooperativa</t>
        </is>
      </c>
      <c r="H116" s="198" t="n">
        <v>46321</v>
      </c>
      <c r="I116" s="197" t="inlineStr">
        <is>
          <t>Beyond warning systems, what ground-based hazard mapping and debris-flow control measures should a municipality in an Andean foothill commune use to plan evacuation and reduce aluvión exposure?
Check with: La Reina municipality and Senapred</t>
        </is>
      </c>
    </row>
    <row r="117" outlineLevel="1" ht="66.5" customHeight="1">
      <c r="A117" s="191" t="n">
        <v>229</v>
      </c>
      <c r="B117" s="192" t="n">
        <v>4</v>
      </c>
      <c r="C117" s="193" t="inlineStr">
        <is>
          <t>ANA installs 12 barriers to reduce impact of debris flows in Lima and Huarochirí
(English headline translated by Claude · Original: ANA instala 12 barreras para reducir el impacto de huaicos en Lima y Huarochirí)</t>
        </is>
      </c>
      <c r="D117" s="194" t="inlineStr">
        <is>
          <t>Open article</t>
        </is>
      </c>
      <c r="E117" s="195" t="inlineStr">
        <is>
          <t>Feature lead</t>
        </is>
      </c>
      <c r="F117" s="196">
        <f>IFERROR(INDEX(Stories!$F$4:$F$357,MATCH($A117,Stories!$A$4:$A$357,0))&amp;"","")</f>
        <v/>
      </c>
      <c r="G117" s="197" t="inlineStr">
        <is>
          <t>TVPerú</t>
        </is>
      </c>
      <c r="H117" s="198" t="n">
        <v>46321</v>
      </c>
      <c r="I117" s="197" t="inlineStr">
        <is>
          <t>Can check dams and barrier structures in steep Andean gullies meaningfully reduce debris-flow impacts, and how should their design and maintenance be evaluated?
Check with: Autoridad Nacional del Agua (ANA)</t>
        </is>
      </c>
    </row>
    <row r="118" outlineLevel="1" ht="79" customHeight="1">
      <c r="A118" s="191" t="n">
        <v>264</v>
      </c>
      <c r="B118" s="192" t="n">
        <v>4</v>
      </c>
      <c r="C118" s="193"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118" s="194" t="inlineStr">
        <is>
          <t>Open article</t>
        </is>
      </c>
      <c r="E118" s="199" t="inlineStr">
        <is>
          <t>News brief</t>
        </is>
      </c>
      <c r="F118" s="196">
        <f>IFERROR(INDEX(Stories!$F$4:$F$357,MATCH($A118,Stories!$A$4:$A$357,0))&amp;"","")</f>
        <v/>
      </c>
      <c r="G118" s="197" t="inlineStr">
        <is>
          <t>Vietnam.vn</t>
        </is>
      </c>
      <c r="H118" s="198" t="n">
        <v>46320</v>
      </c>
      <c r="I118" s="197" t="inlineStr">
        <is>
          <t>What slope stabilisation and post-failure assessment methods are suited to repeated landslides along a road built beside a river valley?</t>
        </is>
      </c>
    </row>
    <row r="119" outlineLevel="1" ht="66.5" customHeight="1">
      <c r="A119" s="191" t="n">
        <v>265</v>
      </c>
      <c r="B119" s="192" t="n">
        <v>4</v>
      </c>
      <c r="C119" s="193" t="inlineStr">
        <is>
          <t>Tragedy in Tecate: a worker dies after being buried by an earth slope on 23 October.
(English headline translated by Claude · Original: Tragedia en Tecate: un trabajador muere tras ser sepultado por un talud de tierra el 23 de octubre.)</t>
        </is>
      </c>
      <c r="D119" s="194" t="inlineStr">
        <is>
          <t>Open article</t>
        </is>
      </c>
      <c r="E119" s="195" t="inlineStr">
        <is>
          <t>Feature lead</t>
        </is>
      </c>
      <c r="F119" s="196">
        <f>IFERROR(INDEX(Stories!$F$4:$F$357,MATCH($A119,Stories!$A$4:$A$357,0))&amp;"","")</f>
        <v/>
      </c>
      <c r="G119" s="197" t="inlineStr">
        <is>
          <t>El Congresista</t>
        </is>
      </c>
      <c r="H119" s="198" t="n">
        <v>46320</v>
      </c>
      <c r="I119" s="197" t="inlineStr">
        <is>
          <t>What failure mechanisms and excavation safety controls would have prevented a worker being buried by an earth slope during construction?</t>
        </is>
      </c>
    </row>
    <row r="120" outlineLevel="1" ht="66.5" customHeight="1">
      <c r="A120" s="191" t="n">
        <v>266</v>
      </c>
      <c r="B120" s="192" t="n">
        <v>4</v>
      </c>
      <c r="C120" s="193" t="inlineStr">
        <is>
          <t>Three homes destroyed after landslide in rural area of Moniquirá.
(English headline translated by Claude · Original: Tres viviendas quedaron destruidas tras deslizamiento en zona rural de Moniquirá)</t>
        </is>
      </c>
      <c r="D120" s="194" t="inlineStr">
        <is>
          <t>Open article</t>
        </is>
      </c>
      <c r="E120" s="199" t="inlineStr">
        <is>
          <t>News brief</t>
        </is>
      </c>
      <c r="F120" s="196">
        <f>IFERROR(INDEX(Stories!$F$4:$F$357,MATCH($A120,Stories!$A$4:$A$357,0))&amp;"","")</f>
        <v/>
      </c>
      <c r="G120" s="197" t="inlineStr">
        <is>
          <t>Noticias Caracol</t>
        </is>
      </c>
      <c r="H120" s="198" t="n">
        <v>46320</v>
      </c>
      <c r="I120" s="197" t="inlineStr">
        <is>
          <t>What triggering conditions and hazard mapping would identify rural slopes at risk of landslides destroying housing?</t>
        </is>
      </c>
    </row>
    <row r="121" outlineLevel="1" ht="54" customHeight="1">
      <c r="A121" s="191" t="n">
        <v>267</v>
      </c>
      <c r="B121" s="192" t="n">
        <v>4</v>
      </c>
      <c r="C121" s="193" t="inlineStr">
        <is>
          <t>Large landslide on Tofana di Dentro. No hikers involved.
(English headline translated by Claude · Original: Frana di grandi dimensioni sulla Tofana di Dentro. Nessun escursionista coinvolto)</t>
        </is>
      </c>
      <c r="D121" s="194" t="inlineStr">
        <is>
          <t>Open article</t>
        </is>
      </c>
      <c r="E121" s="195" t="inlineStr">
        <is>
          <t>Feature lead</t>
        </is>
      </c>
      <c r="F121" s="196">
        <f>IFERROR(INDEX(Stories!$F$4:$F$357,MATCH($A121,Stories!$A$4:$A$357,0))&amp;"","")</f>
        <v/>
      </c>
      <c r="G121" s="197" t="inlineStr">
        <is>
          <t>Giornale Nord Est</t>
        </is>
      </c>
      <c r="H121" s="198" t="n">
        <v>46320</v>
      </c>
      <c r="I121" s="197" t="inlineStr">
        <is>
          <t>What controls rock slope instability in Dolomite mountains, and how can monitoring reduce risk to hikers from large rockfalls?</t>
        </is>
      </c>
    </row>
    <row r="122" outlineLevel="1" ht="66.5" customHeight="1">
      <c r="A122" s="191" t="n">
        <v>268</v>
      </c>
      <c r="B122" s="192" t="n">
        <v>4</v>
      </c>
      <c r="C122" s="193" t="inlineStr">
        <is>
          <t>Sicily, from the Niscemi landslide to Cyclone Harry: the Army rewards the Engineer Sappers.
(English headline translated by Claude · Original: Sicilia, dalla frana di Niscemi al ciclone Harry: l’Esercito premia il Genio Guastatori)</t>
        </is>
      </c>
      <c r="D122" s="194" t="inlineStr">
        <is>
          <t>Open article</t>
        </is>
      </c>
      <c r="E122" s="195" t="inlineStr">
        <is>
          <t>Feature lead</t>
        </is>
      </c>
      <c r="F122" s="196">
        <f>IFERROR(INDEX(Stories!$F$4:$F$357,MATCH($A122,Stories!$A$4:$A$357,0))&amp;"","")</f>
        <v/>
      </c>
      <c r="G122" s="197" t="inlineStr">
        <is>
          <t>StrettoWeb</t>
        </is>
      </c>
      <c r="H122" s="198" t="n">
        <v>46320</v>
      </c>
      <c r="I122" s="197" t="inlineStr">
        <is>
          <t>What lessons do the Niscemi landslide and Cyclone Harry offer about slope instability and engineering response in Sicily?</t>
        </is>
      </c>
    </row>
    <row r="123" outlineLevel="1" ht="54" customHeight="1">
      <c r="A123" s="191" t="n">
        <v>269</v>
      </c>
      <c r="B123" s="192" t="n">
        <v>4</v>
      </c>
      <c r="C123" s="193" t="inlineStr">
        <is>
          <t>Rapidly advancing clean-up work for landslides on Provincial Road 160 along the Chay River.
(English headline translated by Claude · Original: チャイ川沿いの州道160号線における土砂崩れの復旧作業を迅速に進める。)</t>
        </is>
      </c>
      <c r="D123" s="194" t="inlineStr">
        <is>
          <t>Open article</t>
        </is>
      </c>
      <c r="E123" s="205" t="inlineStr">
        <is>
          <t>Watch only</t>
        </is>
      </c>
      <c r="F123" s="196">
        <f>IFERROR(INDEX(Stories!$F$4:$F$357,MATCH($A123,Stories!$A$4:$A$357,0))&amp;"","")</f>
        <v/>
      </c>
      <c r="G123" s="197" t="inlineStr">
        <is>
          <t>Vietnam.vn</t>
        </is>
      </c>
      <c r="H123" s="198" t="n">
        <v>46320</v>
      </c>
      <c r="I123" s="197" t="inlineStr">
        <is>
          <t>Duplicate of the Chay River road landslide clean-up story; monitor for follow-up on repair methods.</t>
        </is>
      </c>
    </row>
    <row r="124" outlineLevel="1" ht="66.5" customHeight="1">
      <c r="A124" s="191" t="n">
        <v>270</v>
      </c>
      <c r="B124" s="192" t="n">
        <v>4</v>
      </c>
      <c r="C124" s="193"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124" s="194" t="inlineStr">
        <is>
          <t>Open article</t>
        </is>
      </c>
      <c r="E124" s="195" t="inlineStr">
        <is>
          <t>Feature lead</t>
        </is>
      </c>
      <c r="F124" s="196">
        <f>IFERROR(INDEX(Stories!$F$4:$F$357,MATCH($A124,Stories!$A$4:$A$357,0))&amp;"","")</f>
        <v/>
      </c>
      <c r="G124" s="197" t="inlineStr">
        <is>
          <t>Yahoo!ニュース</t>
        </is>
      </c>
      <c r="H124" s="198" t="n">
        <v>46320</v>
      </c>
      <c r="I124" s="197" t="inlineStr">
        <is>
          <t>Why does valley density in the Bōsō Peninsula terrain increase landslide hazard during typhoon rainfall, and how should it be mapped?</t>
        </is>
      </c>
    </row>
    <row r="125" outlineLevel="1" ht="66.5" customHeight="1">
      <c r="A125" s="191" t="n">
        <v>271</v>
      </c>
      <c r="B125" s="192" t="n">
        <v>4</v>
      </c>
      <c r="C125" s="193"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125" s="194" t="inlineStr">
        <is>
          <t>Open article</t>
        </is>
      </c>
      <c r="E125" s="195" t="inlineStr">
        <is>
          <t>Feature lead</t>
        </is>
      </c>
      <c r="F125" s="196">
        <f>IFERROR(INDEX(Stories!$F$4:$F$357,MATCH($A125,Stories!$A$4:$A$357,0))&amp;"","")</f>
        <v/>
      </c>
      <c r="G125" s="197" t="inlineStr">
        <is>
          <t>Vietnam.vn</t>
        </is>
      </c>
      <c r="H125" s="198" t="n">
        <v>46320</v>
      </c>
      <c r="I125" s="197" t="inlineStr">
        <is>
          <t>Why are sinkholes in karst or soluble terrain so difficult to resolve, and what investigation methods identify them early?</t>
        </is>
      </c>
    </row>
    <row r="126" outlineLevel="1" ht="41.5" customHeight="1">
      <c r="A126" s="191" t="n">
        <v>272</v>
      </c>
      <c r="B126" s="192" t="n">
        <v>4</v>
      </c>
      <c r="C126" s="193" t="inlineStr">
        <is>
          <t>Body of doctor pulled from rubble, residents evacuated after Paya Terubong landslide</t>
        </is>
      </c>
      <c r="D126" s="194" t="inlineStr">
        <is>
          <t>Open article</t>
        </is>
      </c>
      <c r="E126" s="195" t="inlineStr">
        <is>
          <t>Feature lead</t>
        </is>
      </c>
      <c r="F126" s="196">
        <f>IFERROR(INDEX(Stories!$F$4:$F$357,MATCH($A126,Stories!$A$4:$A$357,0))&amp;"","")</f>
        <v/>
      </c>
      <c r="G126" s="197" t="inlineStr">
        <is>
          <t>Malay Mail</t>
        </is>
      </c>
      <c r="H126" s="198" t="n">
        <v>46320</v>
      </c>
      <c r="I126" s="197" t="inlineStr">
        <is>
          <t>What triggered the fatal Paya Terubong hillside failure, and how should residential slopes be assessed before evacuation and recovery?</t>
        </is>
      </c>
    </row>
    <row r="127" outlineLevel="1" ht="41.5" customHeight="1">
      <c r="A127" s="191" t="n">
        <v>273</v>
      </c>
      <c r="B127" s="192" t="n">
        <v>4</v>
      </c>
      <c r="C127" s="193" t="inlineStr">
        <is>
          <t>Penang council halts hillside construction, roadworks after fatal landslide</t>
        </is>
      </c>
      <c r="D127" s="194" t="inlineStr">
        <is>
          <t>Open article</t>
        </is>
      </c>
      <c r="E127" s="195" t="inlineStr">
        <is>
          <t>Feature lead</t>
        </is>
      </c>
      <c r="F127" s="196">
        <f>IFERROR(INDEX(Stories!$F$4:$F$357,MATCH($A127,Stories!$A$4:$A$357,0))&amp;"","")</f>
        <v/>
      </c>
      <c r="G127" s="197" t="inlineStr">
        <is>
          <t>The Sun Malaysia</t>
        </is>
      </c>
      <c r="H127" s="198" t="n">
        <v>46320</v>
      </c>
      <c r="I127" s="197" t="inlineStr">
        <is>
          <t>Should hillside development be halted after a fatal landslide, and what slope stability criteria should govern such construction?</t>
        </is>
      </c>
    </row>
    <row r="128" outlineLevel="1" ht="41.5" customHeight="1">
      <c r="A128" s="191" t="n">
        <v>274</v>
      </c>
      <c r="B128" s="192" t="n">
        <v>4</v>
      </c>
      <c r="C128" s="193" t="inlineStr">
        <is>
          <t>Rain batters Nilgiris; landslide buries government bus, driver loses life</t>
        </is>
      </c>
      <c r="D128" s="194" t="inlineStr">
        <is>
          <t>Open article</t>
        </is>
      </c>
      <c r="E128" s="199" t="inlineStr">
        <is>
          <t>News brief</t>
        </is>
      </c>
      <c r="F128" s="196">
        <f>IFERROR(INDEX(Stories!$F$4:$F$357,MATCH($A128,Stories!$A$4:$A$357,0))&amp;"","")</f>
        <v/>
      </c>
      <c r="G128" s="197" t="inlineStr">
        <is>
          <t>The New Indian Express</t>
        </is>
      </c>
      <c r="H128" s="198" t="n">
        <v>46320</v>
      </c>
      <c r="I128" s="197" t="inlineStr">
        <is>
          <t>How can landslide risk on hill-road corridors be managed when a government bus is buried during heavy rain?</t>
        </is>
      </c>
    </row>
    <row r="129" outlineLevel="1" ht="54" customHeight="1">
      <c r="A129" s="191" t="n">
        <v>53</v>
      </c>
      <c r="B129" s="192" t="n">
        <v>4</v>
      </c>
      <c r="C129" s="193" t="inlineStr">
        <is>
          <t>Permafrost Slides That Dammed Two Canadian Rivers Offer a Warning for Arctic Communities in Canada and Alaska</t>
        </is>
      </c>
      <c r="D129" s="194" t="inlineStr">
        <is>
          <t>Open article</t>
        </is>
      </c>
      <c r="E129" s="195" t="inlineStr">
        <is>
          <t>Feature lead</t>
        </is>
      </c>
      <c r="F129" s="196">
        <f>IFERROR(INDEX(Stories!$F$4:$F$357,MATCH($A129,Stories!$A$4:$A$357,0))&amp;"","")</f>
        <v/>
      </c>
      <c r="G129" s="197" t="inlineStr">
        <is>
          <t>Nature World News</t>
        </is>
      </c>
      <c r="H129" s="198" t="n">
        <v>46325</v>
      </c>
      <c r="I129" s="197" t="inlineStr">
        <is>
          <t>What mechanisms turn thawing permafrost into slides that dam rivers, and how can Arctic settlements be assessed for similar risk?
Check with: the Geological Survey of Canada</t>
        </is>
      </c>
    </row>
    <row r="130" outlineLevel="1" ht="41.5" customHeight="1">
      <c r="A130" s="191" t="n">
        <v>95</v>
      </c>
      <c r="B130" s="192" t="n">
        <v>4</v>
      </c>
      <c r="C130" s="193" t="inlineStr">
        <is>
          <t>Parts of Tibetan Plateau's frozen ground are gaining ice despite warming</t>
        </is>
      </c>
      <c r="D130" s="194" t="inlineStr">
        <is>
          <t>Open article</t>
        </is>
      </c>
      <c r="E130" s="200" t="inlineStr">
        <is>
          <t>Academia-to-Industry topic</t>
        </is>
      </c>
      <c r="F130" s="196">
        <f>IFERROR(INDEX(Stories!$F$4:$F$357,MATCH($A130,Stories!$A$4:$A$357,0))&amp;"","")</f>
        <v/>
      </c>
      <c r="G130" s="197" t="inlineStr">
        <is>
          <t>Phys.org Earth Sciences</t>
        </is>
      </c>
      <c r="H130" s="198" t="n">
        <v>46324</v>
      </c>
      <c r="I130" s="197" t="inlineStr">
        <is>
          <t>How does permafrost ice gain on the Qinghai-Xizang Plateau affect the thermal and bearing behaviour assumed in foundation design for infrastructure there?</t>
        </is>
      </c>
    </row>
    <row r="131" outlineLevel="1" ht="66.5" customHeight="1">
      <c r="A131" s="191" t="n">
        <v>19</v>
      </c>
      <c r="B131" s="192" t="n">
        <v>4</v>
      </c>
      <c r="C131" s="193" t="inlineStr">
        <is>
          <t>At Niscemi fear exists, resignation does not
(English headline translated by Claude · Original: A Niscemi la paura c’è, la rassegnazione no)</t>
        </is>
      </c>
      <c r="D131" s="194" t="inlineStr">
        <is>
          <t>Open article</t>
        </is>
      </c>
      <c r="E131" s="195" t="inlineStr">
        <is>
          <t>Feature lead</t>
        </is>
      </c>
      <c r="F131" s="196">
        <f>IFERROR(INDEX(Stories!$F$4:$F$357,MATCH($A131,Stories!$A$4:$A$357,0))&amp;"","")</f>
        <v/>
      </c>
      <c r="G131" s="197" t="inlineStr">
        <is>
          <t>Vita.it</t>
        </is>
      </c>
      <c r="H131" s="198" t="n">
        <v>46326</v>
      </c>
      <c r="I131" s="197" t="inlineStr">
        <is>
          <t>What slope movement mechanisms and monitoring approaches apply to a large, slow-moving landslide affecting a whole town, and what risk management follows?
Check with: the regional civil protection department of Sicily</t>
        </is>
      </c>
    </row>
    <row r="132" outlineLevel="1" ht="66.5" customHeight="1">
      <c r="A132" s="191" t="n">
        <v>97</v>
      </c>
      <c r="B132" s="192" t="n">
        <v>4</v>
      </c>
      <c r="C132" s="193" t="inlineStr">
        <is>
          <t>Prenn Pass has collapsed 8 times, reinforced with steel mesh and 6 m long anchors
(English headline translated by Claude · Original: Le col de Prenn s'est effondré 8 fois, renforcé par un filet d'acier et des ancres de 6 m de long)</t>
        </is>
      </c>
      <c r="D132" s="194" t="inlineStr">
        <is>
          <t>Open article</t>
        </is>
      </c>
      <c r="E132" s="195" t="inlineStr">
        <is>
          <t>Feature lead</t>
        </is>
      </c>
      <c r="F132" s="196">
        <f>IFERROR(INDEX(Stories!$F$4:$F$357,MATCH($A132,Stories!$A$4:$A$357,0))&amp;"","")</f>
        <v/>
      </c>
      <c r="G132" s="197" t="inlineStr">
        <is>
          <t>Laodong.vn</t>
        </is>
      </c>
      <c r="H132" s="198" t="n">
        <v>46324</v>
      </c>
      <c r="I132" s="197" t="inlineStr">
        <is>
          <t>How effective are steel mesh and long rock anchors at stabilising a road slope that has collapsed repeatedly, and what monitoring confirms their performance?
Check with: Lam Dong provincial road authority</t>
        </is>
      </c>
    </row>
    <row r="133" outlineLevel="1" ht="66.5" customHeight="1">
      <c r="A133" s="191" t="n">
        <v>133</v>
      </c>
      <c r="B133" s="192" t="n">
        <v>4</v>
      </c>
      <c r="C133" s="193" t="inlineStr">
        <is>
          <t>UNAM warns of subsidence of up to 40 centimetres a year in the Historic Centre
(English headline translated by Claude · Original: UNAM advierte hundimiento de hasta 40 centímetros al año en el Centro Histórico)</t>
        </is>
      </c>
      <c r="D133" s="194" t="inlineStr">
        <is>
          <t>Open article</t>
        </is>
      </c>
      <c r="E133" s="195" t="inlineStr">
        <is>
          <t>Feature lead</t>
        </is>
      </c>
      <c r="F133" s="196">
        <f>IFERROR(INDEX(Stories!$F$4:$F$357,MATCH($A133,Stories!$A$4:$A$357,0))&amp;"","")</f>
        <v/>
      </c>
      <c r="G133" s="197" t="inlineStr">
        <is>
          <t>El Financiero</t>
        </is>
      </c>
      <c r="H133" s="198" t="n">
        <v>46323</v>
      </c>
      <c r="I133" s="197" t="inlineStr">
        <is>
          <t>How does groundwater extraction and clay consolidation drive decimetre-scale annual subsidence in a historic city centre, and what mitigation works are feasible?
Check with: UNAM</t>
        </is>
      </c>
    </row>
    <row r="134" outlineLevel="1" ht="66.5" customHeight="1">
      <c r="A134" s="191" t="n">
        <v>192</v>
      </c>
      <c r="B134" s="192" t="n">
        <v>4</v>
      </c>
      <c r="C134" s="193" t="inlineStr">
        <is>
          <t>Son La: over 4,600 households still unable to relocate from landslide-risk areas
(English headline translated by Claude · Original: سون لا: لا تزال أكثر من 4600 أسرة غير قادرة على الانتقال من المناطق المعرضة لخطر الانهيارات الأرضية.)</t>
        </is>
      </c>
      <c r="D134" s="194" t="inlineStr">
        <is>
          <t>Open article</t>
        </is>
      </c>
      <c r="E134" s="210" t="inlineStr">
        <is>
          <t>Regional insight</t>
        </is>
      </c>
      <c r="F134" s="196">
        <f>IFERROR(INDEX(Stories!$F$4:$F$357,MATCH($A134,Stories!$A$4:$A$357,0))&amp;"","")</f>
        <v/>
      </c>
      <c r="G134" s="197" t="inlineStr">
        <is>
          <t>Vietnam.vn</t>
        </is>
      </c>
      <c r="H134" s="198" t="n">
        <v>46322</v>
      </c>
      <c r="I134" s="197" t="inlineStr">
        <is>
          <t>How should landslide risk zoning inform resettlement decisions, and why do so many households remain in hazard-prone slopes?
Check with: Son La provincial People's Committee</t>
        </is>
      </c>
    </row>
    <row r="135" outlineLevel="1" ht="66.5" customHeight="1">
      <c r="A135" s="191" t="n">
        <v>20</v>
      </c>
      <c r="B135" s="192" t="n">
        <v>3</v>
      </c>
      <c r="C135" s="193" t="inlineStr">
        <is>
          <t>Floods and landslides hit Banyumas: embankment breaks, 3 elementary schools affected
(English headline translated by Claude · Original: Banjir dan Longsor Terjang Banyumas: Tanggul Jebol, 3 SD Terdampak)</t>
        </is>
      </c>
      <c r="D135" s="194" t="inlineStr">
        <is>
          <t>Open article</t>
        </is>
      </c>
      <c r="E135" s="199" t="inlineStr">
        <is>
          <t>News brief</t>
        </is>
      </c>
      <c r="F135" s="196">
        <f>IFERROR(INDEX(Stories!$F$4:$F$357,MATCH($A135,Stories!$A$4:$A$357,0))&amp;"","")</f>
        <v/>
      </c>
      <c r="G135" s="197" t="inlineStr">
        <is>
          <t>CNN Indonesia</t>
        </is>
      </c>
      <c r="H135" s="198" t="n">
        <v>46326</v>
      </c>
      <c r="I135" s="197" t="inlineStr">
        <is>
          <t>What caused the embankment breach and landslide in Banyumas, and how levee failure mechanisms should be assessed in similar river-side settlements.
Check with: Banyumas regency disaster management agency (BPBD)</t>
        </is>
      </c>
    </row>
    <row r="136" outlineLevel="1" ht="79" customHeight="1">
      <c r="A136" s="191" t="n">
        <v>55</v>
      </c>
      <c r="B136" s="192" t="n">
        <v>3</v>
      </c>
      <c r="C136" s="193" t="inlineStr">
        <is>
          <t>In Ankara, a 17-storey building was evacuated after a landslide; the retaining wall collapsed and its foundation was exposed.
(English headline translated by Claude · Original: В Анкаре 17-этажное здание эвакуировали из-за оползня! Подпорная стена обрушилась, фундамент обнажился)</t>
        </is>
      </c>
      <c r="D136" s="194" t="inlineStr">
        <is>
          <t>Open article</t>
        </is>
      </c>
      <c r="E136" s="199" t="inlineStr">
        <is>
          <t>News brief</t>
        </is>
      </c>
      <c r="F136" s="196">
        <f>IFERROR(INDEX(Stories!$F$4:$F$357,MATCH($A136,Stories!$A$4:$A$357,0))&amp;"","")</f>
        <v/>
      </c>
      <c r="G136" s="197" t="inlineStr">
        <is>
          <t>Haberler</t>
        </is>
      </c>
      <c r="H136" s="198" t="n">
        <v>46325</v>
      </c>
      <c r="I136" s="197" t="inlineStr">
        <is>
          <t>What caused the retaining wall failure and foundation exposure beneath a 17-storey building, and what slope-stability checks should follow urban landslide evacuations?
Check with: Ankara metropolitan municipality and AFAD disaster agency</t>
        </is>
      </c>
    </row>
    <row r="137" outlineLevel="1" ht="66.5" customHeight="1">
      <c r="A137" s="191" t="n">
        <v>134</v>
      </c>
      <c r="B137" s="192" t="n">
        <v>3</v>
      </c>
      <c r="C137" s="193" t="inlineStr">
        <is>
          <t>Landslide in Santa Fe: official cause and damage left by slope collapse revealed
(English headline translated by Claude · Original: Deslave en Santa Fe: Revelan la causa oficial y los daños que dejó el colapso del talud)</t>
        </is>
      </c>
      <c r="D137" s="194" t="inlineStr">
        <is>
          <t>Open article</t>
        </is>
      </c>
      <c r="E137" s="199" t="inlineStr">
        <is>
          <t>News brief</t>
        </is>
      </c>
      <c r="F137" s="196">
        <f>IFERROR(INDEX(Stories!$F$4:$F$357,MATCH($A137,Stories!$A$4:$A$357,0))&amp;"","")</f>
        <v/>
      </c>
      <c r="G137" s="197" t="inlineStr">
        <is>
          <t>Tele Urban</t>
        </is>
      </c>
      <c r="H137" s="198" t="n">
        <v>46323</v>
      </c>
      <c r="I137" s="197" t="inlineStr">
        <is>
          <t>What caused a cut slope to collapse next to an urban development, and what the slope stability check should have caught.
Check with: Mexico City civil protection authority</t>
        </is>
      </c>
    </row>
    <row r="138" outlineLevel="1" ht="66.5" customHeight="1">
      <c r="A138" s="191" t="n">
        <v>21</v>
      </c>
      <c r="B138" s="192" t="n">
        <v>3</v>
      </c>
      <c r="C138" s="193" t="inlineStr">
        <is>
          <t>Landslide on the Penserchay river bank: 20-metre dam section collapsed into the river
(English headline translated by Claude · Original: Оползень на берегу реки Пенсерчай: 20-метровый участок дамбы обрушился в реку)</t>
        </is>
      </c>
      <c r="D138" s="194" t="inlineStr">
        <is>
          <t>Open article</t>
        </is>
      </c>
      <c r="E138" s="199" t="inlineStr">
        <is>
          <t>News brief</t>
        </is>
      </c>
      <c r="F138" s="196">
        <f>IFERROR(INDEX(Stories!$F$4:$F$357,MATCH($A138,Stories!$A$4:$A$357,0))&amp;"","")</f>
        <v/>
      </c>
      <c r="G138" s="197" t="inlineStr">
        <is>
          <t>Azərtac</t>
        </is>
      </c>
      <c r="H138" s="198" t="n">
        <v>46326</v>
      </c>
      <c r="I138" s="197" t="inlineStr">
        <is>
          <t>Why a riverbank landslide removed a 20-metre dam section, and how slope stability and erosion of embankment toes should be checked along this river.
Check with: Azerbaijan Emergency Situations Ministry</t>
        </is>
      </c>
    </row>
    <row r="139" outlineLevel="1" ht="54" customHeight="1">
      <c r="A139" s="191" t="n">
        <v>22</v>
      </c>
      <c r="B139" s="192" t="n">
        <v>3</v>
      </c>
      <c r="C139" s="193" t="inlineStr">
        <is>
          <t>Landslide in Astara district: sections of dam collapsed
(English headline translated by Claude · Original: В Астаринском районе произошел оползень: обрушились участки дамбы)</t>
        </is>
      </c>
      <c r="D139" s="194" t="inlineStr">
        <is>
          <t>Open article</t>
        </is>
      </c>
      <c r="E139" s="199" t="inlineStr">
        <is>
          <t>News brief</t>
        </is>
      </c>
      <c r="F139" s="196">
        <f>IFERROR(INDEX(Stories!$F$4:$F$357,MATCH($A139,Stories!$A$4:$A$357,0))&amp;"","")</f>
        <v/>
      </c>
      <c r="G139" s="197" t="inlineStr">
        <is>
          <t>Media.az</t>
        </is>
      </c>
      <c r="H139" s="198" t="n">
        <v>46326</v>
      </c>
      <c r="I139" s="197" t="inlineStr">
        <is>
          <t>What triggered the Astara landslide that broke dam sections, and how embankment failure risk should be assessed on similar hillside sites.
Check with: Azerbaijan Emergency Situations Ministry</t>
        </is>
      </c>
    </row>
    <row r="140" outlineLevel="1" ht="66.5" customHeight="1">
      <c r="A140" s="191" t="n">
        <v>23</v>
      </c>
      <c r="B140" s="192" t="n">
        <v>3</v>
      </c>
      <c r="C140" s="193" t="inlineStr">
        <is>
          <t>Nine-month-old baby among three dead in landslide in Odisha’s Kandhamala</t>
        </is>
      </c>
      <c r="D140" s="194" t="inlineStr">
        <is>
          <t>Open article</t>
        </is>
      </c>
      <c r="E140" s="199" t="inlineStr">
        <is>
          <t>News brief</t>
        </is>
      </c>
      <c r="F140" s="196">
        <f>IFERROR(INDEX(Stories!$F$4:$F$357,MATCH($A140,Stories!$A$4:$A$357,0))&amp;"","")</f>
        <v/>
      </c>
      <c r="G140" s="197" t="inlineStr">
        <is>
          <t>OrissaPOST</t>
        </is>
      </c>
      <c r="H140" s="198" t="n">
        <v>46326</v>
      </c>
      <c r="I140" s="197" t="inlineStr">
        <is>
          <t>What slope conditions and rainfall triggered the fatal Kandhamala landslide, and how early warning could be linked to slope monitoring in tribal hill areas.
Check with: Odisha State Disaster Management Authority</t>
        </is>
      </c>
    </row>
    <row r="141" outlineLevel="1" ht="54" customHeight="1">
      <c r="A141" s="191" t="n">
        <v>56</v>
      </c>
      <c r="B141" s="192" t="n">
        <v>3</v>
      </c>
      <c r="C141" s="193" t="inlineStr">
        <is>
          <t>Rockfall at a famous Turkish tourist site kills two people.
(English headline translated by Claude · Original: Sạt lở đá tại điểm du lịch nổi tiếng ở Thổ Nhĩ Kỳ, 2 người chết)</t>
        </is>
      </c>
      <c r="D141" s="194" t="inlineStr">
        <is>
          <t>Open article</t>
        </is>
      </c>
      <c r="E141" s="205" t="inlineStr">
        <is>
          <t>Watch only</t>
        </is>
      </c>
      <c r="F141" s="196">
        <f>IFERROR(INDEX(Stories!$F$4:$F$357,MATCH($A141,Stories!$A$4:$A$357,0))&amp;"","")</f>
        <v/>
      </c>
      <c r="G141" s="197" t="inlineStr">
        <is>
          <t>Báo Điện tử An ninh Thủ đô</t>
        </is>
      </c>
      <c r="H141" s="198" t="n">
        <v>46325</v>
      </c>
      <c r="I141" s="197" t="inlineStr">
        <is>
          <t>What rockfall triggers and hazard-mapping methods apply to steep volcanic rock slopes at tourist sites where visitors are exposed?
Check with: AFAD disaster agency</t>
        </is>
      </c>
    </row>
    <row r="142" outlineLevel="1" ht="79" customHeight="1">
      <c r="A142" s="191" t="n">
        <v>57</v>
      </c>
      <c r="B142" s="192" t="n">
        <v>3</v>
      </c>
      <c r="C142" s="193" t="inlineStr">
        <is>
          <t>Spriana landslide: excavation of the bypass tunnel completed; councillors visit the Cossi Costruzioni Webuild site.
(English headline translated by Claude · Original: Frana di Spriana: completato lo scavo della galleria del bypass. I consiglieri comunali in visita al cantiere della Cossi Costruzioni Webuild Group in località Gualtieri)</t>
        </is>
      </c>
      <c r="D142" s="194" t="inlineStr">
        <is>
          <t>Open article</t>
        </is>
      </c>
      <c r="E142" s="199" t="inlineStr">
        <is>
          <t>News brief</t>
        </is>
      </c>
      <c r="F142" s="196">
        <f>IFERROR(INDEX(Stories!$F$4:$F$357,MATCH($A142,Stories!$A$4:$A$357,0))&amp;"","")</f>
        <v/>
      </c>
      <c r="G142" s="197" t="inlineStr">
        <is>
          <t>Radio TSN</t>
        </is>
      </c>
      <c r="H142" s="198" t="n">
        <v>46325</v>
      </c>
      <c r="I142" s="197" t="inlineStr">
        <is>
          <t>How is a bypass tunnel excavated through an active landslide mass at Spriana, and what monitoring controls the ground during such works?
Check with: Cossi Costruzioni, Webuild Group</t>
        </is>
      </c>
    </row>
    <row r="143" outlineLevel="1" ht="66.5" customHeight="1">
      <c r="A143" s="191" t="n">
        <v>101</v>
      </c>
      <c r="B143" s="192" t="n">
        <v>3</v>
      </c>
      <c r="C143" s="193" t="inlineStr">
        <is>
          <t>Costa Azul retaining wall cracks; residents fear mudslide
(English headline translated by Claude · Original: Muro de contención de Costa Azul se agrieta; ciudadanos temen deslave)</t>
        </is>
      </c>
      <c r="D143" s="194" t="inlineStr">
        <is>
          <t>Open article</t>
        </is>
      </c>
      <c r="E143" s="199" t="inlineStr">
        <is>
          <t>News brief</t>
        </is>
      </c>
      <c r="F143" s="196">
        <f>IFERROR(INDEX(Stories!$F$4:$F$357,MATCH($A143,Stories!$A$4:$A$357,0))&amp;"","")</f>
        <v/>
      </c>
      <c r="G143" s="197" t="inlineStr">
        <is>
          <t>El Sol de México</t>
        </is>
      </c>
      <c r="H143" s="198" t="n">
        <v>46324</v>
      </c>
      <c r="I143" s="197" t="inlineStr">
        <is>
          <t>What do cracks in a retaining wall indicate about slope movement, and what monitoring should trigger evacuation near a hillside settlement?
Check with: Acapulco civil protection and city government</t>
        </is>
      </c>
    </row>
    <row r="144" outlineLevel="1" ht="66.5" customHeight="1">
      <c r="A144" s="191" t="n">
        <v>25</v>
      </c>
      <c r="B144" s="192" t="n">
        <v>3</v>
      </c>
      <c r="C144" s="193" t="inlineStr">
        <is>
          <t>Earthquake in Hanoi causes landslide in Hoa Binh
(English headline translated by Claude · Original: زلزال في هانوي يتسبب في انهيار أرضي في هوا بينه.)</t>
        </is>
      </c>
      <c r="D144" s="194" t="inlineStr">
        <is>
          <t>Open article</t>
        </is>
      </c>
      <c r="E144" s="199" t="inlineStr">
        <is>
          <t>News brief</t>
        </is>
      </c>
      <c r="F144" s="196">
        <f>IFERROR(INDEX(Stories!$F$4:$F$357,MATCH($A144,Stories!$A$4:$A$357,0))&amp;"","")</f>
        <v/>
      </c>
      <c r="G144" s="197" t="inlineStr">
        <is>
          <t>Vietnam.vn</t>
        </is>
      </c>
      <c r="H144" s="198" t="n">
        <v>46326</v>
      </c>
      <c r="I144" s="197" t="inlineStr">
        <is>
          <t>Why distant earthquake shaking triggered a landslide in Hoa Binh, and how seismically induced slope failure should be assessed in the Red River hills.
Check with: Vietnam National Centre for Hydro-Meteorological Forecasting</t>
        </is>
      </c>
    </row>
    <row r="145" outlineLevel="1" ht="66.5" customHeight="1">
      <c r="A145" s="191" t="n">
        <v>26</v>
      </c>
      <c r="B145" s="192" t="n">
        <v>3</v>
      </c>
      <c r="C145" s="193" t="inlineStr">
        <is>
          <t>Dyke line protecting hundreds of households in Nghe An suffers landslide and erosion
(English headline translated by Claude · Original: Tuyến đê bảo vệ hàng trăm hộ dân ở Nghệ An bị sạt lở)</t>
        </is>
      </c>
      <c r="D145" s="194" t="inlineStr">
        <is>
          <t>Open article</t>
        </is>
      </c>
      <c r="E145" s="199" t="inlineStr">
        <is>
          <t>News brief</t>
        </is>
      </c>
      <c r="F145" s="196">
        <f>IFERROR(INDEX(Stories!$F$4:$F$357,MATCH($A145,Stories!$A$4:$A$357,0))&amp;"","")</f>
        <v/>
      </c>
      <c r="G145" s="197" t="inlineStr">
        <is>
          <t>Báo Dân trí</t>
        </is>
      </c>
      <c r="H145" s="198" t="n">
        <v>46326</v>
      </c>
      <c r="I145" s="197" t="inlineStr">
        <is>
          <t>What caused the dyke line to slip and erode beside homes in Nghe An, and how riverbank and dyke stability should be monitored in the rainy season.
Check with: Nghe An provincial authorities, dyke management</t>
        </is>
      </c>
    </row>
    <row r="146" outlineLevel="1" ht="66.5" customHeight="1">
      <c r="A146" s="191" t="n">
        <v>27</v>
      </c>
      <c r="B146" s="192" t="n">
        <v>3</v>
      </c>
      <c r="C146" s="193" t="inlineStr">
        <is>
          <t>Krzyżowice: sinkhole appears near house in mining damage area
(English headline translated by Claude · Original: Krzyżowice: w pobliżu domu pojawiło się zapadlisko. Na terenie objętym szkodami górniczymi)</t>
        </is>
      </c>
      <c r="D146" s="194" t="inlineStr">
        <is>
          <t>Open article</t>
        </is>
      </c>
      <c r="E146" s="199" t="inlineStr">
        <is>
          <t>News brief</t>
        </is>
      </c>
      <c r="F146" s="196">
        <f>IFERROR(INDEX(Stories!$F$4:$F$357,MATCH($A146,Stories!$A$4:$A$357,0))&amp;"","")</f>
        <v/>
      </c>
      <c r="G146" s="197" t="inlineStr">
        <is>
          <t>pless.pl</t>
        </is>
      </c>
      <c r="H146" s="198" t="n">
        <v>46326</v>
      </c>
      <c r="I146" s="197" t="inlineStr">
        <is>
          <t>How a sinkhole formed near a house in a mining damage zone, and how ground voids from old workings should be investigated before residential rebuilding.
Check with: Mine operator responsible for mining damage in the area</t>
        </is>
      </c>
    </row>
    <row r="147" outlineLevel="1" ht="66.5" customHeight="1">
      <c r="A147" s="191" t="n">
        <v>58</v>
      </c>
      <c r="B147" s="192" t="n">
        <v>3</v>
      </c>
      <c r="C147" s="193" t="inlineStr">
        <is>
          <t>Cliff collapse in Sukabumi threatens two houses in Kabandungan.
(English headline translated by Claude · Original: Tebing Longsor di Sukabumi, Dua Rumah di Kabandungan Terancam Ambruk)</t>
        </is>
      </c>
      <c r="D147" s="194" t="inlineStr">
        <is>
          <t>Open article</t>
        </is>
      </c>
      <c r="E147" s="199" t="inlineStr">
        <is>
          <t>News brief</t>
        </is>
      </c>
      <c r="F147" s="196">
        <f>IFERROR(INDEX(Stories!$F$4:$F$357,MATCH($A147,Stories!$A$4:$A$357,0))&amp;"","")</f>
        <v/>
      </c>
      <c r="G147" s="197" t="inlineStr">
        <is>
          <t>Media Indonesia</t>
        </is>
      </c>
      <c r="H147" s="198" t="n">
        <v>46325</v>
      </c>
      <c r="I147" s="197" t="inlineStr">
        <is>
          <t>What slope instability mechanisms threaten houses at the foot of this eroding cliff, and what emergency stabilisation is appropriate?
Check with: BPBD Sukabumi regional disaster agency</t>
        </is>
      </c>
    </row>
    <row r="148" outlineLevel="1" ht="66.5" customHeight="1">
      <c r="A148" s="191" t="n">
        <v>59</v>
      </c>
      <c r="B148" s="192" t="n">
        <v>3</v>
      </c>
      <c r="C148" s="193" t="inlineStr">
        <is>
          <t>Krzyżowice: a sinkhole appears near a house in an area affected by mining damage.
(English headline translated by Claude · Original: Krzyżowice: w pobliżu domu pojawiło się zapadlisko. To teren ze szkodami górniczymi)</t>
        </is>
      </c>
      <c r="D148" s="194" t="inlineStr">
        <is>
          <t>Open article</t>
        </is>
      </c>
      <c r="E148" s="199" t="inlineStr">
        <is>
          <t>News brief</t>
        </is>
      </c>
      <c r="F148" s="196">
        <f>IFERROR(INDEX(Stories!$F$4:$F$357,MATCH($A148,Stories!$A$4:$A$357,0))&amp;"","")</f>
        <v/>
      </c>
      <c r="G148" s="197" t="inlineStr">
        <is>
          <t>pless.pl</t>
        </is>
      </c>
      <c r="H148" s="198" t="n">
        <v>46325</v>
      </c>
      <c r="I148" s="197" t="inlineStr">
        <is>
          <t>How do old mining workings produce sinkholes near houses, and what ground investigation should precede residential decisions in such areas?
Check with: the mine operator and local district authority</t>
        </is>
      </c>
    </row>
    <row r="149" outlineLevel="1" ht="66.5" customHeight="1">
      <c r="A149" s="191" t="n">
        <v>102</v>
      </c>
      <c r="B149" s="192" t="n">
        <v>3</v>
      </c>
      <c r="C149" s="193" t="inlineStr">
        <is>
          <t>Sinkhole appears next to a house in Krzyżowice, in an area of mining damage
(English headline translated by Claude · Original: Zapadlisko w Krzyżowicach. Powstało przy jednym z domów. W miejscu, gdzie są szkody górnicze)</t>
        </is>
      </c>
      <c r="D149" s="194" t="inlineStr">
        <is>
          <t>Open article</t>
        </is>
      </c>
      <c r="E149" s="199" t="inlineStr">
        <is>
          <t>News brief</t>
        </is>
      </c>
      <c r="F149" s="196">
        <f>IFERROR(INDEX(Stories!$F$4:$F$357,MATCH($A149,Stories!$A$4:$A$357,0))&amp;"","")</f>
        <v/>
      </c>
      <c r="G149" s="197" t="inlineStr">
        <is>
          <t>Radio 90</t>
        </is>
      </c>
      <c r="H149" s="198" t="n">
        <v>46324</v>
      </c>
      <c r="I149" s="197" t="inlineStr">
        <is>
          <t>How do mining-induced subsidence and sinkholes develop beneath houses, and what investigation is needed before residents return?
Check with: the mine operator and the local municipality</t>
        </is>
      </c>
    </row>
    <row r="150" outlineLevel="1" ht="66.5" customHeight="1">
      <c r="A150" s="191" t="n">
        <v>135</v>
      </c>
      <c r="B150" s="192" t="n">
        <v>3</v>
      </c>
      <c r="C150" s="193" t="inlineStr">
        <is>
          <t>Rain hits Santander roads: loss of road shoulder and rockfall reported
(English headline translated by Claude · Original: Lluvias golpean vías de Santander: reportan pérdida de banca y caída de rocas)</t>
        </is>
      </c>
      <c r="D150" s="194" t="inlineStr">
        <is>
          <t>Open article</t>
        </is>
      </c>
      <c r="E150" s="199" t="inlineStr">
        <is>
          <t>News brief</t>
        </is>
      </c>
      <c r="F150" s="196">
        <f>IFERROR(INDEX(Stories!$F$4:$F$357,MATCH($A150,Stories!$A$4:$A$357,0))&amp;"","")</f>
        <v/>
      </c>
      <c r="G150" s="197" t="inlineStr">
        <is>
          <t>Blu Radio</t>
        </is>
      </c>
      <c r="H150" s="198" t="n">
        <v>46323</v>
      </c>
      <c r="I150" s="197" t="inlineStr">
        <is>
          <t>How rainfall triggers loss of road shoulder and rockfall on mountain roads, and what slope monitoring could have prevented closures.
Check with: INVIAS national road agency</t>
        </is>
      </c>
    </row>
    <row r="151" outlineLevel="1" ht="54" customHeight="1">
      <c r="A151" s="191" t="n">
        <v>136</v>
      </c>
      <c r="B151" s="192" t="n">
        <v>3</v>
      </c>
      <c r="C151" s="193" t="inlineStr">
        <is>
          <t>Liquefaction damaged school building: Nishiarai Elementary lost in Noto earthquake and children's return to learning
(English headline translated by Claude · Original: 液状化で校舎が被災、能登半島地震で消えた西荒屋小学校の風景 にしっこが学びやに戻るまで)</t>
        </is>
      </c>
      <c r="D151" s="194" t="inlineStr">
        <is>
          <t>Open article</t>
        </is>
      </c>
      <c r="E151" s="210" t="inlineStr">
        <is>
          <t>Regional insight</t>
        </is>
      </c>
      <c r="F151" s="196">
        <f>IFERROR(INDEX(Stories!$F$4:$F$357,MATCH($A151,Stories!$A$4:$A$357,0))&amp;"","")</f>
        <v/>
      </c>
      <c r="G151" s="197" t="inlineStr">
        <is>
          <t>中日新聞Web</t>
        </is>
      </c>
      <c r="H151" s="198" t="n">
        <v>46323</v>
      </c>
      <c r="I151" s="197" t="inlineStr">
        <is>
          <t>How liquefaction damage to public buildings in Noto shapes decisions on rebuilding and relocating schools on susceptible ground.
Check with: Ishikawa Prefecture education authority</t>
        </is>
      </c>
    </row>
    <row r="152" outlineLevel="1" ht="79" customHeight="1">
      <c r="A152" s="191" t="n">
        <v>61</v>
      </c>
      <c r="B152" s="192" t="n">
        <v>3</v>
      </c>
      <c r="C152" s="193" t="inlineStr">
        <is>
          <t>Urgent alert: risk of sudden floods and landslides on Quang Ninh slopes on 30 October 2026.
(English headline translated by Claude · Original: Alerte urgente : Risque d'inondations soudaines et de glissements de terrain sur les pentes de la province de Quang Ninh le 30 octobre 2026.)</t>
        </is>
      </c>
      <c r="D152" s="194" t="inlineStr">
        <is>
          <t>Open article</t>
        </is>
      </c>
      <c r="E152" s="205" t="inlineStr">
        <is>
          <t>Watch only</t>
        </is>
      </c>
      <c r="F152" s="196">
        <f>IFERROR(INDEX(Stories!$F$4:$F$357,MATCH($A152,Stories!$A$4:$A$357,0))&amp;"","")</f>
        <v/>
      </c>
      <c r="G152" s="197" t="inlineStr">
        <is>
          <t>Vietnam.vn</t>
        </is>
      </c>
      <c r="H152" s="198" t="n">
        <v>46325</v>
      </c>
      <c r="I152" s="197" t="inlineStr">
        <is>
          <t>How are flash-flood and landslide warnings issued for steep slopes in Quang Ninh, and what slope conditions raise the risk?
Check with: Quang Ninh provincial hydro-meteorological authority</t>
        </is>
      </c>
    </row>
    <row r="153" outlineLevel="1" ht="66.5" customHeight="1">
      <c r="A153" s="191" t="n">
        <v>62</v>
      </c>
      <c r="B153" s="192" t="n">
        <v>3</v>
      </c>
      <c r="C153" s="193" t="inlineStr">
        <is>
          <t>Residents feel relieved as a landslide-prone cliff in Cibalung village gets a retaining wall.
(English headline translated by Claude · Original: Warga Merasa Lega, Tebing Rawan Longsor di Wilayah Desa Cibalung Dibangun Tembok Penahan Tanah)</t>
        </is>
      </c>
      <c r="D153" s="194" t="inlineStr">
        <is>
          <t>Open article</t>
        </is>
      </c>
      <c r="E153" s="199" t="inlineStr">
        <is>
          <t>News brief</t>
        </is>
      </c>
      <c r="F153" s="196">
        <f>IFERROR(INDEX(Stories!$F$4:$F$357,MATCH($A153,Stories!$A$4:$A$357,0))&amp;"","")</f>
        <v/>
      </c>
      <c r="G153" s="197" t="inlineStr">
        <is>
          <t>CYBER88</t>
        </is>
      </c>
      <c r="H153" s="198" t="n">
        <v>46325</v>
      </c>
      <c r="I153" s="197" t="inlineStr">
        <is>
          <t>How effective are retaining walls as remedial measures on landslide-prone cliffs in village settings, and what monitoring should follow?
Check with: local regency public works office</t>
        </is>
      </c>
    </row>
    <row r="154" outlineLevel="1" ht="66.5" customHeight="1">
      <c r="A154" s="191" t="n">
        <v>63</v>
      </c>
      <c r="B154" s="192" t="n">
        <v>3</v>
      </c>
      <c r="C154" s="193" t="inlineStr">
        <is>
          <t>40-metre cliff landslide closes a district road in Garut; vehicles cannot pass.
(English headline translated by Claude · Original: Longsor Tebing 40 Meter Tutup Akses Jalan Kabupaten di Garut, Kendaraan Tidak Bisa Melintas)</t>
        </is>
      </c>
      <c r="D154" s="194" t="inlineStr">
        <is>
          <t>Open article</t>
        </is>
      </c>
      <c r="E154" s="199" t="inlineStr">
        <is>
          <t>News brief</t>
        </is>
      </c>
      <c r="F154" s="196">
        <f>IFERROR(INDEX(Stories!$F$4:$F$357,MATCH($A154,Stories!$A$4:$A$357,0))&amp;"","")</f>
        <v/>
      </c>
      <c r="G154" s="197" t="inlineStr">
        <is>
          <t>Harapan Rakyat</t>
        </is>
      </c>
      <c r="H154" s="198" t="n">
        <v>46325</v>
      </c>
      <c r="I154" s="197" t="inlineStr">
        <is>
          <t>What failure mechanism produced a 40-metre cliff landslide blocking a regency road, and how should emergency slope clearance proceed?
Check with: Garut regency public works office</t>
        </is>
      </c>
    </row>
    <row r="155" outlineLevel="1" ht="66.5" customHeight="1">
      <c r="A155" s="191" t="n">
        <v>64</v>
      </c>
      <c r="B155" s="192" t="n">
        <v>3</v>
      </c>
      <c r="C155" s="193" t="inlineStr">
        <is>
          <t>Relocating residents from landslide-prone areas and building foundations for sustainable settlement in Tra Leng.
(English headline translated by Claude · Original: Merelokasi warga dari daerah rawan longsor dan menciptakan fondasi untuk pemukiman berkelanjutan di Tra Leng.)</t>
        </is>
      </c>
      <c r="D155" s="194" t="inlineStr">
        <is>
          <t>Open article</t>
        </is>
      </c>
      <c r="E155" s="210" t="inlineStr">
        <is>
          <t>Regional insight</t>
        </is>
      </c>
      <c r="F155" s="196">
        <f>IFERROR(INDEX(Stories!$F$4:$F$357,MATCH($A155,Stories!$A$4:$A$357,0))&amp;"","")</f>
        <v/>
      </c>
      <c r="G155" s="197" t="inlineStr">
        <is>
          <t>Vietnam.vn</t>
        </is>
      </c>
      <c r="H155" s="198" t="n">
        <v>46325</v>
      </c>
      <c r="I155" s="197" t="inlineStr">
        <is>
          <t>What site-selection and foundation criteria should govern resettlement from landslide-prone hillsides to build safer settlements?
Check with: Quang Ninh provincial people's committee</t>
        </is>
      </c>
    </row>
    <row r="156" outlineLevel="1" ht="66.5" customHeight="1">
      <c r="A156" s="191" t="n">
        <v>65</v>
      </c>
      <c r="B156" s="192" t="n">
        <v>3</v>
      </c>
      <c r="C156" s="193" t="inlineStr">
        <is>
          <t>Summerland landslides raise concerns after wildfire leaves slopes vulnerable</t>
        </is>
      </c>
      <c r="D156" s="194" t="inlineStr">
        <is>
          <t>Open article</t>
        </is>
      </c>
      <c r="E156" s="200" t="inlineStr">
        <is>
          <t>Academia-to-Industry topic</t>
        </is>
      </c>
      <c r="F156" s="196">
        <f>IFERROR(INDEX(Stories!$F$4:$F$357,MATCH($A156,Stories!$A$4:$A$357,0))&amp;"","")</f>
        <v/>
      </c>
      <c r="G156" s="197" t="inlineStr">
        <is>
          <t>Global News</t>
        </is>
      </c>
      <c r="H156" s="198" t="n">
        <v>46325</v>
      </c>
      <c r="I156" s="197" t="inlineStr">
        <is>
          <t>How does wildfire burn severity change slope hydrology and soil strength, and what post-fire landslide hazard assessment should apply to developed hillsides?
Check with: District of Summerland emergency management</t>
        </is>
      </c>
    </row>
    <row r="157" outlineLevel="1" ht="66.5" customHeight="1">
      <c r="A157" s="191" t="n">
        <v>104</v>
      </c>
      <c r="B157" s="192" t="n">
        <v>3</v>
      </c>
      <c r="C157" s="193" t="inlineStr">
        <is>
          <t>Wire mesh wraps cut slope that has collapsed 8 times on Prenn pass
(English headline translated by Claude · Original: Bọc lưới thép đoạn taluy 8 lần bị sạt lở trên đèo Prenn)</t>
        </is>
      </c>
      <c r="D157" s="194" t="inlineStr">
        <is>
          <t>Open article</t>
        </is>
      </c>
      <c r="E157" s="199" t="inlineStr">
        <is>
          <t>News brief</t>
        </is>
      </c>
      <c r="F157" s="196">
        <f>IFERROR(INDEX(Stories!$F$4:$F$357,MATCH($A157,Stories!$A$4:$A$357,0))&amp;"","")</f>
        <v/>
      </c>
      <c r="G157" s="197" t="inlineStr">
        <is>
          <t>VnExpress</t>
        </is>
      </c>
      <c r="H157" s="198" t="n">
        <v>46324</v>
      </c>
      <c r="I157" s="197" t="inlineStr">
        <is>
          <t>Why does a cut slope on a mountain pass keep failing after repeated collapses, and is wire mesh enough or is a deeper stabilisation needed?
Check with: Lâm Đồng provincial transport or road authority</t>
        </is>
      </c>
    </row>
    <row r="158" outlineLevel="1" ht="66.5" customHeight="1">
      <c r="A158" s="191" t="n">
        <v>105</v>
      </c>
      <c r="B158" s="192" t="n">
        <v>3</v>
      </c>
      <c r="C158" s="193" t="inlineStr">
        <is>
          <t>'Delight' as repair work to begin inside tunnel after landslip</t>
        </is>
      </c>
      <c r="D158" s="194" t="inlineStr">
        <is>
          <t>Open article</t>
        </is>
      </c>
      <c r="E158" s="199" t="inlineStr">
        <is>
          <t>News brief</t>
        </is>
      </c>
      <c r="F158" s="196">
        <f>IFERROR(INDEX(Stories!$F$4:$F$357,MATCH($A158,Stories!$A$4:$A$357,0))&amp;"","")</f>
        <v/>
      </c>
      <c r="G158" s="197" t="inlineStr">
        <is>
          <t>Bridport News</t>
        </is>
      </c>
      <c r="H158" s="198" t="n">
        <v>46324</v>
      </c>
      <c r="I158" s="197" t="inlineStr">
        <is>
          <t>What caused the landslip inside the tunnel, and what ground investigation and monitoring are needed before repair works proceed?
Check with: Network Rail or Dorset Council, to be confirmed</t>
        </is>
      </c>
    </row>
    <row r="159" outlineLevel="1" ht="66.5" customHeight="1">
      <c r="A159" s="191" t="n">
        <v>137</v>
      </c>
      <c r="B159" s="192" t="n">
        <v>3</v>
      </c>
      <c r="C159" s="193" t="inlineStr">
        <is>
          <t>Raganatar cliff in Sikka collapses; residents evacuate to avoid follow-up landslides
(English headline translated by Claude · Original: Tebing Raganatar di Sikka Longsor, Warga Mengungsi Hindari Longsor Susulan)</t>
        </is>
      </c>
      <c r="D159" s="194" t="inlineStr">
        <is>
          <t>Open article</t>
        </is>
      </c>
      <c r="E159" s="199" t="inlineStr">
        <is>
          <t>News brief</t>
        </is>
      </c>
      <c r="F159" s="196">
        <f>IFERROR(INDEX(Stories!$F$4:$F$357,MATCH($A159,Stories!$A$4:$A$357,0))&amp;"","")</f>
        <v/>
      </c>
      <c r="G159" s="197" t="inlineStr">
        <is>
          <t>Kompas.com</t>
        </is>
      </c>
      <c r="H159" s="198" t="n">
        <v>46323</v>
      </c>
      <c r="I159" s="197" t="inlineStr">
        <is>
          <t>Why a collapsed cliff continues to threaten residents with follow-up slides and what slope assessment should set evacuation limits.
Check with: Sikka regional disaster management agency</t>
        </is>
      </c>
    </row>
    <row r="160" outlineLevel="1" ht="66.5" customHeight="1">
      <c r="A160" s="191" t="n">
        <v>138</v>
      </c>
      <c r="B160" s="192" t="n">
        <v>3</v>
      </c>
      <c r="C160" s="193" t="inlineStr">
        <is>
          <t>Urgent repair of slope at risk of collapse on Prenn Pass, Da Lat
(English headline translated by Claude · Original: Gấp rút khắc phục bờ taluy nguy cơ sạt lở trên đèo Prenn - Đà Lạt)</t>
        </is>
      </c>
      <c r="D160" s="194" t="inlineStr">
        <is>
          <t>Open article</t>
        </is>
      </c>
      <c r="E160" s="199" t="inlineStr">
        <is>
          <t>News brief</t>
        </is>
      </c>
      <c r="F160" s="196">
        <f>IFERROR(INDEX(Stories!$F$4:$F$357,MATCH($A160,Stories!$A$4:$A$357,0))&amp;"","")</f>
        <v/>
      </c>
      <c r="G160" s="197" t="inlineStr">
        <is>
          <t>Trung tâm Nội dung số và Truyền thông</t>
        </is>
      </c>
      <c r="H160" s="198" t="n">
        <v>46323</v>
      </c>
      <c r="I160" s="197" t="inlineStr">
        <is>
          <t>How urgent slope repair on a mountain pass should be designed to prevent further failure of a cut slope above a road.
Check with: Lam Dong provincial transport department</t>
        </is>
      </c>
    </row>
    <row r="161" outlineLevel="1" ht="66.5" customHeight="1">
      <c r="A161" s="191" t="n">
        <v>139</v>
      </c>
      <c r="B161" s="192" t="n">
        <v>3</v>
      </c>
      <c r="C161" s="193" t="inlineStr">
        <is>
          <t>A new rockfall at the Gornal tunnel again limits the service of the Llobregat-Anoia line of FGC</t>
        </is>
      </c>
      <c r="D161" s="194" t="inlineStr">
        <is>
          <t>Open article</t>
        </is>
      </c>
      <c r="E161" s="199" t="inlineStr">
        <is>
          <t>News brief</t>
        </is>
      </c>
      <c r="F161" s="196">
        <f>IFERROR(INDEX(Stories!$F$4:$F$357,MATCH($A161,Stories!$A$4:$A$357,0))&amp;"","")</f>
        <v/>
      </c>
      <c r="G161" s="197" t="inlineStr">
        <is>
          <t>Diari ARA</t>
        </is>
      </c>
      <c r="H161" s="198" t="n">
        <v>46323</v>
      </c>
      <c r="I161" s="197" t="inlineStr">
        <is>
          <t>Why repeated rockfall at the same tunnel portal calls for a review of rock mass characterisation and rockfall protection.
Check with: FGC (Ferrocarrils de la Generalitat de Catalunya)</t>
        </is>
      </c>
    </row>
    <row r="162" outlineLevel="1" ht="54" customHeight="1">
      <c r="A162" s="191" t="n">
        <v>140</v>
      </c>
      <c r="B162" s="192" t="n">
        <v>3</v>
      </c>
      <c r="C162" s="193" t="inlineStr">
        <is>
          <t>Paya Terubong landslide: Evacuated Penang residents can return once slopes are safe</t>
        </is>
      </c>
      <c r="D162" s="194" t="inlineStr">
        <is>
          <t>Open article</t>
        </is>
      </c>
      <c r="E162" s="199" t="inlineStr">
        <is>
          <t>News brief</t>
        </is>
      </c>
      <c r="F162" s="196">
        <f>IFERROR(INDEX(Stories!$F$4:$F$357,MATCH($A162,Stories!$A$4:$A$357,0))&amp;"","")</f>
        <v/>
      </c>
      <c r="G162" s="197" t="inlineStr">
        <is>
          <t>NST Online</t>
        </is>
      </c>
      <c r="H162" s="198" t="n">
        <v>46323</v>
      </c>
      <c r="I162" s="197" t="inlineStr">
        <is>
          <t>What criteria should establish that slopes after a landslide are stable enough for evacuated residents to return.
Check with: Penang state government</t>
        </is>
      </c>
    </row>
    <row r="163" outlineLevel="1" ht="54" customHeight="1">
      <c r="A163" s="191" t="n">
        <v>141</v>
      </c>
      <c r="B163" s="192" t="n">
        <v>3</v>
      </c>
      <c r="C163" s="193" t="inlineStr">
        <is>
          <t>Eden Project unveils Silver Staircase to stabilise landslide-hit slope</t>
        </is>
      </c>
      <c r="D163" s="194" t="inlineStr">
        <is>
          <t>Open article</t>
        </is>
      </c>
      <c r="E163" s="195" t="inlineStr">
        <is>
          <t>Feature lead</t>
        </is>
      </c>
      <c r="F163" s="196">
        <f>IFERROR(INDEX(Stories!$F$4:$F$357,MATCH($A163,Stories!$A$4:$A$357,0))&amp;"","")</f>
        <v/>
      </c>
      <c r="G163" s="197" t="inlineStr">
        <is>
          <t>Falmouth Packet</t>
        </is>
      </c>
      <c r="H163" s="198" t="n">
        <v>46323</v>
      </c>
      <c r="I163" s="197" t="inlineStr">
        <is>
          <t>How a stepped structure can be used to stabilise a landslide-affected slope while preserving public access and drainage.
Check with: Eden Project</t>
        </is>
      </c>
    </row>
    <row r="164" outlineLevel="1" ht="66.5" customHeight="1">
      <c r="A164" s="191" t="n">
        <v>68</v>
      </c>
      <c r="B164" s="192" t="n">
        <v>3</v>
      </c>
      <c r="C164" s="193" t="inlineStr">
        <is>
          <t>Video: rockfall at the 'Fairy Chimneys' kills three people in Turkey.
(English headline translated by Claude · Original: فيديو.. انهيار صخري عند "مداخن الجنيات" يودي بحياة 3 أشخاص في تركيا | التلفزيون العربي)</t>
        </is>
      </c>
      <c r="D164" s="194" t="inlineStr">
        <is>
          <t>Open article</t>
        </is>
      </c>
      <c r="E164" s="199" t="inlineStr">
        <is>
          <t>News brief</t>
        </is>
      </c>
      <c r="F164" s="196">
        <f>IFERROR(INDEX(Stories!$F$4:$F$357,MATCH($A164,Stories!$A$4:$A$357,0))&amp;"","")</f>
        <v/>
      </c>
      <c r="G164" s="197" t="inlineStr">
        <is>
          <t>التلفزيون العربي</t>
        </is>
      </c>
      <c r="H164" s="198" t="n">
        <v>46325</v>
      </c>
      <c r="I164" s="197" t="inlineStr">
        <is>
          <t>What rock-mass weathering and erosion processes cause spire collapse at Cappadocia's fairy chimneys, and how should visitor areas be assessed?
Check with: AFAD disaster agency</t>
        </is>
      </c>
    </row>
    <row r="165" outlineLevel="1" ht="66.5" customHeight="1">
      <c r="A165" s="191" t="n">
        <v>69</v>
      </c>
      <c r="B165" s="192" t="n">
        <v>3</v>
      </c>
      <c r="C165" s="193" t="inlineStr">
        <is>
          <t>Rockfall near a UNESCO-listed site in Turkey's Cappadocia kills at least two people.
(English headline translated by Claude · Original: انهيار صخري قرب موقع مدرج على قائمة اليونسكو في كابادوكيا التركية يودي بحياة شخصين على الأقل)</t>
        </is>
      </c>
      <c r="D165" s="194" t="inlineStr">
        <is>
          <t>Open article</t>
        </is>
      </c>
      <c r="E165" s="205" t="inlineStr">
        <is>
          <t>Watch only</t>
        </is>
      </c>
      <c r="F165" s="196">
        <f>IFERROR(INDEX(Stories!$F$4:$F$357,MATCH($A165,Stories!$A$4:$A$357,0))&amp;"","")</f>
        <v/>
      </c>
      <c r="G165" s="197" t="inlineStr">
        <is>
          <t>Al-Monitor</t>
        </is>
      </c>
      <c r="H165" s="198" t="n">
        <v>46325</v>
      </c>
      <c r="I165" s="197" t="inlineStr">
        <is>
          <t>What rock-mass weathering and erosion processes cause spire collapse at Cappadocia's fairy chimneys, and how should visitor areas be assessed?
Check with: AFAD disaster agency</t>
        </is>
      </c>
    </row>
    <row r="166" outlineLevel="1" ht="66.5" customHeight="1">
      <c r="A166" s="191" t="n">
        <v>70</v>
      </c>
      <c r="B166" s="192" t="n">
        <v>3</v>
      </c>
      <c r="C166" s="193" t="inlineStr">
        <is>
          <t>Petare home evacuated over collapse risk after a landslide.
(English headline translated by Claude · Original: Desalojan vivienda en Petare por riesgo de colapso tras deslizamiento)</t>
        </is>
      </c>
      <c r="D166" s="194" t="inlineStr">
        <is>
          <t>Open article</t>
        </is>
      </c>
      <c r="E166" s="199" t="inlineStr">
        <is>
          <t>News brief</t>
        </is>
      </c>
      <c r="F166" s="196">
        <f>IFERROR(INDEX(Stories!$F$4:$F$357,MATCH($A166,Stories!$A$4:$A$357,0))&amp;"","")</f>
        <v/>
      </c>
      <c r="G166" s="197" t="inlineStr">
        <is>
          <t>La Prensa de Monagas</t>
        </is>
      </c>
      <c r="H166" s="198" t="n">
        <v>46325</v>
      </c>
      <c r="I166" s="197" t="inlineStr">
        <is>
          <t>What slope movement after a landslide makes adjacent housing unsafe, and what ground investigation should decide re-occupation?
Check with: Protección Civil Miranda</t>
        </is>
      </c>
    </row>
    <row r="167" outlineLevel="1" ht="66.5" customHeight="1">
      <c r="A167" s="191" t="n">
        <v>144</v>
      </c>
      <c r="B167" s="192" t="n">
        <v>3</v>
      </c>
      <c r="C167" s="193" t="inlineStr">
        <is>
          <t>Quang Ngai: urgent construction of dykes to prevent erosion along Dak Snghe River
(English headline translated by Claude · Original: Quang Ngai : Construction urgente de digues pour prévenir l'érosion le long de la rivière Dak Snghe.)</t>
        </is>
      </c>
      <c r="D167" s="194" t="inlineStr">
        <is>
          <t>Open article</t>
        </is>
      </c>
      <c r="E167" s="199" t="inlineStr">
        <is>
          <t>News brief</t>
        </is>
      </c>
      <c r="F167" s="196">
        <f>IFERROR(INDEX(Stories!$F$4:$F$357,MATCH($A167,Stories!$A$4:$A$357,0))&amp;"","")</f>
        <v/>
      </c>
      <c r="G167" s="197" t="inlineStr">
        <is>
          <t>Vietnam.vn</t>
        </is>
      </c>
      <c r="H167" s="198" t="n">
        <v>46323</v>
      </c>
      <c r="I167" s="197" t="inlineStr">
        <is>
          <t>How river bank erosion should be assessed to design dykes that protect settlements and farmland along a mountain river.
Check with: Quang Ngai provincial people's committee</t>
        </is>
      </c>
    </row>
    <row r="168" outlineLevel="1" ht="54" customHeight="1">
      <c r="A168" s="191" t="n">
        <v>145</v>
      </c>
      <c r="B168" s="192" t="n">
        <v>3</v>
      </c>
      <c r="C168" s="193" t="inlineStr">
        <is>
          <t>Moment retaining wall collapses in San Pedro Sula (video)
(English headline translated by Claude · Original: Momento del derrumbe del muro de contención en San Pedro Sula (Video))</t>
        </is>
      </c>
      <c r="D168" s="194" t="inlineStr">
        <is>
          <t>Open article</t>
        </is>
      </c>
      <c r="E168" s="199" t="inlineStr">
        <is>
          <t>News brief</t>
        </is>
      </c>
      <c r="F168" s="196">
        <f>IFERROR(INDEX(Stories!$F$4:$F$357,MATCH($A168,Stories!$A$4:$A$357,0))&amp;"","")</f>
        <v/>
      </c>
      <c r="G168" s="197" t="inlineStr">
        <is>
          <t>Diario La Tribuna</t>
        </is>
      </c>
      <c r="H168" s="198" t="n">
        <v>46323</v>
      </c>
      <c r="I168" s="197" t="inlineStr">
        <is>
          <t>What caused a retaining wall to fail in an urban setting and what inspection regime would prevent similar collapses.</t>
        </is>
      </c>
    </row>
    <row r="169" outlineLevel="1" ht="66.5" customHeight="1">
      <c r="A169" s="191" t="n">
        <v>146</v>
      </c>
      <c r="B169" s="192" t="n">
        <v>3</v>
      </c>
      <c r="C169" s="193" t="inlineStr">
        <is>
          <t>New disaster prevention base: Ishikawa fire school relocation site selection policy confirmed, liquefaction costs considered
(English headline translated by Claude · Original: 新防災拠点 石川県消防学校等の移転整備 候補地の選定方針を確認 液状化対策費などの経済面も考慮 (テレビ金沢))</t>
        </is>
      </c>
      <c r="D169" s="194" t="inlineStr">
        <is>
          <t>Open article</t>
        </is>
      </c>
      <c r="E169" s="210" t="inlineStr">
        <is>
          <t>Regional insight</t>
        </is>
      </c>
      <c r="F169" s="196">
        <f>IFERROR(INDEX(Stories!$F$4:$F$357,MATCH($A169,Stories!$A$4:$A$357,0))&amp;"","")</f>
        <v/>
      </c>
      <c r="G169" s="197" t="inlineStr">
        <is>
          <t>Yahoo!ニュース</t>
        </is>
      </c>
      <c r="H169" s="198" t="n">
        <v>46323</v>
      </c>
      <c r="I169" s="197" t="inlineStr">
        <is>
          <t>How liquefaction risk and countermeasure costs should weigh in choosing sites for public disaster-response facilities.
Check with: Ishikawa Prefecture</t>
        </is>
      </c>
    </row>
    <row r="170" outlineLevel="1" ht="66.5" customHeight="1">
      <c r="A170" s="191" t="n">
        <v>147</v>
      </c>
      <c r="B170" s="192" t="n">
        <v>3</v>
      </c>
      <c r="C170" s="193" t="inlineStr">
        <is>
          <t>In Alupka, bus route No. 1 changed after retaining wall collapse
(English headline translated by Claude · Original: В Алупке изменили маршрут автобуса № 1 из-за обрушения подпорной стены)</t>
        </is>
      </c>
      <c r="D170" s="194" t="inlineStr">
        <is>
          <t>Open article</t>
        </is>
      </c>
      <c r="E170" s="199" t="inlineStr">
        <is>
          <t>News brief</t>
        </is>
      </c>
      <c r="F170" s="196">
        <f>IFERROR(INDEX(Stories!$F$4:$F$357,MATCH($A170,Stories!$A$4:$A$357,0))&amp;"","")</f>
        <v/>
      </c>
      <c r="G170" s="197" t="inlineStr">
        <is>
          <t>c-inform</t>
        </is>
      </c>
      <c r="H170" s="198" t="n">
        <v>46323</v>
      </c>
      <c r="I170" s="197" t="inlineStr">
        <is>
          <t>What caused a retaining wall to collapse on a coastal slope and how that affects the stability of the road above it.</t>
        </is>
      </c>
    </row>
    <row r="171" outlineLevel="1" ht="54" customHeight="1">
      <c r="A171" s="191" t="n">
        <v>148</v>
      </c>
      <c r="B171" s="192" t="n">
        <v>3</v>
      </c>
      <c r="C171" s="193" t="inlineStr">
        <is>
          <t>Oburu cites greed in Eastleigh building collapse, proposes three safety measures</t>
        </is>
      </c>
      <c r="D171" s="194" t="inlineStr">
        <is>
          <t>Open article</t>
        </is>
      </c>
      <c r="E171" s="199" t="inlineStr">
        <is>
          <t>News brief</t>
        </is>
      </c>
      <c r="F171" s="196">
        <f>IFERROR(INDEX(Stories!$F$4:$F$357,MATCH($A171,Stories!$A$4:$A$357,0))&amp;"","")</f>
        <v/>
      </c>
      <c r="G171" s="197" t="inlineStr">
        <is>
          <t>The Eastleigh Voice</t>
        </is>
      </c>
      <c r="H171" s="198" t="n">
        <v>46323</v>
      </c>
      <c r="I171" s="197" t="inlineStr">
        <is>
          <t>Whether excavation and foundation practice contributed to a building collapse and which safety measures would address ground-related causes.
Check with: Nairobi City County government</t>
        </is>
      </c>
    </row>
    <row r="172" outlineLevel="1" ht="10" customHeight="1"/>
    <row r="173" ht="26" customHeight="1">
      <c r="A173" s="211" t="inlineStr">
        <is>
          <t>Ground Improvement &amp; Innovation   ·   7 stories   ·   2 rated 5 / 5   ·   2 feature leads</t>
        </is>
      </c>
      <c r="B173" s="212" t="n"/>
      <c r="C173" s="212" t="n"/>
      <c r="D173" s="212" t="n"/>
      <c r="E173" s="212" t="n"/>
      <c r="F173" s="212" t="n"/>
      <c r="G173" s="212" t="n"/>
      <c r="H173" s="212" t="n"/>
      <c r="I173" s="212" t="n"/>
    </row>
    <row r="174" outlineLevel="1">
      <c r="A174" s="213" t="inlineStr">
        <is>
          <t>No.</t>
        </is>
      </c>
      <c r="B174" s="213" t="inlineStr">
        <is>
          <t>Relevance</t>
        </is>
      </c>
      <c r="C174" s="214" t="inlineStr">
        <is>
          <t>Headline</t>
        </is>
      </c>
      <c r="D174" s="213" t="inlineStr">
        <is>
          <t>Link</t>
        </is>
      </c>
      <c r="E174" s="214" t="inlineStr">
        <is>
          <t>Suggested use</t>
        </is>
      </c>
      <c r="F174" s="213" t="inlineStr">
        <is>
          <t>Status</t>
        </is>
      </c>
      <c r="G174" s="214" t="inlineStr">
        <is>
          <t>Source</t>
        </is>
      </c>
      <c r="H174" s="213" t="inlineStr">
        <is>
          <t>Digest</t>
        </is>
      </c>
      <c r="I174" s="214" t="inlineStr">
        <is>
          <t>Magazine angle · check with</t>
        </is>
      </c>
    </row>
    <row r="175" outlineLevel="1" ht="41.5" customHeight="1">
      <c r="A175" s="191" t="n">
        <v>295</v>
      </c>
      <c r="B175" s="192" t="n">
        <v>5</v>
      </c>
      <c r="C175" s="193" t="inlineStr">
        <is>
          <t>Behavior of Square-Round Shaft Combination Helical Piles and Anchors</t>
        </is>
      </c>
      <c r="D175" s="194" t="inlineStr">
        <is>
          <t>Open article</t>
        </is>
      </c>
      <c r="E175" s="200" t="inlineStr">
        <is>
          <t>Academia-to-Industry topic</t>
        </is>
      </c>
      <c r="F175" s="196">
        <f>IFERROR(INDEX(Stories!$F$4:$F$357,MATCH($A175,Stories!$A$4:$A$357,0))&amp;"","")</f>
        <v/>
      </c>
      <c r="G175" s="197" t="inlineStr">
        <is>
          <t>Geoengineer.org</t>
        </is>
      </c>
      <c r="H175" s="198" t="n">
        <v>46319</v>
      </c>
      <c r="I175" s="197" t="inlineStr">
        <is>
          <t>How do square-round shaft combination helical piles and anchors behave under load, and how can their capacity be predicted reliably?</t>
        </is>
      </c>
    </row>
    <row r="176" outlineLevel="1" ht="79" customHeight="1">
      <c r="A176" s="191" t="n">
        <v>298</v>
      </c>
      <c r="B176" s="192" t="n">
        <v>5</v>
      </c>
      <c r="C176" s="193"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176" s="194" t="inlineStr">
        <is>
          <t>Open article</t>
        </is>
      </c>
      <c r="E176" s="195" t="inlineStr">
        <is>
          <t>Feature lead</t>
        </is>
      </c>
      <c r="F176" s="196">
        <f>IFERROR(INDEX(Stories!$F$4:$F$357,MATCH($A176,Stories!$A$4:$A$357,0))&amp;"","")</f>
        <v/>
      </c>
      <c r="G176" s="197" t="inlineStr">
        <is>
          <t>Sciencepost</t>
        </is>
      </c>
      <c r="H176" s="198" t="n">
        <v>46319</v>
      </c>
      <c r="I176" s="197" t="inlineStr">
        <is>
          <t>Why did drilling holes beneath Pisa's foundations to correct its tilt backfire, and what does this teach about controlled soil removal and differential settlement in stabilisation works?</t>
        </is>
      </c>
    </row>
    <row r="177" outlineLevel="1" ht="66.5" customHeight="1">
      <c r="A177" s="191" t="n">
        <v>173</v>
      </c>
      <c r="B177" s="192" t="n">
        <v>4</v>
      </c>
      <c r="C177" s="193" t="inlineStr">
        <is>
          <t>Liquefaction Reappeared at 96% of Sites Hit By Strong Tremors; Damage Nonexistent or Minimal at Reinforced Locations</t>
        </is>
      </c>
      <c r="D177" s="194" t="inlineStr">
        <is>
          <t>Open article</t>
        </is>
      </c>
      <c r="E177" s="195" t="inlineStr">
        <is>
          <t>Feature lead</t>
        </is>
      </c>
      <c r="F177" s="196">
        <f>IFERROR(INDEX(Stories!$F$4:$F$357,MATCH($A177,Stories!$A$4:$A$357,0))&amp;"","")</f>
        <v/>
      </c>
      <c r="G177" s="197" t="inlineStr">
        <is>
          <t>The Japan News</t>
        </is>
      </c>
      <c r="H177" s="198" t="n">
        <v>46322</v>
      </c>
      <c r="I177" s="197" t="inlineStr">
        <is>
          <t>Why did reinforced ground perform far better than untreated sites in repeated shaking, and which improvement methods should be standard practice?
Check with: Kumamoto Prefecture and the study's researchers</t>
        </is>
      </c>
    </row>
    <row r="178" outlineLevel="1" ht="41.5" customHeight="1">
      <c r="A178" s="191" t="n">
        <v>127</v>
      </c>
      <c r="B178" s="192" t="n">
        <v>4</v>
      </c>
      <c r="C178" s="193" t="inlineStr">
        <is>
          <t>Evaluating geogrid creep – traditional and accelerated testing</t>
        </is>
      </c>
      <c r="D178" s="194" t="inlineStr">
        <is>
          <t>Open article</t>
        </is>
      </c>
      <c r="E178" s="200" t="inlineStr">
        <is>
          <t>Academia-to-Industry topic</t>
        </is>
      </c>
      <c r="F178" s="196">
        <f>IFERROR(INDEX(Stories!$F$4:$F$357,MATCH($A178,Stories!$A$4:$A$357,0))&amp;"","")</f>
        <v/>
      </c>
      <c r="G178" s="197" t="inlineStr">
        <is>
          <t>Geosynthetics Magazine</t>
        </is>
      </c>
      <c r="H178" s="198" t="n">
        <v>46323</v>
      </c>
      <c r="I178" s="197" t="inlineStr">
        <is>
          <t>How accelerated creep testing compares with traditional long-term tests, and whether it can support reliable geogrid design life.</t>
        </is>
      </c>
    </row>
    <row r="179" outlineLevel="1" ht="54" customHeight="1">
      <c r="A179" s="191" t="n">
        <v>128</v>
      </c>
      <c r="B179" s="192" t="n">
        <v>4</v>
      </c>
      <c r="C179" s="193" t="inlineStr">
        <is>
          <t>Shaking Table Tests Reveal How Prestressed Basalt Fiber Geogrids Stabilize Railway Transitions</t>
        </is>
      </c>
      <c r="D179" s="194" t="inlineStr">
        <is>
          <t>Open article</t>
        </is>
      </c>
      <c r="E179" s="200" t="inlineStr">
        <is>
          <t>Academia-to-Industry topic</t>
        </is>
      </c>
      <c r="F179" s="196">
        <f>IFERROR(INDEX(Stories!$F$4:$F$357,MATCH($A179,Stories!$A$4:$A$357,0))&amp;"","")</f>
        <v/>
      </c>
      <c r="G179" s="197" t="inlineStr">
        <is>
          <t>Bioengineer.org</t>
        </is>
      </c>
      <c r="H179" s="198" t="n">
        <v>46323</v>
      </c>
      <c r="I179" s="197" t="inlineStr">
        <is>
          <t>How prestressed reinforcement at railway transitions reduces differential settlement under dynamic loading, and how shaking table results translate to design.</t>
        </is>
      </c>
    </row>
    <row r="180" outlineLevel="1" ht="66.5" customHeight="1">
      <c r="A180" s="191" t="n">
        <v>103</v>
      </c>
      <c r="B180" s="192" t="n">
        <v>3</v>
      </c>
      <c r="C180" s="193" t="inlineStr">
        <is>
          <t>Corn Cob Ash and Ferric Chloride Stabilize Expansive Soil, RSM Study Finds</t>
        </is>
      </c>
      <c r="D180" s="194" t="inlineStr">
        <is>
          <t>Open article</t>
        </is>
      </c>
      <c r="E180" s="200" t="inlineStr">
        <is>
          <t>Academia-to-Industry topic</t>
        </is>
      </c>
      <c r="F180" s="196">
        <f>IFERROR(INDEX(Stories!$F$4:$F$357,MATCH($A180,Stories!$A$4:$A$357,0))&amp;"","")</f>
        <v/>
      </c>
      <c r="G180" s="197" t="inlineStr">
        <is>
          <t>Bioengineer.org</t>
        </is>
      </c>
      <c r="H180" s="198" t="n">
        <v>46324</v>
      </c>
      <c r="I180" s="197" t="inlineStr">
        <is>
          <t>Can industrial by-product binders like corn cob ash with ferric chloride give practical stabilisation of expansive clay, and how should swell be tested?
Check with: the study's authors and publishing journal</t>
        </is>
      </c>
    </row>
    <row r="181" outlineLevel="1" ht="54" customHeight="1">
      <c r="A181" s="191" t="n">
        <v>71</v>
      </c>
      <c r="B181" s="192" t="n">
        <v>3</v>
      </c>
      <c r="C181" s="193" t="inlineStr">
        <is>
          <t>Highly efficient piling with Liebherr</t>
        </is>
      </c>
      <c r="D181" s="194" t="inlineStr">
        <is>
          <t>Open article</t>
        </is>
      </c>
      <c r="E181" s="205" t="inlineStr">
        <is>
          <t>Watch only</t>
        </is>
      </c>
      <c r="F181" s="196">
        <f>IFERROR(INDEX(Stories!$F$4:$F$357,MATCH($A181,Stories!$A$4:$A$357,0))&amp;"","")</f>
        <v/>
      </c>
      <c r="G181" s="197" t="inlineStr">
        <is>
          <t>World Highways</t>
        </is>
      </c>
      <c r="H181" s="198" t="n">
        <v>46325</v>
      </c>
      <c r="I181" s="197" t="inlineStr">
        <is>
          <t>How do noise-reduced multi-hammer piling methods affect production rates and the ground-engineering choices on urban foundation projects?
Check with: Liebherr</t>
        </is>
      </c>
    </row>
    <row r="182" outlineLevel="1" ht="10" customHeight="1"/>
    <row r="183" ht="26" customHeight="1">
      <c r="A183" s="215" t="inlineStr">
        <is>
          <t>Infrastructure &amp; the Underground City   ·   134 stories   ·   3 rated 5 / 5   ·   36 feature leads</t>
        </is>
      </c>
      <c r="B183" s="216" t="n"/>
      <c r="C183" s="216" t="n"/>
      <c r="D183" s="216" t="n"/>
      <c r="E183" s="216" t="n"/>
      <c r="F183" s="216" t="n"/>
      <c r="G183" s="216" t="n"/>
      <c r="H183" s="216" t="n"/>
      <c r="I183" s="216" t="n"/>
    </row>
    <row r="184" outlineLevel="1">
      <c r="A184" s="217" t="inlineStr">
        <is>
          <t>No.</t>
        </is>
      </c>
      <c r="B184" s="217" t="inlineStr">
        <is>
          <t>Relevance</t>
        </is>
      </c>
      <c r="C184" s="218" t="inlineStr">
        <is>
          <t>Headline</t>
        </is>
      </c>
      <c r="D184" s="217" t="inlineStr">
        <is>
          <t>Link</t>
        </is>
      </c>
      <c r="E184" s="218" t="inlineStr">
        <is>
          <t>Suggested use</t>
        </is>
      </c>
      <c r="F184" s="217" t="inlineStr">
        <is>
          <t>Status</t>
        </is>
      </c>
      <c r="G184" s="218" t="inlineStr">
        <is>
          <t>Source</t>
        </is>
      </c>
      <c r="H184" s="217" t="inlineStr">
        <is>
          <t>Digest</t>
        </is>
      </c>
      <c r="I184" s="218" t="inlineStr">
        <is>
          <t>Magazine angle · check with</t>
        </is>
      </c>
    </row>
    <row r="185" outlineLevel="1" ht="54" customHeight="1">
      <c r="A185" s="191" t="n">
        <v>297</v>
      </c>
      <c r="B185" s="192" t="n">
        <v>5</v>
      </c>
      <c r="C185" s="193" t="inlineStr">
        <is>
          <t>Sinkhole at excavation site: ground sank even after underground safety assessment
(English headline translated by Claude · Original: 장종태, "굴착 현장 싱크홀...지하안전평가 받고도 땅 꺼졌다")</t>
        </is>
      </c>
      <c r="D185" s="194" t="inlineStr">
        <is>
          <t>Open article</t>
        </is>
      </c>
      <c r="E185" s="195" t="inlineStr">
        <is>
          <t>Feature lead</t>
        </is>
      </c>
      <c r="F185" s="196">
        <f>IFERROR(INDEX(Stories!$F$4:$F$357,MATCH($A185,Stories!$A$4:$A$357,0))&amp;"","")</f>
        <v/>
      </c>
      <c r="G185" s="197" t="inlineStr">
        <is>
          <t>충청신문</t>
        </is>
      </c>
      <c r="H185" s="198" t="n">
        <v>46319</v>
      </c>
      <c r="I185" s="197" t="inlineStr">
        <is>
          <t>Why did ground sink at an excavation despite a completed underground safety assessment, and what gaps exist in such assessments?</t>
        </is>
      </c>
    </row>
    <row r="186" outlineLevel="1" ht="54" customHeight="1">
      <c r="A186" s="191" t="n">
        <v>41</v>
      </c>
      <c r="B186" s="192" t="n">
        <v>5</v>
      </c>
      <c r="C186" s="193" t="inlineStr">
        <is>
          <t>Panama Canal tunnel drive completed</t>
        </is>
      </c>
      <c r="D186" s="194" t="inlineStr">
        <is>
          <t>Open article</t>
        </is>
      </c>
      <c r="E186" s="195" t="inlineStr">
        <is>
          <t>Feature lead</t>
        </is>
      </c>
      <c r="F186" s="196">
        <f>IFERROR(INDEX(Stories!$F$4:$F$357,MATCH($A186,Stories!$A$4:$A$357,0))&amp;"","")</f>
        <v/>
      </c>
      <c r="G186" s="197" t="inlineStr">
        <is>
          <t>Tunnels &amp; Tunnelling</t>
        </is>
      </c>
      <c r="H186" s="198" t="n">
        <v>46325</v>
      </c>
      <c r="I186" s="197" t="inlineStr">
        <is>
          <t>How was a bored tunnel built beneath the Panama Canal waterway, and what ground-control and settlement measures made it possible?
Check with: Panama Canal Authority (ACP)</t>
        </is>
      </c>
    </row>
    <row r="187" outlineLevel="1" ht="79" customHeight="1">
      <c r="A187" s="191" t="n">
        <v>211</v>
      </c>
      <c r="B187" s="192" t="n">
        <v>5</v>
      </c>
      <c r="C187" s="193"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187" s="194" t="inlineStr">
        <is>
          <t>Open article</t>
        </is>
      </c>
      <c r="E187" s="195" t="inlineStr">
        <is>
          <t>Feature lead</t>
        </is>
      </c>
      <c r="F187" s="196">
        <f>IFERROR(INDEX(Stories!$F$4:$F$357,MATCH($A187,Stories!$A$4:$A$357,0))&amp;"","")</f>
        <v/>
      </c>
      <c r="G187" s="197" t="inlineStr">
        <is>
          <t>Dainik Bhaskar</t>
        </is>
      </c>
      <c r="H187" s="198" t="n">
        <v>46321</v>
      </c>
      <c r="I187" s="197" t="inlineStr">
        <is>
          <t>What ground stabilisation and rock mass conditions must be verified before a collapsed Himalayan tunnel can safely reopen, and how credible is the proposed schedule?
Check with: NHIDCL (the project owner) and the contractor</t>
        </is>
      </c>
    </row>
    <row r="188" outlineLevel="1" ht="66.5" customHeight="1">
      <c r="A188" s="191" t="n">
        <v>3</v>
      </c>
      <c r="B188" s="192" t="n">
        <v>4</v>
      </c>
      <c r="C188" s="193" t="inlineStr">
        <is>
          <t>TERRATEC TBM completes 5.85km Mumbai sewer tunnel</t>
        </is>
      </c>
      <c r="D188" s="194" t="inlineStr">
        <is>
          <t>Open article</t>
        </is>
      </c>
      <c r="E188" s="199" t="inlineStr">
        <is>
          <t>News brief</t>
        </is>
      </c>
      <c r="F188" s="196">
        <f>IFERROR(INDEX(Stories!$F$4:$F$357,MATCH($A188,Stories!$A$4:$A$357,0))&amp;"","")</f>
        <v/>
      </c>
      <c r="G188" s="197" t="inlineStr">
        <is>
          <t>Tunnelling Journal</t>
        </is>
      </c>
      <c r="H188" s="198" t="n">
        <v>46326</v>
      </c>
      <c r="I188" s="197" t="inlineStr">
        <is>
          <t>How a rock slurry TBM performed in Mumbai's mixed ground, and what its face-support and muck-handling data reveal for urban sewer tunnelling.
Check with: Brihanmumbai Municipal Corporation, project owner, and TERRATEC</t>
        </is>
      </c>
    </row>
    <row r="189" outlineLevel="1" ht="54" customHeight="1">
      <c r="A189" s="191" t="n">
        <v>42</v>
      </c>
      <c r="B189" s="192" t="n">
        <v>4</v>
      </c>
      <c r="C189" s="193" t="inlineStr">
        <is>
          <t>TBM arrives in Albrook, following revitalisation of Line 3 Construction in Panama</t>
        </is>
      </c>
      <c r="D189" s="194" t="inlineStr">
        <is>
          <t>Open article</t>
        </is>
      </c>
      <c r="E189" s="199" t="inlineStr">
        <is>
          <t>News brief</t>
        </is>
      </c>
      <c r="F189" s="196">
        <f>IFERROR(INDEX(Stories!$F$4:$F$357,MATCH($A189,Stories!$A$4:$A$357,0))&amp;"","")</f>
        <v/>
      </c>
      <c r="G189" s="197" t="inlineStr">
        <is>
          <t>Ground Engineering</t>
        </is>
      </c>
      <c r="H189" s="198" t="n">
        <v>46325</v>
      </c>
      <c r="I189" s="197" t="inlineStr">
        <is>
          <t>What ground conditions and face-support strategies govern TBM drives through Panama City's variable alluvial and volcanic deposits on Metro Line 3?
Check with: Metro de Panamá, the project owner</t>
        </is>
      </c>
    </row>
    <row r="190" outlineLevel="1" ht="54" customHeight="1">
      <c r="A190" s="191" t="n">
        <v>43</v>
      </c>
      <c r="B190" s="192" t="n">
        <v>4</v>
      </c>
      <c r="C190" s="193" t="inlineStr">
        <is>
          <t>Three machines now tunnelling on Melbourne’s Suburban Rail Loop</t>
        </is>
      </c>
      <c r="D190" s="194" t="inlineStr">
        <is>
          <t>Open article</t>
        </is>
      </c>
      <c r="E190" s="195" t="inlineStr">
        <is>
          <t>Feature lead</t>
        </is>
      </c>
      <c r="F190" s="196">
        <f>IFERROR(INDEX(Stories!$F$4:$F$357,MATCH($A190,Stories!$A$4:$A$357,0))&amp;"","")</f>
        <v/>
      </c>
      <c r="G190" s="197" t="inlineStr">
        <is>
          <t>Ground Engineering</t>
        </is>
      </c>
      <c r="H190" s="198" t="n">
        <v>46325</v>
      </c>
      <c r="I190" s="197" t="inlineStr">
        <is>
          <t>How are ground investigation, settlement control and tunnel-boring in Melbourne's Silurian mudstone managed on a multi-machine twin-tunnel programme?
Check with: Suburban Rail Loop Authority</t>
        </is>
      </c>
    </row>
    <row r="191" outlineLevel="1" ht="54" customHeight="1">
      <c r="A191" s="191" t="n">
        <v>119</v>
      </c>
      <c r="B191" s="192" t="n">
        <v>4</v>
      </c>
      <c r="C191" s="193" t="inlineStr">
        <is>
          <t>First Yonge North Subway Extension TBM arrives</t>
        </is>
      </c>
      <c r="D191" s="194" t="inlineStr">
        <is>
          <t>Open article</t>
        </is>
      </c>
      <c r="E191" s="199" t="inlineStr">
        <is>
          <t>News brief</t>
        </is>
      </c>
      <c r="F191" s="196">
        <f>IFERROR(INDEX(Stories!$F$4:$F$357,MATCH($A191,Stories!$A$4:$A$357,0))&amp;"","")</f>
        <v/>
      </c>
      <c r="G191" s="197" t="inlineStr">
        <is>
          <t>Tunnels &amp; Tunnelling</t>
        </is>
      </c>
      <c r="H191" s="198" t="n">
        <v>46323</v>
      </c>
      <c r="I191" s="197" t="inlineStr">
        <is>
          <t>How ground conditions at a deep launch shaft affect TBM launch and early advance on a dense urban subway extension.
Check with: Toronto Transit Commission</t>
        </is>
      </c>
    </row>
    <row r="192" outlineLevel="1" ht="66.5" customHeight="1">
      <c r="A192" s="191" t="n">
        <v>44</v>
      </c>
      <c r="B192" s="192" t="n">
        <v>4</v>
      </c>
      <c r="C192" s="193" t="inlineStr">
        <is>
          <t>CREG slurry TBM enters commissioning for Shenzhen road tunnels</t>
        </is>
      </c>
      <c r="D192" s="194" t="inlineStr">
        <is>
          <t>Open article</t>
        </is>
      </c>
      <c r="E192" s="199" t="inlineStr">
        <is>
          <t>News brief</t>
        </is>
      </c>
      <c r="F192" s="196">
        <f>IFERROR(INDEX(Stories!$F$4:$F$357,MATCH($A192,Stories!$A$4:$A$357,0))&amp;"","")</f>
        <v/>
      </c>
      <c r="G192" s="197" t="inlineStr">
        <is>
          <t>Tunnelling Journal</t>
        </is>
      </c>
      <c r="H192" s="198" t="n">
        <v>46325</v>
      </c>
      <c r="I192" s="197" t="inlineStr">
        <is>
          <t>How does a 15.58m slurry TBM's face pressure control perform in Shenzhen's soft marine deposits and mixed ground during commissioning?
Check with: China Railway Engineering Equipment Group (CREG)</t>
        </is>
      </c>
    </row>
    <row r="193" outlineLevel="1" ht="54" customHeight="1">
      <c r="A193" s="191" t="n">
        <v>45</v>
      </c>
      <c r="B193" s="192" t="n">
        <v>4</v>
      </c>
      <c r="C193" s="193" t="inlineStr">
        <is>
          <t>Second 14.42m TERRATEC TBM ready for Mumbai tunnel drive</t>
        </is>
      </c>
      <c r="D193" s="194" t="inlineStr">
        <is>
          <t>Open article</t>
        </is>
      </c>
      <c r="E193" s="199" t="inlineStr">
        <is>
          <t>News brief</t>
        </is>
      </c>
      <c r="F193" s="196">
        <f>IFERROR(INDEX(Stories!$F$4:$F$357,MATCH($A193,Stories!$A$4:$A$357,0))&amp;"","")</f>
        <v/>
      </c>
      <c r="G193" s="197" t="inlineStr">
        <is>
          <t>Tunnelling Journal</t>
        </is>
      </c>
      <c r="H193" s="198" t="n">
        <v>46325</v>
      </c>
      <c r="I193" s="197" t="inlineStr">
        <is>
          <t>What ground conditions and EPB or rock-mode strategies will the 14.42m machines face on the Goregaon–Mulund tunnel drive in Mumbai?
Check with: Brihanmumbai Municipal Corporation (BMC)</t>
        </is>
      </c>
    </row>
    <row r="194" outlineLevel="1" ht="54" customHeight="1">
      <c r="A194" s="191" t="n">
        <v>121</v>
      </c>
      <c r="B194" s="192" t="n">
        <v>4</v>
      </c>
      <c r="C194" s="193" t="inlineStr">
        <is>
          <t>Herrenknecht TBM completes 4.5km Panama Canal tunnel drive</t>
        </is>
      </c>
      <c r="D194" s="194" t="inlineStr">
        <is>
          <t>Open article</t>
        </is>
      </c>
      <c r="E194" s="199" t="inlineStr">
        <is>
          <t>News brief</t>
        </is>
      </c>
      <c r="F194" s="196">
        <f>IFERROR(INDEX(Stories!$F$4:$F$357,MATCH($A194,Stories!$A$4:$A$357,0))&amp;"","")</f>
        <v/>
      </c>
      <c r="G194" s="197" t="inlineStr">
        <is>
          <t>Tunnelling Journal</t>
        </is>
      </c>
      <c r="H194" s="198" t="n">
        <v>46323</v>
      </c>
      <c r="I194" s="197" t="inlineStr">
        <is>
          <t>How a large-diameter TBM drive beneath a waterway manages ground and groundwater pressures over 4.5 km of mixed ground.
Check with: Panama Canal Authority</t>
        </is>
      </c>
    </row>
    <row r="195" outlineLevel="1" ht="66.5" customHeight="1">
      <c r="A195" s="191" t="n">
        <v>164</v>
      </c>
      <c r="B195" s="192" t="n">
        <v>4</v>
      </c>
      <c r="C195" s="193" t="inlineStr">
        <is>
          <t>Breakthrough completes 12.18km Jinyang Highway Tunnel in China</t>
        </is>
      </c>
      <c r="D195" s="194" t="inlineStr">
        <is>
          <t>Open article</t>
        </is>
      </c>
      <c r="E195" s="199" t="inlineStr">
        <is>
          <t>News brief</t>
        </is>
      </c>
      <c r="F195" s="196">
        <f>IFERROR(INDEX(Stories!$F$4:$F$357,MATCH($A195,Stories!$A$4:$A$357,0))&amp;"","")</f>
        <v/>
      </c>
      <c r="G195" s="197" t="inlineStr">
        <is>
          <t>Tunnelling Journal</t>
        </is>
      </c>
      <c r="H195" s="198" t="n">
        <v>46322</v>
      </c>
      <c r="I195" s="197" t="inlineStr">
        <is>
          <t>What ground conditions and support measures allowed a 12 km highway tunnel through difficult mountain terrain to be excavated over five years?
Check with: Project owner of the Xichang–Zhaotong Expressway, and the tunnel's contractor</t>
        </is>
      </c>
    </row>
    <row r="196" outlineLevel="1" ht="66.5" customHeight="1">
      <c r="A196" s="191" t="n">
        <v>47</v>
      </c>
      <c r="B196" s="192" t="n">
        <v>4</v>
      </c>
      <c r="C196" s="193" t="inlineStr">
        <is>
          <t>North East Link TBMs removed from site</t>
        </is>
      </c>
      <c r="D196" s="194" t="inlineStr">
        <is>
          <t>Open article</t>
        </is>
      </c>
      <c r="E196" s="195" t="inlineStr">
        <is>
          <t>Feature lead</t>
        </is>
      </c>
      <c r="F196" s="196">
        <f>IFERROR(INDEX(Stories!$F$4:$F$357,MATCH($A196,Stories!$A$4:$A$357,0))&amp;"","")</f>
        <v/>
      </c>
      <c r="G196" s="197" t="inlineStr">
        <is>
          <t>Tunnels &amp; Tunnelling</t>
        </is>
      </c>
      <c r="H196" s="198" t="n">
        <v>46325</v>
      </c>
      <c r="I196" s="197" t="inlineStr">
        <is>
          <t>What did the 5.3km twin road tunnel drives through Melbourne's ground teach about TBM performance, lining and ground behaviour over the project's life?
Check with: North East Link Project, Victorian Government</t>
        </is>
      </c>
    </row>
    <row r="197" outlineLevel="1" ht="54" customHeight="1">
      <c r="A197" s="191" t="n">
        <v>122</v>
      </c>
      <c r="B197" s="192" t="n">
        <v>4</v>
      </c>
      <c r="C197" s="193" t="inlineStr">
        <is>
          <t>Orascom achieves first TBM breakthrough on Cairo Metro Line 4</t>
        </is>
      </c>
      <c r="D197" s="194" t="inlineStr">
        <is>
          <t>Open article</t>
        </is>
      </c>
      <c r="E197" s="199" t="inlineStr">
        <is>
          <t>News brief</t>
        </is>
      </c>
      <c r="F197" s="196">
        <f>IFERROR(INDEX(Stories!$F$4:$F$357,MATCH($A197,Stories!$A$4:$A$357,0))&amp;"","")</f>
        <v/>
      </c>
      <c r="G197" s="197" t="inlineStr">
        <is>
          <t>Tunnelling Journal</t>
        </is>
      </c>
      <c r="H197" s="198" t="n">
        <v>46323</v>
      </c>
      <c r="I197" s="197" t="inlineStr">
        <is>
          <t>How TBM performance and ground behaviour in Cairo's alluvium and urban settings shape schedule and settlement control on the metro extension.
Check with: National Authority for Tunnels</t>
        </is>
      </c>
    </row>
    <row r="198" outlineLevel="1" ht="54" customHeight="1">
      <c r="A198" s="191" t="n">
        <v>165</v>
      </c>
      <c r="B198" s="192" t="n">
        <v>4</v>
      </c>
      <c r="C198" s="193" t="inlineStr">
        <is>
          <t>Tunnelling set to start on Bucharest Metro North Section</t>
        </is>
      </c>
      <c r="D198" s="194" t="inlineStr">
        <is>
          <t>Open article</t>
        </is>
      </c>
      <c r="E198" s="195" t="inlineStr">
        <is>
          <t>Feature lead</t>
        </is>
      </c>
      <c r="F198" s="196">
        <f>IFERROR(INDEX(Stories!$F$4:$F$357,MATCH($A198,Stories!$A$4:$A$357,0))&amp;"","")</f>
        <v/>
      </c>
      <c r="G198" s="197" t="inlineStr">
        <is>
          <t>Tunnels &amp; Tunnelling</t>
        </is>
      </c>
      <c r="H198" s="198" t="n">
        <v>46322</v>
      </c>
      <c r="I198" s="197" t="inlineStr">
        <is>
          <t>What ground conditions along the North Section of Bucharest's Metro Line 6 will shape TBM performance and settlement control in an urban setting?
Check with: Metrorex, the Bucharest metro operator</t>
        </is>
      </c>
    </row>
    <row r="199" outlineLevel="1" ht="54" customHeight="1">
      <c r="A199" s="191" t="n">
        <v>166</v>
      </c>
      <c r="B199" s="192" t="n">
        <v>4</v>
      </c>
      <c r="C199" s="193" t="inlineStr">
        <is>
          <t>Three TBMs now tunnelling on SRL</t>
        </is>
      </c>
      <c r="D199" s="194" t="inlineStr">
        <is>
          <t>Open article</t>
        </is>
      </c>
      <c r="E199" s="199" t="inlineStr">
        <is>
          <t>News brief</t>
        </is>
      </c>
      <c r="F199" s="196">
        <f>IFERROR(INDEX(Stories!$F$4:$F$357,MATCH($A199,Stories!$A$4:$A$357,0))&amp;"","")</f>
        <v/>
      </c>
      <c r="G199" s="197" t="inlineStr">
        <is>
          <t>Tunnels &amp; Tunnelling</t>
        </is>
      </c>
      <c r="H199" s="198" t="n">
        <v>46322</v>
      </c>
      <c r="I199" s="197" t="inlineStr">
        <is>
          <t>What ground behaviour is being monitored as three TBMs advance together on this rail project, and how is settlement managed in parallel drives?
Check with: Suburban Rail Loop Authority</t>
        </is>
      </c>
    </row>
    <row r="200" outlineLevel="1" ht="66.5" customHeight="1">
      <c r="A200" s="191" t="n">
        <v>4</v>
      </c>
      <c r="B200" s="192" t="n">
        <v>4</v>
      </c>
      <c r="C200" s="193" t="inlineStr">
        <is>
          <t>MWAA seeks interest for Dulles Airport tunnel expansion</t>
        </is>
      </c>
      <c r="D200" s="194" t="inlineStr">
        <is>
          <t>Open article</t>
        </is>
      </c>
      <c r="E200" s="195" t="inlineStr">
        <is>
          <t>Feature lead</t>
        </is>
      </c>
      <c r="F200" s="196">
        <f>IFERROR(INDEX(Stories!$F$4:$F$357,MATCH($A200,Stories!$A$4:$A$357,0))&amp;"","")</f>
        <v/>
      </c>
      <c r="G200" s="197" t="inlineStr">
        <is>
          <t>Tunnelling Journal</t>
        </is>
      </c>
      <c r="H200" s="198" t="n">
        <v>46326</v>
      </c>
      <c r="I200" s="197" t="inlineStr">
        <is>
          <t>What ground conditions and tunnelling methods would a large airport underground transit expansion need, and how should risks be allocated in such procurement?
Check with: Metropolitan Washington Airports Authority</t>
        </is>
      </c>
    </row>
    <row r="201" outlineLevel="1" ht="66.5" customHeight="1">
      <c r="A201" s="191" t="n">
        <v>82</v>
      </c>
      <c r="B201" s="192" t="n">
        <v>4</v>
      </c>
      <c r="C201" s="193" t="inlineStr">
        <is>
          <t>Construction begins on Ohio River wastewater tunnel</t>
        </is>
      </c>
      <c r="D201" s="194" t="inlineStr">
        <is>
          <t>Open article</t>
        </is>
      </c>
      <c r="E201" s="199" t="inlineStr">
        <is>
          <t>News brief</t>
        </is>
      </c>
      <c r="F201" s="196">
        <f>IFERROR(INDEX(Stories!$F$4:$F$357,MATCH($A201,Stories!$A$4:$A$357,0))&amp;"","")</f>
        <v/>
      </c>
      <c r="G201" s="197" t="inlineStr">
        <is>
          <t>Tunnelling Journal</t>
        </is>
      </c>
      <c r="H201" s="198" t="n">
        <v>46324</v>
      </c>
      <c r="I201" s="197" t="inlineStr">
        <is>
          <t>What ground conditions and tunnelling methods are being used to build a large deep wastewater tunnel beneath an urban river in Pittsburgh?
Check with: Allegheny County Sanitary Authority (ALCOSAN)</t>
        </is>
      </c>
    </row>
    <row r="202" outlineLevel="1" ht="66.5" customHeight="1">
      <c r="A202" s="191" t="n">
        <v>125</v>
      </c>
      <c r="B202" s="192" t="n">
        <v>4</v>
      </c>
      <c r="C202" s="193" t="inlineStr">
        <is>
          <t>Anakkampoyil Tunnel Road Faces Safety Review After Landslide</t>
        </is>
      </c>
      <c r="D202" s="194" t="inlineStr">
        <is>
          <t>Open article</t>
        </is>
      </c>
      <c r="E202" s="195" t="inlineStr">
        <is>
          <t>Feature lead</t>
        </is>
      </c>
      <c r="F202" s="196">
        <f>IFERROR(INDEX(Stories!$F$4:$F$357,MATCH($A202,Stories!$A$4:$A$357,0))&amp;"","")</f>
        <v/>
      </c>
      <c r="G202" s="197" t="inlineStr">
        <is>
          <t>Urban Acres</t>
        </is>
      </c>
      <c r="H202" s="198" t="n">
        <v>46323</v>
      </c>
      <c r="I202" s="197" t="inlineStr">
        <is>
          <t>How slope instability in the Western Ghats should inform portal location, ground investigation and monitoring for a road tunnel through landslide-prone terrain.
Check with: Kerala Public Works Department</t>
        </is>
      </c>
    </row>
    <row r="203" outlineLevel="1" ht="54" customHeight="1">
      <c r="A203" s="191" t="n">
        <v>126</v>
      </c>
      <c r="B203" s="192" t="n">
        <v>4</v>
      </c>
      <c r="C203" s="193" t="inlineStr">
        <is>
          <t>Anakkampoyil tunnel project to continue, says Keralam CM after Wayanad landslide</t>
        </is>
      </c>
      <c r="D203" s="194" t="inlineStr">
        <is>
          <t>Open article</t>
        </is>
      </c>
      <c r="E203" s="195" t="inlineStr">
        <is>
          <t>Feature lead</t>
        </is>
      </c>
      <c r="F203" s="196">
        <f>IFERROR(INDEX(Stories!$F$4:$F$357,MATCH($A203,Stories!$A$4:$A$357,0))&amp;"","")</f>
        <v/>
      </c>
      <c r="G203" s="197" t="inlineStr">
        <is>
          <t>The Federal</t>
        </is>
      </c>
      <c r="H203" s="198" t="n">
        <v>46323</v>
      </c>
      <c r="I203" s="197" t="inlineStr">
        <is>
          <t>Whether a tunnel alignment through landslide-prone Wayanad terrain can be made safe, and what ground investigation it would need.
Check with: Kerala state government</t>
        </is>
      </c>
    </row>
    <row r="204" outlineLevel="1" ht="54" customHeight="1">
      <c r="A204" s="191" t="n">
        <v>49</v>
      </c>
      <c r="B204" s="192" t="n">
        <v>4</v>
      </c>
      <c r="C204" s="193" t="inlineStr">
        <is>
          <t>Amey Rail to deliver DLR extension early works</t>
        </is>
      </c>
      <c r="D204" s="194" t="inlineStr">
        <is>
          <t>Open article</t>
        </is>
      </c>
      <c r="E204" s="195" t="inlineStr">
        <is>
          <t>Feature lead</t>
        </is>
      </c>
      <c r="F204" s="196">
        <f>IFERROR(INDEX(Stories!$F$4:$F$357,MATCH($A204,Stories!$A$4:$A$357,0))&amp;"","")</f>
        <v/>
      </c>
      <c r="G204" s="197" t="inlineStr">
        <is>
          <t>Tunnels &amp; Tunnelling</t>
        </is>
      </c>
      <c r="H204" s="198" t="n">
        <v>46325</v>
      </c>
      <c r="I204" s="197" t="inlineStr">
        <is>
          <t>What early-works ground investigation and river-crossing risks shape a twin-bore tunnel beneath the Thames in London's riverside soils?
Check with: Transport for London</t>
        </is>
      </c>
    </row>
    <row r="205" outlineLevel="1" ht="54" customHeight="1">
      <c r="A205" s="191" t="n">
        <v>87</v>
      </c>
      <c r="B205" s="192" t="n">
        <v>4</v>
      </c>
      <c r="C205" s="193" t="inlineStr">
        <is>
          <t>Metroselskabet shortlists two bidders for M5 line</t>
        </is>
      </c>
      <c r="D205" s="194" t="inlineStr">
        <is>
          <t>Open article</t>
        </is>
      </c>
      <c r="E205" s="199" t="inlineStr">
        <is>
          <t>News brief</t>
        </is>
      </c>
      <c r="F205" s="196">
        <f>IFERROR(INDEX(Stories!$F$4:$F$357,MATCH($A205,Stories!$A$4:$A$357,0))&amp;"","")</f>
        <v/>
      </c>
      <c r="G205" s="197" t="inlineStr">
        <is>
          <t>Tunnels &amp; Tunnelling</t>
        </is>
      </c>
      <c r="H205" s="198" t="n">
        <v>46324</v>
      </c>
      <c r="I205" s="197" t="inlineStr">
        <is>
          <t>What ground risks do two bored tunnels and five underground stations in soft Copenhagen ground pose for the bidders' designs?
Check with: Metroselskabet</t>
        </is>
      </c>
    </row>
    <row r="206" outlineLevel="1" ht="54" customHeight="1">
      <c r="A206" s="191" t="n">
        <v>174</v>
      </c>
      <c r="B206" s="192" t="n">
        <v>4</v>
      </c>
      <c r="C206" s="193" t="inlineStr">
        <is>
          <t>Breakthrough made on Lima Metro’s Line 4</t>
        </is>
      </c>
      <c r="D206" s="194" t="inlineStr">
        <is>
          <t>Open article</t>
        </is>
      </c>
      <c r="E206" s="199" t="inlineStr">
        <is>
          <t>News brief</t>
        </is>
      </c>
      <c r="F206" s="196">
        <f>IFERROR(INDEX(Stories!$F$4:$F$357,MATCH($A206,Stories!$A$4:$A$357,0))&amp;"","")</f>
        <v/>
      </c>
      <c r="G206" s="197" t="inlineStr">
        <is>
          <t>Tunnels &amp; Tunnelling</t>
        </is>
      </c>
      <c r="H206" s="198" t="n">
        <v>46322</v>
      </c>
      <c r="I206" s="197" t="inlineStr">
        <is>
          <t>What ground conditions in Lima's geology affected tunnel excavation progress on this metro section, and how were they managed?
Check with: Consorcio Constructor Metro 2 Lima</t>
        </is>
      </c>
    </row>
    <row r="207" outlineLevel="1" ht="66.5" customHeight="1">
      <c r="A207" s="191" t="n">
        <v>175</v>
      </c>
      <c r="B207" s="192" t="n">
        <v>4</v>
      </c>
      <c r="C207" s="193" t="inlineStr">
        <is>
          <t>Ohio River Tunnel project breaks ground</t>
        </is>
      </c>
      <c r="D207" s="194" t="inlineStr">
        <is>
          <t>Open article</t>
        </is>
      </c>
      <c r="E207" s="199" t="inlineStr">
        <is>
          <t>News brief</t>
        </is>
      </c>
      <c r="F207" s="196">
        <f>IFERROR(INDEX(Stories!$F$4:$F$357,MATCH($A207,Stories!$A$4:$A$357,0))&amp;"","")</f>
        <v/>
      </c>
      <c r="G207" s="197" t="inlineStr">
        <is>
          <t>Tunnels &amp; Tunnelling</t>
        </is>
      </c>
      <c r="H207" s="198" t="n">
        <v>46322</v>
      </c>
      <c r="I207" s="197" t="inlineStr">
        <is>
          <t>What ground conditions beneath the Ohio River shape the design of the first of three combined-sewer tunnels?
Check with: Louisville and Jefferson County Metropolitan Sewer District (MSD)</t>
        </is>
      </c>
    </row>
    <row r="208" outlineLevel="1" ht="66.5" customHeight="1">
      <c r="A208" s="191" t="n">
        <v>219</v>
      </c>
      <c r="B208" s="192" t="n">
        <v>4</v>
      </c>
      <c r="C208" s="193" t="inlineStr">
        <is>
          <t>Four Tourists Injured After Poolside Patio Collapses Into Sinkhole At Cozumel Resort</t>
        </is>
      </c>
      <c r="D208" s="194" t="inlineStr">
        <is>
          <t>Open article</t>
        </is>
      </c>
      <c r="E208" s="195" t="inlineStr">
        <is>
          <t>Feature lead</t>
        </is>
      </c>
      <c r="F208" s="196">
        <f>IFERROR(INDEX(Stories!$F$4:$F$357,MATCH($A208,Stories!$A$4:$A$357,0))&amp;"","")</f>
        <v/>
      </c>
      <c r="G208" s="197" t="inlineStr">
        <is>
          <t>Cancun Sun</t>
        </is>
      </c>
      <c r="H208" s="198" t="n">
        <v>46321</v>
      </c>
      <c r="I208" s="197" t="inlineStr">
        <is>
          <t>How can shallow cavities in karst limestone be detected under resort paving and foundations before a patio collapses into a sinkhole?
Check with: Quintana Roo state civil protection and the resort's engineering consultant</t>
        </is>
      </c>
    </row>
    <row r="209" outlineLevel="1" ht="54" customHeight="1">
      <c r="A209" s="191" t="n">
        <v>320</v>
      </c>
      <c r="B209" s="192" t="n">
        <v>4</v>
      </c>
      <c r="C209" s="193"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209" s="194" t="inlineStr">
        <is>
          <t>Open article</t>
        </is>
      </c>
      <c r="E209" s="195" t="inlineStr">
        <is>
          <t>Feature lead</t>
        </is>
      </c>
      <c r="F209" s="196">
        <f>IFERROR(INDEX(Stories!$F$4:$F$357,MATCH($A209,Stories!$A$4:$A$357,0))&amp;"","")</f>
        <v/>
      </c>
      <c r="G209" s="197" t="inlineStr">
        <is>
          <t>아주경제</t>
        </is>
      </c>
      <c r="H209" s="198" t="n">
        <v>46319</v>
      </c>
      <c r="I209" s="197" t="inlineStr">
        <is>
          <t>What caused the road collapse behind this retaining wall, and how should wall reconstruction address backfill and drainage?</t>
        </is>
      </c>
    </row>
    <row r="210" outlineLevel="1" ht="79" customHeight="1">
      <c r="A210" s="191" t="n">
        <v>321</v>
      </c>
      <c r="B210" s="192" t="n">
        <v>4</v>
      </c>
      <c r="C210" s="193"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210" s="194" t="inlineStr">
        <is>
          <t>Open article</t>
        </is>
      </c>
      <c r="E210" s="210" t="inlineStr">
        <is>
          <t>Regional insight</t>
        </is>
      </c>
      <c r="F210" s="196">
        <f>IFERROR(INDEX(Stories!$F$4:$F$357,MATCH($A210,Stories!$A$4:$A$357,0))&amp;"","")</f>
        <v/>
      </c>
      <c r="G210" s="197" t="inlineStr">
        <is>
          <t>Naver Blog</t>
        </is>
      </c>
      <c r="H210" s="198" t="n">
        <v>46319</v>
      </c>
      <c r="I210" s="197" t="inlineStr">
        <is>
          <t>Why do retaining walls beside apartments collapse repeatedly, and how do drainage and private land ownership complicate remediation?</t>
        </is>
      </c>
    </row>
    <row r="211" outlineLevel="1" ht="66.5" customHeight="1">
      <c r="A211" s="191" t="n">
        <v>322</v>
      </c>
      <c r="B211" s="192" t="n">
        <v>4</v>
      </c>
      <c r="C211" s="193"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211" s="194" t="inlineStr">
        <is>
          <t>Open article</t>
        </is>
      </c>
      <c r="E211" s="210" t="inlineStr">
        <is>
          <t>Regional insight</t>
        </is>
      </c>
      <c r="F211" s="196">
        <f>IFERROR(INDEX(Stories!$F$4:$F$357,MATCH($A211,Stories!$A$4:$A$357,0))&amp;"","")</f>
        <v/>
      </c>
      <c r="G211" s="197" t="inlineStr">
        <is>
          <t>Крыминформ</t>
        </is>
      </c>
      <c r="H211" s="198" t="n">
        <v>46319</v>
      </c>
      <c r="I211" s="197" t="inlineStr">
        <is>
          <t>Why did this retaining wall fail after heavy rain, and what drainage and wall design checks should coastal slopes receive?</t>
        </is>
      </c>
    </row>
    <row r="212" outlineLevel="1" ht="54" customHeight="1">
      <c r="A212" s="191" t="n">
        <v>324</v>
      </c>
      <c r="B212" s="192" t="n">
        <v>4</v>
      </c>
      <c r="C212" s="193" t="inlineStr">
        <is>
          <t>Gochang-Buan Noeuldaegyo Enters Geotechnical Survey Phase; Construction Targeted for January 2028</t>
        </is>
      </c>
      <c r="D212" s="194" t="inlineStr">
        <is>
          <t>Open article</t>
        </is>
      </c>
      <c r="E212" s="199" t="inlineStr">
        <is>
          <t>News brief</t>
        </is>
      </c>
      <c r="F212" s="196">
        <f>IFERROR(INDEX(Stories!$F$4:$F$357,MATCH($A212,Stories!$A$4:$A$357,0))&amp;"","")</f>
        <v/>
      </c>
      <c r="G212" s="197" t="inlineStr">
        <is>
          <t>아시아경제</t>
        </is>
      </c>
      <c r="H212" s="198" t="n">
        <v>46319</v>
      </c>
      <c r="I212" s="197" t="inlineStr">
        <is>
          <t>What ground conditions will the geotechnical survey reveal for this Korean nuclear-related or major construction project, and how will they shape the 2028 schedule?</t>
        </is>
      </c>
    </row>
    <row r="213" outlineLevel="1" ht="66.5" customHeight="1">
      <c r="A213" s="191" t="n">
        <v>130</v>
      </c>
      <c r="B213" s="192" t="n">
        <v>4</v>
      </c>
      <c r="C213" s="193" t="inlineStr">
        <is>
          <t>Fear spreads among neighbours of L9 sinkhole in Barcelona: 'We don't know if the houses are safe'
(English headline translated by Claude · Original: El miedo se instala entre los vecinos del socavón de la L9 en Barcelona: "No sabemos si las casas son seguras")</t>
        </is>
      </c>
      <c r="D213" s="194" t="inlineStr">
        <is>
          <t>Open article</t>
        </is>
      </c>
      <c r="E213" s="195" t="inlineStr">
        <is>
          <t>Feature lead</t>
        </is>
      </c>
      <c r="F213" s="196">
        <f>IFERROR(INDEX(Stories!$F$4:$F$357,MATCH($A213,Stories!$A$4:$A$357,0))&amp;"","")</f>
        <v/>
      </c>
      <c r="G213" s="197" t="inlineStr">
        <is>
          <t>COPE</t>
        </is>
      </c>
      <c r="H213" s="198" t="n">
        <v>46323</v>
      </c>
      <c r="I213" s="197" t="inlineStr">
        <is>
          <t>How can tunnelling for a metro line cause ground collapse beneath housing, and what monitoring should protect residents during construction?
Check with: TMB and Barcelona city council</t>
        </is>
      </c>
    </row>
    <row r="214" outlineLevel="1" ht="66.5" customHeight="1">
      <c r="A214" s="191" t="n">
        <v>223</v>
      </c>
      <c r="B214" s="192" t="n">
        <v>4</v>
      </c>
      <c r="C214" s="193" t="inlineStr">
        <is>
          <t>City council attends to over 50 sinkholes; repair costs up to 700,000 pesos per point
(English headline translated by Claude · Original: Ayuntamiento atiende más de 50 socavones su reparación cuesta hasta 700 mil pesos por punto)</t>
        </is>
      </c>
      <c r="D214" s="194" t="inlineStr">
        <is>
          <t>Open article</t>
        </is>
      </c>
      <c r="E214" s="195" t="inlineStr">
        <is>
          <t>Feature lead</t>
        </is>
      </c>
      <c r="F214" s="196">
        <f>IFERROR(INDEX(Stories!$F$4:$F$357,MATCH($A214,Stories!$A$4:$A$357,0))&amp;"","")</f>
        <v/>
      </c>
      <c r="G214" s="197" t="inlineStr">
        <is>
          <t>Pulso Diario San Luis</t>
        </is>
      </c>
      <c r="H214" s="198" t="n">
        <v>46321</v>
      </c>
      <c r="I214" s="197" t="inlineStr">
        <is>
          <t>Why do dozens of urban sinkholes appear in one city, and what are the economics and engineering options for locating leaking buried pipes and rehabilitating ground before repairs become recurrent?
Check with: San Luis Potosí municipal government</t>
        </is>
      </c>
    </row>
    <row r="215" outlineLevel="1" ht="66.5" customHeight="1">
      <c r="A215" s="191" t="n">
        <v>224</v>
      </c>
      <c r="B215" s="192" t="n">
        <v>4</v>
      </c>
      <c r="C215" s="193" t="inlineStr">
        <is>
          <t>Ica: new debris flow could repeat blockage of the Panamericana Sur due to lack of bridge in Ocucaje
(English headline translated by Claude · Original: Ica: nuevo huaico podría repetir el bloqueo de la Panamericana Sur por falta de puente en Ocucaje)</t>
        </is>
      </c>
      <c r="D215" s="194" t="inlineStr">
        <is>
          <t>Open article</t>
        </is>
      </c>
      <c r="E215" s="195" t="inlineStr">
        <is>
          <t>Feature lead</t>
        </is>
      </c>
      <c r="F215" s="196">
        <f>IFERROR(INDEX(Stories!$F$4:$F$357,MATCH($A215,Stories!$A$4:$A$357,0))&amp;"","")</f>
        <v/>
      </c>
      <c r="G215" s="197" t="inlineStr">
        <is>
          <t>Diario Correo</t>
        </is>
      </c>
      <c r="H215" s="198" t="n">
        <v>46321</v>
      </c>
      <c r="I215" s="197" t="inlineStr">
        <is>
          <t>How do debris flows crossing desert valleys threaten highway embankments and crossings, and what design choices should guide replacement of a missing bridge on this corridor?
Check with: Provías Nacional (MTC)</t>
        </is>
      </c>
    </row>
    <row r="216" outlineLevel="1" ht="41.5" customHeight="1">
      <c r="A216" s="191" t="n">
        <v>257</v>
      </c>
      <c r="B216" s="192" t="n">
        <v>4</v>
      </c>
      <c r="C216" s="193" t="inlineStr">
        <is>
          <t>Four guests fall into sinkhole at Occidental Cozumel hotel
(English headline translated by Claude · Original: Cuatro huéspedes caen en socavón del hotel Occidental Cozumel)</t>
        </is>
      </c>
      <c r="D216" s="194" t="inlineStr">
        <is>
          <t>Open article</t>
        </is>
      </c>
      <c r="E216" s="199" t="inlineStr">
        <is>
          <t>News brief</t>
        </is>
      </c>
      <c r="F216" s="196">
        <f>IFERROR(INDEX(Stories!$F$4:$F$357,MATCH($A216,Stories!$A$4:$A$357,0))&amp;"","")</f>
        <v/>
      </c>
      <c r="G216" s="197" t="inlineStr">
        <is>
          <t>Quintana Roo Hoy</t>
        </is>
      </c>
      <c r="H216" s="198" t="n">
        <v>46320</v>
      </c>
      <c r="I216" s="197" t="inlineStr">
        <is>
          <t>How do karst cavities and dissolution features in coastal limestone create sudden collapses beneath hotel and tourist structures?</t>
        </is>
      </c>
    </row>
    <row r="217" outlineLevel="1" ht="66.5" customHeight="1">
      <c r="A217" s="191" t="n">
        <v>260</v>
      </c>
      <c r="B217" s="192" t="n">
        <v>4</v>
      </c>
      <c r="C217" s="193" t="inlineStr">
        <is>
          <t>Reconstruction of the Terrazas del Valle bridge begins after sinkhole
(English headline translated by Claude · Original: Inician reconstrucción del puente de Terrazas del Valle tras socavón)</t>
        </is>
      </c>
      <c r="D217" s="194" t="inlineStr">
        <is>
          <t>Open article</t>
        </is>
      </c>
      <c r="E217" s="199" t="inlineStr">
        <is>
          <t>News brief</t>
        </is>
      </c>
      <c r="F217" s="196">
        <f>IFERROR(INDEX(Stories!$F$4:$F$357,MATCH($A217,Stories!$A$4:$A$357,0))&amp;"","")</f>
        <v/>
      </c>
      <c r="G217" s="197" t="inlineStr">
        <is>
          <t>NDT Noticias de Tijuana</t>
        </is>
      </c>
      <c r="H217" s="198" t="n">
        <v>46320</v>
      </c>
      <c r="I217" s="197" t="inlineStr">
        <is>
          <t>What investigation and foundation design are needed to rebuild a bridge whose support ground has collapsed into a sinkhole?</t>
        </is>
      </c>
    </row>
    <row r="218" outlineLevel="1" ht="66.5" customHeight="1">
      <c r="A218" s="191" t="n">
        <v>329</v>
      </c>
      <c r="B218" s="192" t="n">
        <v>4</v>
      </c>
      <c r="C218" s="193" t="inlineStr">
        <is>
          <t>Mystery in El Bosque: sinkhole appears amid rain and swallows a car
(English headline translated by Claude · Original: Misterio en El Bosque: socavón aparece en medio de la lluvia y se traga un auto)</t>
        </is>
      </c>
      <c r="D218" s="194" t="inlineStr">
        <is>
          <t>Open article</t>
        </is>
      </c>
      <c r="E218" s="199" t="inlineStr">
        <is>
          <t>News brief</t>
        </is>
      </c>
      <c r="F218" s="196">
        <f>IFERROR(INDEX(Stories!$F$4:$F$357,MATCH($A218,Stories!$A$4:$A$357,0))&amp;"","")</f>
        <v/>
      </c>
      <c r="G218" s="197" t="inlineStr">
        <is>
          <t>BioBioChile</t>
        </is>
      </c>
      <c r="H218" s="198" t="n">
        <v>46319</v>
      </c>
      <c r="I218" s="197" t="inlineStr">
        <is>
          <t>How do rainfall, leaking pipes and soil erosion combine to create sudden road sinkholes that swallow vehicles, as in El Bosque?</t>
        </is>
      </c>
    </row>
    <row r="219" outlineLevel="1" ht="91.5" customHeight="1">
      <c r="A219" s="191" t="n">
        <v>330</v>
      </c>
      <c r="B219" s="192" t="n">
        <v>4</v>
      </c>
      <c r="C219" s="193"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219" s="194" t="inlineStr">
        <is>
          <t>Open article</t>
        </is>
      </c>
      <c r="E219" s="195" t="inlineStr">
        <is>
          <t>Feature lead</t>
        </is>
      </c>
      <c r="F219" s="196">
        <f>IFERROR(INDEX(Stories!$F$4:$F$357,MATCH($A219,Stories!$A$4:$A$357,0))&amp;"","")</f>
        <v/>
      </c>
      <c r="G219" s="197" t="inlineStr">
        <is>
          <t>El Universo</t>
        </is>
      </c>
      <c r="H219" s="198" t="n">
        <v>46319</v>
      </c>
      <c r="I219" s="197" t="inlineStr">
        <is>
          <t>What does the Eloy Alfaro sinkhole reveal about the condition of Quito's buried infrastructure and the ground beneath rain-affected neighbourhoods?</t>
        </is>
      </c>
    </row>
    <row r="220" outlineLevel="1" ht="66.5" customHeight="1">
      <c r="A220" s="191" t="n">
        <v>331</v>
      </c>
      <c r="B220" s="192" t="n">
        <v>4</v>
      </c>
      <c r="C220" s="193" t="inlineStr">
        <is>
          <t>Presidential delegate on Arauco sinkhole: 'It was built on land that was not optimal'
(English headline translated by Claude · Original: Delegado presidencial y el socavón en Arauco: "Aquí se construyó en un terreno que no era óptimo")</t>
        </is>
      </c>
      <c r="D220" s="194" t="inlineStr">
        <is>
          <t>Open article</t>
        </is>
      </c>
      <c r="E220" s="195" t="inlineStr">
        <is>
          <t>Feature lead</t>
        </is>
      </c>
      <c r="F220" s="196">
        <f>IFERROR(INDEX(Stories!$F$4:$F$357,MATCH($A220,Stories!$A$4:$A$357,0))&amp;"","")</f>
        <v/>
      </c>
      <c r="G220" s="197" t="inlineStr">
        <is>
          <t>Cooperativa</t>
        </is>
      </c>
      <c r="H220" s="198" t="n">
        <v>46319</v>
      </c>
      <c r="I220" s="197" t="inlineStr">
        <is>
          <t>What ground investigation and foundation decisions should be scrutinised when a structure is built on unsuitable terrain, as officials claim in Arauco?</t>
        </is>
      </c>
    </row>
    <row r="221" outlineLevel="1" ht="66.5" customHeight="1">
      <c r="A221" s="191" t="n">
        <v>332</v>
      </c>
      <c r="B221" s="192" t="n">
        <v>4</v>
      </c>
      <c r="C221" s="193" t="inlineStr">
        <is>
          <t>JUMAPAM and Pemex evaluate underground network after sinkhole on Emilio Barragán avenue in Mazatlán
(English headline translated by Claude · Original: JUMAPAM y Pemex evalúan red subterránea tras socavón en la avenida Emilio Barragán en Mazatlán)</t>
        </is>
      </c>
      <c r="D221" s="194" t="inlineStr">
        <is>
          <t>Open article</t>
        </is>
      </c>
      <c r="E221" s="195" t="inlineStr">
        <is>
          <t>Feature lead</t>
        </is>
      </c>
      <c r="F221" s="196">
        <f>IFERROR(INDEX(Stories!$F$4:$F$357,MATCH($A221,Stories!$A$4:$A$357,0))&amp;"","")</f>
        <v/>
      </c>
      <c r="G221" s="197" t="inlineStr">
        <is>
          <t>Debate</t>
        </is>
      </c>
      <c r="H221" s="198" t="n">
        <v>46319</v>
      </c>
      <c r="I221" s="197" t="inlineStr">
        <is>
          <t>How can utilities mapping and leak detection clarify whether pipe defects caused the Emilio Barragán sinkhole in Mazatlán?</t>
        </is>
      </c>
    </row>
    <row r="222" outlineLevel="1" ht="66.5" customHeight="1">
      <c r="A222" s="191" t="n">
        <v>54</v>
      </c>
      <c r="B222" s="192" t="n">
        <v>4</v>
      </c>
      <c r="C222" s="193" t="inlineStr">
        <is>
          <t>World's Largest-Diameter Double-Shield Hard-Rock TBM Rolls Off the Production Line in Xinjin, Chengdu</t>
        </is>
      </c>
      <c r="D222" s="194" t="inlineStr">
        <is>
          <t>Open article</t>
        </is>
      </c>
      <c r="E222" s="195" t="inlineStr">
        <is>
          <t>Feature lead</t>
        </is>
      </c>
      <c r="F222" s="196">
        <f>IFERROR(INDEX(Stories!$F$4:$F$357,MATCH($A222,Stories!$A$4:$A$357,0))&amp;"","")</f>
        <v/>
      </c>
      <c r="G222" s="197" t="inlineStr">
        <is>
          <t>The Manila Times</t>
        </is>
      </c>
      <c r="H222" s="198" t="n">
        <v>46325</v>
      </c>
      <c r="I222" s="197" t="inlineStr">
        <is>
          <t>What ground conditions and rock properties drive the design of a double-shield hard-rock machine of this diameter?
Check with: the TBM manufacturer and the project owner</t>
        </is>
      </c>
    </row>
    <row r="223" outlineLevel="1" ht="54" customHeight="1">
      <c r="A223" s="191" t="n">
        <v>94</v>
      </c>
      <c r="B223" s="192" t="n">
        <v>4</v>
      </c>
      <c r="C223" s="193" t="inlineStr">
        <is>
          <t>Metro tunnelling completed in Lima</t>
        </is>
      </c>
      <c r="D223" s="194" t="inlineStr">
        <is>
          <t>Open article</t>
        </is>
      </c>
      <c r="E223" s="195" t="inlineStr">
        <is>
          <t>Feature lead</t>
        </is>
      </c>
      <c r="F223" s="196">
        <f>IFERROR(INDEX(Stories!$F$4:$F$357,MATCH($A223,Stories!$A$4:$A$357,0))&amp;"","")</f>
        <v/>
      </c>
      <c r="G223" s="197" t="inlineStr">
        <is>
          <t>International Railway Journal</t>
        </is>
      </c>
      <c r="H223" s="198" t="n">
        <v>46324</v>
      </c>
      <c r="I223" s="197" t="inlineStr">
        <is>
          <t>What ground conditions did the tunnel boring machines encounter in Lima, and how were settlement and face stability controlled during excavation?
Check with: Metro de Lima Línea 2 consortium</t>
        </is>
      </c>
    </row>
    <row r="224" outlineLevel="1" ht="66.5" customHeight="1">
      <c r="A224" s="191" t="n">
        <v>186</v>
      </c>
      <c r="B224" s="192" t="n">
        <v>4</v>
      </c>
      <c r="C224" s="193" t="inlineStr">
        <is>
          <t>New high speed rail viaduct for the UK</t>
        </is>
      </c>
      <c r="D224" s="194" t="inlineStr">
        <is>
          <t>Open article</t>
        </is>
      </c>
      <c r="E224" s="199" t="inlineStr">
        <is>
          <t>News brief</t>
        </is>
      </c>
      <c r="F224" s="196">
        <f>IFERROR(INDEX(Stories!$F$4:$F$357,MATCH($A224,Stories!$A$4:$A$357,0))&amp;"","")</f>
        <v/>
      </c>
      <c r="G224" s="197" t="inlineStr">
        <is>
          <t>World Highways</t>
        </is>
      </c>
      <c r="H224" s="198" t="n">
        <v>46322</v>
      </c>
      <c r="I224" s="197" t="inlineStr">
        <is>
          <t>How were raised embankments and the launched viaduct decks designed for the constrained site over a busy motorway, and what ground conditions shaped those choices?
Check with: HS2 Ltd</t>
        </is>
      </c>
    </row>
    <row r="225" outlineLevel="1" ht="54" customHeight="1">
      <c r="A225" s="191" t="n">
        <v>187</v>
      </c>
      <c r="B225" s="192" t="n">
        <v>4</v>
      </c>
      <c r="C225" s="193" t="inlineStr">
        <is>
          <t>First Yonge North Subway Extension TBM Arrives</t>
        </is>
      </c>
      <c r="D225" s="194" t="inlineStr">
        <is>
          <t>Open article</t>
        </is>
      </c>
      <c r="E225" s="195" t="inlineStr">
        <is>
          <t>Feature lead</t>
        </is>
      </c>
      <c r="F225" s="196">
        <f>IFERROR(INDEX(Stories!$F$4:$F$357,MATCH($A225,Stories!$A$4:$A$357,0))&amp;"","")</f>
        <v/>
      </c>
      <c r="G225" s="197" t="inlineStr">
        <is>
          <t>Metrolinx</t>
        </is>
      </c>
      <c r="H225" s="198" t="n">
        <v>46322</v>
      </c>
      <c r="I225" s="197" t="inlineStr">
        <is>
          <t>What ground conditions did the tunnel boring machine encounter on this Toronto extension, and how did they inform the tunnelling risk management?
Check with: Metrolinx</t>
        </is>
      </c>
    </row>
    <row r="226" outlineLevel="1" ht="79" customHeight="1">
      <c r="A226" s="191" t="n">
        <v>16</v>
      </c>
      <c r="B226" s="192" t="n">
        <v>4</v>
      </c>
      <c r="C226" s="193" t="inlineStr">
        <is>
          <t>Excavation for Bronevaya metro station built in St Petersburg; the Aurora machine is being lowered in
(English headline translated by Claude · Original: В Петербурге построили котлован под метро «Броневая»: туда спускают «Аврору»)</t>
        </is>
      </c>
      <c r="D226" s="194" t="inlineStr">
        <is>
          <t>Open article</t>
        </is>
      </c>
      <c r="E226" s="195" t="inlineStr">
        <is>
          <t>Feature lead</t>
        </is>
      </c>
      <c r="F226" s="196">
        <f>IFERROR(INDEX(Stories!$F$4:$F$357,MATCH($A226,Stories!$A$4:$A$357,0))&amp;"","")</f>
        <v/>
      </c>
      <c r="G226" s="197" t="inlineStr">
        <is>
          <t>Росбалт</t>
        </is>
      </c>
      <c r="H226" s="198" t="n">
        <v>46326</v>
      </c>
      <c r="I226" s="197" t="inlineStr">
        <is>
          <t>How was the deep metro station excavation built in St Petersburg's ground conditions, and what lessons do its retaining and lowering operations offer for urban tunnelling?
Check with: St Petersburg metro construction authority</t>
        </is>
      </c>
    </row>
    <row r="227" outlineLevel="1" ht="91.5" customHeight="1">
      <c r="A227" s="191" t="n">
        <v>17</v>
      </c>
      <c r="B227" s="192" t="n">
        <v>4</v>
      </c>
      <c r="C227" s="193" t="inlineStr">
        <is>
          <t>The multi-billion-ruble Aquaparadise water park in Vladivostok has turned into a flooded pit despite support from Tourism.RF
(English headline translated by Claude · Original: Многомиллиардный аквапарк «Аквапарадайз» во Владивостоке превратился в затопленный котлован, несмотря на поддержку «Туризм.РФ»)</t>
        </is>
      </c>
      <c r="D227" s="194" t="inlineStr">
        <is>
          <t>Open article</t>
        </is>
      </c>
      <c r="E227" s="195" t="inlineStr">
        <is>
          <t>Feature lead</t>
        </is>
      </c>
      <c r="F227" s="196">
        <f>IFERROR(INDEX(Stories!$F$4:$F$357,MATCH($A227,Stories!$A$4:$A$357,0))&amp;"","")</f>
        <v/>
      </c>
      <c r="G227" s="197" t="inlineStr">
        <is>
          <t>Портал РЕПОСТ</t>
        </is>
      </c>
      <c r="H227" s="198" t="n">
        <v>46326</v>
      </c>
      <c r="I227" s="197" t="inlineStr">
        <is>
          <t>Why did a large excavation fill with water, and what groundwater control and site investigation failures could have prevented the flooding?
Check with: the project developer and Primorsky regional authorities</t>
        </is>
      </c>
    </row>
    <row r="228" outlineLevel="1" ht="79" customHeight="1">
      <c r="A228" s="191" t="n">
        <v>188</v>
      </c>
      <c r="B228" s="192" t="n">
        <v>4</v>
      </c>
      <c r="C228" s="193" t="inlineStr">
        <is>
          <t>Traffic starts on trial basis on bridge-tunnel route linking Kedarnath and Badrinath highways
(English headline translated by Claude · Original: केदारनाथ-बदरीनाथ राजमार्गों को जोड़ने वाले पुल-सुरंग मार्ग पर परीक्षण के तौर पर यातायात शुरू)</t>
        </is>
      </c>
      <c r="D228" s="194" t="inlineStr">
        <is>
          <t>Open article</t>
        </is>
      </c>
      <c r="E228" s="210" t="inlineStr">
        <is>
          <t>Regional insight</t>
        </is>
      </c>
      <c r="F228" s="196">
        <f>IFERROR(INDEX(Stories!$F$4:$F$357,MATCH($A228,Stories!$A$4:$A$357,0))&amp;"","")</f>
        <v/>
      </c>
      <c r="G228" s="197" t="inlineStr">
        <is>
          <t>ThePrint Hindi</t>
        </is>
      </c>
      <c r="H228" s="198" t="n">
        <v>46322</v>
      </c>
      <c r="I228" s="197" t="inlineStr">
        <is>
          <t>What geotechnical challenges arise when a bridge and tunnel link is built through Himalayan slopes, and what should be monitored during the trial traffic phase?
Check with: NHIDCL and the Uttarakhand Public Works Department</t>
        </is>
      </c>
    </row>
    <row r="229" outlineLevel="1" ht="66.5" customHeight="1">
      <c r="A229" s="191" t="n">
        <v>189</v>
      </c>
      <c r="B229" s="192" t="n">
        <v>4</v>
      </c>
      <c r="C229" s="193" t="inlineStr">
        <is>
          <t>Vehicles begin moving through newly built Rudraprayag bridge and tunnel; CM Dhami reviews
(English headline translated by Claude · Original: रुद्रप्रयाग में नवनिर्मित पुल और सुरंग से वाहनों की आवाजाही शुरू, सीएम धामी ने लिया जायजा)</t>
        </is>
      </c>
      <c r="D229" s="194" t="inlineStr">
        <is>
          <t>Open article</t>
        </is>
      </c>
      <c r="E229" s="205" t="inlineStr">
        <is>
          <t>Watch only</t>
        </is>
      </c>
      <c r="F229" s="196">
        <f>IFERROR(INDEX(Stories!$F$4:$F$357,MATCH($A229,Stories!$A$4:$A$357,0))&amp;"","")</f>
        <v/>
      </c>
      <c r="G229" s="197" t="inlineStr">
        <is>
          <t>ETV Bharat</t>
        </is>
      </c>
      <c r="H229" s="198" t="n">
        <v>46322</v>
      </c>
      <c r="I229" s="197" t="inlineStr">
        <is>
          <t>The opening of the Rudraprayag bridge and tunnel could support a later piece on tunnel performance, once geotechnical data are obtained.
Check with: NHIDCL and the Uttarakhand Public Works Department</t>
        </is>
      </c>
    </row>
    <row r="230" outlineLevel="1" ht="66.5" customHeight="1">
      <c r="A230" s="191" t="n">
        <v>190</v>
      </c>
      <c r="B230" s="192" t="n">
        <v>4</v>
      </c>
      <c r="C230" s="193" t="inlineStr">
        <is>
          <t>Completion of excavation pit for National Centre "Russia" under way
(English headline translated by Claude · Original: Завершается устройство котлована национального центра «Россия» / Новости города / Сайт Москвы)</t>
        </is>
      </c>
      <c r="D230" s="194" t="inlineStr">
        <is>
          <t>Open article</t>
        </is>
      </c>
      <c r="E230" s="195" t="inlineStr">
        <is>
          <t>Feature lead</t>
        </is>
      </c>
      <c r="F230" s="196">
        <f>IFERROR(INDEX(Stories!$F$4:$F$357,MATCH($A230,Stories!$A$4:$A$357,0))&amp;"","")</f>
        <v/>
      </c>
      <c r="G230" s="197" t="inlineStr">
        <is>
          <t>mos.ru</t>
        </is>
      </c>
      <c r="H230" s="198" t="n">
        <v>46322</v>
      </c>
      <c r="I230" s="197" t="inlineStr">
        <is>
          <t>How are deep excavation support and dewatering managed for a very large central Moscow pit, and what lessons does it offer for urban deep excavations?
Check with: the Moscow city government and the project developer</t>
        </is>
      </c>
    </row>
    <row r="231" outlineLevel="1" ht="66.5" customHeight="1">
      <c r="A231" s="191" t="n">
        <v>276</v>
      </c>
      <c r="B231" s="192" t="n">
        <v>4</v>
      </c>
      <c r="C231" s="193"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231" s="194" t="inlineStr">
        <is>
          <t>Open article</t>
        </is>
      </c>
      <c r="E231" s="199" t="inlineStr">
        <is>
          <t>News brief</t>
        </is>
      </c>
      <c r="F231" s="196">
        <f>IFERROR(INDEX(Stories!$F$4:$F$357,MATCH($A231,Stories!$A$4:$A$357,0))&amp;"","")</f>
        <v/>
      </c>
      <c r="G231" s="197" t="inlineStr">
        <is>
          <t>Piter.tv</t>
        </is>
      </c>
      <c r="H231" s="198" t="n">
        <v>46320</v>
      </c>
      <c r="I231" s="197" t="inlineStr">
        <is>
          <t>How did the shield tunnelling through the local soils, with groundwater and face-stability conditions, shape the progress of the St Petersburg metro extension?</t>
        </is>
      </c>
    </row>
    <row r="232" outlineLevel="1" ht="54" customHeight="1">
      <c r="A232" s="191" t="n">
        <v>18</v>
      </c>
      <c r="B232" s="192" t="n">
        <v>4</v>
      </c>
      <c r="C232" s="193" t="inlineStr">
        <is>
          <t>Bhotekoshi flood: 37 bodies recovered from inside tunnel
(English headline translated by Claude · Original: भोटेकोशी बाढी: सुरुङ के भीतर से ३७ शव बरामद)</t>
        </is>
      </c>
      <c r="D232" s="194" t="inlineStr">
        <is>
          <t>Open article</t>
        </is>
      </c>
      <c r="E232" s="195" t="inlineStr">
        <is>
          <t>Feature lead</t>
        </is>
      </c>
      <c r="F232" s="196">
        <f>IFERROR(INDEX(Stories!$F$4:$F$357,MATCH($A232,Stories!$A$4:$A$357,0))&amp;"","")</f>
        <v/>
      </c>
      <c r="G232" s="197" t="inlineStr">
        <is>
          <t>Ratopati Hindi</t>
        </is>
      </c>
      <c r="H232" s="198" t="n">
        <v>46326</v>
      </c>
      <c r="I232" s="197" t="inlineStr">
        <is>
          <t>How should tunnel portals and underground works in steep river valleys be protected against flood and debris flow, and what failed in this case?
Check with: the Bhotekoshi hydropower project owner</t>
        </is>
      </c>
    </row>
    <row r="233" outlineLevel="1" ht="79" customHeight="1">
      <c r="A233" s="191" t="n">
        <v>96</v>
      </c>
      <c r="B233" s="192" t="n">
        <v>4</v>
      </c>
      <c r="C233" s="193" t="inlineStr">
        <is>
          <t>On Grand Paris Express Line 15 West, diaphragm wall works for the future Saint-Cloud station had to fit a tight site
(English headline translated by Claude · Original: Sur la ligne 15 ouest du Grand Paris Express, le chantier des parois moulées de la future gare de Saint-Cloud a dû se glisser dans un mouchoir de poche)</t>
        </is>
      </c>
      <c r="D233" s="194" t="inlineStr">
        <is>
          <t>Open article</t>
        </is>
      </c>
      <c r="E233" s="195" t="inlineStr">
        <is>
          <t>Feature lead</t>
        </is>
      </c>
      <c r="F233" s="196">
        <f>IFERROR(INDEX(Stories!$F$4:$F$357,MATCH($A233,Stories!$A$4:$A$357,0))&amp;"","")</f>
        <v/>
      </c>
      <c r="G233" s="197" t="inlineStr">
        <is>
          <t>Le Moniteur</t>
        </is>
      </c>
      <c r="H233" s="198" t="n">
        <v>46324</v>
      </c>
      <c r="I233" s="197" t="inlineStr">
        <is>
          <t>How are diaphragm walls designed and sequenced for a deep station excavation on a very confined urban site with neighbouring structures?
Check with: Société du Grand Paris</t>
        </is>
      </c>
    </row>
    <row r="234" outlineLevel="1" ht="66.5" customHeight="1">
      <c r="A234" s="191" t="n">
        <v>191</v>
      </c>
      <c r="B234" s="192" t="n">
        <v>4</v>
      </c>
      <c r="C234" s="193" t="inlineStr">
        <is>
          <t>Char Dham Yatra 2027 may bring pilgrims the Silkyara tunnel, cutting 26 km from the route
(English headline translated by Claude · Original: चारधाम यात्रा 2027 में यात्रियों को मिल सकती है सिलक्यारा टनल की सौगात, 26 किमी की दूरी होगी कम)</t>
        </is>
      </c>
      <c r="D234" s="194" t="inlineStr">
        <is>
          <t>Open article</t>
        </is>
      </c>
      <c r="E234" s="195" t="inlineStr">
        <is>
          <t>Feature lead</t>
        </is>
      </c>
      <c r="F234" s="196">
        <f>IFERROR(INDEX(Stories!$F$4:$F$357,MATCH($A234,Stories!$A$4:$A$357,0))&amp;"","")</f>
        <v/>
      </c>
      <c r="G234" s="197" t="inlineStr">
        <is>
          <t>ETV Bharat</t>
        </is>
      </c>
      <c r="H234" s="198" t="n">
        <v>46322</v>
      </c>
      <c r="I234" s="197" t="inlineStr">
        <is>
          <t>What ground-investigation and excavation lessons from the Silkyara collapse should guide tunnelling through weak Himalayan rock on this new route?
Check with: NHIDCL, the Uttarakhand highway project owner</t>
        </is>
      </c>
    </row>
    <row r="235" outlineLevel="1" ht="66.5" customHeight="1">
      <c r="A235" s="191" t="n">
        <v>231</v>
      </c>
      <c r="B235" s="192" t="n">
        <v>4</v>
      </c>
      <c r="C235" s="193" t="inlineStr">
        <is>
          <t>Cuernavaca city council announces temporary closure of Avenida Universidad for subsidence review
(English headline translated by Claude · Original: Anuncia Ayuntamiento de Cuernavaca cierre temporal de Avenida Universidad por revisión de hundimiento)</t>
        </is>
      </c>
      <c r="D235" s="194" t="inlineStr">
        <is>
          <t>Open article</t>
        </is>
      </c>
      <c r="E235" s="199" t="inlineStr">
        <is>
          <t>News brief</t>
        </is>
      </c>
      <c r="F235" s="196">
        <f>IFERROR(INDEX(Stories!$F$4:$F$357,MATCH($A235,Stories!$A$4:$A$357,0))&amp;"","")</f>
        <v/>
      </c>
      <c r="G235" s="197" t="inlineStr">
        <is>
          <t>La Jornada Morelos</t>
        </is>
      </c>
      <c r="H235" s="198" t="n">
        <v>46321</v>
      </c>
      <c r="I235" s="197" t="inlineStr">
        <is>
          <t>What ground or utility causes are behind the subsidence on Avenida Universidad, and what investigation should determine whether the road can safely reopen?
Check with: the Cuernavaca city council</t>
        </is>
      </c>
    </row>
    <row r="236" outlineLevel="1" ht="66.5" customHeight="1">
      <c r="A236" s="191" t="n">
        <v>232</v>
      </c>
      <c r="B236" s="192" t="n">
        <v>4</v>
      </c>
      <c r="C236" s="193"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236" s="194" t="inlineStr">
        <is>
          <t>Open article</t>
        </is>
      </c>
      <c r="E236" s="195" t="inlineStr">
        <is>
          <t>Feature lead</t>
        </is>
      </c>
      <c r="F236" s="196">
        <f>IFERROR(INDEX(Stories!$F$4:$F$357,MATCH($A236,Stories!$A$4:$A$357,0))&amp;"","")</f>
        <v/>
      </c>
      <c r="G236" s="197" t="inlineStr">
        <is>
          <t>Inh News</t>
        </is>
      </c>
      <c r="H236" s="198" t="n">
        <v>46321</v>
      </c>
      <c r="I236" s="197" t="inlineStr">
        <is>
          <t>What ground conditions and deep excavation methods are needed for a 30 m deep station and an undersea tunnel on India's first bullet train route?
Check with: NHSRCL (National High Speed Rail Corporation)</t>
        </is>
      </c>
    </row>
    <row r="237" outlineLevel="1" ht="66.5" customHeight="1">
      <c r="A237" s="191" t="n">
        <v>277</v>
      </c>
      <c r="B237" s="192" t="n">
        <v>4</v>
      </c>
      <c r="C237" s="193" t="inlineStr">
        <is>
          <t>Experts comment on the plan to level Mot mountain in Quy Nhon
(English headline translated by Claude · Original: Des experts s'expriment sur le projet de rasage du mont Mot à Quy Nhon.)</t>
        </is>
      </c>
      <c r="D237" s="194" t="inlineStr">
        <is>
          <t>Open article</t>
        </is>
      </c>
      <c r="E237" s="195" t="inlineStr">
        <is>
          <t>Feature lead</t>
        </is>
      </c>
      <c r="F237" s="196">
        <f>IFERROR(INDEX(Stories!$F$4:$F$357,MATCH($A237,Stories!$A$4:$A$357,0))&amp;"","")</f>
        <v/>
      </c>
      <c r="G237" s="197" t="inlineStr">
        <is>
          <t>Vietnam.vn</t>
        </is>
      </c>
      <c r="H237" s="198" t="n">
        <v>46320</v>
      </c>
      <c r="I237" s="197" t="inlineStr">
        <is>
          <t>What are the slope stability, rock-cutting and environmental trade-offs in levelling a granite mountain inside an urban area, and how should experts weigh them?</t>
        </is>
      </c>
    </row>
    <row r="238" outlineLevel="1" ht="66.5" customHeight="1">
      <c r="A238" s="191" t="n">
        <v>278</v>
      </c>
      <c r="B238" s="192" t="n">
        <v>4</v>
      </c>
      <c r="C238" s="193" t="inlineStr">
        <is>
          <t>Imperial advances planning of block caving method at Red Chris mine
(English headline translated by Claude · Original: Imperial avanza en la planificación del método de hundimiento por bloques en la mina Red Chris)</t>
        </is>
      </c>
      <c r="D238" s="194" t="inlineStr">
        <is>
          <t>Open article</t>
        </is>
      </c>
      <c r="E238" s="200" t="inlineStr">
        <is>
          <t>Academia-to-Industry topic</t>
        </is>
      </c>
      <c r="F238" s="196">
        <f>IFERROR(INDEX(Stories!$F$4:$F$357,MATCH($A238,Stories!$A$4:$A$357,0))&amp;"","")</f>
        <v/>
      </c>
      <c r="G238" s="197" t="inlineStr">
        <is>
          <t>MarketScreener España</t>
        </is>
      </c>
      <c r="H238" s="198" t="n">
        <v>46320</v>
      </c>
      <c r="I238" s="197" t="inlineStr">
        <is>
          <t>What geomechanical data and rock mass characterisation are needed to plan block caving sequences safely in a large porphyry copper mine?</t>
        </is>
      </c>
    </row>
    <row r="239" outlineLevel="1" ht="54" customHeight="1">
      <c r="A239" s="191" t="n">
        <v>337</v>
      </c>
      <c r="B239" s="192" t="n">
        <v>4</v>
      </c>
      <c r="C239" s="193" t="inlineStr">
        <is>
          <t>Ben Thanh - Tham Luong metro to have all 11 stations completed by end of 2026
(English headline translated by Claude · Original: Metro Bến Thành - Tham Lương cuối năm 2026 làm cả 11 nhà ga)</t>
        </is>
      </c>
      <c r="D239" s="194" t="inlineStr">
        <is>
          <t>Open article</t>
        </is>
      </c>
      <c r="E239" s="195" t="inlineStr">
        <is>
          <t>Feature lead</t>
        </is>
      </c>
      <c r="F239" s="196">
        <f>IFERROR(INDEX(Stories!$F$4:$F$357,MATCH($A239,Stories!$A$4:$A$357,0))&amp;"","")</f>
        <v/>
      </c>
      <c r="G239" s="197" t="inlineStr">
        <is>
          <t>VOH</t>
        </is>
      </c>
      <c r="H239" s="198" t="n">
        <v>46319</v>
      </c>
      <c r="I239" s="197" t="inlineStr">
        <is>
          <t>What ground conditions and deep excavation and tunnelling methods are used for metro stations in soft Ho Chi Minh City clays with high groundwater, and what risks follow?</t>
        </is>
      </c>
    </row>
    <row r="240" outlineLevel="1" ht="66.5" customHeight="1">
      <c r="A240" s="191" t="n">
        <v>99</v>
      </c>
      <c r="B240" s="192" t="n">
        <v>3</v>
      </c>
      <c r="C240" s="193" t="inlineStr">
        <is>
          <t>Autostrada installs new Herrenknecht equipment for Kyiv Metro TBM</t>
        </is>
      </c>
      <c r="D240" s="194" t="inlineStr">
        <is>
          <t>Open article</t>
        </is>
      </c>
      <c r="E240" s="199" t="inlineStr">
        <is>
          <t>News brief</t>
        </is>
      </c>
      <c r="F240" s="196">
        <f>IFERROR(INDEX(Stories!$F$4:$F$357,MATCH($A240,Stories!$A$4:$A$357,0))&amp;"","")</f>
        <v/>
      </c>
      <c r="G240" s="197" t="inlineStr">
        <is>
          <t>Tunnelling Journal</t>
        </is>
      </c>
      <c r="H240" s="198" t="n">
        <v>46324</v>
      </c>
      <c r="I240" s="197" t="inlineStr">
        <is>
          <t>How does TBM assembly and equipment choice affect ground control and settlement risk during running-tunnel excavation under a dense urban centre?
Check with: Kyiv Metropoliten and contractor Autostrada</t>
        </is>
      </c>
    </row>
    <row r="241" outlineLevel="1" ht="66.5" customHeight="1">
      <c r="A241" s="191" t="n">
        <v>24</v>
      </c>
      <c r="B241" s="192" t="n">
        <v>3</v>
      </c>
      <c r="C241" s="193" t="inlineStr">
        <is>
          <t>Retaining wall of 17-storey residential building collapsed in Ankara; foundation exposed, building evacuated
(English headline translated by Claude · Original: В Анкаре обрушилась подпорная стена 17-этажного жилого дома, фундамент обнажился! Здание эвакуировано)</t>
        </is>
      </c>
      <c r="D241" s="194" t="inlineStr">
        <is>
          <t>Open article</t>
        </is>
      </c>
      <c r="E241" s="199" t="inlineStr">
        <is>
          <t>News brief</t>
        </is>
      </c>
      <c r="F241" s="196">
        <f>IFERROR(INDEX(Stories!$F$4:$F$357,MATCH($A241,Stories!$A$4:$A$357,0))&amp;"","")</f>
        <v/>
      </c>
      <c r="G241" s="197" t="inlineStr">
        <is>
          <t>Haberler</t>
        </is>
      </c>
      <c r="H241" s="198" t="n">
        <v>46326</v>
      </c>
      <c r="I241" s="197" t="inlineStr">
        <is>
          <t>Why a retaining wall beside a 17-storey block failed and exposed its foundation, and how excavation support should be checked next to occupied buildings.
Check with: Ankara provincial authorities and the building developer</t>
        </is>
      </c>
    </row>
    <row r="242" outlineLevel="1" ht="41.5" customHeight="1">
      <c r="A242" s="191" t="n">
        <v>339</v>
      </c>
      <c r="B242" s="192" t="n">
        <v>3</v>
      </c>
      <c r="C242" s="193" t="inlineStr">
        <is>
          <t>Mobile shield deployed for A14 Vinci Tunnel reconstruction</t>
        </is>
      </c>
      <c r="D242" s="194" t="inlineStr">
        <is>
          <t>Open article</t>
        </is>
      </c>
      <c r="E242" s="199" t="inlineStr">
        <is>
          <t>News brief</t>
        </is>
      </c>
      <c r="F242" s="196">
        <f>IFERROR(INDEX(Stories!$F$4:$F$357,MATCH($A242,Stories!$A$4:$A$357,0))&amp;"","")</f>
        <v/>
      </c>
      <c r="G242" s="197" t="inlineStr">
        <is>
          <t>Tunnelling Journal</t>
        </is>
      </c>
      <c r="H242" s="198" t="n">
        <v>46319</v>
      </c>
      <c r="I242" s="197" t="inlineStr">
        <is>
          <t>How does a mobile shield enable tunnel reconstruction within an operating motorway tunnel, and what ground support issues arise?</t>
        </is>
      </c>
    </row>
    <row r="243" outlineLevel="1" ht="66.5" customHeight="1">
      <c r="A243" s="191" t="n">
        <v>28</v>
      </c>
      <c r="B243" s="192" t="n">
        <v>3</v>
      </c>
      <c r="C243" s="193" t="inlineStr">
        <is>
          <t>Spriana landslide: bypass excavation ready, works to finish in 2028
(English headline translated by Claude · Original: Frana di Spriana. Bypass, scavo pronto . Fine lavori nel 2028)</t>
        </is>
      </c>
      <c r="D243" s="194" t="inlineStr">
        <is>
          <t>Open article</t>
        </is>
      </c>
      <c r="E243" s="199" t="inlineStr">
        <is>
          <t>News brief</t>
        </is>
      </c>
      <c r="F243" s="196">
        <f>IFERROR(INDEX(Stories!$F$4:$F$357,MATCH($A243,Stories!$A$4:$A$357,0))&amp;"","")</f>
        <v/>
      </c>
      <c r="G243" s="197" t="inlineStr">
        <is>
          <t>Il Giorno</t>
        </is>
      </c>
      <c r="H243" s="198" t="n">
        <v>46326</v>
      </c>
      <c r="I243" s="197" t="inlineStr">
        <is>
          <t>How excavation for the Spriana bypass will affect the landslide-prone slope, and what stabilisation measures are needed before cutting into the hillside.
Check with: Municipality of Spriana and the Province of Sondrio</t>
        </is>
      </c>
    </row>
    <row r="244" outlineLevel="1" ht="66.5" customHeight="1">
      <c r="A244" s="191" t="n">
        <v>29</v>
      </c>
      <c r="B244" s="192" t="n">
        <v>3</v>
      </c>
      <c r="C244" s="193" t="inlineStr">
        <is>
          <t>Sochi bypass slope to be reinforced where landslides have occurred for several years
(English headline translated by Claude · Original: На обходе Сочи укрепят склон, на котором уже несколько лет сходят оползни)</t>
        </is>
      </c>
      <c r="D244" s="194" t="inlineStr">
        <is>
          <t>Open article</t>
        </is>
      </c>
      <c r="E244" s="199" t="inlineStr">
        <is>
          <t>News brief</t>
        </is>
      </c>
      <c r="F244" s="196">
        <f>IFERROR(INDEX(Stories!$F$4:$F$357,MATCH($A244,Stories!$A$4:$A$357,0))&amp;"","")</f>
        <v/>
      </c>
      <c r="G244" s="197" t="inlineStr">
        <is>
          <t>Кубань 24</t>
        </is>
      </c>
      <c r="H244" s="198" t="n">
        <v>46326</v>
      </c>
      <c r="I244" s="197" t="inlineStr">
        <is>
          <t>What stabilisation design is suited to a recurring landslide slope beside a road bypass, and how monitoring should verify its performance.
Check with: Rosavtodor federal road agency</t>
        </is>
      </c>
    </row>
    <row r="245" outlineLevel="1" ht="54" customHeight="1">
      <c r="A245" s="191" t="n">
        <v>30</v>
      </c>
      <c r="B245" s="192" t="n">
        <v>3</v>
      </c>
      <c r="C245" s="193" t="inlineStr">
        <is>
          <t>Aerial view of Crewkerne landslip in 2023 - An aerial view of the landslip at Crewkerne tunnel in 2023</t>
        </is>
      </c>
      <c r="D245" s="194" t="inlineStr">
        <is>
          <t>Open article</t>
        </is>
      </c>
      <c r="E245" s="195" t="inlineStr">
        <is>
          <t>Feature lead</t>
        </is>
      </c>
      <c r="F245" s="196">
        <f>IFERROR(INDEX(Stories!$F$4:$F$357,MATCH($A245,Stories!$A$4:$A$357,0))&amp;"","")</f>
        <v/>
      </c>
      <c r="G245" s="197" t="inlineStr">
        <is>
          <t>Network Rail media centre</t>
        </is>
      </c>
      <c r="H245" s="198" t="n">
        <v>46326</v>
      </c>
      <c r="I245" s="197" t="inlineStr">
        <is>
          <t>What caused the Crewkerne tunnel landslip, and how should cutting and embankment slopes beside a railway tunnel be monitored and stabilised?
Check with: Network Rail</t>
        </is>
      </c>
    </row>
    <row r="246" outlineLevel="1" ht="54" customHeight="1">
      <c r="A246" s="191" t="n">
        <v>60</v>
      </c>
      <c r="B246" s="192" t="n">
        <v>3</v>
      </c>
      <c r="C246" s="193" t="inlineStr">
        <is>
          <t>The Boring Co. to launch 3rd tunnel boring machine in Nashville</t>
        </is>
      </c>
      <c r="D246" s="194" t="inlineStr">
        <is>
          <t>Open article</t>
        </is>
      </c>
      <c r="E246" s="199" t="inlineStr">
        <is>
          <t>News brief</t>
        </is>
      </c>
      <c r="F246" s="196">
        <f>IFERROR(INDEX(Stories!$F$4:$F$357,MATCH($A246,Stories!$A$4:$A$357,0))&amp;"","")</f>
        <v/>
      </c>
      <c r="G246" s="197" t="inlineStr">
        <is>
          <t>Equipment World</t>
        </is>
      </c>
      <c r="H246" s="198" t="n">
        <v>46325</v>
      </c>
      <c r="I246" s="197" t="inlineStr">
        <is>
          <t>What ground conditions and tunnelling methods are used for small-diameter private tunnel machines in Nashville's geology?
Check with: The Boring Company</t>
        </is>
      </c>
    </row>
    <row r="247" outlineLevel="1" ht="66.5" customHeight="1">
      <c r="A247" s="191" t="n">
        <v>340</v>
      </c>
      <c r="B247" s="192" t="n">
        <v>3</v>
      </c>
      <c r="C247" s="193"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247" s="194" t="inlineStr">
        <is>
          <t>Open article</t>
        </is>
      </c>
      <c r="E247" s="195" t="inlineStr">
        <is>
          <t>Feature lead</t>
        </is>
      </c>
      <c r="F247" s="196">
        <f>IFERROR(INDEX(Stories!$F$4:$F$357,MATCH($A247,Stories!$A$4:$A$357,0))&amp;"","")</f>
        <v/>
      </c>
      <c r="G247" s="197" t="inlineStr">
        <is>
          <t>Vietnam.vn</t>
        </is>
      </c>
      <c r="H247" s="198" t="n">
        <v>46319</v>
      </c>
      <c r="I247" s="197" t="inlineStr">
        <is>
          <t>What geotechnical and heritage considerations should guide levelling versus preserving a rocky hill site in an urban coastal city?</t>
        </is>
      </c>
    </row>
    <row r="248" outlineLevel="1" ht="66.5" customHeight="1">
      <c r="A248" s="191" t="n">
        <v>31</v>
      </c>
      <c r="B248" s="192" t="n">
        <v>3</v>
      </c>
      <c r="C248" s="193" t="inlineStr">
        <is>
          <t>Risk of retaining wall collapse in San Antonio de Pichincha
(English headline translated by Claude · Original: Riesgo de colapso de muro de contención en San Antonio de Pichincha)</t>
        </is>
      </c>
      <c r="D248" s="194" t="inlineStr">
        <is>
          <t>Open article</t>
        </is>
      </c>
      <c r="E248" s="199" t="inlineStr">
        <is>
          <t>News brief</t>
        </is>
      </c>
      <c r="F248" s="196">
        <f>IFERROR(INDEX(Stories!$F$4:$F$357,MATCH($A248,Stories!$A$4:$A$357,0))&amp;"","")</f>
        <v/>
      </c>
      <c r="G248" s="197" t="inlineStr">
        <is>
          <t>Teleamazonas</t>
        </is>
      </c>
      <c r="H248" s="198" t="n">
        <v>46326</v>
      </c>
      <c r="I248" s="197" t="inlineStr">
        <is>
          <t>What distress signs indicate that a retaining wall is at risk of collapse, and how such walls should be assessed in hillside urban areas.
Check with: Quito Metropolitan Municipality</t>
        </is>
      </c>
    </row>
    <row r="249" outlineLevel="1" ht="79" customHeight="1">
      <c r="A249" s="191" t="n">
        <v>32</v>
      </c>
      <c r="B249" s="192" t="n">
        <v>3</v>
      </c>
      <c r="C249" s="193" t="inlineStr">
        <is>
          <t>Retaining wall of Istanbul construction site collapses at night; two buildings fail, 20 flats evacuated
(English headline translated by Claude · Original: Полночный кошмар в Стамбуле! Обрушилась подпорная стена стройки, в двух зданиях произошло обрушение: эвакуированы жители 20 квартир)</t>
        </is>
      </c>
      <c r="D249" s="194" t="inlineStr">
        <is>
          <t>Open article</t>
        </is>
      </c>
      <c r="E249" s="199" t="inlineStr">
        <is>
          <t>News brief</t>
        </is>
      </c>
      <c r="F249" s="196">
        <f>IFERROR(INDEX(Stories!$F$4:$F$357,MATCH($A249,Stories!$A$4:$A$357,0))&amp;"","")</f>
        <v/>
      </c>
      <c r="G249" s="197" t="inlineStr">
        <is>
          <t>Haberler</t>
        </is>
      </c>
      <c r="H249" s="198" t="n">
        <v>46326</v>
      </c>
      <c r="I249" s="197" t="inlineStr">
        <is>
          <t>Why a construction-site retaining wall failed at night and brought down neighbouring buildings, and how excavation support near existing structures should be checked.
Check with: Istanbul Metropolitan Municipality and the site developer</t>
        </is>
      </c>
    </row>
    <row r="250" outlineLevel="1" ht="66.5" customHeight="1">
      <c r="A250" s="191" t="n">
        <v>33</v>
      </c>
      <c r="B250" s="192" t="n">
        <v>3</v>
      </c>
      <c r="C250" s="193" t="inlineStr">
        <is>
          <t>Two workers killed after soil collapse at water pipeline site in central Japan</t>
        </is>
      </c>
      <c r="D250" s="194" t="inlineStr">
        <is>
          <t>Open article</t>
        </is>
      </c>
      <c r="E250" s="195" t="inlineStr">
        <is>
          <t>Feature lead</t>
        </is>
      </c>
      <c r="F250" s="196">
        <f>IFERROR(INDEX(Stories!$F$4:$F$357,MATCH($A250,Stories!$A$4:$A$357,0))&amp;"","")</f>
        <v/>
      </c>
      <c r="G250" s="197" t="inlineStr">
        <is>
          <t>Geoengineer.org</t>
        </is>
      </c>
      <c r="H250" s="198" t="n">
        <v>46326</v>
      </c>
      <c r="I250" s="197" t="inlineStr">
        <is>
          <t>What soil conditions and excavation support failures led to the trench collapse at the pipeline site, and how trench safety should be engineered in shallow ground.
Check with: The water utility and the contractor involved</t>
        </is>
      </c>
    </row>
    <row r="251" outlineLevel="1" ht="41.5" customHeight="1">
      <c r="A251" s="191" t="n">
        <v>67</v>
      </c>
      <c r="B251" s="192" t="n">
        <v>3</v>
      </c>
      <c r="C251" s="193" t="inlineStr">
        <is>
          <t>Thornton Road Bridge duplication: staging and geotechnical notes for engineers</t>
        </is>
      </c>
      <c r="D251" s="194" t="inlineStr">
        <is>
          <t>Open article</t>
        </is>
      </c>
      <c r="E251" s="200" t="inlineStr">
        <is>
          <t>Academia-to-Industry topic</t>
        </is>
      </c>
      <c r="F251" s="196">
        <f>IFERROR(INDEX(Stories!$F$4:$F$357,MATCH($A251,Stories!$A$4:$A$357,0))&amp;"","")</f>
        <v/>
      </c>
      <c r="G251" s="197" t="inlineStr">
        <is>
          <t>Geomechanics.io</t>
        </is>
      </c>
      <c r="H251" s="198" t="n">
        <v>46325</v>
      </c>
      <c r="I251" s="197" t="inlineStr">
        <is>
          <t>How should bridge-widening foundations and staged excavation be designed next to an existing structure on this site?</t>
        </is>
      </c>
    </row>
    <row r="252" outlineLevel="1" ht="54" customHeight="1">
      <c r="A252" s="191" t="n">
        <v>196</v>
      </c>
      <c r="B252" s="192" t="n">
        <v>3</v>
      </c>
      <c r="C252" s="193" t="inlineStr">
        <is>
          <t>United Utilities seeks design partner for £3.7bn Windermere scheme</t>
        </is>
      </c>
      <c r="D252" s="194" t="inlineStr">
        <is>
          <t>Open article</t>
        </is>
      </c>
      <c r="E252" s="199" t="inlineStr">
        <is>
          <t>News brief</t>
        </is>
      </c>
      <c r="F252" s="196">
        <f>IFERROR(INDEX(Stories!$F$4:$F$357,MATCH($A252,Stories!$A$4:$A$357,0))&amp;"","")</f>
        <v/>
      </c>
      <c r="G252" s="197" t="inlineStr">
        <is>
          <t>Tunnelling Journal</t>
        </is>
      </c>
      <c r="H252" s="198" t="n">
        <v>46322</v>
      </c>
      <c r="I252" s="197" t="inlineStr">
        <is>
          <t>What ground investigation and tunnelling risks should a design partner address on a large water-supply scheme in fractured Lake District geology?
Check with: United Utilities</t>
        </is>
      </c>
    </row>
    <row r="253" outlineLevel="1" ht="79" customHeight="1">
      <c r="A253" s="191" t="n">
        <v>233</v>
      </c>
      <c r="B253" s="192" t="n">
        <v>3</v>
      </c>
      <c r="C253" s="193"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253" s="194" t="inlineStr">
        <is>
          <t>Open article</t>
        </is>
      </c>
      <c r="E253" s="200" t="inlineStr">
        <is>
          <t>Academia-to-Industry topic</t>
        </is>
      </c>
      <c r="F253" s="196">
        <f>IFERROR(INDEX(Stories!$F$4:$F$357,MATCH($A253,Stories!$A$4:$A$357,0))&amp;"","")</f>
        <v/>
      </c>
      <c r="G253" s="197" t="inlineStr">
        <is>
          <t>한국일보</t>
        </is>
      </c>
      <c r="H253" s="198" t="n">
        <v>46321</v>
      </c>
      <c r="I253" s="197" t="inlineStr">
        <is>
          <t>Which field-proven ground investigation techniques could detect cavities and deteriorating foundations before sinkholes or elevated structure collapses occur?
Check with: the government ministry funding the disaster R&amp;D programme</t>
        </is>
      </c>
    </row>
    <row r="254" outlineLevel="1" ht="79" customHeight="1">
      <c r="A254" s="191" t="n">
        <v>34</v>
      </c>
      <c r="B254" s="192" t="n">
        <v>3</v>
      </c>
      <c r="C254" s="193" t="inlineStr">
        <is>
          <t>Hue: reconnecting landslide-damaged roads and raising transport infrastructure resilience
(English headline translated by Claude · Original: Hue : Reconnecter les routes endommagées par les glissements de terrain, accroître la résilience des infrastructures de transport.)</t>
        </is>
      </c>
      <c r="D254" s="194" t="inlineStr">
        <is>
          <t>Open article</t>
        </is>
      </c>
      <c r="E254" s="195" t="inlineStr">
        <is>
          <t>Feature lead</t>
        </is>
      </c>
      <c r="F254" s="196">
        <f>IFERROR(INDEX(Stories!$F$4:$F$357,MATCH($A254,Stories!$A$4:$A$357,0))&amp;"","")</f>
        <v/>
      </c>
      <c r="G254" s="197" t="inlineStr">
        <is>
          <t>Vietnam.vn</t>
        </is>
      </c>
      <c r="H254" s="198" t="n">
        <v>46326</v>
      </c>
      <c r="I254" s="197" t="inlineStr">
        <is>
          <t>How should landslide-damaged roads around Hue be repaired and designed to resist future slope failures and extreme rainfall?
Check with: Thua Thien Hue provincial transport department</t>
        </is>
      </c>
    </row>
    <row r="255" outlineLevel="1" ht="79" customHeight="1">
      <c r="A255" s="191" t="n">
        <v>35</v>
      </c>
      <c r="B255" s="192" t="n">
        <v>3</v>
      </c>
      <c r="C255" s="193" t="inlineStr">
        <is>
          <t>Traffic closed on section of National Route 28 hit by landslide during repairs
(English headline translated by Claude · Original: La circulation est fermée sur la portion de la route nationale 28 touchée par un glissement de terrain pendant la durée des réparations.)</t>
        </is>
      </c>
      <c r="D255" s="194" t="inlineStr">
        <is>
          <t>Open article</t>
        </is>
      </c>
      <c r="E255" s="199" t="inlineStr">
        <is>
          <t>News brief</t>
        </is>
      </c>
      <c r="F255" s="196">
        <f>IFERROR(INDEX(Stories!$F$4:$F$357,MATCH($A255,Stories!$A$4:$A$357,0))&amp;"","")</f>
        <v/>
      </c>
      <c r="G255" s="197" t="inlineStr">
        <is>
          <t>Vietnam.vn</t>
        </is>
      </c>
      <c r="H255" s="198" t="n">
        <v>46326</v>
      </c>
      <c r="I255" s="197" t="inlineStr">
        <is>
          <t>What caused the landslide on National Route 28 and what stabilisation is needed before the road reopens to traffic.
Check with: Vietnam Road Administration</t>
        </is>
      </c>
    </row>
    <row r="256" outlineLevel="1" ht="66.5" customHeight="1">
      <c r="A256" s="191" t="n">
        <v>36</v>
      </c>
      <c r="B256" s="192" t="n">
        <v>3</v>
      </c>
      <c r="C256" s="193" t="inlineStr">
        <is>
          <t>Rains open a sinkhole on Ilaló avenue and close the road to Conocoto.
(English headline translated by Claude · Original: Las lluvias abren un socavón en la avenida Ilaló y cierran el paso a Conocoto)</t>
        </is>
      </c>
      <c r="D256" s="194" t="inlineStr">
        <is>
          <t>Open article</t>
        </is>
      </c>
      <c r="E256" s="199" t="inlineStr">
        <is>
          <t>News brief</t>
        </is>
      </c>
      <c r="F256" s="196">
        <f>IFERROR(INDEX(Stories!$F$4:$F$357,MATCH($A256,Stories!$A$4:$A$357,0))&amp;"","")</f>
        <v/>
      </c>
      <c r="G256" s="197" t="inlineStr">
        <is>
          <t>El Comercio</t>
        </is>
      </c>
      <c r="H256" s="198" t="n">
        <v>46326</v>
      </c>
      <c r="I256" s="197" t="inlineStr">
        <is>
          <t>What causes urban road sinkholes after heavy rain on the Quito valley slopes, and how is the underground drainage assessed?
Check with: Quito metropolitan road authority</t>
        </is>
      </c>
    </row>
    <row r="257" outlineLevel="1" ht="66.5" customHeight="1">
      <c r="A257" s="191" t="n">
        <v>37</v>
      </c>
      <c r="B257" s="192" t="n">
        <v>3</v>
      </c>
      <c r="C257" s="193" t="inlineStr">
        <is>
          <t>Santo Domingo emergency committee orders immediate repair of the sinkhole on Esmeraldas avenue.
(English headline translated by Claude · Original: COE de Santo Domingo ordena reparar de manera inmediata el socavón de la avenida Esmeraldas)</t>
        </is>
      </c>
      <c r="D257" s="194" t="inlineStr">
        <is>
          <t>Open article</t>
        </is>
      </c>
      <c r="E257" s="199" t="inlineStr">
        <is>
          <t>News brief</t>
        </is>
      </c>
      <c r="F257" s="196">
        <f>IFERROR(INDEX(Stories!$F$4:$F$357,MATCH($A257,Stories!$A$4:$A$357,0))&amp;"","")</f>
        <v/>
      </c>
      <c r="G257" s="197" t="inlineStr">
        <is>
          <t>El Diario Ecuador</t>
        </is>
      </c>
      <c r="H257" s="198" t="n">
        <v>46326</v>
      </c>
      <c r="I257" s="197" t="inlineStr">
        <is>
          <t>What investigation is needed to find the cause of a sinkhole in an urban avenue before it is repaired?
Check with: Santo Domingo municipality</t>
        </is>
      </c>
    </row>
    <row r="258" outlineLevel="1" ht="66.5" customHeight="1">
      <c r="A258" s="191" t="n">
        <v>38</v>
      </c>
      <c r="B258" s="192" t="n">
        <v>3</v>
      </c>
      <c r="C258" s="193" t="inlineStr">
        <is>
          <t>Government addresses sinkhole on Segundo Periférico; seeks lasting solution under Plan Fluye.
(English headline translated by Claude · Original: Atiende Gobierno de Betzabé Martínez socavón en el Segundo Periférico; buscan solución de fondo con el Plan Fluye)</t>
        </is>
      </c>
      <c r="D258" s="194" t="inlineStr">
        <is>
          <t>Open article</t>
        </is>
      </c>
      <c r="E258" s="199" t="inlineStr">
        <is>
          <t>News brief</t>
        </is>
      </c>
      <c r="F258" s="196">
        <f>IFERROR(INDEX(Stories!$F$4:$F$357,MATCH($A258,Stories!$A$4:$A$357,0))&amp;"","")</f>
        <v/>
      </c>
      <c r="G258" s="197" t="inlineStr">
        <is>
          <t>El Sol de México</t>
        </is>
      </c>
      <c r="H258" s="198" t="n">
        <v>46326</v>
      </c>
      <c r="I258" s="197" t="inlineStr">
        <is>
          <t>What ground investigation and drainage work should underpin a lasting fix for a recurring sinkhole on a major urban ring road?
Check with: the local government running the Plan Fluye works</t>
        </is>
      </c>
    </row>
    <row r="259" outlineLevel="1" ht="66.5" customHeight="1">
      <c r="A259" s="191" t="n">
        <v>39</v>
      </c>
      <c r="B259" s="192" t="n">
        <v>3</v>
      </c>
      <c r="C259" s="193" t="inlineStr">
        <is>
          <t>Sinkhole swallows a taxi after heavy rain in La Hacienda residential area of Torreón.
(English headline translated by Claude · Original: Socavón 'se traga' un taxi tras fuertes lluvias en Residencial La Hacienda de Torreón)</t>
        </is>
      </c>
      <c r="D259" s="194" t="inlineStr">
        <is>
          <t>Open article</t>
        </is>
      </c>
      <c r="E259" s="199" t="inlineStr">
        <is>
          <t>News brief</t>
        </is>
      </c>
      <c r="F259" s="196">
        <f>IFERROR(INDEX(Stories!$F$4:$F$357,MATCH($A259,Stories!$A$4:$A$357,0))&amp;"","")</f>
        <v/>
      </c>
      <c r="G259" s="197" t="inlineStr">
        <is>
          <t>Telediario</t>
        </is>
      </c>
      <c r="H259" s="198" t="n">
        <v>46326</v>
      </c>
      <c r="I259" s="197" t="inlineStr">
        <is>
          <t>What causes a sinkhole to open under a street in a residential estate after heavy rain, and what checks are needed in ground with old pipelines?
Check with: Torreón municipal government</t>
        </is>
      </c>
    </row>
    <row r="260" outlineLevel="1" ht="66.5" customHeight="1">
      <c r="A260" s="191" t="n">
        <v>73</v>
      </c>
      <c r="B260" s="192" t="n">
        <v>3</v>
      </c>
      <c r="C260" s="193" t="inlineStr">
        <is>
          <t>Major repair of retaining walls on Admiral Oktyabrsky Street fully completed.
(English headline translated by Claude · Original: Капремонт подпорных стен на улице Адмирала Октябрьского полностью завершен)</t>
        </is>
      </c>
      <c r="D260" s="194" t="inlineStr">
        <is>
          <t>Open article</t>
        </is>
      </c>
      <c r="E260" s="199" t="inlineStr">
        <is>
          <t>News brief</t>
        </is>
      </c>
      <c r="F260" s="196">
        <f>IFERROR(INDEX(Stories!$F$4:$F$357,MATCH($A260,Stories!$A$4:$A$357,0))&amp;"","")</f>
        <v/>
      </c>
      <c r="G260" s="197" t="inlineStr">
        <is>
          <t>Севастопольская газета Объектив. Новости Севастополя онлайн</t>
        </is>
      </c>
      <c r="H260" s="198" t="n">
        <v>46325</v>
      </c>
      <c r="I260" s="197" t="inlineStr">
        <is>
          <t>What design and construction choices make the retaining wall repair durable on a slope-supported urban street?
Check with: Sevastopol city administration</t>
        </is>
      </c>
    </row>
    <row r="261" outlineLevel="1" ht="66.5" customHeight="1">
      <c r="A261" s="191" t="n">
        <v>74</v>
      </c>
      <c r="B261" s="192" t="n">
        <v>3</v>
      </c>
      <c r="C261" s="193" t="inlineStr">
        <is>
          <t>News - Outside the window - Retaining wall on Adasko Street in Istra: from emergency masonry to monolithic concrete.
(English headline translated by Claude · Original: Новости - За окном - Подпорная стена на улице Адасько в Истре: от аварийной кладки — к монолитному бетону)</t>
        </is>
      </c>
      <c r="D261" s="194" t="inlineStr">
        <is>
          <t>Open article</t>
        </is>
      </c>
      <c r="E261" s="199" t="inlineStr">
        <is>
          <t>News brief</t>
        </is>
      </c>
      <c r="F261" s="196">
        <f>IFERROR(INDEX(Stories!$F$4:$F$357,MATCH($A261,Stories!$A$4:$A$357,0))&amp;"","")</f>
        <v/>
      </c>
      <c r="G261" s="197" t="inlineStr">
        <is>
          <t>Истра.РФ</t>
        </is>
      </c>
      <c r="H261" s="198" t="n">
        <v>46325</v>
      </c>
      <c r="I261" s="197" t="inlineStr">
        <is>
          <t>What ground and drainage factors caused the masonry retaining wall to fail, and what does the switch to monolithic concrete imply for design?
Check with: Istra municipal administration</t>
        </is>
      </c>
    </row>
    <row r="262" outlineLevel="1" ht="54" customHeight="1">
      <c r="A262" s="191" t="n">
        <v>112</v>
      </c>
      <c r="B262" s="192" t="n">
        <v>3</v>
      </c>
      <c r="C262" s="193" t="inlineStr">
        <is>
          <t>Seongnam councillor Kim Jong-hwan inspects Unjung-dong reinforced soil retaining wall and bridge repairs
(English headline translated by Claude · Original: 김종환 성남시의원, 운중동 녹화보강토 옹벽과 교량 보수 현장 점검)</t>
        </is>
      </c>
      <c r="D262" s="194" t="inlineStr">
        <is>
          <t>Open article</t>
        </is>
      </c>
      <c r="E262" s="199" t="inlineStr">
        <is>
          <t>News brief</t>
        </is>
      </c>
      <c r="F262" s="196">
        <f>IFERROR(INDEX(Stories!$F$4:$F$357,MATCH($A262,Stories!$A$4:$A$357,0))&amp;"","")</f>
        <v/>
      </c>
      <c r="G262" s="197" t="inlineStr">
        <is>
          <t>매일일보</t>
        </is>
      </c>
      <c r="H262" s="198" t="n">
        <v>46324</v>
      </c>
      <c r="I262" s="197" t="inlineStr">
        <is>
          <t>How are reinforced soil retaining walls inspected and repaired once they show distress alongside bridge works?
Check with: Seongnam City Council</t>
        </is>
      </c>
    </row>
    <row r="263" outlineLevel="1" ht="66.5" customHeight="1">
      <c r="A263" s="191" t="n">
        <v>150</v>
      </c>
      <c r="B263" s="192" t="n">
        <v>3</v>
      </c>
      <c r="C263" s="193" t="inlineStr">
        <is>
          <t>Landslide forces partial closure of road between Tolima and Quindío at Alto de La Línea
(English headline translated by Claude · Original: Deslizamiento obliga al cierre parcial de la vía entre Tolima y Quindío por el Alto de La Línea)</t>
        </is>
      </c>
      <c r="D263" s="194" t="inlineStr">
        <is>
          <t>Open article</t>
        </is>
      </c>
      <c r="E263" s="199" t="inlineStr">
        <is>
          <t>News brief</t>
        </is>
      </c>
      <c r="F263" s="196">
        <f>IFERROR(INDEX(Stories!$F$4:$F$357,MATCH($A263,Stories!$A$4:$A$357,0))&amp;"","")</f>
        <v/>
      </c>
      <c r="G263" s="197" t="inlineStr">
        <is>
          <t>Tolima Online</t>
        </is>
      </c>
      <c r="H263" s="198" t="n">
        <v>46323</v>
      </c>
      <c r="I263" s="197" t="inlineStr">
        <is>
          <t>What slope stability problems keep a mountain highway vulnerable to landslides, and how should partial closures be managed?
Check with: Invías national road agency</t>
        </is>
      </c>
    </row>
    <row r="264" outlineLevel="1" ht="66.5" customHeight="1">
      <c r="A264" s="191" t="n">
        <v>151</v>
      </c>
      <c r="B264" s="192" t="n">
        <v>3</v>
      </c>
      <c r="C264" s="193" t="inlineStr">
        <is>
          <t>Sinkhole at Tapaila bridge suspends traffic on Rioverde-Esmeraldas road
(English headline translated by Claude · Original: Socavón en el puente de Tapaila suspende el tránsito en la vía Rioverde-Esmeraldas)</t>
        </is>
      </c>
      <c r="D264" s="194" t="inlineStr">
        <is>
          <t>Open article</t>
        </is>
      </c>
      <c r="E264" s="199" t="inlineStr">
        <is>
          <t>News brief</t>
        </is>
      </c>
      <c r="F264" s="196">
        <f>IFERROR(INDEX(Stories!$F$4:$F$357,MATCH($A264,Stories!$A$4:$A$357,0))&amp;"","")</f>
        <v/>
      </c>
      <c r="G264" s="197" t="inlineStr">
        <is>
          <t>El Universo</t>
        </is>
      </c>
      <c r="H264" s="198" t="n">
        <v>46323</v>
      </c>
      <c r="I264" s="197" t="inlineStr">
        <is>
          <t>What ground loss beneath a bridge approach could produce a sinkhole, and how should foundations be inspected after such failures?
Check with: Ecuador's transport ministry (MTOP)</t>
        </is>
      </c>
    </row>
    <row r="265" outlineLevel="1" ht="66.5" customHeight="1">
      <c r="A265" s="191" t="n">
        <v>152</v>
      </c>
      <c r="B265" s="192" t="n">
        <v>3</v>
      </c>
      <c r="C265" s="193" t="inlineStr">
        <is>
          <t>Sinkhole on General I. Martínez street poses risk to drivers in San Luis Potosí
(English headline translated by Claude · Original: Socavón en la calle General I. Martínez representa riesgo para automovilistas en SLP)</t>
        </is>
      </c>
      <c r="D265" s="194" t="inlineStr">
        <is>
          <t>Open article</t>
        </is>
      </c>
      <c r="E265" s="199" t="inlineStr">
        <is>
          <t>News brief</t>
        </is>
      </c>
      <c r="F265" s="196">
        <f>IFERROR(INDEX(Stories!$F$4:$F$357,MATCH($A265,Stories!$A$4:$A$357,0))&amp;"","")</f>
        <v/>
      </c>
      <c r="G265" s="197" t="inlineStr">
        <is>
          <t>El Sol de México</t>
        </is>
      </c>
      <c r="H265" s="198" t="n">
        <v>46323</v>
      </c>
      <c r="I265" s="197" t="inlineStr">
        <is>
          <t>What causes urban sinkholes from leaking pipes and erosion beneath streets, and how should they be investigated?
Check with: San Luis Potosí municipal government</t>
        </is>
      </c>
    </row>
    <row r="266" outlineLevel="1" ht="66.5" customHeight="1">
      <c r="A266" s="191" t="n">
        <v>153</v>
      </c>
      <c r="B266" s="192" t="n">
        <v>3</v>
      </c>
      <c r="C266" s="193" t="inlineStr">
        <is>
          <t>Agua y Drenaje sinkhole still causing traffic chaos in Santa Catarina a month later
(English headline translated by Claude · Original: El socavón de Agua y Drenaje sigue causando caos vial en Santa Catarina un mes después)</t>
        </is>
      </c>
      <c r="D266" s="194" t="inlineStr">
        <is>
          <t>Open article</t>
        </is>
      </c>
      <c r="E266" s="199" t="inlineStr">
        <is>
          <t>News brief</t>
        </is>
      </c>
      <c r="F266" s="196">
        <f>IFERROR(INDEX(Stories!$F$4:$F$357,MATCH($A266,Stories!$A$4:$A$357,0))&amp;"","")</f>
        <v/>
      </c>
      <c r="G266" s="197" t="inlineStr">
        <is>
          <t>MVS Noticias</t>
        </is>
      </c>
      <c r="H266" s="198" t="n">
        <v>46323</v>
      </c>
      <c r="I266" s="197" t="inlineStr">
        <is>
          <t>Why do utility-trench sinkholes persist for weeks, and what repair and backfill practices shorten closure times?
Check with: Agua y Drenaje de Monterrey water utility</t>
        </is>
      </c>
    </row>
    <row r="267" outlineLevel="1" ht="66.5" customHeight="1">
      <c r="A267" s="191" t="n">
        <v>154</v>
      </c>
      <c r="B267" s="192" t="n">
        <v>3</v>
      </c>
      <c r="C267" s="193" t="inlineStr">
        <is>
          <t>Sinkhole threatens a house in Barragán urbanisation, Santo Domingo
(English headline translated by Claude · Original: Socavón amenaza una vivienda en la urbanización Barragán, en Santo Domingo)</t>
        </is>
      </c>
      <c r="D267" s="194" t="inlineStr">
        <is>
          <t>Open article</t>
        </is>
      </c>
      <c r="E267" s="199" t="inlineStr">
        <is>
          <t>News brief</t>
        </is>
      </c>
      <c r="F267" s="196">
        <f>IFERROR(INDEX(Stories!$F$4:$F$357,MATCH($A267,Stories!$A$4:$A$357,0))&amp;"","")</f>
        <v/>
      </c>
      <c r="G267" s="197" t="inlineStr">
        <is>
          <t>El Diario Ecuador</t>
        </is>
      </c>
      <c r="H267" s="198" t="n">
        <v>46323</v>
      </c>
      <c r="I267" s="197" t="inlineStr">
        <is>
          <t>What causes a sinkhole to approach a house foundation in an urbanisation, and what investigation is needed before repair?
Check with: Santo Domingo municipal government</t>
        </is>
      </c>
    </row>
    <row r="268" outlineLevel="1" ht="41.5" customHeight="1">
      <c r="A268" s="191" t="n">
        <v>155</v>
      </c>
      <c r="B268" s="192" t="n">
        <v>3</v>
      </c>
      <c r="C268" s="193" t="inlineStr">
        <is>
          <t>Pickup truck falls into sinkhole on Alfredo Orta street
(English headline translated by Claude · Original: Cae camioneta en socavón de calle Alfredo Orta)</t>
        </is>
      </c>
      <c r="D268" s="194" t="inlineStr">
        <is>
          <t>Open article</t>
        </is>
      </c>
      <c r="E268" s="199" t="inlineStr">
        <is>
          <t>News brief</t>
        </is>
      </c>
      <c r="F268" s="196">
        <f>IFERROR(INDEX(Stories!$F$4:$F$357,MATCH($A268,Stories!$A$4:$A$357,0))&amp;"","")</f>
        <v/>
      </c>
      <c r="G268" s="197" t="inlineStr">
        <is>
          <t>Norte de Ciudad Juárez</t>
        </is>
      </c>
      <c r="H268" s="198" t="n">
        <v>46323</v>
      </c>
      <c r="I268" s="197" t="inlineStr">
        <is>
          <t>What caused the road to collapse under a vehicle, and what subsurface survey would confirm the cavity?
Check with: Ciudad Juárez municipal government</t>
        </is>
      </c>
    </row>
    <row r="269" outlineLevel="1" ht="66.5" customHeight="1">
      <c r="A269" s="191" t="n">
        <v>156</v>
      </c>
      <c r="B269" s="192" t="n">
        <v>3</v>
      </c>
      <c r="C269" s="193" t="inlineStr">
        <is>
          <t>Sinkhole alert in Huauchinango; residents demand urgent attention
(English headline translated by Claude · Original: Alerta por socavón en Huauchinango; vecinos exigen atención urgente)</t>
        </is>
      </c>
      <c r="D269" s="194" t="inlineStr">
        <is>
          <t>Open article</t>
        </is>
      </c>
      <c r="E269" s="199" t="inlineStr">
        <is>
          <t>News brief</t>
        </is>
      </c>
      <c r="F269" s="196">
        <f>IFERROR(INDEX(Stories!$F$4:$F$357,MATCH($A269,Stories!$A$4:$A$357,0))&amp;"","")</f>
        <v/>
      </c>
      <c r="G269" s="197" t="inlineStr">
        <is>
          <t>El Popular, periodismo con causa</t>
        </is>
      </c>
      <c r="H269" s="198" t="n">
        <v>46323</v>
      </c>
      <c r="I269" s="197" t="inlineStr">
        <is>
          <t>What subsurface conditions could cause this sinkhole, and how should the municipality prioritise investigation and repair?
Check with: Huauchinango municipal government</t>
        </is>
      </c>
    </row>
    <row r="270" outlineLevel="1" ht="54" customHeight="1">
      <c r="A270" s="191" t="n">
        <v>157</v>
      </c>
      <c r="B270" s="192" t="n">
        <v>3</v>
      </c>
      <c r="C270" s="193" t="inlineStr">
        <is>
          <t>Sinkhole of over 100 metres in Mazatlán still unguarded
(English headline translated by Claude · Original: Aún sin vigilancia la zona del socavón de más de 100 metros en Mazatlán)</t>
        </is>
      </c>
      <c r="D270" s="194" t="inlineStr">
        <is>
          <t>Open article</t>
        </is>
      </c>
      <c r="E270" s="199" t="inlineStr">
        <is>
          <t>News brief</t>
        </is>
      </c>
      <c r="F270" s="196">
        <f>IFERROR(INDEX(Stories!$F$4:$F$357,MATCH($A270,Stories!$A$4:$A$357,0))&amp;"","")</f>
        <v/>
      </c>
      <c r="G270" s="197" t="inlineStr">
        <is>
          <t>Debate</t>
        </is>
      </c>
      <c r="H270" s="198" t="n">
        <v>46323</v>
      </c>
      <c r="I270" s="197" t="inlineStr">
        <is>
          <t>How should unguarded large sinkholes be assessed and fenced while their cause and extent remain unknown?
Check with: Mazatlán municipal government</t>
        </is>
      </c>
    </row>
    <row r="271" outlineLevel="1" ht="54" customHeight="1">
      <c r="A271" s="191" t="n">
        <v>158</v>
      </c>
      <c r="B271" s="192" t="n">
        <v>3</v>
      </c>
      <c r="C271" s="193" t="inlineStr">
        <is>
          <t>'Forgotten' risky sinkhole in Guadalupe for two years!
(English headline translated by Claude · Original: 'Olvidan' socavón de riesgo en Guadalupe ¡por 2 años!)</t>
        </is>
      </c>
      <c r="D271" s="194" t="inlineStr">
        <is>
          <t>Open article</t>
        </is>
      </c>
      <c r="E271" s="199" t="inlineStr">
        <is>
          <t>News brief</t>
        </is>
      </c>
      <c r="F271" s="196">
        <f>IFERROR(INDEX(Stories!$F$4:$F$357,MATCH($A271,Stories!$A$4:$A$357,0))&amp;"","")</f>
        <v/>
      </c>
      <c r="G271" s="197" t="inlineStr">
        <is>
          <t>El Norte</t>
        </is>
      </c>
      <c r="H271" s="198" t="n">
        <v>46323</v>
      </c>
      <c r="I271" s="197" t="inlineStr">
        <is>
          <t>Why does a known sinkhole remain unrepaired for two years, and what risk assessment should have prompted action?
Check with: Guadalupe municipal government</t>
        </is>
      </c>
    </row>
    <row r="272" outlineLevel="1" ht="54" customHeight="1">
      <c r="A272" s="191" t="n">
        <v>159</v>
      </c>
      <c r="B272" s="192" t="n">
        <v>3</v>
      </c>
      <c r="C272" s="193" t="inlineStr">
        <is>
          <t>Sinkhole swallows garbage truck in Campestre Virreyes
(English headline translated by Claude · Original: Socavón se 'traga' un camión de basura en Campestre Virreyes)</t>
        </is>
      </c>
      <c r="D272" s="194" t="inlineStr">
        <is>
          <t>Open article</t>
        </is>
      </c>
      <c r="E272" s="199" t="inlineStr">
        <is>
          <t>News brief</t>
        </is>
      </c>
      <c r="F272" s="196">
        <f>IFERROR(INDEX(Stories!$F$4:$F$357,MATCH($A272,Stories!$A$4:$A$357,0))&amp;"","")</f>
        <v/>
      </c>
      <c r="G272" s="197" t="inlineStr">
        <is>
          <t>El Diario</t>
        </is>
      </c>
      <c r="H272" s="198" t="n">
        <v>46323</v>
      </c>
      <c r="I272" s="197" t="inlineStr">
        <is>
          <t>What ground voids could swallow a heavy truck on a residential street, and how should such cavities be detected?
Check with: municipal government</t>
        </is>
      </c>
    </row>
    <row r="273" outlineLevel="1" ht="66.5" customHeight="1">
      <c r="A273" s="191" t="n">
        <v>160</v>
      </c>
      <c r="B273" s="192" t="n">
        <v>3</v>
      </c>
      <c r="C273" s="193" t="inlineStr">
        <is>
          <t>How long? Sinkhole unrepaired for three months on Avenida del Mar, complicating traffic in La Serena
(English headline translated by Claude · Original: ¿Hasta cuándo? Socavón lleva tres meses sin reparación en Avenida del Mar y complica el tránsito en La Serena)</t>
        </is>
      </c>
      <c r="D273" s="194" t="inlineStr">
        <is>
          <t>Open article</t>
        </is>
      </c>
      <c r="E273" s="199" t="inlineStr">
        <is>
          <t>News brief</t>
        </is>
      </c>
      <c r="F273" s="196">
        <f>IFERROR(INDEX(Stories!$F$4:$F$357,MATCH($A273,Stories!$A$4:$A$357,0))&amp;"","")</f>
        <v/>
      </c>
      <c r="G273" s="197" t="inlineStr">
        <is>
          <t>Mi Radio</t>
        </is>
      </c>
      <c r="H273" s="198" t="n">
        <v>46323</v>
      </c>
      <c r="I273" s="197" t="inlineStr">
        <is>
          <t>Why does a sinkhole remain unrepaired for three months on an urban avenue, and what temporary stabilisation is needed?
Check with: La Serena municipality</t>
        </is>
      </c>
    </row>
    <row r="274" outlineLevel="1" ht="54" customHeight="1">
      <c r="A274" s="191" t="n">
        <v>198</v>
      </c>
      <c r="B274" s="192" t="n">
        <v>3</v>
      </c>
      <c r="C274" s="193" t="inlineStr">
        <is>
          <t>Aneka Jaringan Unit Bags MYR53 Million Bored Piling Works Deal</t>
        </is>
      </c>
      <c r="D274" s="194" t="inlineStr">
        <is>
          <t>Open article</t>
        </is>
      </c>
      <c r="E274" s="199" t="inlineStr">
        <is>
          <t>News brief</t>
        </is>
      </c>
      <c r="F274" s="196">
        <f>IFERROR(INDEX(Stories!$F$4:$F$357,MATCH($A274,Stories!$A$4:$A$357,0))&amp;"","")</f>
        <v/>
      </c>
      <c r="G274" s="197" t="inlineStr">
        <is>
          <t>www.marketscreener.com</t>
        </is>
      </c>
      <c r="H274" s="198" t="n">
        <v>46322</v>
      </c>
      <c r="I274" s="197" t="inlineStr">
        <is>
          <t>How do bored pile design and ground conditions in Kuala Lumpur's sedimentary profiles influence cost and risk on high-rise projects?
Check with: Aneka Jaringan Holdings</t>
        </is>
      </c>
    </row>
    <row r="275" outlineLevel="1" ht="54" customHeight="1">
      <c r="A275" s="191" t="n">
        <v>199</v>
      </c>
      <c r="B275" s="192" t="n">
        <v>3</v>
      </c>
      <c r="C275" s="193" t="inlineStr">
        <is>
          <t>Econpile bags RM24m piling contract for 53-storey KL development</t>
        </is>
      </c>
      <c r="D275" s="194" t="inlineStr">
        <is>
          <t>Open article</t>
        </is>
      </c>
      <c r="E275" s="199" t="inlineStr">
        <is>
          <t>News brief</t>
        </is>
      </c>
      <c r="F275" s="196">
        <f>IFERROR(INDEX(Stories!$F$4:$F$357,MATCH($A275,Stories!$A$4:$A$357,0))&amp;"","")</f>
        <v/>
      </c>
      <c r="G275" s="197" t="inlineStr">
        <is>
          <t>The Malaysian Reserve</t>
        </is>
      </c>
      <c r="H275" s="198" t="n">
        <v>46322</v>
      </c>
      <c r="I275" s="197" t="inlineStr">
        <is>
          <t>What ground investigation and pile testing are needed for a 53-storey tower on Kuala Lumpur ground, and how do they shape the piling contract?
Check with: Econpile Holdings</t>
        </is>
      </c>
    </row>
    <row r="276" outlineLevel="1" ht="54" customHeight="1">
      <c r="A276" s="191" t="n">
        <v>200</v>
      </c>
      <c r="B276" s="192" t="n">
        <v>3</v>
      </c>
      <c r="C276" s="193" t="inlineStr">
        <is>
          <t>Econpile secures RM24.4 million piling works contract for Kuala Lumpur serviced apartment project</t>
        </is>
      </c>
      <c r="D276" s="194" t="inlineStr">
        <is>
          <t>Open article</t>
        </is>
      </c>
      <c r="E276" s="205" t="inlineStr">
        <is>
          <t>Watch only</t>
        </is>
      </c>
      <c r="F276" s="196">
        <f>IFERROR(INDEX(Stories!$F$4:$F$357,MATCH($A276,Stories!$A$4:$A$357,0))&amp;"","")</f>
        <v/>
      </c>
      <c r="G276" s="197" t="inlineStr">
        <is>
          <t>Traders Union</t>
        </is>
      </c>
      <c r="H276" s="198" t="n">
        <v>46322</v>
      </c>
      <c r="I276" s="197" t="inlineStr">
        <is>
          <t>How does a piling works contract for a serviced apartment project reflect site ground conditions and the choice of pile type in Kuala Lumpur?
Check with: Econpile Holdings</t>
        </is>
      </c>
    </row>
    <row r="277" outlineLevel="1" ht="66.5" customHeight="1">
      <c r="A277" s="191" t="n">
        <v>201</v>
      </c>
      <c r="B277" s="192" t="n">
        <v>3</v>
      </c>
      <c r="C277" s="193" t="inlineStr">
        <is>
          <t>Aneka Jaringan secures RM53.35 mil piling contract for IOI Properties project</t>
        </is>
      </c>
      <c r="D277" s="194" t="inlineStr">
        <is>
          <t>Open article</t>
        </is>
      </c>
      <c r="E277" s="205" t="inlineStr">
        <is>
          <t>Watch only</t>
        </is>
      </c>
      <c r="F277" s="196">
        <f>IFERROR(INDEX(Stories!$F$4:$F$357,MATCH($A277,Stories!$A$4:$A$357,0))&amp;"","")</f>
        <v/>
      </c>
      <c r="G277" s="197" t="inlineStr">
        <is>
          <t>KLSE Screener</t>
        </is>
      </c>
      <c r="H277" s="198" t="n">
        <v>46322</v>
      </c>
      <c r="I277" s="197" t="inlineStr">
        <is>
          <t>What ground conditions and pile design choices drive the piling scope on this IOI Properties development in Malaysia?
Check with: Aneka Jaringan Holdings and IOI Properties</t>
        </is>
      </c>
    </row>
    <row r="278" outlineLevel="1" ht="66.5" customHeight="1">
      <c r="A278" s="191" t="n">
        <v>237</v>
      </c>
      <c r="B278" s="192" t="n">
        <v>3</v>
      </c>
      <c r="C278" s="193"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278" s="194" t="inlineStr">
        <is>
          <t>Open article</t>
        </is>
      </c>
      <c r="E278" s="199" t="inlineStr">
        <is>
          <t>News brief</t>
        </is>
      </c>
      <c r="F278" s="196">
        <f>IFERROR(INDEX(Stories!$F$4:$F$357,MATCH($A278,Stories!$A$4:$A$357,0))&amp;"","")</f>
        <v/>
      </c>
      <c r="G278" s="197" t="inlineStr">
        <is>
          <t>Новости Воронежа интернет-газета</t>
        </is>
      </c>
      <c r="H278" s="198" t="n">
        <v>46321</v>
      </c>
      <c r="I278" s="197" t="inlineStr">
        <is>
          <t>What ground conditions and excavation support measures govern safe repair of a buried collector in soft urban soils?
Check with: Voronezh city water utility (Voronezhvodokanal)</t>
        </is>
      </c>
    </row>
    <row r="279" outlineLevel="1" ht="66.5" customHeight="1">
      <c r="A279" s="191" t="n">
        <v>238</v>
      </c>
      <c r="B279" s="192" t="n">
        <v>3</v>
      </c>
      <c r="C279" s="193" t="inlineStr">
        <is>
          <t>Alóag-Santo Domingo road has controlled passage after landslide at km 35
(English headline translated by Claude · Original: Vía Alóag-Santo Domingo tiene paso controlado tras deslizamiento en el km 35)</t>
        </is>
      </c>
      <c r="D279" s="194" t="inlineStr">
        <is>
          <t>Open article</t>
        </is>
      </c>
      <c r="E279" s="199" t="inlineStr">
        <is>
          <t>News brief</t>
        </is>
      </c>
      <c r="F279" s="196">
        <f>IFERROR(INDEX(Stories!$F$4:$F$357,MATCH($A279,Stories!$A$4:$A$357,0))&amp;"","")</f>
        <v/>
      </c>
      <c r="G279" s="197" t="inlineStr">
        <is>
          <t>El Comercio</t>
        </is>
      </c>
      <c r="H279" s="198" t="n">
        <v>46321</v>
      </c>
      <c r="I279" s="197" t="inlineStr">
        <is>
          <t>What slope monitoring and remediation are needed on a major highway section where slides repeatedly force controlled traffic?
Check with: Ecuador's transport ministry (MTOP)</t>
        </is>
      </c>
    </row>
    <row r="280" outlineLevel="1" ht="54" customHeight="1">
      <c r="A280" s="191" t="n">
        <v>239</v>
      </c>
      <c r="B280" s="192" t="n">
        <v>3</v>
      </c>
      <c r="C280" s="193" t="inlineStr">
        <is>
          <t>Riobamba–Penipe–Baños road reopened after landslide
(English headline translated by Claude · Original: Vía Riobamba–Penipe–Baños fue habilitada tras deslizamiento)</t>
        </is>
      </c>
      <c r="D280" s="194" t="inlineStr">
        <is>
          <t>Open article</t>
        </is>
      </c>
      <c r="E280" s="199" t="inlineStr">
        <is>
          <t>News brief</t>
        </is>
      </c>
      <c r="F280" s="196">
        <f>IFERROR(INDEX(Stories!$F$4:$F$357,MATCH($A280,Stories!$A$4:$A$357,0))&amp;"","")</f>
        <v/>
      </c>
      <c r="G280" s="197" t="inlineStr">
        <is>
          <t>diariolosandes.com.ec</t>
        </is>
      </c>
      <c r="H280" s="198" t="n">
        <v>46321</v>
      </c>
      <c r="I280" s="197" t="inlineStr">
        <is>
          <t>How should a mountain road reopened after a slide be assessed for residual hazard and re-failure risk?
Check with: Chimborazo provincial road authority (MTOP)</t>
        </is>
      </c>
    </row>
    <row r="281" outlineLevel="1" ht="66.5" customHeight="1">
      <c r="A281" s="191" t="n">
        <v>240</v>
      </c>
      <c r="B281" s="192" t="n">
        <v>3</v>
      </c>
      <c r="C281" s="193" t="inlineStr">
        <is>
          <t>Áncash: landslide damaged 15 meters of local road in Shupluy
(English headline translated by Claude · Original: Áncash: deslizamiento de tierra dañó 15 metros de vía vecinal en Shupluy -)</t>
        </is>
      </c>
      <c r="D281" s="194" t="inlineStr">
        <is>
          <t>Open article</t>
        </is>
      </c>
      <c r="E281" s="199" t="inlineStr">
        <is>
          <t>News brief</t>
        </is>
      </c>
      <c r="F281" s="196">
        <f>IFERROR(INDEX(Stories!$F$4:$F$357,MATCH($A281,Stories!$A$4:$A$357,0))&amp;"","")</f>
        <v/>
      </c>
      <c r="G281" s="197" t="inlineStr">
        <is>
          <t>luminanoticias.pe</t>
        </is>
      </c>
      <c r="H281" s="198" t="n">
        <v>46321</v>
      </c>
      <c r="I281" s="197" t="inlineStr">
        <is>
          <t>What drainage and slope protection would keep a rural access road operational during Andean rainy seasons?
Check with: Áncash regional government road authority</t>
        </is>
      </c>
    </row>
    <row r="282" outlineLevel="1" ht="66.5" customHeight="1">
      <c r="A282" s="191" t="n">
        <v>241</v>
      </c>
      <c r="B282" s="192" t="n">
        <v>3</v>
      </c>
      <c r="C282" s="193" t="inlineStr">
        <is>
          <t>Pickup truck stranded in sinkhole in Fronteriza neighborhood in Juárez
(English headline translated by Claude · Original: Camioneta varada en socavón de la colonia Fronteriza en Juárez)</t>
        </is>
      </c>
      <c r="D282" s="194" t="inlineStr">
        <is>
          <t>Open article</t>
        </is>
      </c>
      <c r="E282" s="199" t="inlineStr">
        <is>
          <t>News brief</t>
        </is>
      </c>
      <c r="F282" s="196">
        <f>IFERROR(INDEX(Stories!$F$4:$F$357,MATCH($A282,Stories!$A$4:$A$357,0))&amp;"","")</f>
        <v/>
      </c>
      <c r="G282" s="197" t="inlineStr">
        <is>
          <t>Netnoticias.mx</t>
        </is>
      </c>
      <c r="H282" s="198" t="n">
        <v>46321</v>
      </c>
      <c r="I282" s="197" t="inlineStr">
        <is>
          <t>What failure mechanisms allow a road surface to collapse under a vehicle in a neighbourhood with poor drainage, and what subsurface survey would identify such voids before vehicles are trapped?
Check with: Ciudad Juárez municipal government</t>
        </is>
      </c>
    </row>
    <row r="283" outlineLevel="1" ht="66.5" customHeight="1">
      <c r="A283" s="191" t="n">
        <v>242</v>
      </c>
      <c r="B283" s="192" t="n">
        <v>3</v>
      </c>
      <c r="C283" s="193" t="inlineStr">
        <is>
          <t>Repair of sinkhole on Terrazas del Valle bridge starts tomorrow
(English headline translated by Claude · Original: Mañana inicia la reparación del socavón en el puente Terrazas del Valle)</t>
        </is>
      </c>
      <c r="D283" s="194" t="inlineStr">
        <is>
          <t>Open article</t>
        </is>
      </c>
      <c r="E283" s="199" t="inlineStr">
        <is>
          <t>News brief</t>
        </is>
      </c>
      <c r="F283" s="196">
        <f>IFERROR(INDEX(Stories!$F$4:$F$357,MATCH($A283,Stories!$A$4:$A$357,0))&amp;"","")</f>
        <v/>
      </c>
      <c r="G283" s="197" t="inlineStr">
        <is>
          <t>Punto Norte</t>
        </is>
      </c>
      <c r="H283" s="198" t="n">
        <v>46321</v>
      </c>
      <c r="I283" s="197" t="inlineStr">
        <is>
          <t>What causes a sinkhole to form at a bridge abutment or approach, and what foundation and backfill investigation should precede a repair to prevent recurrence?
Check with: municipal public works department</t>
        </is>
      </c>
    </row>
    <row r="284" outlineLevel="1" ht="66.5" customHeight="1">
      <c r="A284" s="191" t="n">
        <v>243</v>
      </c>
      <c r="B284" s="192" t="n">
        <v>3</v>
      </c>
      <c r="C284" s="193" t="inlineStr">
        <is>
          <t>Heavy rains cause landslide on access to SP-294 in Garça
(English headline translated by Claude · Original: Fortes chuvas provocam deslizamento de terra em acesso da SP-294 em Garça)</t>
        </is>
      </c>
      <c r="D284" s="194" t="inlineStr">
        <is>
          <t>Open article</t>
        </is>
      </c>
      <c r="E284" s="199" t="inlineStr">
        <is>
          <t>News brief</t>
        </is>
      </c>
      <c r="F284" s="196">
        <f>IFERROR(INDEX(Stories!$F$4:$F$357,MATCH($A284,Stories!$A$4:$A$357,0))&amp;"","")</f>
        <v/>
      </c>
      <c r="G284" s="197" t="inlineStr">
        <is>
          <t>Marília Notícia</t>
        </is>
      </c>
      <c r="H284" s="198" t="n">
        <v>46321</v>
      </c>
      <c r="I284" s="197" t="inlineStr">
        <is>
          <t>What causes a cut or embankment on a state highway access road to fail under heavy rain, and what stabilisation is appropriate for such slopes?
Check with: DER-SP (São Paulo state roads department)</t>
        </is>
      </c>
    </row>
    <row r="285" outlineLevel="1" ht="66.5" customHeight="1">
      <c r="A285" s="191" t="n">
        <v>244</v>
      </c>
      <c r="B285" s="192" t="n">
        <v>3</v>
      </c>
      <c r="C285" s="193" t="inlineStr">
        <is>
          <t>Landslide and trees block highway between Tatuí and Boituva
(English headline translated by Claude · Original: Deslizamento de terra e árvores bloqueia rodovia entre Tatuí e Boituva)</t>
        </is>
      </c>
      <c r="D285" s="194" t="inlineStr">
        <is>
          <t>Open article</t>
        </is>
      </c>
      <c r="E285" s="199" t="inlineStr">
        <is>
          <t>News brief</t>
        </is>
      </c>
      <c r="F285" s="196">
        <f>IFERROR(INDEX(Stories!$F$4:$F$357,MATCH($A285,Stories!$A$4:$A$357,0))&amp;"","")</f>
        <v/>
      </c>
      <c r="G285" s="197" t="inlineStr">
        <is>
          <t>G1</t>
        </is>
      </c>
      <c r="H285" s="198" t="n">
        <v>46321</v>
      </c>
      <c r="I285" s="197" t="inlineStr">
        <is>
          <t>What triggered a slope to shed soil and vegetation onto a regional highway, and what slope inspection would prevent repeated closures on this route?
Check with: DER-SP (São Paulo state roads department)</t>
        </is>
      </c>
    </row>
    <row r="286" outlineLevel="1" ht="54" customHeight="1">
      <c r="A286" s="191" t="n">
        <v>245</v>
      </c>
      <c r="B286" s="192" t="n">
        <v>3</v>
      </c>
      <c r="C286" s="193" t="inlineStr">
        <is>
          <t>Landslide closes highway between Realeza and Planalto
(English headline translated by Claude · Original: Deslizamento de terra interdita rodovia entre Realeza e Planalto)</t>
        </is>
      </c>
      <c r="D286" s="194" t="inlineStr">
        <is>
          <t>Open article</t>
        </is>
      </c>
      <c r="E286" s="199" t="inlineStr">
        <is>
          <t>News brief</t>
        </is>
      </c>
      <c r="F286" s="196">
        <f>IFERROR(INDEX(Stories!$F$4:$F$357,MATCH($A286,Stories!$A$4:$A$357,0))&amp;"","")</f>
        <v/>
      </c>
      <c r="G286" s="197" t="inlineStr">
        <is>
          <t>Jornal Novo Tempo</t>
        </is>
      </c>
      <c r="H286" s="198" t="n">
        <v>46321</v>
      </c>
      <c r="I286" s="197" t="inlineStr">
        <is>
          <t>Why do rural highway cuts in this region fail during rain, and what slope stability assessment would inform repair and prevent future interdictions?
Check with: DER-PR (Paraná state roads department)</t>
        </is>
      </c>
    </row>
    <row r="287" outlineLevel="1" ht="66.5" customHeight="1">
      <c r="A287" s="191" t="n">
        <v>246</v>
      </c>
      <c r="B287" s="192" t="n">
        <v>3</v>
      </c>
      <c r="C287" s="193" t="inlineStr">
        <is>
          <t>BR-277 reopened after landslide in Serra da Esperança, in Guarapuava
(English headline translated by Claude · Original: BR-277 é liberada após deslizamento de terra na Serra da Esperança, em Guarapuava)</t>
        </is>
      </c>
      <c r="D287" s="194" t="inlineStr">
        <is>
          <t>Open article</t>
        </is>
      </c>
      <c r="E287" s="199" t="inlineStr">
        <is>
          <t>News brief</t>
        </is>
      </c>
      <c r="F287" s="196">
        <f>IFERROR(INDEX(Stories!$F$4:$F$357,MATCH($A287,Stories!$A$4:$A$357,0))&amp;"","")</f>
        <v/>
      </c>
      <c r="G287" s="197" t="inlineStr">
        <is>
          <t>Catve</t>
        </is>
      </c>
      <c r="H287" s="198" t="n">
        <v>46321</v>
      </c>
      <c r="I287" s="197" t="inlineStr">
        <is>
          <t>What triggered the mountain slope failure on this highway, and what monitoring and remediation would reduce the time the route is closed after storms?
Check with: DNIT and the BR-277 concessionaire</t>
        </is>
      </c>
    </row>
    <row r="288" outlineLevel="1" ht="54" customHeight="1">
      <c r="A288" s="191" t="n">
        <v>247</v>
      </c>
      <c r="B288" s="192" t="n">
        <v>3</v>
      </c>
      <c r="C288" s="193" t="inlineStr">
        <is>
          <t>Landslide at Km 43 in Cajamar puts drivers on alert
(English headline translated by Claude · Original: Deslizamento de terra no Km 43, em Cajamar, coloca motoristas em alerta)</t>
        </is>
      </c>
      <c r="D288" s="194" t="inlineStr">
        <is>
          <t>Open article</t>
        </is>
      </c>
      <c r="E288" s="199" t="inlineStr">
        <is>
          <t>News brief</t>
        </is>
      </c>
      <c r="F288" s="196">
        <f>IFERROR(INDEX(Stories!$F$4:$F$357,MATCH($A288,Stories!$A$4:$A$357,0))&amp;"","")</f>
        <v/>
      </c>
      <c r="G288" s="197" t="inlineStr">
        <is>
          <t>JORNAL DA REGIÃO</t>
        </is>
      </c>
      <c r="H288" s="198" t="n">
        <v>46321</v>
      </c>
      <c r="I288" s="197" t="inlineStr">
        <is>
          <t>What caused soil to slide onto this highway cut, and what slope inspection and drainage check should follow before traffic is fully normal?
Check with: DER-SP and the road concessionaire</t>
        </is>
      </c>
    </row>
    <row r="289" outlineLevel="1" ht="66.5" customHeight="1">
      <c r="A289" s="191" t="n">
        <v>283</v>
      </c>
      <c r="B289" s="192" t="n">
        <v>3</v>
      </c>
      <c r="C289" s="193" t="inlineStr">
        <is>
          <t>A sinkhole in Cerro fills with water and threatens pedestrians and drivers after rains
(English headline translated by Claude · Original: Un socavón en Cerro se llena de agua y amenaza a peatones y conductores tras las lluvias)</t>
        </is>
      </c>
      <c r="D289" s="194" t="inlineStr">
        <is>
          <t>Open article</t>
        </is>
      </c>
      <c r="E289" s="199" t="inlineStr">
        <is>
          <t>News brief</t>
        </is>
      </c>
      <c r="F289" s="196">
        <f>IFERROR(INDEX(Stories!$F$4:$F$357,MATCH($A289,Stories!$A$4:$A$357,0))&amp;"","")</f>
        <v/>
      </c>
      <c r="G289" s="197" t="inlineStr">
        <is>
          <t>Infobae</t>
        </is>
      </c>
      <c r="H289" s="198" t="n">
        <v>46320</v>
      </c>
      <c r="I289" s="197" t="inlineStr">
        <is>
          <t>What causes water-filled sinkholes to form in urban ground after rainfall, and how should pedestrian and traffic exclusion zones be set?</t>
        </is>
      </c>
    </row>
    <row r="290" outlineLevel="1" ht="54" customHeight="1">
      <c r="A290" s="191" t="n">
        <v>284</v>
      </c>
      <c r="B290" s="192" t="n">
        <v>3</v>
      </c>
      <c r="C290" s="193" t="inlineStr">
        <is>
          <t>A sinkhole trapped an ambulance transporting a patient
(English headline translated by Claude · Original: Un socavón dejó atrapada a una ambulancia que trasladaba a una paciente)</t>
        </is>
      </c>
      <c r="D290" s="194" t="inlineStr">
        <is>
          <t>Open article</t>
        </is>
      </c>
      <c r="E290" s="199" t="inlineStr">
        <is>
          <t>News brief</t>
        </is>
      </c>
      <c r="F290" s="196">
        <f>IFERROR(INDEX(Stories!$F$4:$F$357,MATCH($A290,Stories!$A$4:$A$357,0))&amp;"","")</f>
        <v/>
      </c>
      <c r="G290" s="197" t="inlineStr">
        <is>
          <t>Diario 7 lagos</t>
        </is>
      </c>
      <c r="H290" s="198" t="n">
        <v>46320</v>
      </c>
      <c r="I290" s="197" t="inlineStr">
        <is>
          <t>What ground investigation is needed to explain sudden road sinkholes that trap emergency vehicles on mountain-road pavements?</t>
        </is>
      </c>
    </row>
    <row r="291" outlineLevel="1" ht="66.5" customHeight="1">
      <c r="A291" s="191" t="n">
        <v>285</v>
      </c>
      <c r="B291" s="192" t="n">
        <v>3</v>
      </c>
      <c r="C291" s="193" t="inlineStr">
        <is>
          <t>Sinkhole endangers motorists and pedestrians in the 21 de Marzo neighbourhood
(English headline translated by Claude · Original: Socavón pone en riesgo a automovilistas y peatones en la colonia 21 de Marzo)</t>
        </is>
      </c>
      <c r="D291" s="194" t="inlineStr">
        <is>
          <t>Open article</t>
        </is>
      </c>
      <c r="E291" s="199" t="inlineStr">
        <is>
          <t>News brief</t>
        </is>
      </c>
      <c r="F291" s="196">
        <f>IFERROR(INDEX(Stories!$F$4:$F$357,MATCH($A291,Stories!$A$4:$A$357,0))&amp;"","")</f>
        <v/>
      </c>
      <c r="G291" s="197" t="inlineStr">
        <is>
          <t>El Sol de México</t>
        </is>
      </c>
      <c r="H291" s="198" t="n">
        <v>46320</v>
      </c>
      <c r="I291" s="197" t="inlineStr">
        <is>
          <t>What are the likely causes of urban road sinkholes, such as leaking pipes or subsurface erosion, and how should they be detected early?</t>
        </is>
      </c>
    </row>
    <row r="292" outlineLevel="1" ht="41.5" customHeight="1">
      <c r="A292" s="191" t="n">
        <v>286</v>
      </c>
      <c r="B292" s="192" t="n">
        <v>3</v>
      </c>
      <c r="C292" s="193" t="inlineStr">
        <is>
          <t>Government abandons community with an enormous sinkhole
(English headline translated by Claude · Original: Gobierno abandona comunidad con un enorme socavón)</t>
        </is>
      </c>
      <c r="D292" s="194" t="inlineStr">
        <is>
          <t>Open article</t>
        </is>
      </c>
      <c r="E292" s="205" t="inlineStr">
        <is>
          <t>Watch only</t>
        </is>
      </c>
      <c r="F292" s="196">
        <f>IFERROR(INDEX(Stories!$F$4:$F$357,MATCH($A292,Stories!$A$4:$A$357,0))&amp;"","")</f>
        <v/>
      </c>
      <c r="G292" s="197" t="inlineStr">
        <is>
          <t>emsavalles.com</t>
        </is>
      </c>
      <c r="H292" s="198" t="n">
        <v>46320</v>
      </c>
      <c r="I292" s="197" t="inlineStr">
        <is>
          <t>Large community sinkhole left without official remediation; the geotechnical cause and responsibility for investigation remain open.</t>
        </is>
      </c>
    </row>
    <row r="293" outlineLevel="1" ht="41.5" customHeight="1">
      <c r="A293" s="191" t="n">
        <v>287</v>
      </c>
      <c r="B293" s="192" t="n">
        <v>3</v>
      </c>
      <c r="C293" s="193" t="inlineStr">
        <is>
          <t>Sinkhole repair will close Route 241 in Lebanon County for a week</t>
        </is>
      </c>
      <c r="D293" s="194" t="inlineStr">
        <is>
          <t>Open article</t>
        </is>
      </c>
      <c r="E293" s="199" t="inlineStr">
        <is>
          <t>News brief</t>
        </is>
      </c>
      <c r="F293" s="196">
        <f>IFERROR(INDEX(Stories!$F$4:$F$357,MATCH($A293,Stories!$A$4:$A$357,0))&amp;"","")</f>
        <v/>
      </c>
      <c r="G293" s="197" t="inlineStr">
        <is>
          <t>ABC27</t>
        </is>
      </c>
      <c r="H293" s="198" t="n">
        <v>46320</v>
      </c>
      <c r="I293" s="197" t="inlineStr">
        <is>
          <t>What causes sinkholes under pavement in karst or mined ground, and which investigation methods would have identified the void before the road failed?</t>
        </is>
      </c>
    </row>
    <row r="294" outlineLevel="1" ht="66.5" customHeight="1">
      <c r="A294" s="191" t="n">
        <v>346</v>
      </c>
      <c r="B294" s="192" t="n">
        <v>3</v>
      </c>
      <c r="C294" s="193"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294" s="194" t="inlineStr">
        <is>
          <t>Open article</t>
        </is>
      </c>
      <c r="E294" s="199" t="inlineStr">
        <is>
          <t>News brief</t>
        </is>
      </c>
      <c r="F294" s="196">
        <f>IFERROR(INDEX(Stories!$F$4:$F$357,MATCH($A294,Stories!$A$4:$A$357,0))&amp;"","")</f>
        <v/>
      </c>
      <c r="G294" s="197" t="inlineStr">
        <is>
          <t>Самарская газета</t>
        </is>
      </c>
      <c r="H294" s="198" t="n">
        <v>46319</v>
      </c>
      <c r="I294" s="197" t="inlineStr">
        <is>
          <t>What causes retaining-wall deterioration on urban slopes like Samara's, and how should restoration design address overall slope stability?</t>
        </is>
      </c>
    </row>
    <row r="295" outlineLevel="1" ht="41.5" customHeight="1">
      <c r="A295" s="191" t="n">
        <v>347</v>
      </c>
      <c r="B295" s="192" t="n">
        <v>3</v>
      </c>
      <c r="C295" s="193" t="inlineStr">
        <is>
          <t>Escobedo begins repair of sinkhole
(English headline translated by Claude · Original: Inicia Escobedo reparación de socavón)</t>
        </is>
      </c>
      <c r="D295" s="194" t="inlineStr">
        <is>
          <t>Open article</t>
        </is>
      </c>
      <c r="E295" s="199" t="inlineStr">
        <is>
          <t>News brief</t>
        </is>
      </c>
      <c r="F295" s="196">
        <f>IFERROR(INDEX(Stories!$F$4:$F$357,MATCH($A295,Stories!$A$4:$A$357,0))&amp;"","")</f>
        <v/>
      </c>
      <c r="G295" s="197" t="inlineStr">
        <is>
          <t>Detona, Real News</t>
        </is>
      </c>
      <c r="H295" s="198" t="n">
        <v>46319</v>
      </c>
      <c r="I295" s="197" t="inlineStr">
        <is>
          <t>What investigation and grouting methods are used to repair urban sinkholes like the one in Escobedo?</t>
        </is>
      </c>
    </row>
    <row r="296" outlineLevel="1" ht="41.5" customHeight="1">
      <c r="A296" s="191" t="n">
        <v>348</v>
      </c>
      <c r="B296" s="192" t="n">
        <v>3</v>
      </c>
      <c r="C296" s="193" t="inlineStr">
        <is>
          <t>Center attends sinkhole in Casa Blanca
(English headline translated by Claude · Original: Centro atiende socavón en Casa Blanca)</t>
        </is>
      </c>
      <c r="D296" s="194" t="inlineStr">
        <is>
          <t>Open article</t>
        </is>
      </c>
      <c r="E296" s="199" t="inlineStr">
        <is>
          <t>News brief</t>
        </is>
      </c>
      <c r="F296" s="196">
        <f>IFERROR(INDEX(Stories!$F$4:$F$357,MATCH($A296,Stories!$A$4:$A$357,0))&amp;"","")</f>
        <v/>
      </c>
      <c r="G296" s="197" t="inlineStr">
        <is>
          <t>Tabasco HOY</t>
        </is>
      </c>
      <c r="H296" s="198" t="n">
        <v>46319</v>
      </c>
      <c r="I296" s="197" t="inlineStr">
        <is>
          <t>What subsurface causes are likely behind the Casa Blanca sinkhole, and how should emergency response proceed?</t>
        </is>
      </c>
    </row>
    <row r="297" outlineLevel="1" ht="54" customHeight="1">
      <c r="A297" s="191" t="n">
        <v>349</v>
      </c>
      <c r="B297" s="192" t="n">
        <v>3</v>
      </c>
      <c r="C297" s="193" t="inlineStr">
        <is>
          <t>Sinkhole forms at top of underpass in Francisco I. Madero
(English headline translated by Claude · Original: Se origina socavón en la parte superior del paso a desnivel en Francisco I. Madero)</t>
        </is>
      </c>
      <c r="D297" s="194" t="inlineStr">
        <is>
          <t>Open article</t>
        </is>
      </c>
      <c r="E297" s="199" t="inlineStr">
        <is>
          <t>News brief</t>
        </is>
      </c>
      <c r="F297" s="196">
        <f>IFERROR(INDEX(Stories!$F$4:$F$357,MATCH($A297,Stories!$A$4:$A$357,0))&amp;"","")</f>
        <v/>
      </c>
      <c r="G297" s="197" t="inlineStr">
        <is>
          <t>El Siglo de Torreón</t>
        </is>
      </c>
      <c r="H297" s="198" t="n">
        <v>46319</v>
      </c>
      <c r="I297" s="197" t="inlineStr">
        <is>
          <t>What ground movements and drainage failures beneath an underpass cause sinkholes at its top surface?</t>
        </is>
      </c>
    </row>
    <row r="298" outlineLevel="1" ht="41.5" customHeight="1">
      <c r="A298" s="191" t="n">
        <v>350</v>
      </c>
      <c r="B298" s="192" t="n">
        <v>3</v>
      </c>
      <c r="C298" s="193" t="inlineStr">
        <is>
          <t>Ambulance left hanging in a sinkhole in Aucapán rescued
(English headline translated by Claude · Original: Rescatan ambulancia que quedó colgada en un socavón en Aucapán)</t>
        </is>
      </c>
      <c r="D298" s="194" t="inlineStr">
        <is>
          <t>Open article</t>
        </is>
      </c>
      <c r="E298" s="199" t="inlineStr">
        <is>
          <t>News brief</t>
        </is>
      </c>
      <c r="F298" s="196">
        <f>IFERROR(INDEX(Stories!$F$4:$F$357,MATCH($A298,Stories!$A$4:$A$357,0))&amp;"","")</f>
        <v/>
      </c>
      <c r="G298" s="197" t="inlineStr">
        <is>
          <t>Realidad Sanmartinense</t>
        </is>
      </c>
      <c r="H298" s="198" t="n">
        <v>46319</v>
      </c>
      <c r="I298" s="197" t="inlineStr">
        <is>
          <t>How do soil loss and void formation under a road lead to vehicles hanging over sinkholes, and what rescue precautions apply?</t>
        </is>
      </c>
    </row>
    <row r="299" outlineLevel="1" ht="66.5" customHeight="1">
      <c r="A299" s="191" t="n">
        <v>202</v>
      </c>
      <c r="B299" s="192" t="n">
        <v>3</v>
      </c>
      <c r="C299" s="193" t="inlineStr">
        <is>
          <t>Lang Be road embankment construction progressing slowly
(English headline translated by Claude · Original: Строительство дорожной насыпи Лан Бе продвигается медленными темпами.)</t>
        </is>
      </c>
      <c r="D299" s="194" t="inlineStr">
        <is>
          <t>Open article</t>
        </is>
      </c>
      <c r="E299" s="199" t="inlineStr">
        <is>
          <t>News brief</t>
        </is>
      </c>
      <c r="F299" s="196">
        <f>IFERROR(INDEX(Stories!$F$4:$F$357,MATCH($A299,Stories!$A$4:$A$357,0))&amp;"","")</f>
        <v/>
      </c>
      <c r="G299" s="197" t="inlineStr">
        <is>
          <t>Vietnam.vn</t>
        </is>
      </c>
      <c r="H299" s="198" t="n">
        <v>46322</v>
      </c>
      <c r="I299" s="197" t="inlineStr">
        <is>
          <t>Why do road embankments on soft ground in the Lang Be area progress slowly, and what settlement and stability monitoring would explain the delays?
Check with: the Hanoi project management board responsible for the Lang Be road</t>
        </is>
      </c>
    </row>
    <row r="300" outlineLevel="1" ht="41.5" customHeight="1">
      <c r="A300" s="191" t="n">
        <v>288</v>
      </c>
      <c r="B300" s="192" t="n">
        <v>3</v>
      </c>
      <c r="C300" s="193" t="inlineStr">
        <is>
          <t>TBMs to be produced under Aatmanirbhar Bharat, says Ashwini Vaishnaw</t>
        </is>
      </c>
      <c r="D300" s="194" t="inlineStr">
        <is>
          <t>Open article</t>
        </is>
      </c>
      <c r="E300" s="199" t="inlineStr">
        <is>
          <t>News brief</t>
        </is>
      </c>
      <c r="F300" s="196">
        <f>IFERROR(INDEX(Stories!$F$4:$F$357,MATCH($A300,Stories!$A$4:$A$357,0))&amp;"","")</f>
        <v/>
      </c>
      <c r="G300" s="197" t="inlineStr">
        <is>
          <t>The Hindu</t>
        </is>
      </c>
      <c r="H300" s="198" t="n">
        <v>46320</v>
      </c>
      <c r="I300" s="197" t="inlineStr">
        <is>
          <t>How does local manufacturing of tunnel boring machines affect the technical adaptation of TBMs to varied ground conditions in India's tunnelling projects?</t>
        </is>
      </c>
    </row>
    <row r="301" outlineLevel="1" ht="54" customHeight="1">
      <c r="A301" s="191" t="n">
        <v>75</v>
      </c>
      <c r="B301" s="192" t="n">
        <v>3</v>
      </c>
      <c r="C301" s="193" t="inlineStr">
        <is>
          <t>Bhopal Metro underground tunnel construction: 400-metre tunnel work completed
(English headline translated by Claude · Original: भोपाल मेट्रो अंडरग्राउंड टनल निर्माण: 400 मीटर सुरंग का काम पूरा)</t>
        </is>
      </c>
      <c r="D301" s="194" t="inlineStr">
        <is>
          <t>Open article</t>
        </is>
      </c>
      <c r="E301" s="199" t="inlineStr">
        <is>
          <t>News brief</t>
        </is>
      </c>
      <c r="F301" s="196">
        <f>IFERROR(INDEX(Stories!$F$4:$F$357,MATCH($A301,Stories!$A$4:$A$357,0))&amp;"","")</f>
        <v/>
      </c>
      <c r="G301" s="197" t="inlineStr">
        <is>
          <t>Raj Express</t>
        </is>
      </c>
      <c r="H301" s="198" t="n">
        <v>46325</v>
      </c>
      <c r="I301" s="197" t="inlineStr">
        <is>
          <t>What ground conditions and support measures govern progress in shallow urban metro tunnelling in this city?
Check with: the Bhopal Metro Rail Corporation</t>
        </is>
      </c>
    </row>
    <row r="302" outlineLevel="1" ht="66.5" customHeight="1">
      <c r="A302" s="191" t="n">
        <v>76</v>
      </c>
      <c r="B302" s="192" t="n">
        <v>3</v>
      </c>
      <c r="C302" s="193" t="inlineStr">
        <is>
          <t>Pit at future park site in Arban frightens Abakan residents
(English headline translated by Claude · Original: Котлован на месте будущего парка в Арбане напугал жителей Абакана)</t>
        </is>
      </c>
      <c r="D302" s="194" t="inlineStr">
        <is>
          <t>Open article</t>
        </is>
      </c>
      <c r="E302" s="199" t="inlineStr">
        <is>
          <t>News brief</t>
        </is>
      </c>
      <c r="F302" s="196">
        <f>IFERROR(INDEX(Stories!$F$4:$F$357,MATCH($A302,Stories!$A$4:$A$357,0))&amp;"","")</f>
        <v/>
      </c>
      <c r="G302" s="197" t="inlineStr">
        <is>
          <t>Телекомпания «Республиканская телевизионная сеть»</t>
        </is>
      </c>
      <c r="H302" s="198" t="n">
        <v>46325</v>
      </c>
      <c r="I302" s="197" t="inlineStr">
        <is>
          <t>What safety measures and retaining arrangements are needed for an open pit left beside a public park site?
Check with: the Abakan city administration</t>
        </is>
      </c>
    </row>
    <row r="303" outlineLevel="1" ht="66.5" customHeight="1">
      <c r="A303" s="191" t="n">
        <v>77</v>
      </c>
      <c r="B303" s="192" t="n">
        <v>3</v>
      </c>
      <c r="C303" s="193" t="inlineStr">
        <is>
          <t>Dangerous pit in courtyard of house in Durlești: authorities announce urgent measures after TV8 report
(English headline translated by Claude · Original: Опасный котлован во дворе дома в Дурлештах: власти объявили о срочных мерах после репортажа TV8)</t>
        </is>
      </c>
      <c r="D303" s="194" t="inlineStr">
        <is>
          <t>Open article</t>
        </is>
      </c>
      <c r="E303" s="199" t="inlineStr">
        <is>
          <t>News brief</t>
        </is>
      </c>
      <c r="F303" s="196">
        <f>IFERROR(INDEX(Stories!$F$4:$F$357,MATCH($A303,Stories!$A$4:$A$357,0))&amp;"","")</f>
        <v/>
      </c>
      <c r="G303" s="197" t="inlineStr">
        <is>
          <t>noi.md</t>
        </is>
      </c>
      <c r="H303" s="198" t="n">
        <v>46325</v>
      </c>
      <c r="I303" s="197" t="inlineStr">
        <is>
          <t>How should an excavation next to occupied housing be supported to prevent collapse and protect residents?
Check with: the local municipal authority</t>
        </is>
      </c>
    </row>
    <row r="304" outlineLevel="1" ht="66.5" customHeight="1">
      <c r="A304" s="191" t="n">
        <v>78</v>
      </c>
      <c r="B304" s="192" t="n">
        <v>3</v>
      </c>
      <c r="C304" s="193" t="inlineStr">
        <is>
          <t>In Khirdalan, a two-metre pit dug beside houses: residents complain of cracks
(English headline translated by Claude · Original: В Хырдалане рядом с домами вырыли двухметровый котлован: жители жалуются на трещины-ФОТО)</t>
        </is>
      </c>
      <c r="D304" s="194" t="inlineStr">
        <is>
          <t>Open article</t>
        </is>
      </c>
      <c r="E304" s="199" t="inlineStr">
        <is>
          <t>News brief</t>
        </is>
      </c>
      <c r="F304" s="196">
        <f>IFERROR(INDEX(Stories!$F$4:$F$357,MATCH($A304,Stories!$A$4:$A$357,0))&amp;"","")</f>
        <v/>
      </c>
      <c r="G304" s="197" t="inlineStr">
        <is>
          <t>Moderator.az xəbər portalı</t>
        </is>
      </c>
      <c r="H304" s="198" t="n">
        <v>46325</v>
      </c>
      <c r="I304" s="197" t="inlineStr">
        <is>
          <t>Could a two-metre excavation beside houses be causing the cracks residents describe, and what monitoring would confirm it?
Check with: the local municipal authority</t>
        </is>
      </c>
    </row>
    <row r="305" outlineLevel="1" ht="66.5" customHeight="1">
      <c r="A305" s="191" t="n">
        <v>113</v>
      </c>
      <c r="B305" s="192" t="n">
        <v>3</v>
      </c>
      <c r="C305" s="193" t="inlineStr">
        <is>
          <t>Demolition pit at future metro shaft site being completed on Shuvalovsky Avenue
(English headline translated by Claude · Original: Демонтажный котлован на месте будущей шахты метро завершают на Шуваловском проспекте)</t>
        </is>
      </c>
      <c r="D305" s="194" t="inlineStr">
        <is>
          <t>Open article</t>
        </is>
      </c>
      <c r="E305" s="199" t="inlineStr">
        <is>
          <t>News brief</t>
        </is>
      </c>
      <c r="F305" s="196">
        <f>IFERROR(INDEX(Stories!$F$4:$F$357,MATCH($A305,Stories!$A$4:$A$357,0))&amp;"","")</f>
        <v/>
      </c>
      <c r="G305" s="197" t="inlineStr">
        <is>
          <t>78.ru</t>
        </is>
      </c>
      <c r="H305" s="198" t="n">
        <v>46324</v>
      </c>
      <c r="I305" s="197" t="inlineStr">
        <is>
          <t>How is the deep excavation for the future metro shaft being retained and supported in the soft ground of this St Petersburg avenue?
Check with: St Petersburg Metro operator Metropoliten</t>
        </is>
      </c>
    </row>
    <row r="306" outlineLevel="1" ht="54" customHeight="1">
      <c r="A306" s="191" t="n">
        <v>114</v>
      </c>
      <c r="B306" s="192" t="n">
        <v>3</v>
      </c>
      <c r="C306" s="193" t="inlineStr">
        <is>
          <t>Excavation for the new National Centre 'Russia' building nearing completion
(English headline translated by Claude · Original: Завершается устройство котлована нового здания НЦ «Россия»)</t>
        </is>
      </c>
      <c r="D306" s="194" t="inlineStr">
        <is>
          <t>Open article</t>
        </is>
      </c>
      <c r="E306" s="199" t="inlineStr">
        <is>
          <t>News brief</t>
        </is>
      </c>
      <c r="F306" s="196">
        <f>IFERROR(INDEX(Stories!$F$4:$F$357,MATCH($A306,Stories!$A$4:$A$357,0))&amp;"","")</f>
        <v/>
      </c>
      <c r="G306" s="197" t="inlineStr">
        <is>
          <t>The World Inform</t>
        </is>
      </c>
      <c r="H306" s="198" t="n">
        <v>46324</v>
      </c>
      <c r="I306" s="197" t="inlineStr">
        <is>
          <t>What retaining and dewatering measures are needed for this deep building pit in central Moscow, and how are adjacent structures protected?</t>
        </is>
      </c>
    </row>
    <row r="307" outlineLevel="1" ht="66.5" customHeight="1">
      <c r="A307" s="191" t="n">
        <v>162</v>
      </c>
      <c r="B307" s="192" t="n">
        <v>3</v>
      </c>
      <c r="C307" s="193" t="inlineStr">
        <is>
          <t>Demolition pit for future metro shaft nearing completion on Shuvalovsky Avenue
(English headline translated by Claude · Original: Демонтажный котлован на месте будущей шахты метро завершают на Шуваловском проспекте)</t>
        </is>
      </c>
      <c r="D307" s="194" t="inlineStr">
        <is>
          <t>Open article</t>
        </is>
      </c>
      <c r="E307" s="199" t="inlineStr">
        <is>
          <t>News brief</t>
        </is>
      </c>
      <c r="F307" s="196">
        <f>IFERROR(INDEX(Stories!$F$4:$F$357,MATCH($A307,Stories!$A$4:$A$357,0))&amp;"","")</f>
        <v/>
      </c>
      <c r="G307" s="197" t="inlineStr">
        <is>
          <t>78.ru</t>
        </is>
      </c>
      <c r="H307" s="198" t="n">
        <v>46323</v>
      </c>
      <c r="I307" s="197" t="inlineStr">
        <is>
          <t>How is the support of a deep demolition excavation adjacent to a future metro shaft designed to limit ground movement in soft St Petersburg soils?
Check with: St Petersburg metro construction authority</t>
        </is>
      </c>
    </row>
    <row r="308" outlineLevel="1" ht="66.5" customHeight="1">
      <c r="A308" s="191" t="n">
        <v>204</v>
      </c>
      <c r="B308" s="192" t="n">
        <v>3</v>
      </c>
      <c r="C308" s="193" t="inlineStr">
        <is>
          <t>Capital Group begins installing strut system for MASTERS house excavation
(English headline translated by Claude · Original: Capital Group начала монтаж распорной системы котлована дома МАСТЕРС)</t>
        </is>
      </c>
      <c r="D308" s="194" t="inlineStr">
        <is>
          <t>Open article</t>
        </is>
      </c>
      <c r="E308" s="199" t="inlineStr">
        <is>
          <t>News brief</t>
        </is>
      </c>
      <c r="F308" s="196">
        <f>IFERROR(INDEX(Stories!$F$4:$F$357,MATCH($A308,Stories!$A$4:$A$357,0))&amp;"","")</f>
        <v/>
      </c>
      <c r="G308" s="197" t="inlineStr">
        <is>
          <t>Движение.ру</t>
        </is>
      </c>
      <c r="H308" s="198" t="n">
        <v>46322</v>
      </c>
      <c r="I308" s="197" t="inlineStr">
        <is>
          <t>How do strut systems control wall movements in a Moscow excavation, and what monitoring confirms that adjacent ground stays within limits?
Check with: Capital Group</t>
        </is>
      </c>
    </row>
    <row r="309" outlineLevel="1" ht="66.5" customHeight="1">
      <c r="A309" s="191" t="n">
        <v>79</v>
      </c>
      <c r="B309" s="192" t="n">
        <v>3</v>
      </c>
      <c r="C309" s="193" t="inlineStr">
        <is>
          <t>Basement construction has caused road subsidence in Viet Hung neighbourhood, Hanoi
(English headline translated by Claude · Original: La construcción de un sótano ha provocado un hundimiento de la carretera en el barrio de Viet Hung, en Hanói.)</t>
        </is>
      </c>
      <c r="D309" s="194" t="inlineStr">
        <is>
          <t>Open article</t>
        </is>
      </c>
      <c r="E309" s="195" t="inlineStr">
        <is>
          <t>Feature lead</t>
        </is>
      </c>
      <c r="F309" s="196">
        <f>IFERROR(INDEX(Stories!$F$4:$F$357,MATCH($A309,Stories!$A$4:$A$357,0))&amp;"","")</f>
        <v/>
      </c>
      <c r="G309" s="197" t="inlineStr">
        <is>
          <t>شبكة تواصل الإخبارية</t>
        </is>
      </c>
      <c r="H309" s="198" t="n">
        <v>46325</v>
      </c>
      <c r="I309" s="197" t="inlineStr">
        <is>
          <t>How does basement excavation in a dense urban district cause adjacent road subsidence, and what retaining and monitoring would prevent it?
Check with: the Hanoi construction inspection authority</t>
        </is>
      </c>
    </row>
    <row r="310" outlineLevel="1" ht="66.5" customHeight="1">
      <c r="A310" s="191" t="n">
        <v>80</v>
      </c>
      <c r="B310" s="192" t="n">
        <v>3</v>
      </c>
      <c r="C310" s="193" t="inlineStr">
        <is>
          <t>Young man dies trying to save buried colleague at Aichi construction site
(English headline translated by Claude · Original: Jovem morre ao tentar salvar colega soterrado em obra em Aichi)</t>
        </is>
      </c>
      <c r="D310" s="194" t="inlineStr">
        <is>
          <t>Open article</t>
        </is>
      </c>
      <c r="E310" s="199" t="inlineStr">
        <is>
          <t>News brief</t>
        </is>
      </c>
      <c r="F310" s="196">
        <f>IFERROR(INDEX(Stories!$F$4:$F$357,MATCH($A310,Stories!$A$4:$A$357,0))&amp;"","")</f>
        <v/>
      </c>
      <c r="G310" s="197" t="inlineStr">
        <is>
          <t>Portal Mie</t>
        </is>
      </c>
      <c r="H310" s="198" t="n">
        <v>46325</v>
      </c>
      <c r="I310" s="197" t="inlineStr">
        <is>
          <t>Why did the excavation or trench at this small site collapse, and what do the shoring and rescue failures reveal about excavation safety practice?
Check with: Aichi prefectural labour standards office and police</t>
        </is>
      </c>
    </row>
    <row r="311" outlineLevel="1" ht="66.5" customHeight="1">
      <c r="A311" s="191" t="n">
        <v>115</v>
      </c>
      <c r="B311" s="192" t="n">
        <v>3</v>
      </c>
      <c r="C311" s="193" t="inlineStr">
        <is>
          <t>Works to stop leaks and sinking of Cangas pedestrian street Alcalde Díaz Penedela
(English headline translated by Claude · Original: Obras para acabar con las filtraciones y el hundimiento de la céntrica calle peatonal canguesa Alcalde Díaz Penedela)</t>
        </is>
      </c>
      <c r="D311" s="194" t="inlineStr">
        <is>
          <t>Open article</t>
        </is>
      </c>
      <c r="E311" s="199" t="inlineStr">
        <is>
          <t>News brief</t>
        </is>
      </c>
      <c r="F311" s="196">
        <f>IFERROR(INDEX(Stories!$F$4:$F$357,MATCH($A311,Stories!$A$4:$A$357,0))&amp;"","")</f>
        <v/>
      </c>
      <c r="G311" s="197" t="inlineStr">
        <is>
          <t>La Nueva España</t>
        </is>
      </c>
      <c r="H311" s="198" t="n">
        <v>46324</v>
      </c>
      <c r="I311" s="197" t="inlineStr">
        <is>
          <t>How leaking services under a pedestrian street lead to subsidence, and what the repair works reveal about the ground beneath the paving.
Check with: Cangas town council</t>
        </is>
      </c>
    </row>
    <row r="312" outlineLevel="1" ht="66.5" customHeight="1">
      <c r="A312" s="191" t="n">
        <v>116</v>
      </c>
      <c r="B312" s="192" t="n">
        <v>3</v>
      </c>
      <c r="C312" s="193" t="inlineStr">
        <is>
          <t>Section of N-435 closed over possible sinking of a runoff culvert
(English headline translated by Claude · Original: Cerrado un tramo de la N-435 por posible hundimiento de un tubo de correntías)</t>
        </is>
      </c>
      <c r="D312" s="194" t="inlineStr">
        <is>
          <t>Open article</t>
        </is>
      </c>
      <c r="E312" s="199" t="inlineStr">
        <is>
          <t>News brief</t>
        </is>
      </c>
      <c r="F312" s="196">
        <f>IFERROR(INDEX(Stories!$F$4:$F$357,MATCH($A312,Stories!$A$4:$A$357,0))&amp;"","")</f>
        <v/>
      </c>
      <c r="G312" s="197" t="inlineStr">
        <is>
          <t>Andalucía Información</t>
        </is>
      </c>
      <c r="H312" s="198" t="n">
        <v>46324</v>
      </c>
      <c r="I312" s="197" t="inlineStr">
        <is>
          <t>How a failing drainage culvert under a main road can cause surface subsidence, and what inspection and repair methods suit such buried pipes.
Check with: Andalusian regional roads authority</t>
        </is>
      </c>
    </row>
    <row r="313" outlineLevel="1" ht="66.5" customHeight="1">
      <c r="A313" s="191" t="n">
        <v>117</v>
      </c>
      <c r="B313" s="192" t="n">
        <v>3</v>
      </c>
      <c r="C313" s="193" t="inlineStr">
        <is>
          <t>Road collapses near a construction site in Hanoi.
(English headline translated by Claude · Original: Hundimiento de la carretera en las inmediaciones de una obra en construcción en Hanói.)</t>
        </is>
      </c>
      <c r="D313" s="194" t="inlineStr">
        <is>
          <t>Open article</t>
        </is>
      </c>
      <c r="E313" s="199" t="inlineStr">
        <is>
          <t>News brief</t>
        </is>
      </c>
      <c r="F313" s="196">
        <f>IFERROR(INDEX(Stories!$F$4:$F$357,MATCH($A313,Stories!$A$4:$A$357,0))&amp;"","")</f>
        <v/>
      </c>
      <c r="G313" s="197" t="inlineStr">
        <is>
          <t>Vietnam.vn</t>
        </is>
      </c>
      <c r="H313" s="198" t="n">
        <v>46324</v>
      </c>
      <c r="I313" s="197" t="inlineStr">
        <is>
          <t>How excavation for a nearby building site can undermine a road and what support and monitoring measures would have prevented the collapse.
Check with: Hanoi city authorities and the construction contractor</t>
        </is>
      </c>
    </row>
    <row r="314" outlineLevel="1" ht="54" customHeight="1">
      <c r="A314" s="191" t="n">
        <v>118</v>
      </c>
      <c r="B314" s="192" t="n">
        <v>3</v>
      </c>
      <c r="C314" s="193" t="inlineStr">
        <is>
          <t>N-435 closed to traffic at La Nava due to sinking risk
(English headline translated by Claude · Original: La N-435, cortada al tráfico a la altura de La Nava por riesgo de hundimiento)</t>
        </is>
      </c>
      <c r="D314" s="194" t="inlineStr">
        <is>
          <t>Open article</t>
        </is>
      </c>
      <c r="E314" s="199" t="inlineStr">
        <is>
          <t>News brief</t>
        </is>
      </c>
      <c r="F314" s="196">
        <f>IFERROR(INDEX(Stories!$F$4:$F$357,MATCH($A314,Stories!$A$4:$A$357,0))&amp;"","")</f>
        <v/>
      </c>
      <c r="G314" s="197" t="inlineStr">
        <is>
          <t>Teleonuba</t>
        </is>
      </c>
      <c r="H314" s="198" t="n">
        <v>46324</v>
      </c>
      <c r="I314" s="197" t="inlineStr">
        <is>
          <t>What signs of ground movement under a rural road justify closure, and how a local authority should investigate the cause.
Check with: Andalusian regional roads authority</t>
        </is>
      </c>
    </row>
    <row r="315" outlineLevel="1" ht="91.5" customHeight="1">
      <c r="A315" s="191" t="n">
        <v>291</v>
      </c>
      <c r="B315" s="192" t="n">
        <v>3</v>
      </c>
      <c r="C315" s="193"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315" s="194" t="inlineStr">
        <is>
          <t>Open article</t>
        </is>
      </c>
      <c r="E315" s="199" t="inlineStr">
        <is>
          <t>News brief</t>
        </is>
      </c>
      <c r="F315" s="196">
        <f>IFERROR(INDEX(Stories!$F$4:$F$357,MATCH($A315,Stories!$A$4:$A$357,0))&amp;"","")</f>
        <v/>
      </c>
      <c r="G315" s="197" t="inlineStr">
        <is>
          <t>El Portal de Chicoloapan</t>
        </is>
      </c>
      <c r="H315" s="198" t="n">
        <v>46320</v>
      </c>
      <c r="I315" s="197" t="inlineStr">
        <is>
          <t>Why did the newly paved street develop a subsidence in front of a private road, and how could trench backfill and compaction have prevented it?</t>
        </is>
      </c>
    </row>
    <row r="316" outlineLevel="1" ht="54" customHeight="1">
      <c r="A316" s="191" t="n">
        <v>292</v>
      </c>
      <c r="B316" s="192" t="n">
        <v>3</v>
      </c>
      <c r="C316" s="193" t="inlineStr">
        <is>
          <t>Experts comment on the plan to level Mot Mountain in Quy Nhon
(English headline translated by Claude · Original: 전문가들이 꾸이년의 못산을 평탄화하려는 계획에 대해 의견을 밝혔다.)</t>
        </is>
      </c>
      <c r="D316" s="194" t="inlineStr">
        <is>
          <t>Open article</t>
        </is>
      </c>
      <c r="E316" s="195" t="inlineStr">
        <is>
          <t>Feature lead</t>
        </is>
      </c>
      <c r="F316" s="196">
        <f>IFERROR(INDEX(Stories!$F$4:$F$357,MATCH($A316,Stories!$A$4:$A$357,0))&amp;"","")</f>
        <v/>
      </c>
      <c r="G316" s="197" t="inlineStr">
        <is>
          <t>Vietnam.vn</t>
        </is>
      </c>
      <c r="H316" s="198" t="n">
        <v>46320</v>
      </c>
      <c r="I316" s="197" t="inlineStr">
        <is>
          <t>What geotechnical challenges arise in levelling a hill in Quy Nhon, including slope stability, cut volumes, and the reuse of excavated soil?</t>
        </is>
      </c>
    </row>
    <row r="317" outlineLevel="1" ht="66.5" customHeight="1">
      <c r="A317" s="191" t="n">
        <v>293</v>
      </c>
      <c r="B317" s="192" t="n">
        <v>3</v>
      </c>
      <c r="C317" s="193"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317" s="194" t="inlineStr">
        <is>
          <t>Open article</t>
        </is>
      </c>
      <c r="E317" s="199" t="inlineStr">
        <is>
          <t>News brief</t>
        </is>
      </c>
      <c r="F317" s="196">
        <f>IFERROR(INDEX(Stories!$F$4:$F$357,MATCH($A317,Stories!$A$4:$A$357,0))&amp;"","")</f>
        <v/>
      </c>
      <c r="G317" s="197" t="inlineStr">
        <is>
          <t>Новости Воронежа интернет-газета</t>
        </is>
      </c>
      <c r="H317" s="198" t="n">
        <v>46320</v>
      </c>
      <c r="I317" s="197" t="inlineStr">
        <is>
          <t>How do ground movements or soil conditions around urban collector pipes cause damage, and what should guide repair and reinstatement works?</t>
        </is>
      </c>
    </row>
    <row r="318" outlineLevel="1" ht="66.5" customHeight="1">
      <c r="A318" s="191" t="n">
        <v>294</v>
      </c>
      <c r="B318" s="192" t="n">
        <v>3</v>
      </c>
      <c r="C318" s="193" t="inlineStr">
        <is>
          <t>Experts weigh in on proposal to level Mot Mountain in Quy Nhon
(English headline translated by Claude · Original: Para ahli angkat bicara tentang usulan untuk meratakan Gunung Mot di Quy Nhon.)</t>
        </is>
      </c>
      <c r="D318" s="194" t="inlineStr">
        <is>
          <t>Open article</t>
        </is>
      </c>
      <c r="E318" s="210" t="inlineStr">
        <is>
          <t>Regional insight</t>
        </is>
      </c>
      <c r="F318" s="196">
        <f>IFERROR(INDEX(Stories!$F$4:$F$357,MATCH($A318,Stories!$A$4:$A$357,0))&amp;"","")</f>
        <v/>
      </c>
      <c r="G318" s="197" t="inlineStr">
        <is>
          <t>Vietnam.vn</t>
        </is>
      </c>
      <c r="H318" s="198" t="n">
        <v>46320</v>
      </c>
      <c r="I318" s="197" t="inlineStr">
        <is>
          <t>How can slope stability, rock cutting and geohazard risks be assessed when a coastal hill is proposed for levelling in an urban area?</t>
        </is>
      </c>
    </row>
    <row r="319" outlineLevel="1" ht="10" customHeight="1"/>
    <row r="320" ht="26" customHeight="1">
      <c r="A320" s="219" t="inlineStr">
        <is>
          <t>Offshore, Coasts &amp; Water   ·   26 stories   ·   1 rated 5 / 5   ·   8 feature leads</t>
        </is>
      </c>
      <c r="B320" s="220" t="n"/>
      <c r="C320" s="220" t="n"/>
      <c r="D320" s="220" t="n"/>
      <c r="E320" s="220" t="n"/>
      <c r="F320" s="220" t="n"/>
      <c r="G320" s="220" t="n"/>
      <c r="H320" s="220" t="n"/>
      <c r="I320" s="220" t="n"/>
    </row>
    <row r="321" outlineLevel="1">
      <c r="A321" s="221" t="inlineStr">
        <is>
          <t>No.</t>
        </is>
      </c>
      <c r="B321" s="221" t="inlineStr">
        <is>
          <t>Relevance</t>
        </is>
      </c>
      <c r="C321" s="222" t="inlineStr">
        <is>
          <t>Headline</t>
        </is>
      </c>
      <c r="D321" s="221" t="inlineStr">
        <is>
          <t>Link</t>
        </is>
      </c>
      <c r="E321" s="222" t="inlineStr">
        <is>
          <t>Suggested use</t>
        </is>
      </c>
      <c r="F321" s="221" t="inlineStr">
        <is>
          <t>Status</t>
        </is>
      </c>
      <c r="G321" s="222" t="inlineStr">
        <is>
          <t>Source</t>
        </is>
      </c>
      <c r="H321" s="221" t="inlineStr">
        <is>
          <t>Digest</t>
        </is>
      </c>
      <c r="I321" s="222" t="inlineStr">
        <is>
          <t>Magazine angle · check with</t>
        </is>
      </c>
    </row>
    <row r="322" outlineLevel="1" ht="41.5" customHeight="1">
      <c r="A322" s="191" t="n">
        <v>296</v>
      </c>
      <c r="B322" s="192" t="n">
        <v>5</v>
      </c>
      <c r="C322" s="193" t="inlineStr">
        <is>
          <t>Floating wind needs grounded solutions</t>
        </is>
      </c>
      <c r="D322" s="194" t="inlineStr">
        <is>
          <t>Open article</t>
        </is>
      </c>
      <c r="E322" s="195" t="inlineStr">
        <is>
          <t>Feature lead</t>
        </is>
      </c>
      <c r="F322" s="196">
        <f>IFERROR(INDEX(Stories!$F$4:$F$357,MATCH($A322,Stories!$A$4:$A$357,0))&amp;"","")</f>
        <v/>
      </c>
      <c r="G322" s="197" t="inlineStr">
        <is>
          <t>Ground Engineering</t>
        </is>
      </c>
      <c r="H322" s="198" t="n">
        <v>46319</v>
      </c>
      <c r="I322" s="197" t="inlineStr">
        <is>
          <t>What geotechnical challenges arise in anchoring floating offshore wind foundations in variable seabed soils under extreme loading?</t>
        </is>
      </c>
    </row>
    <row r="323" outlineLevel="1" ht="54" customHeight="1">
      <c r="A323" s="191" t="n">
        <v>254</v>
      </c>
      <c r="B323" s="192" t="n">
        <v>4</v>
      </c>
      <c r="C323" s="193" t="inlineStr">
        <is>
          <t>Nghe An: urgent measures needed for landslide on the seaside road embankment
(English headline translated by Claude · Original: 응에안성: 해안 도로 제방의 산사태 발생에 대한 긴급 조치가 필요합니다.)</t>
        </is>
      </c>
      <c r="D323" s="194" t="inlineStr">
        <is>
          <t>Open article</t>
        </is>
      </c>
      <c r="E323" s="199" t="inlineStr">
        <is>
          <t>News brief</t>
        </is>
      </c>
      <c r="F323" s="196">
        <f>IFERROR(INDEX(Stories!$F$4:$F$357,MATCH($A323,Stories!$A$4:$A$357,0))&amp;"","")</f>
        <v/>
      </c>
      <c r="G323" s="197" t="inlineStr">
        <is>
          <t>Vietnam.vn</t>
        </is>
      </c>
      <c r="H323" s="198" t="n">
        <v>46320</v>
      </c>
      <c r="I323" s="197" t="inlineStr">
        <is>
          <t>Why do coastal road embankments fail by landslide, and what emergency stabilisation and monitoring are appropriate for dyke slopes exposed to waves and rainfall?</t>
        </is>
      </c>
    </row>
    <row r="324" outlineLevel="1" ht="41.5" customHeight="1">
      <c r="A324" s="191" t="n">
        <v>312</v>
      </c>
      <c r="B324" s="192" t="n">
        <v>4</v>
      </c>
      <c r="C324" s="193" t="inlineStr">
        <is>
          <t>Quang Tri: Severe coastal erosion threatens dikes, embankments, and people's lives.</t>
        </is>
      </c>
      <c r="D324" s="194" t="inlineStr">
        <is>
          <t>Open article</t>
        </is>
      </c>
      <c r="E324" s="210" t="inlineStr">
        <is>
          <t>Regional insight</t>
        </is>
      </c>
      <c r="F324" s="196">
        <f>IFERROR(INDEX(Stories!$F$4:$F$357,MATCH($A324,Stories!$A$4:$A$357,0))&amp;"","")</f>
        <v/>
      </c>
      <c r="G324" s="197" t="inlineStr">
        <is>
          <t>Vietnam.vn</t>
        </is>
      </c>
      <c r="H324" s="198" t="n">
        <v>46319</v>
      </c>
      <c r="I324" s="197" t="inlineStr">
        <is>
          <t>What processes drive severe coastal erosion undermining dikes, and what protection measures suit such shorelines?</t>
        </is>
      </c>
    </row>
    <row r="325" outlineLevel="1" ht="66.5" customHeight="1">
      <c r="A325" s="191" t="n">
        <v>313</v>
      </c>
      <c r="B325" s="192" t="n">
        <v>4</v>
      </c>
      <c r="C325" s="193"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325" s="194" t="inlineStr">
        <is>
          <t>Open article</t>
        </is>
      </c>
      <c r="E325" s="210" t="inlineStr">
        <is>
          <t>Regional insight</t>
        </is>
      </c>
      <c r="F325" s="196">
        <f>IFERROR(INDEX(Stories!$F$4:$F$357,MATCH($A325,Stories!$A$4:$A$357,0))&amp;"","")</f>
        <v/>
      </c>
      <c r="G325" s="197" t="inlineStr">
        <is>
          <t>Vietnam.vn</t>
        </is>
      </c>
      <c r="H325" s="198" t="n">
        <v>46319</v>
      </c>
      <c r="I325" s="197" t="inlineStr">
        <is>
          <t>What urgent stabilisation options suit a failing embankment on a coastal road, and how should slope failure risk be assessed?</t>
        </is>
      </c>
    </row>
    <row r="326" outlineLevel="1" ht="66.5" customHeight="1">
      <c r="A326" s="191" t="n">
        <v>319</v>
      </c>
      <c r="B326" s="192" t="n">
        <v>4</v>
      </c>
      <c r="C326" s="193" t="inlineStr">
        <is>
          <t>Nghe An: early treatment needed for slope failure on coastal road cut
(English headline translated by Claude · Original: Nghệ An: Cần sớm xử lý sạt lở taluy dương trên tuyến đường ven biển)</t>
        </is>
      </c>
      <c r="D326" s="194" t="inlineStr">
        <is>
          <t>Open article</t>
        </is>
      </c>
      <c r="E326" s="210" t="inlineStr">
        <is>
          <t>Regional insight</t>
        </is>
      </c>
      <c r="F326" s="196">
        <f>IFERROR(INDEX(Stories!$F$4:$F$357,MATCH($A326,Stories!$A$4:$A$357,0))&amp;"","")</f>
        <v/>
      </c>
      <c r="G326" s="197" t="inlineStr">
        <is>
          <t>Vietnam.vn</t>
        </is>
      </c>
      <c r="H326" s="198" t="n">
        <v>46319</v>
      </c>
      <c r="I326" s="197" t="inlineStr">
        <is>
          <t>What causes slope failure in coastal road cuts, and which stabilisation methods are most suitable for weathered coastal soils?</t>
        </is>
      </c>
    </row>
    <row r="327" outlineLevel="1" ht="54" customHeight="1">
      <c r="A327" s="191" t="n">
        <v>255</v>
      </c>
      <c r="B327" s="192" t="n">
        <v>4</v>
      </c>
      <c r="C327" s="193" t="inlineStr">
        <is>
          <t>Quang Tri: severe coastal erosion threatens dykes, embankments and residents' lives.
(English headline translated by Claude · Original: 꽝찌: 심각한 해안 침식으로 인해 제방과 둑, 그리고 주민들의 생명이 위협받고 있습니다.)</t>
        </is>
      </c>
      <c r="D327" s="194" t="inlineStr">
        <is>
          <t>Open article</t>
        </is>
      </c>
      <c r="E327" s="195" t="inlineStr">
        <is>
          <t>Feature lead</t>
        </is>
      </c>
      <c r="F327" s="196">
        <f>IFERROR(INDEX(Stories!$F$4:$F$357,MATCH($A327,Stories!$A$4:$A$357,0))&amp;"","")</f>
        <v/>
      </c>
      <c r="G327" s="197" t="inlineStr">
        <is>
          <t>Vietnam.vn</t>
        </is>
      </c>
      <c r="H327" s="198" t="n">
        <v>46320</v>
      </c>
      <c r="I327" s="197" t="inlineStr">
        <is>
          <t>How can coastal erosion monitoring and erosion-resistant embankment design protect dykes and communities when shoreline retreat accelerates?</t>
        </is>
      </c>
    </row>
    <row r="328" outlineLevel="1" ht="41.5" customHeight="1">
      <c r="A328" s="191" t="n">
        <v>323</v>
      </c>
      <c r="B328" s="192" t="n">
        <v>4</v>
      </c>
      <c r="C328" s="193" t="inlineStr">
        <is>
          <t>Two houses collapse due to Tien River bank erosion
(English headline translated by Claude · Original: Hai căn nhà đổ sập do sạt lở bờ sông Tiền)</t>
        </is>
      </c>
      <c r="D328" s="194" t="inlineStr">
        <is>
          <t>Open article</t>
        </is>
      </c>
      <c r="E328" s="199" t="inlineStr">
        <is>
          <t>News brief</t>
        </is>
      </c>
      <c r="F328" s="196">
        <f>IFERROR(INDEX(Stories!$F$4:$F$357,MATCH($A328,Stories!$A$4:$A$357,0))&amp;"","")</f>
        <v/>
      </c>
      <c r="G328" s="197" t="inlineStr">
        <is>
          <t>VTV.vn</t>
        </is>
      </c>
      <c r="H328" s="198" t="n">
        <v>46319</v>
      </c>
      <c r="I328" s="197" t="inlineStr">
        <is>
          <t>What riverbank erosion processes undermined these houses, and how can bank stability be assessed near settlements?</t>
        </is>
      </c>
    </row>
    <row r="329" outlineLevel="1" ht="79" customHeight="1">
      <c r="A329" s="191" t="n">
        <v>221</v>
      </c>
      <c r="B329" s="192" t="n">
        <v>4</v>
      </c>
      <c r="C329" s="193" t="inlineStr">
        <is>
          <t>Strong waves cause a sinkhole and damage to an emblematic seafront promenade in Mexico
(English headline translated by Claude · Original: Fuerte oleaje provoca un socavón y daños en un malecón emblemático de México)</t>
        </is>
      </c>
      <c r="D329" s="194" t="inlineStr">
        <is>
          <t>Open article</t>
        </is>
      </c>
      <c r="E329" s="195" t="inlineStr">
        <is>
          <t>Feature lead</t>
        </is>
      </c>
      <c r="F329" s="196">
        <f>IFERROR(INDEX(Stories!$F$4:$F$357,MATCH($A329,Stories!$A$4:$A$357,0))&amp;"","")</f>
        <v/>
      </c>
      <c r="G329" s="197" t="inlineStr">
        <is>
          <t>TV Azteca Jalisco</t>
        </is>
      </c>
      <c r="H329" s="198" t="n">
        <v>46321</v>
      </c>
      <c r="I329" s="197" t="inlineStr">
        <is>
          <t>How do storm waves undermine the backfill behind a seafront promenade wall to create sinkholes, and what coastal protection and geotechnical checks should follow such damage?
Check with: Mazatlán municipal government and Sinaloa civil protection</t>
        </is>
      </c>
    </row>
    <row r="330" outlineLevel="1" ht="66.5" customHeight="1">
      <c r="A330" s="191" t="n">
        <v>222</v>
      </c>
      <c r="B330" s="192" t="n">
        <v>4</v>
      </c>
      <c r="C330" s="193" t="inlineStr">
        <is>
          <t>Repair of sinkhole caused by strong waves begins next to the Monument to the Mazatlan Woman
(English headline translated by Claude · Original: Inician reparación de socavón provocado por fuerte oleaje junto al Monumento a la Mujer Mazatleca)</t>
        </is>
      </c>
      <c r="D330" s="194" t="inlineStr">
        <is>
          <t>Open article</t>
        </is>
      </c>
      <c r="E330" s="210" t="inlineStr">
        <is>
          <t>Regional insight</t>
        </is>
      </c>
      <c r="F330" s="196">
        <f>IFERROR(INDEX(Stories!$F$4:$F$357,MATCH($A330,Stories!$A$4:$A$357,0))&amp;"","")</f>
        <v/>
      </c>
      <c r="G330" s="197" t="inlineStr">
        <is>
          <t>Los Noticieristas</t>
        </is>
      </c>
      <c r="H330" s="198" t="n">
        <v>46321</v>
      </c>
      <c r="I330" s="197" t="inlineStr">
        <is>
          <t>What repair approach suits a wave-undermined seafront structure, and how should designers balance scour protection, backfill compaction and monument stability at the shoreline?
Check with: Mazatlán municipal government</t>
        </is>
      </c>
    </row>
    <row r="331" outlineLevel="1" ht="66.5" customHeight="1">
      <c r="A331" s="191" t="n">
        <v>262</v>
      </c>
      <c r="B331" s="192" t="n">
        <v>4</v>
      </c>
      <c r="C331" s="193" t="inlineStr">
        <is>
          <t>Can Tho to invest over 500 billion dong in dykes against erosion at Cu Lao Dung
(English headline translated by Claude · Original: Cần Thơ đầu tư hơn 500 tỷ đồng xây dựng đê phòng, chống sạt lở ở Cù Lao Dung)</t>
        </is>
      </c>
      <c r="D331" s="194" t="inlineStr">
        <is>
          <t>Open article</t>
        </is>
      </c>
      <c r="E331" s="195" t="inlineStr">
        <is>
          <t>Feature lead</t>
        </is>
      </c>
      <c r="F331" s="196">
        <f>IFERROR(INDEX(Stories!$F$4:$F$357,MATCH($A331,Stories!$A$4:$A$357,0))&amp;"","")</f>
        <v/>
      </c>
      <c r="G331" s="197" t="inlineStr">
        <is>
          <t>Báo Nhân Dân điện tử</t>
        </is>
      </c>
      <c r="H331" s="198" t="n">
        <v>46320</v>
      </c>
      <c r="I331" s="197" t="inlineStr">
        <is>
          <t>How should dyke and bank protection balance erosion control against settlement and stability on soft deltaic soils?</t>
        </is>
      </c>
    </row>
    <row r="332" outlineLevel="1" ht="66.5" customHeight="1">
      <c r="A332" s="191" t="n">
        <v>263</v>
      </c>
      <c r="B332" s="192" t="n">
        <v>4</v>
      </c>
      <c r="C332" s="193" t="inlineStr">
        <is>
          <t>Krong No river erosion in Lam Dong threatens irrigation works and farmland
(English headline translated by Claude · Original: Sạt lở sông Krông Nô tại Lâm Đồng đe dọa công trình thủy lợi và đất canh tác)</t>
        </is>
      </c>
      <c r="D332" s="194" t="inlineStr">
        <is>
          <t>Open article</t>
        </is>
      </c>
      <c r="E332" s="195" t="inlineStr">
        <is>
          <t>Feature lead</t>
        </is>
      </c>
      <c r="F332" s="196">
        <f>IFERROR(INDEX(Stories!$F$4:$F$357,MATCH($A332,Stories!$A$4:$A$357,0))&amp;"","")</f>
        <v/>
      </c>
      <c r="G332" s="197" t="inlineStr">
        <is>
          <t>tin.skydoor.net</t>
        </is>
      </c>
      <c r="H332" s="198" t="n">
        <v>46320</v>
      </c>
      <c r="I332" s="197" t="inlineStr">
        <is>
          <t>How can riverbank erosion be assessed and countered to protect irrigation infrastructure and farmland?</t>
        </is>
      </c>
    </row>
    <row r="333" outlineLevel="1" ht="66.5" customHeight="1">
      <c r="A333" s="191" t="n">
        <v>275</v>
      </c>
      <c r="B333" s="192" t="n">
        <v>4</v>
      </c>
      <c r="C333" s="193"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333" s="194" t="inlineStr">
        <is>
          <t>Open article</t>
        </is>
      </c>
      <c r="E333" s="195" t="inlineStr">
        <is>
          <t>Feature lead</t>
        </is>
      </c>
      <c r="F333" s="196">
        <f>IFERROR(INDEX(Stories!$F$4:$F$357,MATCH($A333,Stories!$A$4:$A$357,0))&amp;"","")</f>
        <v/>
      </c>
      <c r="G333" s="197" t="inlineStr">
        <is>
          <t>AI넷</t>
        </is>
      </c>
      <c r="H333" s="198" t="n">
        <v>46320</v>
      </c>
      <c r="I333" s="197" t="inlineStr">
        <is>
          <t>How do sea-level rise and land subsidence combine to lower coastal ground, and what engineering responses can slow the loss of land?</t>
        </is>
      </c>
    </row>
    <row r="334" outlineLevel="1" ht="66.5" customHeight="1">
      <c r="A334" s="191" t="n">
        <v>335</v>
      </c>
      <c r="B334" s="192" t="n">
        <v>4</v>
      </c>
      <c r="C334" s="193" t="inlineStr">
        <is>
          <t>Concerns over riverbank erosion leading to loss of farmland
(English headline translated by Claude · Original: مخاوف بشأن تآكل ضفاف الأنهار مما يؤدي إلى فقدان الأراضي الزراعية.)</t>
        </is>
      </c>
      <c r="D334" s="194" t="inlineStr">
        <is>
          <t>Open article</t>
        </is>
      </c>
      <c r="E334" s="195" t="inlineStr">
        <is>
          <t>Feature lead</t>
        </is>
      </c>
      <c r="F334" s="196">
        <f>IFERROR(INDEX(Stories!$F$4:$F$357,MATCH($A334,Stories!$A$4:$A$357,0))&amp;"","")</f>
        <v/>
      </c>
      <c r="G334" s="197" t="inlineStr">
        <is>
          <t>Vietnam.vn</t>
        </is>
      </c>
      <c r="H334" s="198" t="n">
        <v>46319</v>
      </c>
      <c r="I334" s="197" t="inlineStr">
        <is>
          <t>What bank erosion mechanisms and protection measures are effective for riverbanks threatening farmland, and how can they be monitored over time?</t>
        </is>
      </c>
    </row>
    <row r="335" outlineLevel="1" ht="66.5" customHeight="1">
      <c r="A335" s="191" t="n">
        <v>336</v>
      </c>
      <c r="B335" s="192" t="n">
        <v>4</v>
      </c>
      <c r="C335" s="193" t="inlineStr">
        <is>
          <t>Quang Tri: Severe sea erosion threatens dykes and residents' livelihoods
(English headline translated by Claude · Original: Quảng Trị: Biển xâm thực nghiêm trọng đe dọa đê kè và đời sống người dân)</t>
        </is>
      </c>
      <c r="D335" s="194" t="inlineStr">
        <is>
          <t>Open article</t>
        </is>
      </c>
      <c r="E335" s="195" t="inlineStr">
        <is>
          <t>Feature lead</t>
        </is>
      </c>
      <c r="F335" s="196">
        <f>IFERROR(INDEX(Stories!$F$4:$F$357,MATCH($A335,Stories!$A$4:$A$357,0))&amp;"","")</f>
        <v/>
      </c>
      <c r="G335" s="197" t="inlineStr">
        <is>
          <t>Người Đưa Tin</t>
        </is>
      </c>
      <c r="H335" s="198" t="n">
        <v>46319</v>
      </c>
      <c r="I335" s="197" t="inlineStr">
        <is>
          <t>How do sea-level-driven erosion and scour undermine sea dyke foundations in Quang Tri, and which revetment and foundation designs suit eroding sandy coastal soils?</t>
        </is>
      </c>
    </row>
    <row r="336" outlineLevel="1" ht="66.5" customHeight="1">
      <c r="A336" s="191" t="n">
        <v>106</v>
      </c>
      <c r="B336" s="192" t="n">
        <v>3</v>
      </c>
      <c r="C336" s="193" t="inlineStr">
        <is>
          <t>USACE carries out geotechnical work for Tampa Harbor deepening project</t>
        </is>
      </c>
      <c r="D336" s="194" t="inlineStr">
        <is>
          <t>Open article</t>
        </is>
      </c>
      <c r="E336" s="199" t="inlineStr">
        <is>
          <t>News brief</t>
        </is>
      </c>
      <c r="F336" s="196">
        <f>IFERROR(INDEX(Stories!$F$4:$F$357,MATCH($A336,Stories!$A$4:$A$357,0))&amp;"","")</f>
        <v/>
      </c>
      <c r="G336" s="197" t="inlineStr">
        <is>
          <t>Baird Maritime</t>
        </is>
      </c>
      <c r="H336" s="198" t="n">
        <v>46324</v>
      </c>
      <c r="I336" s="197" t="inlineStr">
        <is>
          <t>What subsurface investigation is needed to assess dredging feasibility and seabed behaviour for a deepened harbour channel?
Check with: US Army Corps of Engineers Jacksonville District</t>
        </is>
      </c>
    </row>
    <row r="337" outlineLevel="1" ht="66.5" customHeight="1">
      <c r="A337" s="191" t="n">
        <v>194</v>
      </c>
      <c r="B337" s="192" t="n">
        <v>3</v>
      </c>
      <c r="C337" s="193" t="inlineStr">
        <is>
          <t>Floating Offshore Wind Turbine Stability: The Impact of Mooring Systems</t>
        </is>
      </c>
      <c r="D337" s="194" t="inlineStr">
        <is>
          <t>Open article</t>
        </is>
      </c>
      <c r="E337" s="200" t="inlineStr">
        <is>
          <t>Academia-to-Industry topic</t>
        </is>
      </c>
      <c r="F337" s="196">
        <f>IFERROR(INDEX(Stories!$F$4:$F$357,MATCH($A337,Stories!$A$4:$A$357,0))&amp;"","")</f>
        <v/>
      </c>
      <c r="G337" s="197" t="inlineStr">
        <is>
          <t>Institution of Civil Engineers (ICE)</t>
        </is>
      </c>
      <c r="H337" s="198" t="n">
        <v>46322</v>
      </c>
      <c r="I337" s="197" t="inlineStr">
        <is>
          <t>How do soil-mooring anchor interactions under cyclic loading affect floating wind turbine stability, and what site data are needed for design?
Check with: Institution of Civil Engineers publication authors</t>
        </is>
      </c>
    </row>
    <row r="338" outlineLevel="1" ht="66.5" customHeight="1">
      <c r="A338" s="191" t="n">
        <v>72</v>
      </c>
      <c r="B338" s="192" t="n">
        <v>3</v>
      </c>
      <c r="C338" s="193" t="inlineStr">
        <is>
          <t>Safety fences placed around 100-metre sinkhole on Mazatlán seafront
(English headline translated by Claude · Original: Colocan vallas de seguridad en zona del socavón de 100 metros del malecón de Mazatlán)</t>
        </is>
      </c>
      <c r="D338" s="194" t="inlineStr">
        <is>
          <t>Open article</t>
        </is>
      </c>
      <c r="E338" s="210" t="inlineStr">
        <is>
          <t>Regional insight</t>
        </is>
      </c>
      <c r="F338" s="196">
        <f>IFERROR(INDEX(Stories!$F$4:$F$357,MATCH($A338,Stories!$A$4:$A$357,0))&amp;"","")</f>
        <v/>
      </c>
      <c r="G338" s="197" t="inlineStr">
        <is>
          <t>Debate</t>
        </is>
      </c>
      <c r="H338" s="198" t="n">
        <v>46325</v>
      </c>
      <c r="I338" s="197" t="inlineStr">
        <is>
          <t>How do wave action and coastal groundwater undermine a promenade, and what stabilisation would prevent further ground loss?
Check with: the municipal public works department</t>
        </is>
      </c>
    </row>
    <row r="339" outlineLevel="1" ht="66.5" customHeight="1">
      <c r="A339" s="191" t="n">
        <v>110</v>
      </c>
      <c r="B339" s="192" t="n">
        <v>3</v>
      </c>
      <c r="C339" s="193" t="inlineStr">
        <is>
          <t>Studies start this week on largest sinkhole on Mazatlán seafront: Public Works.
(English headline translated by Claude · Original: Iniciarán esta semana estudios en socavón más grande en malecón de Mazatlán: Obras Públicas)</t>
        </is>
      </c>
      <c r="D339" s="194" t="inlineStr">
        <is>
          <t>Open article</t>
        </is>
      </c>
      <c r="E339" s="199" t="inlineStr">
        <is>
          <t>News brief</t>
        </is>
      </c>
      <c r="F339" s="196">
        <f>IFERROR(INDEX(Stories!$F$4:$F$357,MATCH($A339,Stories!$A$4:$A$357,0))&amp;"","")</f>
        <v/>
      </c>
      <c r="G339" s="197" t="inlineStr">
        <is>
          <t>www.noroeste.com.mx</t>
        </is>
      </c>
      <c r="H339" s="198" t="n">
        <v>46324</v>
      </c>
      <c r="I339" s="197" t="inlineStr">
        <is>
          <t>What is causing this seafront sinkhole near the seawall and promenade, and what investigation will identify the mechanism?
Check with: Mazatlán Public Works department (Obras Públicas)</t>
        </is>
      </c>
    </row>
    <row r="340" outlineLevel="1" ht="66.5" customHeight="1">
      <c r="A340" s="191" t="n">
        <v>197</v>
      </c>
      <c r="B340" s="192" t="n">
        <v>3</v>
      </c>
      <c r="C340" s="193" t="inlineStr">
        <is>
          <t>Studies to start this week on largest sinkhole on Mazatlán seafront promenade: Public Works
(English headline translated by Claude · Original: Iniciarán esta semana estudios en socavón más grande en malecón de Mazatlán: Obras Públicas)</t>
        </is>
      </c>
      <c r="D340" s="194" t="inlineStr">
        <is>
          <t>Open article</t>
        </is>
      </c>
      <c r="E340" s="199" t="inlineStr">
        <is>
          <t>News brief</t>
        </is>
      </c>
      <c r="F340" s="196">
        <f>IFERROR(INDEX(Stories!$F$4:$F$357,MATCH($A340,Stories!$A$4:$A$357,0))&amp;"","")</f>
        <v/>
      </c>
      <c r="G340" s="197" t="inlineStr">
        <is>
          <t>www.noroeste.com.mx</t>
        </is>
      </c>
      <c r="H340" s="198" t="n">
        <v>46322</v>
      </c>
      <c r="I340" s="197" t="inlineStr">
        <is>
          <t>What investigation would explain the cause of this coastal sinkhole, and how do ground and wave conditions affect a seafront promenade?
Check with: Mazatlán municipal public works department</t>
        </is>
      </c>
    </row>
    <row r="341" outlineLevel="1" ht="66.5" customHeight="1">
      <c r="A341" s="191" t="n">
        <v>282</v>
      </c>
      <c r="B341" s="192" t="n">
        <v>3</v>
      </c>
      <c r="C341" s="193" t="inlineStr">
        <is>
          <t>Dong Thap province spends 330 billion dong to tackle landslide-hit areas
(English headline translated by Claude · Original: La provincia di Dong Thap spende 330 miliardi di dong vietnamiti per affrontare le zone colpite dalle frane.)</t>
        </is>
      </c>
      <c r="D341" s="194" t="inlineStr">
        <is>
          <t>Open article</t>
        </is>
      </c>
      <c r="E341" s="210" t="inlineStr">
        <is>
          <t>Regional insight</t>
        </is>
      </c>
      <c r="F341" s="196">
        <f>IFERROR(INDEX(Stories!$F$4:$F$357,MATCH($A341,Stories!$A$4:$A$357,0))&amp;"","")</f>
        <v/>
      </c>
      <c r="G341" s="197" t="inlineStr">
        <is>
          <t>Vietnam.vn</t>
        </is>
      </c>
      <c r="H341" s="198" t="n">
        <v>46320</v>
      </c>
      <c r="I341" s="197" t="inlineStr">
        <is>
          <t>How does riverbank failure in the Mekong delta drive the cost and design choice between revetments and managed retreat?</t>
        </is>
      </c>
    </row>
    <row r="342" outlineLevel="1" ht="41.5" customHeight="1">
      <c r="A342" s="191" t="n">
        <v>345</v>
      </c>
      <c r="B342" s="192" t="n">
        <v>3</v>
      </c>
      <c r="C342" s="193" t="inlineStr">
        <is>
          <t>Strong waves on Mazatlán beaches form sinkhole in monument
(English headline translated by Claude · Original: Fuerte oleaje en playas de Mazatlán forma socavón en monumento)</t>
        </is>
      </c>
      <c r="D342" s="194" t="inlineStr">
        <is>
          <t>Open article</t>
        </is>
      </c>
      <c r="E342" s="199" t="inlineStr">
        <is>
          <t>News brief</t>
        </is>
      </c>
      <c r="F342" s="196">
        <f>IFERROR(INDEX(Stories!$F$4:$F$357,MATCH($A342,Stories!$A$4:$A$357,0))&amp;"","")</f>
        <v/>
      </c>
      <c r="G342" s="197" t="inlineStr">
        <is>
          <t>El Universal</t>
        </is>
      </c>
      <c r="H342" s="198" t="n">
        <v>46319</v>
      </c>
      <c r="I342" s="197" t="inlineStr">
        <is>
          <t>How do wave action and beach sand erosion undermine coastal monuments and promenade ground in Mazatlán?</t>
        </is>
      </c>
    </row>
    <row r="343" outlineLevel="1" ht="66.5" customHeight="1">
      <c r="A343" s="191" t="n">
        <v>161</v>
      </c>
      <c r="B343" s="192" t="n">
        <v>3</v>
      </c>
      <c r="C343" s="193" t="inlineStr">
        <is>
          <t>Thanh Hoa: urgent completion of two key dyke projects before 31 December.
(English headline translated by Claude · Original: Thanh Hoa: Penyelesaian mendesak dua proyek tanggul penting sebelum 31 Desember.)</t>
        </is>
      </c>
      <c r="D343" s="194" t="inlineStr">
        <is>
          <t>Open article</t>
        </is>
      </c>
      <c r="E343" s="199" t="inlineStr">
        <is>
          <t>News brief</t>
        </is>
      </c>
      <c r="F343" s="196">
        <f>IFERROR(INDEX(Stories!$F$4:$F$357,MATCH($A343,Stories!$A$4:$A$357,0))&amp;"","")</f>
        <v/>
      </c>
      <c r="G343" s="197" t="inlineStr">
        <is>
          <t>Vietnam.vn</t>
        </is>
      </c>
      <c r="H343" s="198" t="n">
        <v>46323</v>
      </c>
      <c r="I343" s="197" t="inlineStr">
        <is>
          <t>What geotechnical checks are needed on embankment foundations and soft ground before urgent dyke works are rushed to a year-end deadline?
Check with: Thanh Hoa provincial people's committee</t>
        </is>
      </c>
    </row>
    <row r="344" outlineLevel="1" ht="54" customHeight="1">
      <c r="A344" s="191" t="n">
        <v>289</v>
      </c>
      <c r="B344" s="192" t="n">
        <v>3</v>
      </c>
      <c r="C344" s="193" t="inlineStr">
        <is>
          <t>A section of the Esquina waterfront promenade closed due to subsidence
(English headline translated by Claude · Original: Cerraron un sector de la costanera de Esquina por hundimiento)</t>
        </is>
      </c>
      <c r="D344" s="194" t="inlineStr">
        <is>
          <t>Open article</t>
        </is>
      </c>
      <c r="E344" s="199" t="inlineStr">
        <is>
          <t>News brief</t>
        </is>
      </c>
      <c r="F344" s="196">
        <f>IFERROR(INDEX(Stories!$F$4:$F$357,MATCH($A344,Stories!$A$4:$A$357,0))&amp;"","")</f>
        <v/>
      </c>
      <c r="G344" s="197" t="inlineStr">
        <is>
          <t>Diario 1588</t>
        </is>
      </c>
      <c r="H344" s="198" t="n">
        <v>46320</v>
      </c>
      <c r="I344" s="197" t="inlineStr">
        <is>
          <t>What causes subsidence along a riverfront promenade, and what ground investigation would identify the weak or eroded soils behind it?</t>
        </is>
      </c>
    </row>
    <row r="345" outlineLevel="1" ht="54" customHeight="1">
      <c r="A345" s="191" t="n">
        <v>290</v>
      </c>
      <c r="B345" s="192" t="n">
        <v>3</v>
      </c>
      <c r="C345" s="193" t="inlineStr">
        <is>
          <t>Experts from Hong Kong propose solutions to counter sea-level rise in Vietnam
(English headline translated by Claude · Original: 来自中国香港的专家为应对越南海平面上升提出了解决方案。)</t>
        </is>
      </c>
      <c r="D345" s="194" t="inlineStr">
        <is>
          <t>Open article</t>
        </is>
      </c>
      <c r="E345" s="210" t="inlineStr">
        <is>
          <t>Regional insight</t>
        </is>
      </c>
      <c r="F345" s="196">
        <f>IFERROR(INDEX(Stories!$F$4:$F$357,MATCH($A345,Stories!$A$4:$A$357,0))&amp;"","")</f>
        <v/>
      </c>
      <c r="G345" s="197" t="inlineStr">
        <is>
          <t>Vietnam.vn</t>
        </is>
      </c>
      <c r="H345" s="198" t="n">
        <v>46320</v>
      </c>
      <c r="I345" s="197" t="inlineStr">
        <is>
          <t>Which ground-engineering measures, such as seawalls and soft-soil improvement, best protect low-lying deltas and coasts facing sea-level rise and subsidence?</t>
        </is>
      </c>
    </row>
    <row r="346" outlineLevel="1" ht="66.5" customHeight="1">
      <c r="A346" s="191" t="n">
        <v>353</v>
      </c>
      <c r="B346" s="192" t="n">
        <v>3</v>
      </c>
      <c r="C346" s="193" t="inlineStr">
        <is>
          <t>A section of the coastal road in a Corrientes city was closed due to subsidence
(English headline translated by Claude · Original: Cerraron un sector de la costanera de una ciudad correntina por hundimiento)</t>
        </is>
      </c>
      <c r="D346" s="194" t="inlineStr">
        <is>
          <t>Open article</t>
        </is>
      </c>
      <c r="E346" s="199" t="inlineStr">
        <is>
          <t>News brief</t>
        </is>
      </c>
      <c r="F346" s="196">
        <f>IFERROR(INDEX(Stories!$F$4:$F$357,MATCH($A346,Stories!$A$4:$A$357,0))&amp;"","")</f>
        <v/>
      </c>
      <c r="G346" s="197" t="inlineStr">
        <is>
          <t>El Litoral | Novedades de Corrientes</t>
        </is>
      </c>
      <c r="H346" s="198" t="n">
        <v>46319</v>
      </c>
      <c r="I346" s="197" t="inlineStr">
        <is>
          <t>What causes subsidence along a riverfront promenade in Corrientes, and how should ground investigation guide repair of the costanera?</t>
        </is>
      </c>
    </row>
    <row r="347" outlineLevel="1" ht="66.5" customHeight="1">
      <c r="A347" s="191" t="n">
        <v>354</v>
      </c>
      <c r="B347" s="192" t="n">
        <v>3</v>
      </c>
      <c r="C347" s="193" t="inlineStr">
        <is>
          <t>Rehabilitation begins after slab subsidence on the Malecón Costero in Coatzacoalcos
(English headline translated by Claude · Original: Inician rehabilitación tras hundimiento de losa en el Malecón Costero de Coatzacoalcos)</t>
        </is>
      </c>
      <c r="D347" s="194" t="inlineStr">
        <is>
          <t>Open article</t>
        </is>
      </c>
      <c r="E347" s="199" t="inlineStr">
        <is>
          <t>News brief</t>
        </is>
      </c>
      <c r="F347" s="196">
        <f>IFERROR(INDEX(Stories!$F$4:$F$357,MATCH($A347,Stories!$A$4:$A$357,0))&amp;"","")</f>
        <v/>
      </c>
      <c r="G347" s="197" t="inlineStr">
        <is>
          <t>:: Foro Coatza ::</t>
        </is>
      </c>
      <c r="H347" s="198" t="n">
        <v>46319</v>
      </c>
      <c r="I347" s="197" t="inlineStr">
        <is>
          <t>What causes slab sinking on a coastal promenade exposed to waves, and what foundation and drainage remedies are appropriate?</t>
        </is>
      </c>
    </row>
    <row r="348" outlineLevel="1" ht="10" customHeight="1"/>
    <row r="349" ht="26" customHeight="1">
      <c r="A349" s="223" t="inlineStr">
        <is>
          <t>Characterisation &amp; Modelling   ·   19 stories   ·   0 rated 5 / 5   ·   7 feature leads</t>
        </is>
      </c>
      <c r="B349" s="224" t="n"/>
      <c r="C349" s="224" t="n"/>
      <c r="D349" s="224" t="n"/>
      <c r="E349" s="224" t="n"/>
      <c r="F349" s="224" t="n"/>
      <c r="G349" s="224" t="n"/>
      <c r="H349" s="224" t="n"/>
      <c r="I349" s="224" t="n"/>
    </row>
    <row r="350" outlineLevel="1">
      <c r="A350" s="225" t="inlineStr">
        <is>
          <t>No.</t>
        </is>
      </c>
      <c r="B350" s="225" t="inlineStr">
        <is>
          <t>Relevance</t>
        </is>
      </c>
      <c r="C350" s="226" t="inlineStr">
        <is>
          <t>Headline</t>
        </is>
      </c>
      <c r="D350" s="225" t="inlineStr">
        <is>
          <t>Link</t>
        </is>
      </c>
      <c r="E350" s="226" t="inlineStr">
        <is>
          <t>Suggested use</t>
        </is>
      </c>
      <c r="F350" s="225" t="inlineStr">
        <is>
          <t>Status</t>
        </is>
      </c>
      <c r="G350" s="226" t="inlineStr">
        <is>
          <t>Source</t>
        </is>
      </c>
      <c r="H350" s="225" t="inlineStr">
        <is>
          <t>Digest</t>
        </is>
      </c>
      <c r="I350" s="226" t="inlineStr">
        <is>
          <t>Magazine angle · check with</t>
        </is>
      </c>
    </row>
    <row r="351" outlineLevel="1" ht="54" customHeight="1">
      <c r="A351" s="191" t="n">
        <v>258</v>
      </c>
      <c r="B351" s="192" t="n">
        <v>4</v>
      </c>
      <c r="C351" s="193" t="inlineStr">
        <is>
          <t>Close-up of giant 120 m deep sinkhole just discovered in Phong Nha-Ke Bang
(English headline translated by Claude · Original: 퐁냐케방에서 방금 발견된 깊이 120m의 거대한 싱크홀 근접 촬영)</t>
        </is>
      </c>
      <c r="D351" s="194" t="inlineStr">
        <is>
          <t>Open article</t>
        </is>
      </c>
      <c r="E351" s="195" t="inlineStr">
        <is>
          <t>Feature lead</t>
        </is>
      </c>
      <c r="F351" s="196">
        <f>IFERROR(INDEX(Stories!$F$4:$F$357,MATCH($A351,Stories!$A$4:$A$357,0))&amp;"","")</f>
        <v/>
      </c>
      <c r="G351" s="197" t="inlineStr">
        <is>
          <t>Laodong.vn</t>
        </is>
      </c>
      <c r="H351" s="198" t="n">
        <v>46320</v>
      </c>
      <c r="I351" s="197" t="inlineStr">
        <is>
          <t>How are very deep karst sinkholes investigated, and what does their formation reveal about hazards around cave systems?</t>
        </is>
      </c>
    </row>
    <row r="352" outlineLevel="1" ht="54" customHeight="1">
      <c r="A352" s="191" t="n">
        <v>261</v>
      </c>
      <c r="B352" s="192" t="n">
        <v>4</v>
      </c>
      <c r="C352" s="193" t="inlineStr">
        <is>
          <t>120 m deep sinkhole containing primeval forest discovered in Phong Nha-Ke Bang area
(English headline translated by Claude · Original: 퐁냐-케방 지역에서 원시림이 포함된 깊이 120미터의 싱크홀이 발견되었습니다.)</t>
        </is>
      </c>
      <c r="D352" s="194" t="inlineStr">
        <is>
          <t>Open article</t>
        </is>
      </c>
      <c r="E352" s="195" t="inlineStr">
        <is>
          <t>Feature lead</t>
        </is>
      </c>
      <c r="F352" s="196">
        <f>IFERROR(INDEX(Stories!$F$4:$F$357,MATCH($A352,Stories!$A$4:$A$357,0))&amp;"","")</f>
        <v/>
      </c>
      <c r="G352" s="197" t="inlineStr">
        <is>
          <t>Vietnam.vn</t>
        </is>
      </c>
      <c r="H352" s="198" t="n">
        <v>46320</v>
      </c>
      <c r="I352" s="197" t="inlineStr">
        <is>
          <t>How are very deep karst sinkholes investigated, and what does their formation reveal about hazards around cave systems?</t>
        </is>
      </c>
    </row>
    <row r="353" outlineLevel="1" ht="66.5" customHeight="1">
      <c r="A353" s="191" t="n">
        <v>325</v>
      </c>
      <c r="B353" s="192" t="n">
        <v>4</v>
      </c>
      <c r="C353" s="193" t="inlineStr">
        <is>
          <t>A sinkhole nearly three football fields in size has been discovered in Phong Nha-Ke Bang.
(English headline translated by Claude · Original: Se ha descubierto un socavón del tamaño de casi tres campos de fútbol en Phong Nha Ke Bang.)</t>
        </is>
      </c>
      <c r="D353" s="194" t="inlineStr">
        <is>
          <t>Open article</t>
        </is>
      </c>
      <c r="E353" s="195" t="inlineStr">
        <is>
          <t>Feature lead</t>
        </is>
      </c>
      <c r="F353" s="196">
        <f>IFERROR(INDEX(Stories!$F$4:$F$357,MATCH($A353,Stories!$A$4:$A$357,0))&amp;"","")</f>
        <v/>
      </c>
      <c r="G353" s="197" t="inlineStr">
        <is>
          <t>Vietnam.vn</t>
        </is>
      </c>
      <c r="H353" s="198" t="n">
        <v>46319</v>
      </c>
      <c r="I353" s="197" t="inlineStr">
        <is>
          <t>How do karst dissolution and roof collapse produce giant dolines like the one in Phong Nha Ke Bang, and how can such cavities be characterised?</t>
        </is>
      </c>
    </row>
    <row r="354" outlineLevel="1" ht="66.5" customHeight="1">
      <c r="A354" s="191" t="n">
        <v>327</v>
      </c>
      <c r="B354" s="192" t="n">
        <v>4</v>
      </c>
      <c r="C354" s="193" t="inlineStr">
        <is>
          <t>Close look at the giant 120-meter-deep sinkhole recently discovered in Vietnam.
(English headline translated by Claude · Original: Vista de cerca del gigantesco socavón de 120 metros de profundidad descubierto recientemente en Vietnam.)</t>
        </is>
      </c>
      <c r="D354" s="194" t="inlineStr">
        <is>
          <t>Open article</t>
        </is>
      </c>
      <c r="E354" s="195" t="inlineStr">
        <is>
          <t>Feature lead</t>
        </is>
      </c>
      <c r="F354" s="196">
        <f>IFERROR(INDEX(Stories!$F$4:$F$357,MATCH($A354,Stories!$A$4:$A$357,0))&amp;"","")</f>
        <v/>
      </c>
      <c r="G354" s="197" t="inlineStr">
        <is>
          <t>Vietnam.vn</t>
        </is>
      </c>
      <c r="H354" s="198" t="n">
        <v>46319</v>
      </c>
      <c r="I354" s="197" t="inlineStr">
        <is>
          <t>Which geomorphological and hydrogeological processes produced a 120 m deep collapse, and how can the stability of its steep walls be assessed?</t>
        </is>
      </c>
    </row>
    <row r="355" outlineLevel="1" ht="41.5" customHeight="1">
      <c r="A355" s="191" t="n">
        <v>328</v>
      </c>
      <c r="B355" s="192" t="n">
        <v>4</v>
      </c>
      <c r="C355" s="193" t="inlineStr">
        <is>
          <t>Primeval forest grows at bottom of 120-meter-deep sinkhole in central Vietnam</t>
        </is>
      </c>
      <c r="D355" s="194" t="inlineStr">
        <is>
          <t>Open article</t>
        </is>
      </c>
      <c r="E355" s="195" t="inlineStr">
        <is>
          <t>Feature lead</t>
        </is>
      </c>
      <c r="F355" s="196">
        <f>IFERROR(INDEX(Stories!$F$4:$F$357,MATCH($A355,Stories!$A$4:$A$357,0))&amp;"","")</f>
        <v/>
      </c>
      <c r="G355" s="197" t="inlineStr">
        <is>
          <t>VnExpress International</t>
        </is>
      </c>
      <c r="H355" s="198" t="n">
        <v>46319</v>
      </c>
      <c r="I355" s="197" t="inlineStr">
        <is>
          <t>How do karst collapse sinkholes form in limestone terrain, and what do such deep features reveal about cave ground stability and hazard mapping?</t>
        </is>
      </c>
    </row>
    <row r="356" outlineLevel="1" ht="66.5" customHeight="1">
      <c r="A356" s="191" t="n">
        <v>14</v>
      </c>
      <c r="B356" s="192" t="n">
        <v>4</v>
      </c>
      <c r="C356" s="193" t="inlineStr">
        <is>
          <t>Beneath Alaska: Permafrost warms to new depths</t>
        </is>
      </c>
      <c r="D356" s="194" t="inlineStr">
        <is>
          <t>Open article</t>
        </is>
      </c>
      <c r="E356" s="195" t="inlineStr">
        <is>
          <t>Feature lead</t>
        </is>
      </c>
      <c r="F356" s="196">
        <f>IFERROR(INDEX(Stories!$F$4:$F$357,MATCH($A356,Stories!$A$4:$A$357,0))&amp;"","")</f>
        <v/>
      </c>
      <c r="G356" s="197" t="inlineStr">
        <is>
          <t>Alaska's News Source</t>
        </is>
      </c>
      <c r="H356" s="198" t="n">
        <v>46326</v>
      </c>
      <c r="I356" s="197" t="inlineStr">
        <is>
          <t>How is warming permafrost at depth being monitored and modelled, and what does it mean for the long-term bearing capacity of infrastructure on frozen ground?
Check with: the research team's university press office</t>
        </is>
      </c>
    </row>
    <row r="357" outlineLevel="1" ht="66.5" customHeight="1">
      <c r="A357" s="191" t="n">
        <v>333</v>
      </c>
      <c r="B357" s="192" t="n">
        <v>4</v>
      </c>
      <c r="C357" s="193"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357" s="194" t="inlineStr">
        <is>
          <t>Open article</t>
        </is>
      </c>
      <c r="E357" s="195" t="inlineStr">
        <is>
          <t>Feature lead</t>
        </is>
      </c>
      <c r="F357" s="196">
        <f>IFERROR(INDEX(Stories!$F$4:$F$357,MATCH($A357,Stories!$A$4:$A$357,0))&amp;"","")</f>
        <v/>
      </c>
      <c r="G357" s="197" t="inlineStr">
        <is>
          <t>Vietnam.vn</t>
        </is>
      </c>
      <c r="H357" s="198" t="n">
        <v>46319</v>
      </c>
      <c r="I357" s="197" t="inlineStr">
        <is>
          <t>What karst processes, such as collapse or dissolution, could create a large sinkhole of over two hectares in a tropical forest, and how should it be investigated and monitored?</t>
        </is>
      </c>
    </row>
    <row r="358" outlineLevel="1" ht="66.5" customHeight="1">
      <c r="A358" s="191" t="n">
        <v>334</v>
      </c>
      <c r="B358" s="192" t="n">
        <v>4</v>
      </c>
      <c r="C358" s="193"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358" s="194" t="inlineStr">
        <is>
          <t>Open article</t>
        </is>
      </c>
      <c r="E358" s="200" t="inlineStr">
        <is>
          <t>Academia-to-Industry topic</t>
        </is>
      </c>
      <c r="F358" s="196">
        <f>IFERROR(INDEX(Stories!$F$4:$F$357,MATCH($A358,Stories!$A$4:$A$357,0))&amp;"","")</f>
        <v/>
      </c>
      <c r="G358" s="197" t="inlineStr">
        <is>
          <t>生物通</t>
        </is>
      </c>
      <c r="H358" s="198" t="n">
        <v>46319</v>
      </c>
      <c r="I358" s="197" t="inlineStr">
        <is>
          <t>How do analytical solutions for a cylindrical cavity under triangular pulse loads inform the validation of numerical models for underground openings under impact?</t>
        </is>
      </c>
    </row>
    <row r="359" outlineLevel="1" ht="41.5" customHeight="1">
      <c r="A359" s="191" t="n">
        <v>98</v>
      </c>
      <c r="B359" s="192" t="n">
        <v>3</v>
      </c>
      <c r="C359" s="193" t="inlineStr">
        <is>
          <t>Technical paper│Steel cased driven piles in cohesive soils</t>
        </is>
      </c>
      <c r="D359" s="194" t="inlineStr">
        <is>
          <t>Open article</t>
        </is>
      </c>
      <c r="E359" s="200" t="inlineStr">
        <is>
          <t>Academia-to-Industry topic</t>
        </is>
      </c>
      <c r="F359" s="196">
        <f>IFERROR(INDEX(Stories!$F$4:$F$357,MATCH($A359,Stories!$A$4:$A$357,0))&amp;"","")</f>
        <v/>
      </c>
      <c r="G359" s="197" t="inlineStr">
        <is>
          <t>Ground Engineering</t>
        </is>
      </c>
      <c r="H359" s="198" t="n">
        <v>46324</v>
      </c>
      <c r="I359" s="197" t="inlineStr">
        <is>
          <t>Do uncorrected field SPT N-values and N60 normalisation remain reliable inputs for empirical pile design in cohesive soils?</t>
        </is>
      </c>
    </row>
    <row r="360" outlineLevel="1" ht="66.5" customHeight="1">
      <c r="A360" s="191" t="n">
        <v>109</v>
      </c>
      <c r="B360" s="192" t="n">
        <v>3</v>
      </c>
      <c r="C360" s="193" t="inlineStr">
        <is>
          <t>Deeper Foundation Treatment Increases Uneven Settlement in Coastal Soil Model</t>
        </is>
      </c>
      <c r="D360" s="194" t="inlineStr">
        <is>
          <t>Open article</t>
        </is>
      </c>
      <c r="E360" s="200" t="inlineStr">
        <is>
          <t>Academia-to-Industry topic</t>
        </is>
      </c>
      <c r="F360" s="196">
        <f>IFERROR(INDEX(Stories!$F$4:$F$357,MATCH($A360,Stories!$A$4:$A$357,0))&amp;"","")</f>
        <v/>
      </c>
      <c r="G360" s="197" t="inlineStr">
        <is>
          <t>Bioengineer.org</t>
        </is>
      </c>
      <c r="H360" s="198" t="n">
        <v>46324</v>
      </c>
      <c r="I360" s="197" t="inlineStr">
        <is>
          <t>Does deepening ground treatment in coastal soils reduce or increase differential settlement, and how should models capture this?
Check with: the study's authors and publishing journal</t>
        </is>
      </c>
    </row>
    <row r="361" outlineLevel="1" ht="54" customHeight="1">
      <c r="A361" s="191" t="n">
        <v>142</v>
      </c>
      <c r="B361" s="192" t="n">
        <v>3</v>
      </c>
      <c r="C361" s="193" t="inlineStr">
        <is>
          <t>ECL sets up geotechnical lab to strengthen mine safety testing</t>
        </is>
      </c>
      <c r="D361" s="194" t="inlineStr">
        <is>
          <t>Open article</t>
        </is>
      </c>
      <c r="E361" s="199" t="inlineStr">
        <is>
          <t>News brief</t>
        </is>
      </c>
      <c r="F361" s="196">
        <f>IFERROR(INDEX(Stories!$F$4:$F$357,MATCH($A361,Stories!$A$4:$A$357,0))&amp;"","")</f>
        <v/>
      </c>
      <c r="G361" s="197" t="inlineStr">
        <is>
          <t>PSU Watch</t>
        </is>
      </c>
      <c r="H361" s="198" t="n">
        <v>46323</v>
      </c>
      <c r="I361" s="197" t="inlineStr">
        <is>
          <t>What role a dedicated geotechnical laboratory plays in improving testing reliability for mine slope and ground safety.
Check with: Eastern Coalfields Limited</t>
        </is>
      </c>
    </row>
    <row r="362" outlineLevel="1" ht="54" customHeight="1">
      <c r="A362" s="191" t="n">
        <v>143</v>
      </c>
      <c r="B362" s="192" t="n">
        <v>3</v>
      </c>
      <c r="C362" s="193" t="inlineStr">
        <is>
          <t>ECL Inaugurates Coal India’s First Subsidiary-Level Geotechnical Lab at Sanctoria</t>
        </is>
      </c>
      <c r="D362" s="194" t="inlineStr">
        <is>
          <t>Open article</t>
        </is>
      </c>
      <c r="E362" s="199" t="inlineStr">
        <is>
          <t>News brief</t>
        </is>
      </c>
      <c r="F362" s="196">
        <f>IFERROR(INDEX(Stories!$F$4:$F$357,MATCH($A362,Stories!$A$4:$A$357,0))&amp;"","")</f>
        <v/>
      </c>
      <c r="G362" s="197" t="inlineStr">
        <is>
          <t>PSU Connect</t>
        </is>
      </c>
      <c r="H362" s="198" t="n">
        <v>46323</v>
      </c>
      <c r="I362" s="197" t="inlineStr">
        <is>
          <t>What testing capability a subsidiary-level geotechnical lab brings to mine safety and how its results should feed slope design.
Check with: Eastern Coalfields Limited</t>
        </is>
      </c>
    </row>
    <row r="363" outlineLevel="1" ht="66.5" customHeight="1">
      <c r="A363" s="191" t="n">
        <v>193</v>
      </c>
      <c r="B363" s="192" t="n">
        <v>3</v>
      </c>
      <c r="C363" s="193" t="inlineStr">
        <is>
          <t>Gas leak in Pasto after accidental pipe perforation during soil study
(English headline translated by Claude · Original: Fuga de gas en Pasto por perforación accidental de tubería durante estudio de suelos)</t>
        </is>
      </c>
      <c r="D363" s="194" t="inlineStr">
        <is>
          <t>Open article</t>
        </is>
      </c>
      <c r="E363" s="199" t="inlineStr">
        <is>
          <t>News brief</t>
        </is>
      </c>
      <c r="F363" s="196">
        <f>IFERROR(INDEX(Stories!$F$4:$F$357,MATCH($A363,Stories!$A$4:$A$357,0))&amp;"","")</f>
        <v/>
      </c>
      <c r="G363" s="197" t="inlineStr">
        <is>
          <t>Toda la información de Nariño, Colombia y El Mundo</t>
        </is>
      </c>
      <c r="H363" s="198" t="n">
        <v>46322</v>
      </c>
      <c r="I363" s="197" t="inlineStr">
        <is>
          <t>How can site investigation planning avoid striking buried utilities, and what checks should precede boring in urban streets?
Check with: Pasto gas utility and the soil study contractor</t>
        </is>
      </c>
    </row>
    <row r="364" outlineLevel="1" ht="66.5" customHeight="1">
      <c r="A364" s="191" t="n">
        <v>195</v>
      </c>
      <c r="B364" s="192" t="n">
        <v>3</v>
      </c>
      <c r="C364" s="193" t="inlineStr">
        <is>
          <t>Soil survey begins for 120-unit TOKİ housing project in Salıpazarı
(English headline translated by Claude · Original: Salıpazarı'nda 120 konutluk TOKİ projesi için zemin etüdü başladı)</t>
        </is>
      </c>
      <c r="D364" s="194" t="inlineStr">
        <is>
          <t>Open article</t>
        </is>
      </c>
      <c r="E364" s="205" t="inlineStr">
        <is>
          <t>Watch only</t>
        </is>
      </c>
      <c r="F364" s="196">
        <f>IFERROR(INDEX(Stories!$F$4:$F$357,MATCH($A364,Stories!$A$4:$A$357,0))&amp;"","")</f>
        <v/>
      </c>
      <c r="G364" s="197" t="inlineStr">
        <is>
          <t>Habertürk</t>
        </is>
      </c>
      <c r="H364" s="198" t="n">
        <v>46322</v>
      </c>
      <c r="I364" s="197" t="inlineStr">
        <is>
          <t>What ground investigation is needed on this coastal site for a 120-unit housing block, and what soil conditions should it target?
Check with: TOKİ (Housing Development Administration)</t>
        </is>
      </c>
    </row>
    <row r="365" outlineLevel="1" ht="66.5" customHeight="1">
      <c r="A365" s="191" t="n">
        <v>343</v>
      </c>
      <c r="B365" s="192" t="n">
        <v>3</v>
      </c>
      <c r="C365" s="193" t="inlineStr">
        <is>
          <t>Minvu advances 121 housing support cases in Villa El Mirador, Arauco, and prepares soil study
(English headline translated by Claude · Original: Minvu avanza en 121 casos de apoyo habitacional en la Villa El Mirador de Arauco y prepara estudio de suelos)</t>
        </is>
      </c>
      <c r="D365" s="194" t="inlineStr">
        <is>
          <t>Open article</t>
        </is>
      </c>
      <c r="E365" s="199" t="inlineStr">
        <is>
          <t>News brief</t>
        </is>
      </c>
      <c r="F365" s="196">
        <f>IFERROR(INDEX(Stories!$F$4:$F$357,MATCH($A365,Stories!$A$4:$A$357,0))&amp;"","")</f>
        <v/>
      </c>
      <c r="G365" s="197" t="inlineStr">
        <is>
          <t>Trade-news.cl</t>
        </is>
      </c>
      <c r="H365" s="198" t="n">
        <v>46319</v>
      </c>
      <c r="I365" s="197" t="inlineStr">
        <is>
          <t>What soil investigation is needed before housing support works on this site, and how should ground conditions shape foundation choice?</t>
        </is>
      </c>
    </row>
    <row r="366" outlineLevel="1" ht="66.5" customHeight="1">
      <c r="A366" s="191" t="n">
        <v>111</v>
      </c>
      <c r="B366" s="192" t="n">
        <v>3</v>
      </c>
      <c r="C366" s="193" t="inlineStr">
        <is>
          <t>Platform created that simulates debris flows and maps evacuation routes in risk zones
(English headline translated by Claude · Original: Crean plataforma que simula aluviones y traza rutas de evacuación en zonas de riesgo)</t>
        </is>
      </c>
      <c r="D366" s="194" t="inlineStr">
        <is>
          <t>Open article</t>
        </is>
      </c>
      <c r="E366" s="200" t="inlineStr">
        <is>
          <t>Academia-to-Industry topic</t>
        </is>
      </c>
      <c r="F366" s="196">
        <f>IFERROR(INDEX(Stories!$F$4:$F$357,MATCH($A366,Stories!$A$4:$A$357,0))&amp;"","")</f>
        <v/>
      </c>
      <c r="G366" s="197" t="inlineStr">
        <is>
          <t>24horas</t>
        </is>
      </c>
      <c r="H366" s="198" t="n">
        <v>46324</v>
      </c>
      <c r="I366" s="197" t="inlineStr">
        <is>
          <t>How reliable are simulation tools for debris-flow runout in hazard zones, and what input data on terrain and soils do they require?</t>
        </is>
      </c>
    </row>
    <row r="367" outlineLevel="1" ht="66.5" customHeight="1">
      <c r="A367" s="191" t="n">
        <v>149</v>
      </c>
      <c r="B367" s="192" t="n">
        <v>3</v>
      </c>
      <c r="C367" s="193" t="inlineStr">
        <is>
          <t>Strange black mark on the map and the man who found a 120-metre-deep pit in Vietnam
(English headline translated by Claude · Original: علامة سوداء غريبة على الخريطة وقصة الشخص الذي عثر على حفرة عميقة يبلغ عمقها 120 متراً في فيتنام.)</t>
        </is>
      </c>
      <c r="D367" s="194" t="inlineStr">
        <is>
          <t>Open article</t>
        </is>
      </c>
      <c r="E367" s="205" t="inlineStr">
        <is>
          <t>Watch only</t>
        </is>
      </c>
      <c r="F367" s="196">
        <f>IFERROR(INDEX(Stories!$F$4:$F$357,MATCH($A367,Stories!$A$4:$A$357,0))&amp;"","")</f>
        <v/>
      </c>
      <c r="G367" s="197" t="inlineStr">
        <is>
          <t>Vietnam.vn</t>
        </is>
      </c>
      <c r="H367" s="198" t="n">
        <v>46323</v>
      </c>
      <c r="I367" s="197" t="inlineStr">
        <is>
          <t>What geological processes could produce a 120-metre-deep pit, and how should such features be investigated for ground hazards?</t>
        </is>
      </c>
    </row>
    <row r="368" outlineLevel="1" ht="41.5" customHeight="1">
      <c r="A368" s="191" t="n">
        <v>281</v>
      </c>
      <c r="B368" s="192" t="n">
        <v>3</v>
      </c>
      <c r="C368" s="193" t="inlineStr">
        <is>
          <t>Exploring Phong Nha-Ke Bang’s famous sinkholes</t>
        </is>
      </c>
      <c r="D368" s="194" t="inlineStr">
        <is>
          <t>Open article</t>
        </is>
      </c>
      <c r="E368" s="210" t="inlineStr">
        <is>
          <t>Regional insight</t>
        </is>
      </c>
      <c r="F368" s="196">
        <f>IFERROR(INDEX(Stories!$F$4:$F$357,MATCH($A368,Stories!$A$4:$A$357,0))&amp;"","")</f>
        <v/>
      </c>
      <c r="G368" s="197" t="inlineStr">
        <is>
          <t>DTiNews</t>
        </is>
      </c>
      <c r="H368" s="198" t="n">
        <v>46320</v>
      </c>
      <c r="I368" s="197" t="inlineStr">
        <is>
          <t>How can karst cave systems and sinkhole susceptibility be mapped and characterised in tropical limestone terrain for tourism and infrastructure?</t>
        </is>
      </c>
    </row>
    <row r="369" outlineLevel="1" ht="54" customHeight="1">
      <c r="A369" s="191" t="n">
        <v>40</v>
      </c>
      <c r="B369" s="192" t="n">
        <v>3</v>
      </c>
      <c r="C369" s="193" t="inlineStr">
        <is>
          <t>Zero blind construction: soil study will become a requirement
(English headline translated by Claude · Original: Cero construcciones a ciegas: el estudio de suelo será exigencia)</t>
        </is>
      </c>
      <c r="D369" s="194" t="inlineStr">
        <is>
          <t>Open article</t>
        </is>
      </c>
      <c r="E369" s="199" t="inlineStr">
        <is>
          <t>News brief</t>
        </is>
      </c>
      <c r="F369" s="196">
        <f>IFERROR(INDEX(Stories!$F$4:$F$357,MATCH($A369,Stories!$A$4:$A$357,0))&amp;"","")</f>
        <v/>
      </c>
      <c r="G369" s="197" t="inlineStr">
        <is>
          <t>CiudadCCS</t>
        </is>
      </c>
      <c r="H369" s="198" t="n">
        <v>46326</v>
      </c>
      <c r="I369" s="197" t="inlineStr">
        <is>
          <t>Should mandatory site soil investigation before construction be enforced, and what minimum ground data should a building permit require?
Check with: the local municipality</t>
        </is>
      </c>
    </row>
    <row r="370" outlineLevel="1" ht="10" customHeight="1"/>
    <row r="371" ht="26" customHeight="1">
      <c r="A371" s="227" t="inlineStr">
        <is>
          <t>Geotechnics &amp; Society   ·   8 stories   ·   0 rated 5 / 5   ·   2 feature leads</t>
        </is>
      </c>
      <c r="B371" s="228" t="n"/>
      <c r="C371" s="228" t="n"/>
      <c r="D371" s="228" t="n"/>
      <c r="E371" s="228" t="n"/>
      <c r="F371" s="228" t="n"/>
      <c r="G371" s="228" t="n"/>
      <c r="H371" s="228" t="n"/>
      <c r="I371" s="228" t="n"/>
    </row>
    <row r="372" outlineLevel="1">
      <c r="A372" s="229" t="inlineStr">
        <is>
          <t>No.</t>
        </is>
      </c>
      <c r="B372" s="229" t="inlineStr">
        <is>
          <t>Relevance</t>
        </is>
      </c>
      <c r="C372" s="230" t="inlineStr">
        <is>
          <t>Headline</t>
        </is>
      </c>
      <c r="D372" s="229" t="inlineStr">
        <is>
          <t>Link</t>
        </is>
      </c>
      <c r="E372" s="230" t="inlineStr">
        <is>
          <t>Suggested use</t>
        </is>
      </c>
      <c r="F372" s="229" t="inlineStr">
        <is>
          <t>Status</t>
        </is>
      </c>
      <c r="G372" s="230" t="inlineStr">
        <is>
          <t>Source</t>
        </is>
      </c>
      <c r="H372" s="229" t="inlineStr">
        <is>
          <t>Digest</t>
        </is>
      </c>
      <c r="I372" s="230" t="inlineStr">
        <is>
          <t>Magazine angle · check with</t>
        </is>
      </c>
    </row>
    <row r="373" outlineLevel="1" ht="66.5" customHeight="1">
      <c r="A373" s="191" t="n">
        <v>326</v>
      </c>
      <c r="B373" s="192" t="n">
        <v>4</v>
      </c>
      <c r="C373" s="193" t="inlineStr">
        <is>
          <t>CEDH finds negligence by Guasave municipality in death of teacher who fell into sinkhole
(English headline translated by Claude · Original: CEDH acredita negligencia del Ayuntamiento de Guasave por muerte de profesor que cayó en socavón)</t>
        </is>
      </c>
      <c r="D373" s="194" t="inlineStr">
        <is>
          <t>Open article</t>
        </is>
      </c>
      <c r="E373" s="195" t="inlineStr">
        <is>
          <t>Feature lead</t>
        </is>
      </c>
      <c r="F373" s="196">
        <f>IFERROR(INDEX(Stories!$F$4:$F$357,MATCH($A373,Stories!$A$4:$A$357,0))&amp;"","")</f>
        <v/>
      </c>
      <c r="G373" s="197" t="inlineStr">
        <is>
          <t>www.noroeste.com.mx</t>
        </is>
      </c>
      <c r="H373" s="198" t="n">
        <v>46319</v>
      </c>
      <c r="I373" s="197" t="inlineStr">
        <is>
          <t>What duty of care should municipalities meet in managing known ground-collapse hazards in urban areas, as the Guasave case suggests?</t>
        </is>
      </c>
    </row>
    <row r="374" outlineLevel="1" ht="54" customHeight="1">
      <c r="A374" s="191" t="n">
        <v>108</v>
      </c>
      <c r="B374" s="192" t="n">
        <v>3</v>
      </c>
      <c r="C374" s="193" t="inlineStr">
        <is>
          <t>'Blank' concerns and city finances: residents divided over liquefaction countermeasures in Niigata mayoral race
(English headline translated by Claude · Original: “空白化”懸念、市の財政考慮…住民負担の賛否割れる液状化対策、対象地域内外で温度差も［新潟市長選挙2026］)</t>
        </is>
      </c>
      <c r="D374" s="194" t="inlineStr">
        <is>
          <t>Open article</t>
        </is>
      </c>
      <c r="E374" s="210" t="inlineStr">
        <is>
          <t>Regional insight</t>
        </is>
      </c>
      <c r="F374" s="196">
        <f>IFERROR(INDEX(Stories!$F$4:$F$357,MATCH($A374,Stories!$A$4:$A$357,0))&amp;"","")</f>
        <v/>
      </c>
      <c r="G374" s="197" t="inlineStr">
        <is>
          <t>新潟日報</t>
        </is>
      </c>
      <c r="H374" s="198" t="n">
        <v>46324</v>
      </c>
      <c r="I374" s="197" t="inlineStr">
        <is>
          <t>How should a city weigh liquefaction countermeasure costs against residents' burden-sharing when mitigation is only partly effective?
Check with: Niigata City government</t>
        </is>
      </c>
    </row>
    <row r="375" outlineLevel="1" ht="66.5" customHeight="1">
      <c r="A375" s="191" t="n">
        <v>234</v>
      </c>
      <c r="B375" s="192" t="n">
        <v>3</v>
      </c>
      <c r="C375" s="193" t="inlineStr">
        <is>
          <t>Focus resources on relocating people living in areas at risk of landslides.
(English headline translated by Claude · Original: Concentrer les ressources sur le relogement des personnes vivant dans les zones à risque de glissements de terrain.)</t>
        </is>
      </c>
      <c r="D375" s="194" t="inlineStr">
        <is>
          <t>Open article</t>
        </is>
      </c>
      <c r="E375" s="195" t="inlineStr">
        <is>
          <t>Feature lead</t>
        </is>
      </c>
      <c r="F375" s="196">
        <f>IFERROR(INDEX(Stories!$F$4:$F$357,MATCH($A375,Stories!$A$4:$A$357,0))&amp;"","")</f>
        <v/>
      </c>
      <c r="G375" s="197" t="inlineStr">
        <is>
          <t>Vietnam.vn</t>
        </is>
      </c>
      <c r="H375" s="198" t="n">
        <v>46321</v>
      </c>
      <c r="I375" s="197" t="inlineStr">
        <is>
          <t>How should relocation programmes for households in landslide-prone zones be prioritised using ground hazard evidence?
Check with: Vietnam's ministry responsible for disaster prevention</t>
        </is>
      </c>
    </row>
    <row r="376" outlineLevel="1" ht="41.5" customHeight="1">
      <c r="A376" s="191" t="n">
        <v>279</v>
      </c>
      <c r="B376" s="192" t="n">
        <v>3</v>
      </c>
      <c r="C376" s="193" t="inlineStr">
        <is>
          <t>SAM demands answers over fatal Penang landslide which killed doctor</t>
        </is>
      </c>
      <c r="D376" s="194" t="inlineStr">
        <is>
          <t>Open article</t>
        </is>
      </c>
      <c r="E376" s="199" t="inlineStr">
        <is>
          <t>News brief</t>
        </is>
      </c>
      <c r="F376" s="196">
        <f>IFERROR(INDEX(Stories!$F$4:$F$357,MATCH($A376,Stories!$A$4:$A$357,0))&amp;"","")</f>
        <v/>
      </c>
      <c r="G376" s="197" t="inlineStr">
        <is>
          <t>NST Online</t>
        </is>
      </c>
      <c r="H376" s="198" t="n">
        <v>46320</v>
      </c>
      <c r="I376" s="197" t="inlineStr">
        <is>
          <t>What accountability and slope regulation gaps are revealed after a fatal landslide in a hillside urban area?</t>
        </is>
      </c>
    </row>
    <row r="377" outlineLevel="1" ht="66.5" customHeight="1">
      <c r="A377" s="191" t="n">
        <v>280</v>
      </c>
      <c r="B377" s="192" t="n">
        <v>3</v>
      </c>
      <c r="C377" s="193" t="inlineStr">
        <is>
          <t>'The 1956 Landslide and the Church of San Pietro': photographic exhibition extended
(English headline translated by Claude · Original: "La Frana del 1956 e la Chiesa di San Pietro", prorogata la mostra fotografica)</t>
        </is>
      </c>
      <c r="D377" s="194" t="inlineStr">
        <is>
          <t>Open article</t>
        </is>
      </c>
      <c r="E377" s="205" t="inlineStr">
        <is>
          <t>Watch only</t>
        </is>
      </c>
      <c r="F377" s="196">
        <f>IFERROR(INDEX(Stories!$F$4:$F$357,MATCH($A377,Stories!$A$4:$A$357,0))&amp;"","")</f>
        <v/>
      </c>
      <c r="G377" s="197" t="inlineStr">
        <is>
          <t>Trigno.net</t>
        </is>
      </c>
      <c r="H377" s="198" t="n">
        <v>46320</v>
      </c>
      <c r="I377" s="197" t="inlineStr">
        <is>
          <t>How did the 1956 landslide shape settlement decisions and church site safety, and what does that history teach about landslide memory?</t>
        </is>
      </c>
    </row>
    <row r="378" outlineLevel="1" ht="66.5" customHeight="1">
      <c r="A378" s="191" t="n">
        <v>344</v>
      </c>
      <c r="B378" s="192" t="n">
        <v>3</v>
      </c>
      <c r="C378" s="193" t="inlineStr">
        <is>
          <t>Body of miner trapped in a tunnel collapse in Gámeza recovered
(English headline translated by Claude · Original: Rescatan el cuerpo sin vida del minero que había quedado atrapado en un socavón en Gámeza)</t>
        </is>
      </c>
      <c r="D378" s="194" t="inlineStr">
        <is>
          <t>Open article</t>
        </is>
      </c>
      <c r="E378" s="199" t="inlineStr">
        <is>
          <t>News brief</t>
        </is>
      </c>
      <c r="F378" s="196">
        <f>IFERROR(INDEX(Stories!$F$4:$F$357,MATCH($A378,Stories!$A$4:$A$357,0))&amp;"","")</f>
        <v/>
      </c>
      <c r="G378" s="197" t="inlineStr">
        <is>
          <t>Boyacá 7 Días</t>
        </is>
      </c>
      <c r="H378" s="198" t="n">
        <v>46319</v>
      </c>
      <c r="I378" s="197" t="inlineStr">
        <is>
          <t>What ground and support conditions lead to tunnel collapses in small mines, and how can rescue operations account for ground instability?</t>
        </is>
      </c>
    </row>
    <row r="379" outlineLevel="1" ht="66.5" customHeight="1">
      <c r="A379" s="191" t="n">
        <v>351</v>
      </c>
      <c r="B379" s="192" t="n">
        <v>3</v>
      </c>
      <c r="C379" s="193" t="inlineStr">
        <is>
          <t>Gia Lai province People's Committee chairman discusses proposal to level Mot Mountain.
(English headline translated by Claude · Original: رئيس اللجنة الشعبية لمقاطعة جيا لاي يتحدث عن اقتراح تسوية جبل موت.)</t>
        </is>
      </c>
      <c r="D379" s="194" t="inlineStr">
        <is>
          <t>Open article</t>
        </is>
      </c>
      <c r="E379" s="210" t="inlineStr">
        <is>
          <t>Regional insight</t>
        </is>
      </c>
      <c r="F379" s="196">
        <f>IFERROR(INDEX(Stories!$F$4:$F$357,MATCH($A379,Stories!$A$4:$A$357,0))&amp;"","")</f>
        <v/>
      </c>
      <c r="G379" s="197" t="inlineStr">
        <is>
          <t>Vietnam.vn</t>
        </is>
      </c>
      <c r="H379" s="198" t="n">
        <v>46319</v>
      </c>
      <c r="I379" s="197" t="inlineStr">
        <is>
          <t>What are the geotechnical feasibility issues of levelling a hill, including rock quality, slope excavation and stability, compared with preservation?</t>
        </is>
      </c>
    </row>
    <row r="380" outlineLevel="1" ht="66.5" customHeight="1">
      <c r="A380" s="191" t="n">
        <v>352</v>
      </c>
      <c r="B380" s="192" t="n">
        <v>3</v>
      </c>
      <c r="C380" s="193" t="inlineStr">
        <is>
          <t>What are the options for Mot Mountain in Quy Nhon: level it or preserve the historic site?
(English headline translated by Claude · Original: Quais são as opções para o Monte Mot em Quy Nhon: nivelá-lo ou preservar o sítio histórico?)</t>
        </is>
      </c>
      <c r="D380" s="194" t="inlineStr">
        <is>
          <t>Open article</t>
        </is>
      </c>
      <c r="E380" s="210" t="inlineStr">
        <is>
          <t>Regional insight</t>
        </is>
      </c>
      <c r="F380" s="196">
        <f>IFERROR(INDEX(Stories!$F$4:$F$357,MATCH($A380,Stories!$A$4:$A$357,0))&amp;"","")</f>
        <v/>
      </c>
      <c r="G380" s="197" t="inlineStr">
        <is>
          <t>Vietnam.vn</t>
        </is>
      </c>
      <c r="H380" s="198" t="n">
        <v>46319</v>
      </c>
      <c r="I380" s="197" t="inlineStr">
        <is>
          <t>What geotechnical assessments would be needed to compare levelling Mot Mountain with conserving its historic site, including rock stability and foundation implications?</t>
        </is>
      </c>
    </row>
    <row r="381" outlineLevel="1" ht="10" customHeight="1"/>
  </sheetData>
  <mergeCells count="8">
    <mergeCell ref="A183:I183"/>
    <mergeCell ref="A28:I28"/>
    <mergeCell ref="A349:I349"/>
    <mergeCell ref="A14:I14"/>
    <mergeCell ref="A173:I173"/>
    <mergeCell ref="A320:I320"/>
    <mergeCell ref="A4:I4"/>
    <mergeCell ref="A371:I371"/>
  </mergeCells>
  <conditionalFormatting sqref="B6:B12">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12">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6:B26">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6:F26">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30:B17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30:F17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175:B181">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175:F181">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185:B318">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185:F318">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322:B347">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322:F347">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351:B36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351:F36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373:B380">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373:F380">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0" r:id="rId5"/>
    <hyperlink xmlns:r="http://schemas.openxmlformats.org/officeDocument/2006/relationships" ref="D11" r:id="rId6"/>
    <hyperlink xmlns:r="http://schemas.openxmlformats.org/officeDocument/2006/relationships" ref="D12"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4" r:id="rId63"/>
    <hyperlink xmlns:r="http://schemas.openxmlformats.org/officeDocument/2006/relationships" ref="D75" r:id="rId64"/>
    <hyperlink xmlns:r="http://schemas.openxmlformats.org/officeDocument/2006/relationships" ref="D76" r:id="rId65"/>
    <hyperlink xmlns:r="http://schemas.openxmlformats.org/officeDocument/2006/relationships" ref="D77" r:id="rId66"/>
    <hyperlink xmlns:r="http://schemas.openxmlformats.org/officeDocument/2006/relationships" ref="D78" r:id="rId67"/>
    <hyperlink xmlns:r="http://schemas.openxmlformats.org/officeDocument/2006/relationships" ref="D79" r:id="rId68"/>
    <hyperlink xmlns:r="http://schemas.openxmlformats.org/officeDocument/2006/relationships" ref="D80" r:id="rId69"/>
    <hyperlink xmlns:r="http://schemas.openxmlformats.org/officeDocument/2006/relationships" ref="D81" r:id="rId70"/>
    <hyperlink xmlns:r="http://schemas.openxmlformats.org/officeDocument/2006/relationships" ref="D82" r:id="rId71"/>
    <hyperlink xmlns:r="http://schemas.openxmlformats.org/officeDocument/2006/relationships" ref="D83" r:id="rId72"/>
    <hyperlink xmlns:r="http://schemas.openxmlformats.org/officeDocument/2006/relationships" ref="D84" r:id="rId73"/>
    <hyperlink xmlns:r="http://schemas.openxmlformats.org/officeDocument/2006/relationships" ref="D85" r:id="rId74"/>
    <hyperlink xmlns:r="http://schemas.openxmlformats.org/officeDocument/2006/relationships" ref="D86" r:id="rId75"/>
    <hyperlink xmlns:r="http://schemas.openxmlformats.org/officeDocument/2006/relationships" ref="D87" r:id="rId76"/>
    <hyperlink xmlns:r="http://schemas.openxmlformats.org/officeDocument/2006/relationships" ref="D88" r:id="rId77"/>
    <hyperlink xmlns:r="http://schemas.openxmlformats.org/officeDocument/2006/relationships" ref="D89" r:id="rId78"/>
    <hyperlink xmlns:r="http://schemas.openxmlformats.org/officeDocument/2006/relationships" ref="D90" r:id="rId79"/>
    <hyperlink xmlns:r="http://schemas.openxmlformats.org/officeDocument/2006/relationships" ref="D91" r:id="rId80"/>
    <hyperlink xmlns:r="http://schemas.openxmlformats.org/officeDocument/2006/relationships" ref="D92" r:id="rId81"/>
    <hyperlink xmlns:r="http://schemas.openxmlformats.org/officeDocument/2006/relationships" ref="D93" r:id="rId82"/>
    <hyperlink xmlns:r="http://schemas.openxmlformats.org/officeDocument/2006/relationships" ref="D94" r:id="rId83"/>
    <hyperlink xmlns:r="http://schemas.openxmlformats.org/officeDocument/2006/relationships" ref="D95" r:id="rId84"/>
    <hyperlink xmlns:r="http://schemas.openxmlformats.org/officeDocument/2006/relationships" ref="D96" r:id="rId85"/>
    <hyperlink xmlns:r="http://schemas.openxmlformats.org/officeDocument/2006/relationships" ref="D97" r:id="rId86"/>
    <hyperlink xmlns:r="http://schemas.openxmlformats.org/officeDocument/2006/relationships" ref="D98" r:id="rId87"/>
    <hyperlink xmlns:r="http://schemas.openxmlformats.org/officeDocument/2006/relationships" ref="D99" r:id="rId88"/>
    <hyperlink xmlns:r="http://schemas.openxmlformats.org/officeDocument/2006/relationships" ref="D100" r:id="rId89"/>
    <hyperlink xmlns:r="http://schemas.openxmlformats.org/officeDocument/2006/relationships" ref="D101" r:id="rId90"/>
    <hyperlink xmlns:r="http://schemas.openxmlformats.org/officeDocument/2006/relationships" ref="D102" r:id="rId91"/>
    <hyperlink xmlns:r="http://schemas.openxmlformats.org/officeDocument/2006/relationships" ref="D103" r:id="rId92"/>
    <hyperlink xmlns:r="http://schemas.openxmlformats.org/officeDocument/2006/relationships" ref="D104" r:id="rId93"/>
    <hyperlink xmlns:r="http://schemas.openxmlformats.org/officeDocument/2006/relationships" ref="D105" r:id="rId94"/>
    <hyperlink xmlns:r="http://schemas.openxmlformats.org/officeDocument/2006/relationships" ref="D106" r:id="rId95"/>
    <hyperlink xmlns:r="http://schemas.openxmlformats.org/officeDocument/2006/relationships" ref="D107" r:id="rId96"/>
    <hyperlink xmlns:r="http://schemas.openxmlformats.org/officeDocument/2006/relationships" ref="D108" r:id="rId97"/>
    <hyperlink xmlns:r="http://schemas.openxmlformats.org/officeDocument/2006/relationships" ref="D109" r:id="rId98"/>
    <hyperlink xmlns:r="http://schemas.openxmlformats.org/officeDocument/2006/relationships" ref="D110" r:id="rId99"/>
    <hyperlink xmlns:r="http://schemas.openxmlformats.org/officeDocument/2006/relationships" ref="D111" r:id="rId100"/>
    <hyperlink xmlns:r="http://schemas.openxmlformats.org/officeDocument/2006/relationships" ref="D112" r:id="rId101"/>
    <hyperlink xmlns:r="http://schemas.openxmlformats.org/officeDocument/2006/relationships" ref="D113" r:id="rId102"/>
    <hyperlink xmlns:r="http://schemas.openxmlformats.org/officeDocument/2006/relationships" ref="D114" r:id="rId103"/>
    <hyperlink xmlns:r="http://schemas.openxmlformats.org/officeDocument/2006/relationships" ref="D115" r:id="rId104"/>
    <hyperlink xmlns:r="http://schemas.openxmlformats.org/officeDocument/2006/relationships" ref="D116" r:id="rId105"/>
    <hyperlink xmlns:r="http://schemas.openxmlformats.org/officeDocument/2006/relationships" ref="D117" r:id="rId106"/>
    <hyperlink xmlns:r="http://schemas.openxmlformats.org/officeDocument/2006/relationships" ref="D118" r:id="rId107"/>
    <hyperlink xmlns:r="http://schemas.openxmlformats.org/officeDocument/2006/relationships" ref="D119" r:id="rId108"/>
    <hyperlink xmlns:r="http://schemas.openxmlformats.org/officeDocument/2006/relationships" ref="D120" r:id="rId109"/>
    <hyperlink xmlns:r="http://schemas.openxmlformats.org/officeDocument/2006/relationships" ref="D121" r:id="rId110"/>
    <hyperlink xmlns:r="http://schemas.openxmlformats.org/officeDocument/2006/relationships" ref="D122" r:id="rId111"/>
    <hyperlink xmlns:r="http://schemas.openxmlformats.org/officeDocument/2006/relationships" ref="D123" r:id="rId112"/>
    <hyperlink xmlns:r="http://schemas.openxmlformats.org/officeDocument/2006/relationships" ref="D124" r:id="rId113"/>
    <hyperlink xmlns:r="http://schemas.openxmlformats.org/officeDocument/2006/relationships" ref="D125" r:id="rId114"/>
    <hyperlink xmlns:r="http://schemas.openxmlformats.org/officeDocument/2006/relationships" ref="D126" r:id="rId115"/>
    <hyperlink xmlns:r="http://schemas.openxmlformats.org/officeDocument/2006/relationships" ref="D127" r:id="rId116"/>
    <hyperlink xmlns:r="http://schemas.openxmlformats.org/officeDocument/2006/relationships" ref="D128" r:id="rId117"/>
    <hyperlink xmlns:r="http://schemas.openxmlformats.org/officeDocument/2006/relationships" ref="D129" r:id="rId118"/>
    <hyperlink xmlns:r="http://schemas.openxmlformats.org/officeDocument/2006/relationships" ref="D130" r:id="rId119"/>
    <hyperlink xmlns:r="http://schemas.openxmlformats.org/officeDocument/2006/relationships" ref="D131" r:id="rId120"/>
    <hyperlink xmlns:r="http://schemas.openxmlformats.org/officeDocument/2006/relationships" ref="D132" r:id="rId121"/>
    <hyperlink xmlns:r="http://schemas.openxmlformats.org/officeDocument/2006/relationships" ref="D133" r:id="rId122"/>
    <hyperlink xmlns:r="http://schemas.openxmlformats.org/officeDocument/2006/relationships" ref="D134" r:id="rId123"/>
    <hyperlink xmlns:r="http://schemas.openxmlformats.org/officeDocument/2006/relationships" ref="D135" r:id="rId124"/>
    <hyperlink xmlns:r="http://schemas.openxmlformats.org/officeDocument/2006/relationships" ref="D136" r:id="rId125"/>
    <hyperlink xmlns:r="http://schemas.openxmlformats.org/officeDocument/2006/relationships" ref="D137" r:id="rId126"/>
    <hyperlink xmlns:r="http://schemas.openxmlformats.org/officeDocument/2006/relationships" ref="D138" r:id="rId127"/>
    <hyperlink xmlns:r="http://schemas.openxmlformats.org/officeDocument/2006/relationships" ref="D139" r:id="rId128"/>
    <hyperlink xmlns:r="http://schemas.openxmlformats.org/officeDocument/2006/relationships" ref="D140" r:id="rId129"/>
    <hyperlink xmlns:r="http://schemas.openxmlformats.org/officeDocument/2006/relationships" ref="D141" r:id="rId130"/>
    <hyperlink xmlns:r="http://schemas.openxmlformats.org/officeDocument/2006/relationships" ref="D142" r:id="rId131"/>
    <hyperlink xmlns:r="http://schemas.openxmlformats.org/officeDocument/2006/relationships" ref="D143" r:id="rId132"/>
    <hyperlink xmlns:r="http://schemas.openxmlformats.org/officeDocument/2006/relationships" ref="D144" r:id="rId133"/>
    <hyperlink xmlns:r="http://schemas.openxmlformats.org/officeDocument/2006/relationships" ref="D145" r:id="rId134"/>
    <hyperlink xmlns:r="http://schemas.openxmlformats.org/officeDocument/2006/relationships" ref="D146" r:id="rId135"/>
    <hyperlink xmlns:r="http://schemas.openxmlformats.org/officeDocument/2006/relationships" ref="D147" r:id="rId136"/>
    <hyperlink xmlns:r="http://schemas.openxmlformats.org/officeDocument/2006/relationships" ref="D148" r:id="rId137"/>
    <hyperlink xmlns:r="http://schemas.openxmlformats.org/officeDocument/2006/relationships" ref="D149" r:id="rId138"/>
    <hyperlink xmlns:r="http://schemas.openxmlformats.org/officeDocument/2006/relationships" ref="D150" r:id="rId139"/>
    <hyperlink xmlns:r="http://schemas.openxmlformats.org/officeDocument/2006/relationships" ref="D151" r:id="rId140"/>
    <hyperlink xmlns:r="http://schemas.openxmlformats.org/officeDocument/2006/relationships" ref="D152" r:id="rId141"/>
    <hyperlink xmlns:r="http://schemas.openxmlformats.org/officeDocument/2006/relationships" ref="D153" r:id="rId142"/>
    <hyperlink xmlns:r="http://schemas.openxmlformats.org/officeDocument/2006/relationships" ref="D154" r:id="rId143"/>
    <hyperlink xmlns:r="http://schemas.openxmlformats.org/officeDocument/2006/relationships" ref="D155" r:id="rId144"/>
    <hyperlink xmlns:r="http://schemas.openxmlformats.org/officeDocument/2006/relationships" ref="D156" r:id="rId145"/>
    <hyperlink xmlns:r="http://schemas.openxmlformats.org/officeDocument/2006/relationships" ref="D157" r:id="rId146"/>
    <hyperlink xmlns:r="http://schemas.openxmlformats.org/officeDocument/2006/relationships" ref="D158" r:id="rId147"/>
    <hyperlink xmlns:r="http://schemas.openxmlformats.org/officeDocument/2006/relationships" ref="D159" r:id="rId148"/>
    <hyperlink xmlns:r="http://schemas.openxmlformats.org/officeDocument/2006/relationships" ref="D160" r:id="rId149"/>
    <hyperlink xmlns:r="http://schemas.openxmlformats.org/officeDocument/2006/relationships" ref="D161" r:id="rId150"/>
    <hyperlink xmlns:r="http://schemas.openxmlformats.org/officeDocument/2006/relationships" ref="D162" r:id="rId151"/>
    <hyperlink xmlns:r="http://schemas.openxmlformats.org/officeDocument/2006/relationships" ref="D163" r:id="rId152"/>
    <hyperlink xmlns:r="http://schemas.openxmlformats.org/officeDocument/2006/relationships" ref="D164" r:id="rId153"/>
    <hyperlink xmlns:r="http://schemas.openxmlformats.org/officeDocument/2006/relationships" ref="D165" r:id="rId154"/>
    <hyperlink xmlns:r="http://schemas.openxmlformats.org/officeDocument/2006/relationships" ref="D166" r:id="rId155"/>
    <hyperlink xmlns:r="http://schemas.openxmlformats.org/officeDocument/2006/relationships" ref="D167" r:id="rId156"/>
    <hyperlink xmlns:r="http://schemas.openxmlformats.org/officeDocument/2006/relationships" ref="D168" r:id="rId157"/>
    <hyperlink xmlns:r="http://schemas.openxmlformats.org/officeDocument/2006/relationships" ref="D169" r:id="rId158"/>
    <hyperlink xmlns:r="http://schemas.openxmlformats.org/officeDocument/2006/relationships" ref="D170" r:id="rId159"/>
    <hyperlink xmlns:r="http://schemas.openxmlformats.org/officeDocument/2006/relationships" ref="D171" r:id="rId160"/>
    <hyperlink xmlns:r="http://schemas.openxmlformats.org/officeDocument/2006/relationships" ref="D175" r:id="rId161"/>
    <hyperlink xmlns:r="http://schemas.openxmlformats.org/officeDocument/2006/relationships" ref="D176" r:id="rId162"/>
    <hyperlink xmlns:r="http://schemas.openxmlformats.org/officeDocument/2006/relationships" ref="D177" r:id="rId163"/>
    <hyperlink xmlns:r="http://schemas.openxmlformats.org/officeDocument/2006/relationships" ref="D178" r:id="rId164"/>
    <hyperlink xmlns:r="http://schemas.openxmlformats.org/officeDocument/2006/relationships" ref="D179" r:id="rId165"/>
    <hyperlink xmlns:r="http://schemas.openxmlformats.org/officeDocument/2006/relationships" ref="D180" r:id="rId166"/>
    <hyperlink xmlns:r="http://schemas.openxmlformats.org/officeDocument/2006/relationships" ref="D181" r:id="rId167"/>
    <hyperlink xmlns:r="http://schemas.openxmlformats.org/officeDocument/2006/relationships" ref="D185" r:id="rId168"/>
    <hyperlink xmlns:r="http://schemas.openxmlformats.org/officeDocument/2006/relationships" ref="D186" r:id="rId169"/>
    <hyperlink xmlns:r="http://schemas.openxmlformats.org/officeDocument/2006/relationships" ref="D187" r:id="rId170"/>
    <hyperlink xmlns:r="http://schemas.openxmlformats.org/officeDocument/2006/relationships" ref="D188" r:id="rId171"/>
    <hyperlink xmlns:r="http://schemas.openxmlformats.org/officeDocument/2006/relationships" ref="D189" r:id="rId172"/>
    <hyperlink xmlns:r="http://schemas.openxmlformats.org/officeDocument/2006/relationships" ref="D190" r:id="rId173"/>
    <hyperlink xmlns:r="http://schemas.openxmlformats.org/officeDocument/2006/relationships" ref="D191" r:id="rId174"/>
    <hyperlink xmlns:r="http://schemas.openxmlformats.org/officeDocument/2006/relationships" ref="D192" r:id="rId175"/>
    <hyperlink xmlns:r="http://schemas.openxmlformats.org/officeDocument/2006/relationships" ref="D193" r:id="rId176"/>
    <hyperlink xmlns:r="http://schemas.openxmlformats.org/officeDocument/2006/relationships" ref="D194" r:id="rId177"/>
    <hyperlink xmlns:r="http://schemas.openxmlformats.org/officeDocument/2006/relationships" ref="D195" r:id="rId178"/>
    <hyperlink xmlns:r="http://schemas.openxmlformats.org/officeDocument/2006/relationships" ref="D196" r:id="rId179"/>
    <hyperlink xmlns:r="http://schemas.openxmlformats.org/officeDocument/2006/relationships" ref="D197" r:id="rId180"/>
    <hyperlink xmlns:r="http://schemas.openxmlformats.org/officeDocument/2006/relationships" ref="D198" r:id="rId181"/>
    <hyperlink xmlns:r="http://schemas.openxmlformats.org/officeDocument/2006/relationships" ref="D199" r:id="rId182"/>
    <hyperlink xmlns:r="http://schemas.openxmlformats.org/officeDocument/2006/relationships" ref="D200" r:id="rId183"/>
    <hyperlink xmlns:r="http://schemas.openxmlformats.org/officeDocument/2006/relationships" ref="D201" r:id="rId184"/>
    <hyperlink xmlns:r="http://schemas.openxmlformats.org/officeDocument/2006/relationships" ref="D202" r:id="rId185"/>
    <hyperlink xmlns:r="http://schemas.openxmlformats.org/officeDocument/2006/relationships" ref="D203" r:id="rId186"/>
    <hyperlink xmlns:r="http://schemas.openxmlformats.org/officeDocument/2006/relationships" ref="D204" r:id="rId187"/>
    <hyperlink xmlns:r="http://schemas.openxmlformats.org/officeDocument/2006/relationships" ref="D205" r:id="rId188"/>
    <hyperlink xmlns:r="http://schemas.openxmlformats.org/officeDocument/2006/relationships" ref="D206" r:id="rId189"/>
    <hyperlink xmlns:r="http://schemas.openxmlformats.org/officeDocument/2006/relationships" ref="D207" r:id="rId190"/>
    <hyperlink xmlns:r="http://schemas.openxmlformats.org/officeDocument/2006/relationships" ref="D208" r:id="rId191"/>
    <hyperlink xmlns:r="http://schemas.openxmlformats.org/officeDocument/2006/relationships" ref="D209" r:id="rId192"/>
    <hyperlink xmlns:r="http://schemas.openxmlformats.org/officeDocument/2006/relationships" ref="D210" r:id="rId193"/>
    <hyperlink xmlns:r="http://schemas.openxmlformats.org/officeDocument/2006/relationships" ref="D211" r:id="rId194"/>
    <hyperlink xmlns:r="http://schemas.openxmlformats.org/officeDocument/2006/relationships" ref="D212" r:id="rId195"/>
    <hyperlink xmlns:r="http://schemas.openxmlformats.org/officeDocument/2006/relationships" ref="D213" r:id="rId196"/>
    <hyperlink xmlns:r="http://schemas.openxmlformats.org/officeDocument/2006/relationships" ref="D214" r:id="rId197"/>
    <hyperlink xmlns:r="http://schemas.openxmlformats.org/officeDocument/2006/relationships" ref="D215" r:id="rId198"/>
    <hyperlink xmlns:r="http://schemas.openxmlformats.org/officeDocument/2006/relationships" ref="D216" r:id="rId199"/>
    <hyperlink xmlns:r="http://schemas.openxmlformats.org/officeDocument/2006/relationships" ref="D217" r:id="rId200"/>
    <hyperlink xmlns:r="http://schemas.openxmlformats.org/officeDocument/2006/relationships" ref="D218" r:id="rId201"/>
    <hyperlink xmlns:r="http://schemas.openxmlformats.org/officeDocument/2006/relationships" ref="D219" r:id="rId202"/>
    <hyperlink xmlns:r="http://schemas.openxmlformats.org/officeDocument/2006/relationships" ref="D220" r:id="rId203"/>
    <hyperlink xmlns:r="http://schemas.openxmlformats.org/officeDocument/2006/relationships" ref="D221" r:id="rId204"/>
    <hyperlink xmlns:r="http://schemas.openxmlformats.org/officeDocument/2006/relationships" ref="D222" r:id="rId205"/>
    <hyperlink xmlns:r="http://schemas.openxmlformats.org/officeDocument/2006/relationships" ref="D223" r:id="rId206"/>
    <hyperlink xmlns:r="http://schemas.openxmlformats.org/officeDocument/2006/relationships" ref="D224" r:id="rId207"/>
    <hyperlink xmlns:r="http://schemas.openxmlformats.org/officeDocument/2006/relationships" ref="D225" r:id="rId208"/>
    <hyperlink xmlns:r="http://schemas.openxmlformats.org/officeDocument/2006/relationships" ref="D226" r:id="rId209"/>
    <hyperlink xmlns:r="http://schemas.openxmlformats.org/officeDocument/2006/relationships" ref="D227" r:id="rId210"/>
    <hyperlink xmlns:r="http://schemas.openxmlformats.org/officeDocument/2006/relationships" ref="D228" r:id="rId211"/>
    <hyperlink xmlns:r="http://schemas.openxmlformats.org/officeDocument/2006/relationships" ref="D229" r:id="rId212"/>
    <hyperlink xmlns:r="http://schemas.openxmlformats.org/officeDocument/2006/relationships" ref="D230" r:id="rId213"/>
    <hyperlink xmlns:r="http://schemas.openxmlformats.org/officeDocument/2006/relationships" ref="D231" r:id="rId214"/>
    <hyperlink xmlns:r="http://schemas.openxmlformats.org/officeDocument/2006/relationships" ref="D232" r:id="rId215"/>
    <hyperlink xmlns:r="http://schemas.openxmlformats.org/officeDocument/2006/relationships" ref="D233" r:id="rId216"/>
    <hyperlink xmlns:r="http://schemas.openxmlformats.org/officeDocument/2006/relationships" ref="D234" r:id="rId217"/>
    <hyperlink xmlns:r="http://schemas.openxmlformats.org/officeDocument/2006/relationships" ref="D235" r:id="rId218"/>
    <hyperlink xmlns:r="http://schemas.openxmlformats.org/officeDocument/2006/relationships" ref="D236" r:id="rId219"/>
    <hyperlink xmlns:r="http://schemas.openxmlformats.org/officeDocument/2006/relationships" ref="D237" r:id="rId220"/>
    <hyperlink xmlns:r="http://schemas.openxmlformats.org/officeDocument/2006/relationships" ref="D238" r:id="rId221"/>
    <hyperlink xmlns:r="http://schemas.openxmlformats.org/officeDocument/2006/relationships" ref="D239" r:id="rId222"/>
    <hyperlink xmlns:r="http://schemas.openxmlformats.org/officeDocument/2006/relationships" ref="D240" r:id="rId223"/>
    <hyperlink xmlns:r="http://schemas.openxmlformats.org/officeDocument/2006/relationships" ref="D241" r:id="rId224"/>
    <hyperlink xmlns:r="http://schemas.openxmlformats.org/officeDocument/2006/relationships" ref="D242" r:id="rId225"/>
    <hyperlink xmlns:r="http://schemas.openxmlformats.org/officeDocument/2006/relationships" ref="D243" r:id="rId226"/>
    <hyperlink xmlns:r="http://schemas.openxmlformats.org/officeDocument/2006/relationships" ref="D244" r:id="rId227"/>
    <hyperlink xmlns:r="http://schemas.openxmlformats.org/officeDocument/2006/relationships" ref="D245" r:id="rId228"/>
    <hyperlink xmlns:r="http://schemas.openxmlformats.org/officeDocument/2006/relationships" ref="D246" r:id="rId229"/>
    <hyperlink xmlns:r="http://schemas.openxmlformats.org/officeDocument/2006/relationships" ref="D247" r:id="rId230"/>
    <hyperlink xmlns:r="http://schemas.openxmlformats.org/officeDocument/2006/relationships" ref="D248" r:id="rId231"/>
    <hyperlink xmlns:r="http://schemas.openxmlformats.org/officeDocument/2006/relationships" ref="D249" r:id="rId232"/>
    <hyperlink xmlns:r="http://schemas.openxmlformats.org/officeDocument/2006/relationships" ref="D250" r:id="rId233"/>
    <hyperlink xmlns:r="http://schemas.openxmlformats.org/officeDocument/2006/relationships" ref="D251" r:id="rId234"/>
    <hyperlink xmlns:r="http://schemas.openxmlformats.org/officeDocument/2006/relationships" ref="D252" r:id="rId235"/>
    <hyperlink xmlns:r="http://schemas.openxmlformats.org/officeDocument/2006/relationships" ref="D253" r:id="rId236"/>
    <hyperlink xmlns:r="http://schemas.openxmlformats.org/officeDocument/2006/relationships" ref="D254" r:id="rId237"/>
    <hyperlink xmlns:r="http://schemas.openxmlformats.org/officeDocument/2006/relationships" ref="D255" r:id="rId238"/>
    <hyperlink xmlns:r="http://schemas.openxmlformats.org/officeDocument/2006/relationships" ref="D256" r:id="rId239"/>
    <hyperlink xmlns:r="http://schemas.openxmlformats.org/officeDocument/2006/relationships" ref="D257" r:id="rId240"/>
    <hyperlink xmlns:r="http://schemas.openxmlformats.org/officeDocument/2006/relationships" ref="D258" r:id="rId241"/>
    <hyperlink xmlns:r="http://schemas.openxmlformats.org/officeDocument/2006/relationships" ref="D259" r:id="rId242"/>
    <hyperlink xmlns:r="http://schemas.openxmlformats.org/officeDocument/2006/relationships" ref="D260" r:id="rId243"/>
    <hyperlink xmlns:r="http://schemas.openxmlformats.org/officeDocument/2006/relationships" ref="D261" r:id="rId244"/>
    <hyperlink xmlns:r="http://schemas.openxmlformats.org/officeDocument/2006/relationships" ref="D262" r:id="rId245"/>
    <hyperlink xmlns:r="http://schemas.openxmlformats.org/officeDocument/2006/relationships" ref="D263" r:id="rId246"/>
    <hyperlink xmlns:r="http://schemas.openxmlformats.org/officeDocument/2006/relationships" ref="D264" r:id="rId247"/>
    <hyperlink xmlns:r="http://schemas.openxmlformats.org/officeDocument/2006/relationships" ref="D265" r:id="rId248"/>
    <hyperlink xmlns:r="http://schemas.openxmlformats.org/officeDocument/2006/relationships" ref="D266" r:id="rId249"/>
    <hyperlink xmlns:r="http://schemas.openxmlformats.org/officeDocument/2006/relationships" ref="D267" r:id="rId250"/>
    <hyperlink xmlns:r="http://schemas.openxmlformats.org/officeDocument/2006/relationships" ref="D268" r:id="rId251"/>
    <hyperlink xmlns:r="http://schemas.openxmlformats.org/officeDocument/2006/relationships" ref="D269" r:id="rId252"/>
    <hyperlink xmlns:r="http://schemas.openxmlformats.org/officeDocument/2006/relationships" ref="D270" r:id="rId253"/>
    <hyperlink xmlns:r="http://schemas.openxmlformats.org/officeDocument/2006/relationships" ref="D271" r:id="rId254"/>
    <hyperlink xmlns:r="http://schemas.openxmlformats.org/officeDocument/2006/relationships" ref="D272" r:id="rId255"/>
    <hyperlink xmlns:r="http://schemas.openxmlformats.org/officeDocument/2006/relationships" ref="D273" r:id="rId256"/>
    <hyperlink xmlns:r="http://schemas.openxmlformats.org/officeDocument/2006/relationships" ref="D274" r:id="rId257"/>
    <hyperlink xmlns:r="http://schemas.openxmlformats.org/officeDocument/2006/relationships" ref="D275" r:id="rId258"/>
    <hyperlink xmlns:r="http://schemas.openxmlformats.org/officeDocument/2006/relationships" ref="D276" r:id="rId259"/>
    <hyperlink xmlns:r="http://schemas.openxmlformats.org/officeDocument/2006/relationships" ref="D277" r:id="rId260"/>
    <hyperlink xmlns:r="http://schemas.openxmlformats.org/officeDocument/2006/relationships" ref="D278" r:id="rId261"/>
    <hyperlink xmlns:r="http://schemas.openxmlformats.org/officeDocument/2006/relationships" ref="D279" r:id="rId262"/>
    <hyperlink xmlns:r="http://schemas.openxmlformats.org/officeDocument/2006/relationships" ref="D280" r:id="rId263"/>
    <hyperlink xmlns:r="http://schemas.openxmlformats.org/officeDocument/2006/relationships" ref="D281" r:id="rId264"/>
    <hyperlink xmlns:r="http://schemas.openxmlformats.org/officeDocument/2006/relationships" ref="D282" r:id="rId265"/>
    <hyperlink xmlns:r="http://schemas.openxmlformats.org/officeDocument/2006/relationships" ref="D283" r:id="rId266"/>
    <hyperlink xmlns:r="http://schemas.openxmlformats.org/officeDocument/2006/relationships" ref="D284" r:id="rId267"/>
    <hyperlink xmlns:r="http://schemas.openxmlformats.org/officeDocument/2006/relationships" ref="D285" r:id="rId268"/>
    <hyperlink xmlns:r="http://schemas.openxmlformats.org/officeDocument/2006/relationships" ref="D286" r:id="rId269"/>
    <hyperlink xmlns:r="http://schemas.openxmlformats.org/officeDocument/2006/relationships" ref="D287" r:id="rId270"/>
    <hyperlink xmlns:r="http://schemas.openxmlformats.org/officeDocument/2006/relationships" ref="D288" r:id="rId271"/>
    <hyperlink xmlns:r="http://schemas.openxmlformats.org/officeDocument/2006/relationships" ref="D289" r:id="rId272"/>
    <hyperlink xmlns:r="http://schemas.openxmlformats.org/officeDocument/2006/relationships" ref="D290" r:id="rId273"/>
    <hyperlink xmlns:r="http://schemas.openxmlformats.org/officeDocument/2006/relationships" ref="D291" r:id="rId274"/>
    <hyperlink xmlns:r="http://schemas.openxmlformats.org/officeDocument/2006/relationships" ref="D292" r:id="rId275"/>
    <hyperlink xmlns:r="http://schemas.openxmlformats.org/officeDocument/2006/relationships" ref="D293" r:id="rId276"/>
    <hyperlink xmlns:r="http://schemas.openxmlformats.org/officeDocument/2006/relationships" ref="D294" r:id="rId277"/>
    <hyperlink xmlns:r="http://schemas.openxmlformats.org/officeDocument/2006/relationships" ref="D295" r:id="rId278"/>
    <hyperlink xmlns:r="http://schemas.openxmlformats.org/officeDocument/2006/relationships" ref="D296" r:id="rId279"/>
    <hyperlink xmlns:r="http://schemas.openxmlformats.org/officeDocument/2006/relationships" ref="D297" r:id="rId280"/>
    <hyperlink xmlns:r="http://schemas.openxmlformats.org/officeDocument/2006/relationships" ref="D298" r:id="rId281"/>
    <hyperlink xmlns:r="http://schemas.openxmlformats.org/officeDocument/2006/relationships" ref="D299" r:id="rId282"/>
    <hyperlink xmlns:r="http://schemas.openxmlformats.org/officeDocument/2006/relationships" ref="D300" r:id="rId283"/>
    <hyperlink xmlns:r="http://schemas.openxmlformats.org/officeDocument/2006/relationships" ref="D301" r:id="rId284"/>
    <hyperlink xmlns:r="http://schemas.openxmlformats.org/officeDocument/2006/relationships" ref="D302" r:id="rId285"/>
    <hyperlink xmlns:r="http://schemas.openxmlformats.org/officeDocument/2006/relationships" ref="D303" r:id="rId286"/>
    <hyperlink xmlns:r="http://schemas.openxmlformats.org/officeDocument/2006/relationships" ref="D304" r:id="rId287"/>
    <hyperlink xmlns:r="http://schemas.openxmlformats.org/officeDocument/2006/relationships" ref="D305" r:id="rId288"/>
    <hyperlink xmlns:r="http://schemas.openxmlformats.org/officeDocument/2006/relationships" ref="D306" r:id="rId289"/>
    <hyperlink xmlns:r="http://schemas.openxmlformats.org/officeDocument/2006/relationships" ref="D307" r:id="rId290"/>
    <hyperlink xmlns:r="http://schemas.openxmlformats.org/officeDocument/2006/relationships" ref="D308" r:id="rId291"/>
    <hyperlink xmlns:r="http://schemas.openxmlformats.org/officeDocument/2006/relationships" ref="D309" r:id="rId292"/>
    <hyperlink xmlns:r="http://schemas.openxmlformats.org/officeDocument/2006/relationships" ref="D310" r:id="rId293"/>
    <hyperlink xmlns:r="http://schemas.openxmlformats.org/officeDocument/2006/relationships" ref="D311" r:id="rId294"/>
    <hyperlink xmlns:r="http://schemas.openxmlformats.org/officeDocument/2006/relationships" ref="D312" r:id="rId295"/>
    <hyperlink xmlns:r="http://schemas.openxmlformats.org/officeDocument/2006/relationships" ref="D313" r:id="rId296"/>
    <hyperlink xmlns:r="http://schemas.openxmlformats.org/officeDocument/2006/relationships" ref="D314" r:id="rId297"/>
    <hyperlink xmlns:r="http://schemas.openxmlformats.org/officeDocument/2006/relationships" ref="D315" r:id="rId298"/>
    <hyperlink xmlns:r="http://schemas.openxmlformats.org/officeDocument/2006/relationships" ref="D316" r:id="rId299"/>
    <hyperlink xmlns:r="http://schemas.openxmlformats.org/officeDocument/2006/relationships" ref="D317" r:id="rId300"/>
    <hyperlink xmlns:r="http://schemas.openxmlformats.org/officeDocument/2006/relationships" ref="D318" r:id="rId301"/>
    <hyperlink xmlns:r="http://schemas.openxmlformats.org/officeDocument/2006/relationships" ref="D322" r:id="rId302"/>
    <hyperlink xmlns:r="http://schemas.openxmlformats.org/officeDocument/2006/relationships" ref="D323" r:id="rId303"/>
    <hyperlink xmlns:r="http://schemas.openxmlformats.org/officeDocument/2006/relationships" ref="D324" r:id="rId304"/>
    <hyperlink xmlns:r="http://schemas.openxmlformats.org/officeDocument/2006/relationships" ref="D325" r:id="rId305"/>
    <hyperlink xmlns:r="http://schemas.openxmlformats.org/officeDocument/2006/relationships" ref="D326" r:id="rId306"/>
    <hyperlink xmlns:r="http://schemas.openxmlformats.org/officeDocument/2006/relationships" ref="D327" r:id="rId307"/>
    <hyperlink xmlns:r="http://schemas.openxmlformats.org/officeDocument/2006/relationships" ref="D328" r:id="rId308"/>
    <hyperlink xmlns:r="http://schemas.openxmlformats.org/officeDocument/2006/relationships" ref="D329" r:id="rId309"/>
    <hyperlink xmlns:r="http://schemas.openxmlformats.org/officeDocument/2006/relationships" ref="D330" r:id="rId310"/>
    <hyperlink xmlns:r="http://schemas.openxmlformats.org/officeDocument/2006/relationships" ref="D331" r:id="rId311"/>
    <hyperlink xmlns:r="http://schemas.openxmlformats.org/officeDocument/2006/relationships" ref="D332" r:id="rId312"/>
    <hyperlink xmlns:r="http://schemas.openxmlformats.org/officeDocument/2006/relationships" ref="D333" r:id="rId313"/>
    <hyperlink xmlns:r="http://schemas.openxmlformats.org/officeDocument/2006/relationships" ref="D334" r:id="rId314"/>
    <hyperlink xmlns:r="http://schemas.openxmlformats.org/officeDocument/2006/relationships" ref="D335" r:id="rId315"/>
    <hyperlink xmlns:r="http://schemas.openxmlformats.org/officeDocument/2006/relationships" ref="D336" r:id="rId316"/>
    <hyperlink xmlns:r="http://schemas.openxmlformats.org/officeDocument/2006/relationships" ref="D337" r:id="rId317"/>
    <hyperlink xmlns:r="http://schemas.openxmlformats.org/officeDocument/2006/relationships" ref="D338" r:id="rId318"/>
    <hyperlink xmlns:r="http://schemas.openxmlformats.org/officeDocument/2006/relationships" ref="D339" r:id="rId319"/>
    <hyperlink xmlns:r="http://schemas.openxmlformats.org/officeDocument/2006/relationships" ref="D340" r:id="rId320"/>
    <hyperlink xmlns:r="http://schemas.openxmlformats.org/officeDocument/2006/relationships" ref="D341" r:id="rId321"/>
    <hyperlink xmlns:r="http://schemas.openxmlformats.org/officeDocument/2006/relationships" ref="D342" r:id="rId322"/>
    <hyperlink xmlns:r="http://schemas.openxmlformats.org/officeDocument/2006/relationships" ref="D343" r:id="rId323"/>
    <hyperlink xmlns:r="http://schemas.openxmlformats.org/officeDocument/2006/relationships" ref="D344" r:id="rId324"/>
    <hyperlink xmlns:r="http://schemas.openxmlformats.org/officeDocument/2006/relationships" ref="D345" r:id="rId325"/>
    <hyperlink xmlns:r="http://schemas.openxmlformats.org/officeDocument/2006/relationships" ref="D346" r:id="rId326"/>
    <hyperlink xmlns:r="http://schemas.openxmlformats.org/officeDocument/2006/relationships" ref="D347" r:id="rId327"/>
    <hyperlink xmlns:r="http://schemas.openxmlformats.org/officeDocument/2006/relationships" ref="D351" r:id="rId328"/>
    <hyperlink xmlns:r="http://schemas.openxmlformats.org/officeDocument/2006/relationships" ref="D352" r:id="rId329"/>
    <hyperlink xmlns:r="http://schemas.openxmlformats.org/officeDocument/2006/relationships" ref="D353" r:id="rId330"/>
    <hyperlink xmlns:r="http://schemas.openxmlformats.org/officeDocument/2006/relationships" ref="D354" r:id="rId331"/>
    <hyperlink xmlns:r="http://schemas.openxmlformats.org/officeDocument/2006/relationships" ref="D355" r:id="rId332"/>
    <hyperlink xmlns:r="http://schemas.openxmlformats.org/officeDocument/2006/relationships" ref="D356" r:id="rId333"/>
    <hyperlink xmlns:r="http://schemas.openxmlformats.org/officeDocument/2006/relationships" ref="D357" r:id="rId334"/>
    <hyperlink xmlns:r="http://schemas.openxmlformats.org/officeDocument/2006/relationships" ref="D358" r:id="rId335"/>
    <hyperlink xmlns:r="http://schemas.openxmlformats.org/officeDocument/2006/relationships" ref="D359" r:id="rId336"/>
    <hyperlink xmlns:r="http://schemas.openxmlformats.org/officeDocument/2006/relationships" ref="D360" r:id="rId337"/>
    <hyperlink xmlns:r="http://schemas.openxmlformats.org/officeDocument/2006/relationships" ref="D361" r:id="rId338"/>
    <hyperlink xmlns:r="http://schemas.openxmlformats.org/officeDocument/2006/relationships" ref="D362" r:id="rId339"/>
    <hyperlink xmlns:r="http://schemas.openxmlformats.org/officeDocument/2006/relationships" ref="D363" r:id="rId340"/>
    <hyperlink xmlns:r="http://schemas.openxmlformats.org/officeDocument/2006/relationships" ref="D364" r:id="rId341"/>
    <hyperlink xmlns:r="http://schemas.openxmlformats.org/officeDocument/2006/relationships" ref="D365" r:id="rId342"/>
    <hyperlink xmlns:r="http://schemas.openxmlformats.org/officeDocument/2006/relationships" ref="D366" r:id="rId343"/>
    <hyperlink xmlns:r="http://schemas.openxmlformats.org/officeDocument/2006/relationships" ref="D367" r:id="rId344"/>
    <hyperlink xmlns:r="http://schemas.openxmlformats.org/officeDocument/2006/relationships" ref="D368" r:id="rId345"/>
    <hyperlink xmlns:r="http://schemas.openxmlformats.org/officeDocument/2006/relationships" ref="D369" r:id="rId346"/>
    <hyperlink xmlns:r="http://schemas.openxmlformats.org/officeDocument/2006/relationships" ref="D373" r:id="rId347"/>
    <hyperlink xmlns:r="http://schemas.openxmlformats.org/officeDocument/2006/relationships" ref="D374" r:id="rId348"/>
    <hyperlink xmlns:r="http://schemas.openxmlformats.org/officeDocument/2006/relationships" ref="D375" r:id="rId349"/>
    <hyperlink xmlns:r="http://schemas.openxmlformats.org/officeDocument/2006/relationships" ref="D376" r:id="rId350"/>
    <hyperlink xmlns:r="http://schemas.openxmlformats.org/officeDocument/2006/relationships" ref="D377" r:id="rId351"/>
    <hyperlink xmlns:r="http://schemas.openxmlformats.org/officeDocument/2006/relationships" ref="D378" r:id="rId352"/>
    <hyperlink xmlns:r="http://schemas.openxmlformats.org/officeDocument/2006/relationships" ref="D379" r:id="rId353"/>
    <hyperlink xmlns:r="http://schemas.openxmlformats.org/officeDocument/2006/relationships" ref="D380" r:id="rId354"/>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115"/>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4" t="inlineStr">
        <is>
          <t>Research · 112 new papers</t>
        </is>
      </c>
      <c r="C1" s="155" t="inlineStr">
        <is>
          <t>← Dashboard</t>
        </is>
      </c>
      <c r="D1" s="155" t="inlineStr">
        <is>
          <t>↑ Start here</t>
        </is>
      </c>
    </row>
    <row r="2" ht="16" customHeight="1">
      <c r="C2" s="156" t="inlineStr">
        <is>
          <t>Papers from geotechnical journals (via Crossref), best rated for use in practice first. Click a title to open the paper, and read it before you write about it. Status and Editor notes are yours, as in Stories.</t>
        </is>
      </c>
    </row>
    <row r="3" ht="32" customHeight="1">
      <c r="A3" s="157" t="inlineStr">
        <is>
          <t>No.</t>
        </is>
      </c>
      <c r="B3" s="158" t="inlineStr">
        <is>
          <t>Paper</t>
        </is>
      </c>
      <c r="C3" s="158" t="inlineStr">
        <is>
          <t>Theme</t>
        </is>
      </c>
      <c r="D3" s="157" t="inlineStr">
        <is>
          <t>Use in practice</t>
        </is>
      </c>
      <c r="E3" s="159" t="inlineStr">
        <is>
          <t>Status</t>
        </is>
      </c>
      <c r="F3" s="159" t="inlineStr">
        <is>
          <t>Editor notes</t>
        </is>
      </c>
      <c r="G3" s="158" t="inlineStr">
        <is>
          <t>Why it matters in practice</t>
        </is>
      </c>
      <c r="H3" s="158" t="inlineStr">
        <is>
          <t>Journal</t>
        </is>
      </c>
      <c r="I3" s="158" t="inlineStr">
        <is>
          <t>Authors</t>
        </is>
      </c>
      <c r="J3" s="157" t="inlineStr">
        <is>
          <t>Published</t>
        </is>
      </c>
      <c r="K3" s="157" t="inlineStr">
        <is>
          <t>Digest date</t>
        </is>
      </c>
      <c r="L3" s="158" t="inlineStr">
        <is>
          <t>Keywords</t>
        </is>
      </c>
      <c r="M3" s="158" t="inlineStr">
        <is>
          <t>DOI link</t>
        </is>
      </c>
    </row>
    <row r="4" ht="53" customHeight="1">
      <c r="A4" s="160" t="n">
        <v>1</v>
      </c>
      <c r="B4" s="161" t="inlineStr">
        <is>
          <t>Experimental Investigation of the Static-to-Kinetic Friction Transition of Piles in Sand Subjected to Various Loading Rates</t>
        </is>
      </c>
      <c r="C4" s="180" t="inlineStr">
        <is>
          <t>Characterisation &amp; Modelling</t>
        </is>
      </c>
      <c r="D4" s="163" t="n">
        <v>5</v>
      </c>
      <c r="E4" s="231" t="inlineStr">
        <is>
          <t>To review</t>
        </is>
      </c>
      <c r="F4" s="167" t="n"/>
      <c r="G4" s="168" t="inlineStr">
        <is>
          <t>Shows that pile capacity in sand drops noticeably with faster loading, so design and load-test interpretation should account for the rate at which loads are applied.</t>
        </is>
      </c>
      <c r="H4" s="232" t="inlineStr">
        <is>
          <t>Journal of Geotechnical and Geoenvironmental Engineering</t>
        </is>
      </c>
      <c r="I4" s="233" t="inlineStr">
        <is>
          <t>Hu J, Lv Y et al.</t>
        </is>
      </c>
      <c r="J4" s="234" t="n">
        <v>46324</v>
      </c>
      <c r="K4" s="234" t="n">
        <v>46324</v>
      </c>
      <c r="L4" s="172" t="inlineStr">
        <is>
          <t>pile, shaft</t>
        </is>
      </c>
      <c r="M4" s="235" t="inlineStr">
        <is>
          <t>https://doi.org/10.1061/jggefk.gteng-14539</t>
        </is>
      </c>
    </row>
    <row r="5" ht="53" customHeight="1">
      <c r="A5" s="160" t="n">
        <v>2</v>
      </c>
      <c r="B5" s="161" t="inlineStr">
        <is>
          <t>Surrogate-assisted joint backcalculation of bimodular pavement layer moduli from FWD and staged plate-load tests on excavated formations</t>
        </is>
      </c>
      <c r="C5" s="176" t="inlineStr">
        <is>
          <t>Infrastructure &amp; the Underground City</t>
        </is>
      </c>
      <c r="D5" s="163" t="n">
        <v>5</v>
      </c>
      <c r="E5" s="231" t="inlineStr">
        <is>
          <t>To review</t>
        </is>
      </c>
      <c r="F5" s="167" t="n"/>
      <c r="G5" s="168" t="inlineStr">
        <is>
          <t>Combines falling weight deflectometer and plate-load data to backcalculate layer moduli, giving pavement engineers a more reliable way to characterise subgrades.</t>
        </is>
      </c>
      <c r="H5" s="232" t="inlineStr">
        <is>
          <t>Transportation Geotechnics</t>
        </is>
      </c>
      <c r="I5" s="233" t="inlineStr">
        <is>
          <t>Huang W, Lv S et al.</t>
        </is>
      </c>
      <c r="J5" s="234" t="n">
        <v>46323</v>
      </c>
      <c r="K5" s="234" t="n">
        <v>46324</v>
      </c>
      <c r="L5" s="172" t="n"/>
      <c r="M5" s="235" t="inlineStr">
        <is>
          <t>https://doi.org/10.1016/j.trgeo.2026.102492</t>
        </is>
      </c>
    </row>
    <row r="6" ht="53" customHeight="1">
      <c r="A6" s="160" t="n">
        <v>3</v>
      </c>
      <c r="B6" s="161" t="inlineStr">
        <is>
          <t>Critical review and innovations in excavation practices for soft soil conditions</t>
        </is>
      </c>
      <c r="C6" s="176" t="inlineStr">
        <is>
          <t>Infrastructure &amp; the Underground City</t>
        </is>
      </c>
      <c r="D6" s="163" t="n">
        <v>5</v>
      </c>
      <c r="E6" s="231" t="inlineStr">
        <is>
          <t>To review</t>
        </is>
      </c>
      <c r="F6" s="167" t="n"/>
      <c r="G6" s="168" t="inlineStr">
        <is>
          <t>Reviews excavation methods in soft soils and proposes innovations, giving contractors and designers practical guidance for deep cuts in difficult ground.</t>
        </is>
      </c>
      <c r="H6" s="232" t="inlineStr">
        <is>
          <t>Soils and Foundations</t>
        </is>
      </c>
      <c r="I6" s="233" t="inlineStr">
        <is>
          <t>Tuna ŞÇ</t>
        </is>
      </c>
      <c r="J6" s="234" t="n">
        <v>46321</v>
      </c>
      <c r="K6" s="234" t="n">
        <v>46322</v>
      </c>
      <c r="L6" s="172" t="inlineStr">
        <is>
          <t>excavation, soil</t>
        </is>
      </c>
      <c r="M6" s="235" t="inlineStr">
        <is>
          <t>https://doi.org/10.1016/j.sandf.2026.101888</t>
        </is>
      </c>
    </row>
    <row r="7" ht="53" customHeight="1">
      <c r="A7" s="160" t="n">
        <v>4</v>
      </c>
      <c r="B7" s="161" t="inlineStr">
        <is>
          <t>Enhancing landslide displacement prediction by integrating geological conditions into an interpretable spatiotemporal deep learning model</t>
        </is>
      </c>
      <c r="C7" s="162" t="inlineStr">
        <is>
          <t>Hazards &amp; Resilience</t>
        </is>
      </c>
      <c r="D7" s="163" t="n">
        <v>4</v>
      </c>
      <c r="E7" s="231" t="inlineStr">
        <is>
          <t>To review</t>
        </is>
      </c>
      <c r="F7" s="167" t="n"/>
      <c r="G7" s="168" t="inlineStr">
        <is>
          <t>Adds geological context to a deep learning landslide predictor, giving practitioners a more interpretable tool for forecasting slope displacement and prioritising monitoring.</t>
        </is>
      </c>
      <c r="H7" s="232" t="inlineStr">
        <is>
          <t>Journal of Rock Mechanics and Geotechnical Engineering</t>
        </is>
      </c>
      <c r="I7" s="233" t="inlineStr">
        <is>
          <t>Li Y, Hu X et al.</t>
        </is>
      </c>
      <c r="J7" s="234" t="n">
        <v>46326</v>
      </c>
      <c r="K7" s="234" t="n">
        <v>46326</v>
      </c>
      <c r="L7" s="172" t="inlineStr">
        <is>
          <t>landslide</t>
        </is>
      </c>
      <c r="M7" s="235" t="inlineStr">
        <is>
          <t>https://doi.org/10.1016/j.jrmge.2026.08.018</t>
        </is>
      </c>
    </row>
    <row r="8" ht="53" customHeight="1">
      <c r="A8" s="160" t="n">
        <v>5</v>
      </c>
      <c r="B8" s="161" t="inlineStr">
        <is>
          <t>Large-Scale Triaxial Testing on Suffusion Characteristics and Permeability Evolution of Gap-Graded Soils under Different Controlling Constriction Sizes</t>
        </is>
      </c>
      <c r="C8" s="180" t="inlineStr">
        <is>
          <t>Characterisation &amp; Modelling</t>
        </is>
      </c>
      <c r="D8" s="163" t="n">
        <v>4</v>
      </c>
      <c r="E8" s="231" t="inlineStr">
        <is>
          <t>To review</t>
        </is>
      </c>
      <c r="F8" s="167" t="n"/>
      <c r="G8" s="168" t="inlineStr">
        <is>
          <t>Provides quantitative guidance on choosing leakage opening sizes for suffusion tests, helping engineers judge internal erosion risk in gap-graded fills and filters.</t>
        </is>
      </c>
      <c r="H8" s="232" t="inlineStr">
        <is>
          <t>Journal of Geotechnical and Geoenvironmental Engineering</t>
        </is>
      </c>
      <c r="I8" s="233" t="inlineStr">
        <is>
          <t>Fu Y, Zou D et al.</t>
        </is>
      </c>
      <c r="J8" s="234" t="n">
        <v>46326</v>
      </c>
      <c r="K8" s="234" t="n">
        <v>46326</v>
      </c>
      <c r="L8" s="172" t="inlineStr">
        <is>
          <t>erosion, soil</t>
        </is>
      </c>
      <c r="M8" s="235" t="inlineStr">
        <is>
          <t>https://doi.org/10.1061/jggefk.gteng-15822</t>
        </is>
      </c>
    </row>
    <row r="9" ht="53" customHeight="1">
      <c r="A9" s="160" t="n">
        <v>6</v>
      </c>
      <c r="B9" s="161" t="inlineStr">
        <is>
          <t>Compaction of Fine-Grained soils under low water conditions: Experimental insights and performance improvement</t>
        </is>
      </c>
      <c r="C9" s="176" t="inlineStr">
        <is>
          <t>Infrastructure &amp; the Underground City</t>
        </is>
      </c>
      <c r="D9" s="163" t="n">
        <v>4</v>
      </c>
      <c r="E9" s="231" t="inlineStr">
        <is>
          <t>To review</t>
        </is>
      </c>
      <c r="F9" s="167" t="n"/>
      <c r="G9" s="168" t="inlineStr">
        <is>
          <t>Shows how compaction of fine soils at low water content can be improved, offering earthworks practitioners practical ways to meet specifications in dry conditions.</t>
        </is>
      </c>
      <c r="H9" s="232" t="inlineStr">
        <is>
          <t>Transportation Geotechnics</t>
        </is>
      </c>
      <c r="I9" s="233" t="inlineStr">
        <is>
          <t>Hocini Y, Medjnoun A et al.</t>
        </is>
      </c>
      <c r="J9" s="234" t="n">
        <v>46326</v>
      </c>
      <c r="K9" s="234" t="n">
        <v>46326</v>
      </c>
      <c r="L9" s="172" t="inlineStr">
        <is>
          <t>soil</t>
        </is>
      </c>
      <c r="M9" s="235" t="inlineStr">
        <is>
          <t>https://doi.org/10.1016/j.trgeo.2026.102511</t>
        </is>
      </c>
    </row>
    <row r="10" ht="53" customHeight="1">
      <c r="A10" s="160" t="n">
        <v>7</v>
      </c>
      <c r="B10" s="161" t="inlineStr">
        <is>
          <t>Digital monitoring of continuous outer-casing drilling and inner core-barrel sampling for profiling Shanghai soils</t>
        </is>
      </c>
      <c r="C10" s="180" t="inlineStr">
        <is>
          <t>Characterisation &amp; Modelling</t>
        </is>
      </c>
      <c r="D10" s="163" t="n">
        <v>4</v>
      </c>
      <c r="E10" s="231" t="inlineStr">
        <is>
          <t>To review</t>
        </is>
      </c>
      <c r="F10" s="167" t="n"/>
      <c r="G10" s="168" t="inlineStr">
        <is>
          <t>Digital recording of drilling and sampling parameters offers a richer, more objective soil profile for Shanghai projects than traditional logs.</t>
        </is>
      </c>
      <c r="H10" s="232" t="inlineStr">
        <is>
          <t>Journal of Rock Mechanics and Geotechnical Engineering</t>
        </is>
      </c>
      <c r="I10" s="233" t="inlineStr">
        <is>
          <t>Wu S, Liang Z et al.</t>
        </is>
      </c>
      <c r="J10" s="234" t="n">
        <v>46326</v>
      </c>
      <c r="K10" s="234" t="n">
        <v>46326</v>
      </c>
      <c r="L10" s="172" t="inlineStr">
        <is>
          <t>soil</t>
        </is>
      </c>
      <c r="M10" s="235" t="inlineStr">
        <is>
          <t>https://doi.org/10.1016/j.jrmge.2026.09.012</t>
        </is>
      </c>
    </row>
    <row r="11" ht="53" customHeight="1">
      <c r="A11" s="160" t="n">
        <v>8</v>
      </c>
      <c r="B11" s="161" t="inlineStr">
        <is>
          <t>Dissolution-disintegration characteristics and microstructural evolution of improved fully weathered red-bed mudstone under drying-wetting cycles</t>
        </is>
      </c>
      <c r="C11" s="184" t="inlineStr">
        <is>
          <t>Ground Improvement &amp; Innovation</t>
        </is>
      </c>
      <c r="D11" s="163" t="n">
        <v>4</v>
      </c>
      <c r="E11" s="231" t="inlineStr">
        <is>
          <t>To review</t>
        </is>
      </c>
      <c r="F11" s="167" t="n"/>
      <c r="G11" s="168" t="inlineStr">
        <is>
          <t>Shows how an improved weathered mudstone degrades under wetting and drying, guiding engineers using treated red-bed soils in embankments and cut slopes.</t>
        </is>
      </c>
      <c r="H11" s="232" t="inlineStr">
        <is>
          <t>Journal of Rock Mechanics and Geotechnical Engineering</t>
        </is>
      </c>
      <c r="I11" s="233" t="inlineStr">
        <is>
          <t>Yu C, Zhou S et al.</t>
        </is>
      </c>
      <c r="J11" s="234" t="n">
        <v>46326</v>
      </c>
      <c r="K11" s="234" t="n">
        <v>46326</v>
      </c>
      <c r="L11" s="172" t="n"/>
      <c r="M11" s="235" t="inlineStr">
        <is>
          <t>https://doi.org/10.1016/j.jrmge.2026.06.054</t>
        </is>
      </c>
    </row>
    <row r="12" ht="53" customHeight="1">
      <c r="A12" s="160" t="n">
        <v>9</v>
      </c>
      <c r="B12" s="161" t="inlineStr">
        <is>
          <t>Non-destructive prediction of bio-healed rock fracture strength using full-scale mechanical testing</t>
        </is>
      </c>
      <c r="C12" s="184" t="inlineStr">
        <is>
          <t>Ground Improvement &amp; Innovation</t>
        </is>
      </c>
      <c r="D12" s="163" t="n">
        <v>4</v>
      </c>
      <c r="E12" s="231" t="inlineStr">
        <is>
          <t>To review</t>
        </is>
      </c>
      <c r="F12" s="167" t="n"/>
      <c r="G12" s="168" t="inlineStr">
        <is>
          <t>Offers a non-destructive way to estimate strength of bio-treated rock at full scale, a useful route for verifying biogrouting ground improvement in the field.</t>
        </is>
      </c>
      <c r="H12" s="232" t="inlineStr">
        <is>
          <t>Journal of Rock Mechanics and Geotechnical Engineering</t>
        </is>
      </c>
      <c r="I12" s="233" t="inlineStr">
        <is>
          <t>Dai Q, Pan X et al.</t>
        </is>
      </c>
      <c r="J12" s="234" t="n">
        <v>46326</v>
      </c>
      <c r="K12" s="234" t="n">
        <v>46326</v>
      </c>
      <c r="L12" s="172" t="n"/>
      <c r="M12" s="235" t="inlineStr">
        <is>
          <t>https://doi.org/10.1016/j.jrmge.2026.06.055</t>
        </is>
      </c>
    </row>
    <row r="13" ht="53" customHeight="1">
      <c r="A13" s="160" t="n">
        <v>10</v>
      </c>
      <c r="B13" s="161" t="inlineStr">
        <is>
          <t>Erosion-resistance mechanisms of biopolymer-vegetation reinforced slopes under rainfall using experimental and coupled CFD-DEM methods</t>
        </is>
      </c>
      <c r="C13" s="178" t="inlineStr">
        <is>
          <t>Sustainability &amp; the Energy Transition</t>
        </is>
      </c>
      <c r="D13" s="163" t="n">
        <v>4</v>
      </c>
      <c r="E13" s="231" t="inlineStr">
        <is>
          <t>To review</t>
        </is>
      </c>
      <c r="F13" s="167" t="n"/>
      <c r="G13" s="168" t="inlineStr">
        <is>
          <t>Shows that combining biopolymer with vegetation cuts rainfall erosion on highway slopes, offering a greener stabilisation option engineers can weigh against conventional measures.</t>
        </is>
      </c>
      <c r="H13" s="232" t="inlineStr">
        <is>
          <t>Canadian Geotechnical Journal</t>
        </is>
      </c>
      <c r="I13" s="233" t="inlineStr">
        <is>
          <t>Zhang H, Ni JJ et al.</t>
        </is>
      </c>
      <c r="J13" s="234" t="n">
        <v>46325</v>
      </c>
      <c r="K13" s="234" t="n">
        <v>46326</v>
      </c>
      <c r="L13" s="172" t="inlineStr">
        <is>
          <t>slope, erosion</t>
        </is>
      </c>
      <c r="M13" s="235" t="inlineStr">
        <is>
          <t>https://doi.org/10.1139/cgj-2026-0666</t>
        </is>
      </c>
    </row>
    <row r="14" ht="53" customHeight="1">
      <c r="A14" s="160" t="n">
        <v>11</v>
      </c>
      <c r="B14" s="161" t="inlineStr">
        <is>
          <t>Reservoir-Piezometric Water Level Relationship: Analytical-Numerical Modeling with Field Observations</t>
        </is>
      </c>
      <c r="C14" s="162" t="inlineStr">
        <is>
          <t>Hazards &amp; Resilience</t>
        </is>
      </c>
      <c r="D14" s="163" t="n">
        <v>4</v>
      </c>
      <c r="E14" s="231" t="inlineStr">
        <is>
          <t>To review</t>
        </is>
      </c>
      <c r="F14" s="167" t="n"/>
      <c r="G14" s="168" t="inlineStr">
        <is>
          <t>Clarifies what piezometer readings against reservoir level really mean, helping dam engineers interpret monitoring data and spot genuine changes in performance.</t>
        </is>
      </c>
      <c r="H14" s="232" t="inlineStr">
        <is>
          <t>Canadian Geotechnical Journal</t>
        </is>
      </c>
      <c r="I14" s="233" t="inlineStr">
        <is>
          <t>Razavi SK, Zarnani S</t>
        </is>
      </c>
      <c r="J14" s="234" t="n">
        <v>46325</v>
      </c>
      <c r="K14" s="234" t="n">
        <v>46326</v>
      </c>
      <c r="L14" s="172" t="n"/>
      <c r="M14" s="235" t="inlineStr">
        <is>
          <t>https://doi.org/10.1139/cgj-2026-0665</t>
        </is>
      </c>
    </row>
    <row r="15" ht="53" customHeight="1">
      <c r="A15" s="160" t="n">
        <v>12</v>
      </c>
      <c r="B15" s="161" t="inlineStr">
        <is>
          <t>Can advanced sand-based models predict the behaviour of silty sands? A comprehensive experimental and numerical assessment</t>
        </is>
      </c>
      <c r="C15" s="180" t="inlineStr">
        <is>
          <t>Characterisation &amp; Modelling</t>
        </is>
      </c>
      <c r="D15" s="163" t="n">
        <v>4</v>
      </c>
      <c r="E15" s="231" t="inlineStr">
        <is>
          <t>To review</t>
        </is>
      </c>
      <c r="F15" s="167" t="n"/>
      <c r="G15" s="168" t="inlineStr">
        <is>
          <t>Tests whether advanced sand models can handle silty sands, giving practitioners a sense of when these constitutive models are reliable for seismic analysis.</t>
        </is>
      </c>
      <c r="H15" s="232" t="inlineStr">
        <is>
          <t>Soil Dynamics and Earthquake Engineering</t>
        </is>
      </c>
      <c r="I15" s="233" t="inlineStr">
        <is>
          <t>Tafili M, Duque J et al.</t>
        </is>
      </c>
      <c r="J15" s="234" t="n">
        <v>46325</v>
      </c>
      <c r="K15" s="234" t="n">
        <v>46326</v>
      </c>
      <c r="L15" s="172" t="n"/>
      <c r="M15" s="235" t="inlineStr">
        <is>
          <t>https://doi.org/10.1016/j.soildyn.2026.110786</t>
        </is>
      </c>
    </row>
    <row r="16" ht="53" customHeight="1">
      <c r="A16" s="160" t="n">
        <v>13</v>
      </c>
      <c r="B16" s="161" t="inlineStr">
        <is>
          <t>Impacts of rainfall variability on landslide stability revealed by PS-InSAR and numerical modeling: a case study of the Xincun Landslide, Baode County, China</t>
        </is>
      </c>
      <c r="C16" s="162" t="inlineStr">
        <is>
          <t>Hazards &amp; Resilience</t>
        </is>
      </c>
      <c r="D16" s="163" t="n">
        <v>4</v>
      </c>
      <c r="E16" s="231" t="inlineStr">
        <is>
          <t>To review</t>
        </is>
      </c>
      <c r="F16" s="167" t="n"/>
      <c r="G16" s="168" t="inlineStr">
        <is>
          <t>Combines satellite radar monitoring with numerical modelling to link rainfall to landslide movement, a practical template for monitoring-based slope management.</t>
        </is>
      </c>
      <c r="H16" s="232" t="inlineStr">
        <is>
          <t>Landslides</t>
        </is>
      </c>
      <c r="I16" s="233" t="inlineStr">
        <is>
          <t>Tian Z, Wang Y et al.</t>
        </is>
      </c>
      <c r="J16" s="234" t="n">
        <v>46324</v>
      </c>
      <c r="K16" s="234" t="n">
        <v>46325</v>
      </c>
      <c r="L16" s="172" t="inlineStr">
        <is>
          <t>landslide</t>
        </is>
      </c>
      <c r="M16" s="235" t="inlineStr">
        <is>
          <t>https://doi.org/10.1007/s10346-026-02871-1</t>
        </is>
      </c>
    </row>
    <row r="17" ht="53" customHeight="1">
      <c r="A17" s="160" t="n">
        <v>14</v>
      </c>
      <c r="B17" s="161" t="inlineStr">
        <is>
          <t>Multi-indicator Forecasting with Prototype-Based Inference for Early Warning of Coal and Gas Outbursts During Tunnel Excavation</t>
        </is>
      </c>
      <c r="C17" s="176" t="inlineStr">
        <is>
          <t>Infrastructure &amp; the Underground City</t>
        </is>
      </c>
      <c r="D17" s="163" t="n">
        <v>4</v>
      </c>
      <c r="E17" s="231" t="inlineStr">
        <is>
          <t>To review</t>
        </is>
      </c>
      <c r="F17" s="167" t="n"/>
      <c r="G17" s="168" t="inlineStr">
        <is>
          <t>Presents a multi-indicator early-warning approach for gas and coal outbursts, offering tunnelling crews a more reliable forecasting tool during excavation.</t>
        </is>
      </c>
      <c r="H17" s="232" t="inlineStr">
        <is>
          <t>Rock Mechanics and Rock Engineering</t>
        </is>
      </c>
      <c r="I17" s="233" t="inlineStr">
        <is>
          <t>Liu C, Li Z et al.</t>
        </is>
      </c>
      <c r="J17" s="234" t="n">
        <v>46324</v>
      </c>
      <c r="K17" s="234" t="n">
        <v>46325</v>
      </c>
      <c r="L17" s="172" t="inlineStr">
        <is>
          <t>excavation, tunnel</t>
        </is>
      </c>
      <c r="M17" s="235" t="inlineStr">
        <is>
          <t>https://doi.org/10.1007/s00603-026-06071-0</t>
        </is>
      </c>
    </row>
    <row r="18" ht="53" customHeight="1">
      <c r="A18" s="160" t="n">
        <v>15</v>
      </c>
      <c r="B18" s="161" t="inlineStr">
        <is>
          <t>Impact of clustered landslides on strategic road network in central Italy during a rapid snow–rainfall sequence</t>
        </is>
      </c>
      <c r="C18" s="162" t="inlineStr">
        <is>
          <t>Hazards &amp; Resilience</t>
        </is>
      </c>
      <c r="D18" s="163" t="n">
        <v>4</v>
      </c>
      <c r="E18" s="231" t="inlineStr">
        <is>
          <t>To review</t>
        </is>
      </c>
      <c r="F18" s="167" t="n"/>
      <c r="G18" s="168" t="inlineStr">
        <is>
          <t>Documents how clustered slope failures cut a road network during snow and rain, supporting transport resilience planning and emergency response.</t>
        </is>
      </c>
      <c r="H18" s="232" t="inlineStr">
        <is>
          <t>Landslides</t>
        </is>
      </c>
      <c r="I18" s="233" t="inlineStr">
        <is>
          <t>Fiorucci F, Esposito G</t>
        </is>
      </c>
      <c r="J18" s="234" t="n">
        <v>46324</v>
      </c>
      <c r="K18" s="234" t="n">
        <v>46325</v>
      </c>
      <c r="L18" s="172" t="inlineStr">
        <is>
          <t>landslide</t>
        </is>
      </c>
      <c r="M18" s="235" t="inlineStr">
        <is>
          <t>https://doi.org/10.1007/s10346-026-02866-y</t>
        </is>
      </c>
    </row>
    <row r="19" ht="53" customHeight="1">
      <c r="A19" s="160" t="n">
        <v>16</v>
      </c>
      <c r="B19" s="161" t="inlineStr">
        <is>
          <t>Sparse-monitoring-enhanced physics-informed reconstruction of full-field excavation-induced soil deformation</t>
        </is>
      </c>
      <c r="C19" s="181" t="inlineStr">
        <is>
          <t>Digital Geotechnics</t>
        </is>
      </c>
      <c r="D19" s="163" t="n">
        <v>4</v>
      </c>
      <c r="E19" s="231" t="inlineStr">
        <is>
          <t>To review</t>
        </is>
      </c>
      <c r="F19" s="167" t="n"/>
      <c r="G19" s="168" t="inlineStr">
        <is>
          <t>Reconstructs full ground deformation fields around excavations from only sparse sensor data, a useful route for interpreting limited field monitoring.</t>
        </is>
      </c>
      <c r="H19" s="232" t="inlineStr">
        <is>
          <t>Computers and Geotechnics</t>
        </is>
      </c>
      <c r="I19" s="233" t="inlineStr">
        <is>
          <t>Fan X, Chen C et al.</t>
        </is>
      </c>
      <c r="J19" s="234" t="n">
        <v>46324</v>
      </c>
      <c r="K19" s="234" t="n">
        <v>46325</v>
      </c>
      <c r="L19" s="172" t="inlineStr">
        <is>
          <t>excavation, soil</t>
        </is>
      </c>
      <c r="M19" s="235" t="inlineStr">
        <is>
          <t>https://doi.org/10.1016/j.compgeo.2026.108775</t>
        </is>
      </c>
    </row>
    <row r="20" ht="40.5" customHeight="1">
      <c r="A20" s="160" t="n">
        <v>17</v>
      </c>
      <c r="B20" s="161" t="inlineStr">
        <is>
          <t>A Hybrid Approach to TBM Support Structure Decision-Making Based on Multi-source Data</t>
        </is>
      </c>
      <c r="C20" s="176" t="inlineStr">
        <is>
          <t>Infrastructure &amp; the Underground City</t>
        </is>
      </c>
      <c r="D20" s="163" t="n">
        <v>4</v>
      </c>
      <c r="E20" s="231" t="inlineStr">
        <is>
          <t>To review</t>
        </is>
      </c>
      <c r="F20" s="167" t="n"/>
      <c r="G20" s="168" t="inlineStr">
        <is>
          <t>Combines multiple data sources to support choosing TBM tunnel support, offering a structured decision aid for tunnelling projects.</t>
        </is>
      </c>
      <c r="H20" s="232" t="inlineStr">
        <is>
          <t>Rock Mechanics and Rock Engineering</t>
        </is>
      </c>
      <c r="I20" s="233" t="inlineStr">
        <is>
          <t>Sun J, Li R et al.</t>
        </is>
      </c>
      <c r="J20" s="234" t="n">
        <v>46324</v>
      </c>
      <c r="K20" s="234" t="n">
        <v>46325</v>
      </c>
      <c r="L20" s="172" t="inlineStr">
        <is>
          <t>tbm</t>
        </is>
      </c>
      <c r="M20" s="235" t="inlineStr">
        <is>
          <t>https://doi.org/10.1007/s00603-026-06084-9</t>
        </is>
      </c>
    </row>
    <row r="21" ht="53" customHeight="1">
      <c r="A21" s="160" t="n">
        <v>18</v>
      </c>
      <c r="B21" s="161" t="inlineStr">
        <is>
          <t>A physics-guided machine learning model for cantilever and anchored sheet pile walls</t>
        </is>
      </c>
      <c r="C21" s="181" t="inlineStr">
        <is>
          <t>Digital Geotechnics</t>
        </is>
      </c>
      <c r="D21" s="163" t="n">
        <v>4</v>
      </c>
      <c r="E21" s="231" t="inlineStr">
        <is>
          <t>To review</t>
        </is>
      </c>
      <c r="F21" s="167" t="n"/>
      <c r="G21" s="168" t="inlineStr">
        <is>
          <t>Embeds engineering mechanics into machine learning for sheet pile walls, promising quicker and more physically consistent design predictions.</t>
        </is>
      </c>
      <c r="H21" s="232" t="inlineStr">
        <is>
          <t>Computers and Geotechnics</t>
        </is>
      </c>
      <c r="I21" s="233" t="inlineStr">
        <is>
          <t>Ramezanpour M, Leo C et al.</t>
        </is>
      </c>
      <c r="J21" s="234" t="n">
        <v>46324</v>
      </c>
      <c r="K21" s="234" t="n">
        <v>46325</v>
      </c>
      <c r="L21" s="172" t="inlineStr">
        <is>
          <t>pile</t>
        </is>
      </c>
      <c r="M21" s="235" t="inlineStr">
        <is>
          <t>https://doi.org/10.1016/j.compgeo.2026.108764</t>
        </is>
      </c>
    </row>
    <row r="22" ht="53" customHeight="1">
      <c r="A22" s="160" t="n">
        <v>19</v>
      </c>
      <c r="B22" s="161" t="inlineStr">
        <is>
          <t>Magnitude scaling and ground motion factors for subduction zone earthquakes</t>
        </is>
      </c>
      <c r="C22" s="162" t="inlineStr">
        <is>
          <t>Hazards &amp; Resilience</t>
        </is>
      </c>
      <c r="D22" s="163" t="n">
        <v>4</v>
      </c>
      <c r="E22" s="231" t="inlineStr">
        <is>
          <t>To review</t>
        </is>
      </c>
      <c r="F22" s="167" t="n"/>
      <c r="G22" s="168" t="inlineStr">
        <is>
          <t>Provides magnitude scaling and ground motion factors for subduction earthquakes, directly relevant to seismic design inputs in subduction regions.</t>
        </is>
      </c>
      <c r="H22" s="232" t="inlineStr">
        <is>
          <t>Soil Dynamics and Earthquake Engineering</t>
        </is>
      </c>
      <c r="I22" s="233" t="inlineStr">
        <is>
          <t>Badu P, Das K, Jana A</t>
        </is>
      </c>
      <c r="J22" s="234" t="n">
        <v>46324</v>
      </c>
      <c r="K22" s="234" t="n">
        <v>46325</v>
      </c>
      <c r="L22" s="172" t="inlineStr">
        <is>
          <t>earthquake</t>
        </is>
      </c>
      <c r="M22" s="235" t="inlineStr">
        <is>
          <t>https://doi.org/10.1016/j.soildyn.2026.110788</t>
        </is>
      </c>
    </row>
    <row r="23" ht="53" customHeight="1">
      <c r="A23" s="160" t="n">
        <v>20</v>
      </c>
      <c r="B23" s="161" t="inlineStr">
        <is>
          <t>Advances in rock mass structure characterization: From discontinuity identification to digital quantification</t>
        </is>
      </c>
      <c r="C23" s="181" t="inlineStr">
        <is>
          <t>Digital Geotechnics</t>
        </is>
      </c>
      <c r="D23" s="163" t="n">
        <v>4</v>
      </c>
      <c r="E23" s="231" t="inlineStr">
        <is>
          <t>To review</t>
        </is>
      </c>
      <c r="F23" s="167" t="n"/>
      <c r="G23" s="168" t="inlineStr">
        <is>
          <t>Surveys methods for turning rock mass discontinuity data into digital measurements, helping practitioners adopt scanning and automated mapping tools.</t>
        </is>
      </c>
      <c r="H23" s="232" t="inlineStr">
        <is>
          <t>Engineering Geology</t>
        </is>
      </c>
      <c r="I23" s="233" t="inlineStr">
        <is>
          <t>Qi S, Zheng B et al.</t>
        </is>
      </c>
      <c r="J23" s="234" t="n">
        <v>46324</v>
      </c>
      <c r="K23" s="234" t="n">
        <v>46325</v>
      </c>
      <c r="L23" s="172" t="n"/>
      <c r="M23" s="235" t="inlineStr">
        <is>
          <t>https://doi.org/10.1016/j.enggeo.2026.109188</t>
        </is>
      </c>
    </row>
    <row r="24" ht="53" customHeight="1">
      <c r="A24" s="160" t="n">
        <v>21</v>
      </c>
      <c r="B24" s="161" t="inlineStr">
        <is>
          <t>Model test on thermal insulation mechanism of sandwich lining structures for tunnel and corresponding simulation</t>
        </is>
      </c>
      <c r="C24" s="176" t="inlineStr">
        <is>
          <t>Infrastructure &amp; the Underground City</t>
        </is>
      </c>
      <c r="D24" s="163" t="n">
        <v>4</v>
      </c>
      <c r="E24" s="231" t="inlineStr">
        <is>
          <t>To review</t>
        </is>
      </c>
      <c r="F24" s="167" t="n"/>
      <c r="G24" s="168" t="inlineStr">
        <is>
          <t>Provides model test evidence on insulating sandwich tunnel linings, useful for designers managing heat loss and thermal performance in tunnels.</t>
        </is>
      </c>
      <c r="H24" s="232" t="inlineStr">
        <is>
          <t>Underground Space</t>
        </is>
      </c>
      <c r="I24" s="233" t="inlineStr">
        <is>
          <t>Zhong Z, Zhou L et al.</t>
        </is>
      </c>
      <c r="J24" s="234" t="n">
        <v>46324</v>
      </c>
      <c r="K24" s="234" t="n">
        <v>46324</v>
      </c>
      <c r="L24" s="172" t="inlineStr">
        <is>
          <t>tunnel</t>
        </is>
      </c>
      <c r="M24" s="235" t="inlineStr">
        <is>
          <t>https://doi.org/10.1016/j.undsp.2026.10.002</t>
        </is>
      </c>
    </row>
    <row r="25" ht="53" customHeight="1">
      <c r="A25" s="160" t="n">
        <v>22</v>
      </c>
      <c r="B25" s="161" t="inlineStr">
        <is>
          <t>Instability mechanism and simplified stability evaluation method for sedimentary rock slopes under drought–flood abrupt alternation</t>
        </is>
      </c>
      <c r="C25" s="162" t="inlineStr">
        <is>
          <t>Hazards &amp; Resilience</t>
        </is>
      </c>
      <c r="D25" s="163" t="n">
        <v>4</v>
      </c>
      <c r="E25" s="231" t="inlineStr">
        <is>
          <t>To review</t>
        </is>
      </c>
      <c r="F25" s="167" t="n"/>
      <c r="G25" s="168" t="inlineStr">
        <is>
          <t>Provides a simplified stability check for sedimentary rock slopes exposed to alternating drought and flood, directly usable for slope assessments.</t>
        </is>
      </c>
      <c r="H25" s="232" t="inlineStr">
        <is>
          <t>Landslides</t>
        </is>
      </c>
      <c r="I25" s="233" t="inlineStr">
        <is>
          <t>Liu Y, Tao Z et al.</t>
        </is>
      </c>
      <c r="J25" s="234" t="n">
        <v>46323</v>
      </c>
      <c r="K25" s="234" t="n">
        <v>46325</v>
      </c>
      <c r="L25" s="172" t="inlineStr">
        <is>
          <t>slope, flood</t>
        </is>
      </c>
      <c r="M25" s="235" t="inlineStr">
        <is>
          <t>https://doi.org/10.1007/s10346-026-02867-x</t>
        </is>
      </c>
    </row>
    <row r="26" ht="40.5" customHeight="1">
      <c r="A26" s="160" t="n">
        <v>23</v>
      </c>
      <c r="B26" s="161" t="inlineStr">
        <is>
          <t>Experimental investigation on the anti-seepage performance of silty clay modified with hydrophobic nano-Al2O3</t>
        </is>
      </c>
      <c r="C26" s="184" t="inlineStr">
        <is>
          <t>Ground Improvement &amp; Innovation</t>
        </is>
      </c>
      <c r="D26" s="163" t="n">
        <v>4</v>
      </c>
      <c r="E26" s="231" t="inlineStr">
        <is>
          <t>To review</t>
        </is>
      </c>
      <c r="F26" s="167" t="n"/>
      <c r="G26" s="168" t="inlineStr">
        <is>
          <t>Tests a nano-additive that reduces seepage through silty clay, offering a potential low-dose option for liners and cut-off barriers.</t>
        </is>
      </c>
      <c r="H26" s="232" t="inlineStr">
        <is>
          <t>Bulletin of Engineering Geology and the Environment</t>
        </is>
      </c>
      <c r="I26" s="233" t="inlineStr">
        <is>
          <t>Bai R, Ming F et al.</t>
        </is>
      </c>
      <c r="J26" s="234" t="n">
        <v>46323</v>
      </c>
      <c r="K26" s="234" t="n">
        <v>46325</v>
      </c>
      <c r="L26" s="172" t="inlineStr">
        <is>
          <t>clay</t>
        </is>
      </c>
      <c r="M26" s="235" t="inlineStr">
        <is>
          <t>https://doi.org/10.1007/s10064-026-05374-4</t>
        </is>
      </c>
    </row>
    <row r="27" ht="53" customHeight="1">
      <c r="A27" s="160" t="n">
        <v>24</v>
      </c>
      <c r="B27" s="161" t="inlineStr">
        <is>
          <t>Rockburst Prediction via Multi-source Geophysical Signal Fusion Using Automated Machine Learning Approach</t>
        </is>
      </c>
      <c r="C27" s="176" t="inlineStr">
        <is>
          <t>Infrastructure &amp; the Underground City</t>
        </is>
      </c>
      <c r="D27" s="163" t="n">
        <v>4</v>
      </c>
      <c r="E27" s="231" t="inlineStr">
        <is>
          <t>To review</t>
        </is>
      </c>
      <c r="F27" s="167" t="n"/>
      <c r="G27" s="168" t="inlineStr">
        <is>
          <t>Fuses geophysical signals with automated machine learning to predict rockburst, offering a practical early-warning concept for deep mining and tunnels.</t>
        </is>
      </c>
      <c r="H27" s="232" t="inlineStr">
        <is>
          <t>Rock Mechanics and Rock Engineering</t>
        </is>
      </c>
      <c r="I27" s="233" t="inlineStr">
        <is>
          <t>Wang X, Liu X et al.</t>
        </is>
      </c>
      <c r="J27" s="234" t="n">
        <v>46323</v>
      </c>
      <c r="K27" s="234" t="n">
        <v>46325</v>
      </c>
      <c r="L27" s="172" t="n"/>
      <c r="M27" s="235" t="inlineStr">
        <is>
          <t>https://doi.org/10.1007/s00603-026-06108-4</t>
        </is>
      </c>
    </row>
    <row r="28" ht="53" customHeight="1">
      <c r="A28" s="160" t="n">
        <v>25</v>
      </c>
      <c r="B28" s="161" t="inlineStr">
        <is>
          <t>Efficiency of C-band persistent scatterer interferometry for regional landslide monitoring: insights from the Southern Swiss Alps</t>
        </is>
      </c>
      <c r="C28" s="162" t="inlineStr">
        <is>
          <t>Hazards &amp; Resilience</t>
        </is>
      </c>
      <c r="D28" s="163" t="n">
        <v>4</v>
      </c>
      <c r="E28" s="231" t="inlineStr">
        <is>
          <t>To review</t>
        </is>
      </c>
      <c r="F28" s="167" t="n"/>
      <c r="G28" s="168" t="inlineStr">
        <is>
          <t>Assesses how well satellite radar monitoring detects slope movement in alpine terrain, helping engineers decide where it can replace or supplement ground instruments.</t>
        </is>
      </c>
      <c r="H28" s="232" t="inlineStr">
        <is>
          <t>Engineering Geology</t>
        </is>
      </c>
      <c r="I28" s="233" t="inlineStr">
        <is>
          <t>De Pedrini A, Ambrosi C et al.</t>
        </is>
      </c>
      <c r="J28" s="234" t="n">
        <v>46323</v>
      </c>
      <c r="K28" s="234" t="n">
        <v>46324</v>
      </c>
      <c r="L28" s="172" t="inlineStr">
        <is>
          <t>landslide</t>
        </is>
      </c>
      <c r="M28" s="235" t="inlineStr">
        <is>
          <t>https://doi.org/10.1016/j.enggeo.2026.109182</t>
        </is>
      </c>
    </row>
    <row r="29" ht="53" customHeight="1">
      <c r="A29" s="160" t="n">
        <v>26</v>
      </c>
      <c r="B29" s="161" t="inlineStr">
        <is>
          <t>CO2 leakage mitigation in defective wellbores: From permeability–Pressure diagnosis to MICP grouting</t>
        </is>
      </c>
      <c r="C29" s="178" t="inlineStr">
        <is>
          <t>Sustainability &amp; the Energy Transition</t>
        </is>
      </c>
      <c r="D29" s="163" t="n">
        <v>4</v>
      </c>
      <c r="E29" s="231" t="inlineStr">
        <is>
          <t>To review</t>
        </is>
      </c>
      <c r="F29" s="167" t="n"/>
      <c r="G29" s="168" t="inlineStr">
        <is>
          <t>Links wellbore permeability diagnostics to microbially induced grouting, giving practitioners a route to sealing leaky wells for carbon storage.</t>
        </is>
      </c>
      <c r="H29" s="232" t="inlineStr">
        <is>
          <t>Engineering Geology</t>
        </is>
      </c>
      <c r="I29" s="233" t="inlineStr">
        <is>
          <t>Chen H, Wang Y</t>
        </is>
      </c>
      <c r="J29" s="234" t="n">
        <v>46323</v>
      </c>
      <c r="K29" s="234" t="n">
        <v>46324</v>
      </c>
      <c r="L29" s="172" t="inlineStr">
        <is>
          <t>grouting</t>
        </is>
      </c>
      <c r="M29" s="235" t="inlineStr">
        <is>
          <t>https://doi.org/10.1016/j.enggeo.2026.109177</t>
        </is>
      </c>
    </row>
    <row r="30" ht="53" customHeight="1">
      <c r="A30" s="160" t="n">
        <v>27</v>
      </c>
      <c r="B30" s="161" t="inlineStr">
        <is>
          <t>From resilient stiffness to cyclic failure: Multi-regime cyclic behavior of silty clay stabilized with MICP, Lignin Fiber, and Sodium Alginate</t>
        </is>
      </c>
      <c r="C30" s="184" t="inlineStr">
        <is>
          <t>Ground Improvement &amp; Innovation</t>
        </is>
      </c>
      <c r="D30" s="163" t="n">
        <v>4</v>
      </c>
      <c r="E30" s="231" t="inlineStr">
        <is>
          <t>To review</t>
        </is>
      </c>
      <c r="F30" s="167" t="n"/>
      <c r="G30" s="168" t="inlineStr">
        <is>
          <t>Compares MICP, lignin fibre and alginate stabilisation of silty clay under cyclic loading, offering guidance on choosing treatments for pavement subgrades.</t>
        </is>
      </c>
      <c r="H30" s="232" t="inlineStr">
        <is>
          <t>Transportation Geotechnics</t>
        </is>
      </c>
      <c r="I30" s="233" t="inlineStr">
        <is>
          <t>Wei D, Wei H et al.</t>
        </is>
      </c>
      <c r="J30" s="234" t="n">
        <v>46323</v>
      </c>
      <c r="K30" s="234" t="n">
        <v>46324</v>
      </c>
      <c r="L30" s="172" t="inlineStr">
        <is>
          <t>clay</t>
        </is>
      </c>
      <c r="M30" s="235" t="inlineStr">
        <is>
          <t>https://doi.org/10.1016/j.trgeo.2026.102506</t>
        </is>
      </c>
    </row>
    <row r="31" ht="53" customHeight="1">
      <c r="A31" s="160" t="n">
        <v>28</v>
      </c>
      <c r="B31" s="161" t="inlineStr">
        <is>
          <t>Inferring Inter‐Well Fracture Interactions in Unconventional Reservoirs Using Fiber‐Optic Sensing and Coupled Multiphysics Modelling</t>
        </is>
      </c>
      <c r="C31" s="181" t="inlineStr">
        <is>
          <t>Digital Geotechnics</t>
        </is>
      </c>
      <c r="D31" s="163" t="n">
        <v>4</v>
      </c>
      <c r="E31" s="231" t="inlineStr">
        <is>
          <t>To review</t>
        </is>
      </c>
      <c r="F31" s="167" t="n"/>
      <c r="G31" s="168" t="inlineStr">
        <is>
          <t>Shows how fibre-optic DTS and DAS data can be matched with coupled simulations to diagnose inter-well fracture interference in reservoirs, aiding field monitoring interpretation.</t>
        </is>
      </c>
      <c r="H31" s="232" t="inlineStr">
        <is>
          <t>International Journal for Numerical and Analytical Methods in Geomechanics</t>
        </is>
      </c>
      <c r="I31" s="233" t="inlineStr">
        <is>
          <t>Zhong C, Chen J et al.</t>
        </is>
      </c>
      <c r="J31" s="234" t="n">
        <v>46323</v>
      </c>
      <c r="K31" s="234" t="n">
        <v>46324</v>
      </c>
      <c r="L31" s="172" t="n"/>
      <c r="M31" s="235" t="inlineStr">
        <is>
          <t>https://doi.org/10.1002/nag.70467</t>
        </is>
      </c>
    </row>
    <row r="32" ht="53" customHeight="1">
      <c r="A32" s="160" t="n">
        <v>29</v>
      </c>
      <c r="B32" s="161" t="inlineStr">
        <is>
          <t>Stress-dependent resilient response and modeling of crumb-rubber-modified clayey subgrades: Effects of particle size and content</t>
        </is>
      </c>
      <c r="C32" s="178" t="inlineStr">
        <is>
          <t>Sustainability &amp; the Energy Transition</t>
        </is>
      </c>
      <c r="D32" s="163" t="n">
        <v>4</v>
      </c>
      <c r="E32" s="231" t="inlineStr">
        <is>
          <t>To review</t>
        </is>
      </c>
      <c r="F32" s="167" t="n"/>
      <c r="G32" s="168" t="inlineStr">
        <is>
          <t>Resilient modulus data for crumb-rubber-modified clay subgrades with modelling guidance support pavement designers using recycled rubber in weak soils.</t>
        </is>
      </c>
      <c r="H32" s="232" t="inlineStr">
        <is>
          <t>Transportation Geotechnics</t>
        </is>
      </c>
      <c r="I32" s="233" t="inlineStr">
        <is>
          <t>Zeybek A, Tanyıldızı M</t>
        </is>
      </c>
      <c r="J32" s="234" t="n">
        <v>46323</v>
      </c>
      <c r="K32" s="234" t="n">
        <v>46323</v>
      </c>
      <c r="L32" s="172" t="n"/>
      <c r="M32" s="235" t="inlineStr">
        <is>
          <t>https://doi.org/10.1016/j.trgeo.2026.102505</t>
        </is>
      </c>
    </row>
    <row r="33" ht="53" customHeight="1">
      <c r="A33" s="160" t="n">
        <v>30</v>
      </c>
      <c r="B33" s="161" t="inlineStr">
        <is>
          <t>A novel 3D engineering geological zonation method for major transportation corridors in mountainous regions</t>
        </is>
      </c>
      <c r="C33" s="176" t="inlineStr">
        <is>
          <t>Infrastructure &amp; the Underground City</t>
        </is>
      </c>
      <c r="D33" s="163" t="n">
        <v>4</v>
      </c>
      <c r="E33" s="231" t="inlineStr">
        <is>
          <t>To review</t>
        </is>
      </c>
      <c r="F33" s="167" t="n"/>
      <c r="G33" s="168" t="inlineStr">
        <is>
          <t>A three-dimensional zonation method for mountain corridors helps route planners and engineers translate geological variability into practical design zones.</t>
        </is>
      </c>
      <c r="H33" s="232" t="inlineStr">
        <is>
          <t>Transportation Geotechnics</t>
        </is>
      </c>
      <c r="I33" s="233" t="inlineStr">
        <is>
          <t>Zheng B, Li Y et al.</t>
        </is>
      </c>
      <c r="J33" s="234" t="n">
        <v>46323</v>
      </c>
      <c r="K33" s="234" t="n">
        <v>46323</v>
      </c>
      <c r="L33" s="172" t="n"/>
      <c r="M33" s="235" t="inlineStr">
        <is>
          <t>https://doi.org/10.1016/j.trgeo.2026.102507</t>
        </is>
      </c>
    </row>
    <row r="34" ht="53" customHeight="1">
      <c r="A34" s="160" t="n">
        <v>31</v>
      </c>
      <c r="B34" s="161" t="inlineStr">
        <is>
          <t>Vulnerability assessment of hanging-glacier avalanches in Badrinath Township, Central Himalayas, India</t>
        </is>
      </c>
      <c r="C34" s="162" t="inlineStr">
        <is>
          <t>Hazards &amp; Resilience</t>
        </is>
      </c>
      <c r="D34" s="163" t="n">
        <v>4</v>
      </c>
      <c r="E34" s="231" t="inlineStr">
        <is>
          <t>To review</t>
        </is>
      </c>
      <c r="F34" s="167" t="n"/>
      <c r="G34" s="168" t="inlineStr">
        <is>
          <t>A vulnerability assessment method for hanging-glacier avalanches gives planners a usable framework for screening settlements under similar high-mountain threats.</t>
        </is>
      </c>
      <c r="H34" s="232" t="inlineStr">
        <is>
          <t>Landslides</t>
        </is>
      </c>
      <c r="I34" s="233" t="inlineStr">
        <is>
          <t>Gogineni A, Kulkarni AV et al.</t>
        </is>
      </c>
      <c r="J34" s="234" t="n">
        <v>46323</v>
      </c>
      <c r="K34" s="234" t="n">
        <v>46323</v>
      </c>
      <c r="L34" s="172" t="n"/>
      <c r="M34" s="235" t="inlineStr">
        <is>
          <t>https://doi.org/10.1007/s10346-026-02868-w</t>
        </is>
      </c>
    </row>
    <row r="35" ht="53" customHeight="1">
      <c r="A35" s="160" t="n">
        <v>32</v>
      </c>
      <c r="B35" s="161" t="inlineStr">
        <is>
          <t>Reconstruction of the May 2025 long-runout rock-ice avalanche in the Swiss Alps</t>
        </is>
      </c>
      <c r="C35" s="162" t="inlineStr">
        <is>
          <t>Hazards &amp; Resilience</t>
        </is>
      </c>
      <c r="D35" s="163" t="n">
        <v>4</v>
      </c>
      <c r="E35" s="231" t="inlineStr">
        <is>
          <t>To review</t>
        </is>
      </c>
      <c r="F35" s="167" t="n"/>
      <c r="G35" s="168" t="inlineStr">
        <is>
          <t>A detailed reconstruction of a recent long-runout rock-ice avalanche provides case-history evidence for runout modelling and hazard assessment in alpine terrain.</t>
        </is>
      </c>
      <c r="H35" s="232" t="inlineStr">
        <is>
          <t>Journal of Rock Mechanics and Geotechnical Engineering</t>
        </is>
      </c>
      <c r="I35" s="233" t="inlineStr">
        <is>
          <t>Zhang S, Yin Y et al.</t>
        </is>
      </c>
      <c r="J35" s="234" t="n">
        <v>46323</v>
      </c>
      <c r="K35" s="234" t="n">
        <v>46323</v>
      </c>
      <c r="L35" s="172" t="n"/>
      <c r="M35" s="235" t="inlineStr">
        <is>
          <t>https://doi.org/10.1016/j.jrmge.2026.09.010</t>
        </is>
      </c>
    </row>
    <row r="36" ht="53" customHeight="1">
      <c r="A36" s="160" t="n">
        <v>33</v>
      </c>
      <c r="B36" s="161" t="inlineStr">
        <is>
          <t>Field Estimation of UCS for Open-Pit Mine Slopes from Blasting Borehole Drilling Vibrations</t>
        </is>
      </c>
      <c r="C36" s="180" t="inlineStr">
        <is>
          <t>Characterisation &amp; Modelling</t>
        </is>
      </c>
      <c r="D36" s="163" t="n">
        <v>4</v>
      </c>
      <c r="E36" s="231" t="inlineStr">
        <is>
          <t>To review</t>
        </is>
      </c>
      <c r="F36" s="167" t="n"/>
      <c r="G36" s="168" t="inlineStr">
        <is>
          <t>Estimating rock strength from drill-rig vibrations could give mine slope engineers continuous, low-cost strength data during routine production drilling.</t>
        </is>
      </c>
      <c r="H36" s="232" t="inlineStr">
        <is>
          <t>Rock Mechanics and Rock Engineering</t>
        </is>
      </c>
      <c r="I36" s="233" t="inlineStr">
        <is>
          <t>Jia Z, Cheng X et al.</t>
        </is>
      </c>
      <c r="J36" s="234" t="n">
        <v>46322</v>
      </c>
      <c r="K36" s="234" t="n">
        <v>46323</v>
      </c>
      <c r="L36" s="172" t="inlineStr">
        <is>
          <t>slope, borehole</t>
        </is>
      </c>
      <c r="M36" s="235" t="inlineStr">
        <is>
          <t>https://doi.org/10.1007/s00603-026-06083-w</t>
        </is>
      </c>
    </row>
    <row r="37" ht="53" customHeight="1">
      <c r="A37" s="160" t="n">
        <v>34</v>
      </c>
      <c r="B37" s="161" t="inlineStr">
        <is>
          <t>Prediction of soil-pile-interaction in liquefiable ground conditions: from single element calibration to system response</t>
        </is>
      </c>
      <c r="C37" s="162" t="inlineStr">
        <is>
          <t>Hazards &amp; Resilience</t>
        </is>
      </c>
      <c r="D37" s="163" t="n">
        <v>4</v>
      </c>
      <c r="E37" s="231" t="inlineStr">
        <is>
          <t>To review</t>
        </is>
      </c>
      <c r="F37" s="167" t="n"/>
      <c r="G37" s="168" t="inlineStr">
        <is>
          <t>Calibrating soil-pile models from element tests up to full system response gives engineers a clearer route to predicting pile behaviour in liquefying ground.</t>
        </is>
      </c>
      <c r="H37" s="232" t="inlineStr">
        <is>
          <t>Soil Dynamics and Earthquake Engineering</t>
        </is>
      </c>
      <c r="I37" s="233" t="inlineStr">
        <is>
          <t>Möller JK, Kontoe S et al.</t>
        </is>
      </c>
      <c r="J37" s="234" t="n">
        <v>46322</v>
      </c>
      <c r="K37" s="234" t="n">
        <v>46323</v>
      </c>
      <c r="L37" s="172" t="inlineStr">
        <is>
          <t>pile, soil</t>
        </is>
      </c>
      <c r="M37" s="235" t="inlineStr">
        <is>
          <t>https://doi.org/10.1016/j.soildyn.2026.110738</t>
        </is>
      </c>
    </row>
    <row r="38" ht="65.5" customHeight="1">
      <c r="A38" s="160" t="n">
        <v>35</v>
      </c>
      <c r="B38" s="161" t="inlineStr">
        <is>
          <t>Copula/random field/probability density evolution method analysis of pile–slab structures with soil spatial variability</t>
        </is>
      </c>
      <c r="C38" s="180" t="inlineStr">
        <is>
          <t>Characterisation &amp; Modelling</t>
        </is>
      </c>
      <c r="D38" s="163" t="n">
        <v>4</v>
      </c>
      <c r="E38" s="231" t="inlineStr">
        <is>
          <t>To review</t>
        </is>
      </c>
      <c r="F38" s="167" t="n"/>
      <c r="G38" s="168" t="inlineStr">
        <is>
          <t>A practical probabilistic workflow accounting for soil variability and correlation shows how to assess seismic reliability of pile-slab structures more realistically than deterministic checks.</t>
        </is>
      </c>
      <c r="H38" s="232" t="inlineStr">
        <is>
          <t>Proceedings of the Institution of Civil Engineers - Geotechnical Engineering</t>
        </is>
      </c>
      <c r="I38" s="233" t="inlineStr">
        <is>
          <t>Huang L, Zhu M et al.</t>
        </is>
      </c>
      <c r="J38" s="234" t="n">
        <v>46322</v>
      </c>
      <c r="K38" s="234" t="n">
        <v>46323</v>
      </c>
      <c r="L38" s="172" t="inlineStr">
        <is>
          <t>pile, soil</t>
        </is>
      </c>
      <c r="M38" s="235" t="inlineStr">
        <is>
          <t>https://doi.org/10.1680/jgeen.26.00071</t>
        </is>
      </c>
    </row>
    <row r="39" ht="53" customHeight="1">
      <c r="A39" s="160" t="n">
        <v>36</v>
      </c>
      <c r="B39" s="161" t="inlineStr">
        <is>
          <t>Experimental and 3D numerical investigation of uplift capacity and failure transition in bio-inspired inclined root piles</t>
        </is>
      </c>
      <c r="C39" s="184" t="inlineStr">
        <is>
          <t>Ground Improvement &amp; Innovation</t>
        </is>
      </c>
      <c r="D39" s="163" t="n">
        <v>4</v>
      </c>
      <c r="E39" s="231" t="inlineStr">
        <is>
          <t>To review</t>
        </is>
      </c>
      <c r="F39" s="167" t="n"/>
      <c r="G39" s="168" t="inlineStr">
        <is>
          <t>Bio-inspired inclined root piles show higher uplift resistance with test data and failure-mode transitions that engineers can use to size anchoring foundations.</t>
        </is>
      </c>
      <c r="H39" s="232" t="inlineStr">
        <is>
          <t>Transportation Geotechnics</t>
        </is>
      </c>
      <c r="I39" s="233" t="inlineStr">
        <is>
          <t>Sathyapriya S, Jayashree J et al.</t>
        </is>
      </c>
      <c r="J39" s="234" t="n">
        <v>46322</v>
      </c>
      <c r="K39" s="234" t="n">
        <v>46323</v>
      </c>
      <c r="L39" s="172" t="inlineStr">
        <is>
          <t>pile</t>
        </is>
      </c>
      <c r="M39" s="235" t="inlineStr">
        <is>
          <t>https://doi.org/10.1016/j.trgeo.2026.102508</t>
        </is>
      </c>
    </row>
    <row r="40" ht="53" customHeight="1">
      <c r="A40" s="160" t="n">
        <v>37</v>
      </c>
      <c r="B40" s="161" t="inlineStr">
        <is>
          <t>An ahead-of-face geological detection method for drill-and-blast tunnels using signals from consecutive blasting cycles</t>
        </is>
      </c>
      <c r="C40" s="176" t="inlineStr">
        <is>
          <t>Infrastructure &amp; the Underground City</t>
        </is>
      </c>
      <c r="D40" s="163" t="n">
        <v>4</v>
      </c>
      <c r="E40" s="231" t="inlineStr">
        <is>
          <t>To review</t>
        </is>
      </c>
      <c r="F40" s="167" t="n"/>
      <c r="G40" s="168" t="inlineStr">
        <is>
          <t>Using blast signals from successive cycles to detect geology ahead of the face offers a practical way to anticipate ground changes during drill-and-blast tunnelling.</t>
        </is>
      </c>
      <c r="H40" s="232" t="inlineStr">
        <is>
          <t>Underground Space</t>
        </is>
      </c>
      <c r="I40" s="233" t="inlineStr">
        <is>
          <t>Zhang X, Li Y et al.</t>
        </is>
      </c>
      <c r="J40" s="234" t="n">
        <v>46322</v>
      </c>
      <c r="K40" s="234" t="n">
        <v>46323</v>
      </c>
      <c r="L40" s="172" t="inlineStr">
        <is>
          <t>tunnel</t>
        </is>
      </c>
      <c r="M40" s="235" t="inlineStr">
        <is>
          <t>https://doi.org/10.1016/j.undsp.2026.09.007</t>
        </is>
      </c>
    </row>
    <row r="41" ht="53" customHeight="1">
      <c r="A41" s="160" t="n">
        <v>38</v>
      </c>
      <c r="B41" s="161" t="inlineStr">
        <is>
          <t>A stochastic BSMPM-derived causal multi-task U-Net surrogate model for quantitative risk assessment of spatially variable slopes</t>
        </is>
      </c>
      <c r="C41" s="162" t="inlineStr">
        <is>
          <t>Hazards &amp; Resilience</t>
        </is>
      </c>
      <c r="D41" s="163" t="n">
        <v>4</v>
      </c>
      <c r="E41" s="231" t="inlineStr">
        <is>
          <t>To review</t>
        </is>
      </c>
      <c r="F41" s="167" t="n"/>
      <c r="G41" s="168" t="inlineStr">
        <is>
          <t>A fast surrogate model for slope risk across spatially variable soils could make probabilistic risk assessment practical for routine slope portfolios.</t>
        </is>
      </c>
      <c r="H41" s="232" t="inlineStr">
        <is>
          <t>Computers and Geotechnics</t>
        </is>
      </c>
      <c r="I41" s="233" t="inlineStr">
        <is>
          <t>Chen Q, Zhou X et al.</t>
        </is>
      </c>
      <c r="J41" s="234" t="n">
        <v>46322</v>
      </c>
      <c r="K41" s="234" t="n">
        <v>46323</v>
      </c>
      <c r="L41" s="172" t="inlineStr">
        <is>
          <t>slope</t>
        </is>
      </c>
      <c r="M41" s="235" t="inlineStr">
        <is>
          <t>https://doi.org/10.1016/j.compgeo.2026.108752</t>
        </is>
      </c>
    </row>
    <row r="42" ht="53" customHeight="1">
      <c r="A42" s="160" t="n">
        <v>39</v>
      </c>
      <c r="B42" s="161" t="inlineStr">
        <is>
          <t>Effects of Chemical Filling Treatment on the Permeability and Mechanical Properties of Highly Porous Coral Reef Limestone</t>
        </is>
      </c>
      <c r="C42" s="184" t="inlineStr">
        <is>
          <t>Ground Improvement &amp; Innovation</t>
        </is>
      </c>
      <c r="D42" s="163" t="n">
        <v>4</v>
      </c>
      <c r="E42" s="231" t="inlineStr">
        <is>
          <t>To review</t>
        </is>
      </c>
      <c r="F42" s="167" t="n"/>
      <c r="G42" s="168" t="inlineStr">
        <is>
          <t>Chemical filling of porous coral limestone shows measurable permeability and strength changes, a useful reference for grouting treatment of carbonate foundations.</t>
        </is>
      </c>
      <c r="H42" s="232" t="inlineStr">
        <is>
          <t>Rock Mechanics and Rock Engineering</t>
        </is>
      </c>
      <c r="I42" s="233" t="inlineStr">
        <is>
          <t>Ding L, Liu T et al.</t>
        </is>
      </c>
      <c r="J42" s="234" t="n">
        <v>46322</v>
      </c>
      <c r="K42" s="234" t="n">
        <v>46323</v>
      </c>
      <c r="L42" s="172" t="n"/>
      <c r="M42" s="235" t="inlineStr">
        <is>
          <t>https://doi.org/10.1007/s00603-026-06076-9</t>
        </is>
      </c>
    </row>
    <row r="43" ht="53" customHeight="1">
      <c r="A43" s="160" t="n">
        <v>40</v>
      </c>
      <c r="B43" s="161" t="inlineStr">
        <is>
          <t>Experimental Study on Anchorage Performance and Pullout Failure Mechanisms of Rock Bolts Under Biaxial Unequal Confining Pressure</t>
        </is>
      </c>
      <c r="C43" s="176" t="inlineStr">
        <is>
          <t>Infrastructure &amp; the Underground City</t>
        </is>
      </c>
      <c r="D43" s="163" t="n">
        <v>4</v>
      </c>
      <c r="E43" s="231" t="inlineStr">
        <is>
          <t>To review</t>
        </is>
      </c>
      <c r="F43" s="167" t="n"/>
      <c r="G43" s="168" t="inlineStr">
        <is>
          <t>Rock bolt pullout results under unequal confinement reflect real stress conditions better than standard tests, informing support design in anisotropic ground.</t>
        </is>
      </c>
      <c r="H43" s="232" t="inlineStr">
        <is>
          <t>Rock Mechanics and Rock Engineering</t>
        </is>
      </c>
      <c r="I43" s="233" t="inlineStr">
        <is>
          <t>Jiang Y, Li X et al.</t>
        </is>
      </c>
      <c r="J43" s="234" t="n">
        <v>46322</v>
      </c>
      <c r="K43" s="234" t="n">
        <v>46323</v>
      </c>
      <c r="L43" s="172" t="n"/>
      <c r="M43" s="235" t="inlineStr">
        <is>
          <t>https://doi.org/10.1007/s00603-026-06094-7</t>
        </is>
      </c>
    </row>
    <row r="44" ht="53" customHeight="1">
      <c r="A44" s="160" t="n">
        <v>41</v>
      </c>
      <c r="B44" s="161" t="inlineStr">
        <is>
          <t>Mechanical response of a shield tunnel to normal fault displacement considering longitudinal bolt–segment interaction</t>
        </is>
      </c>
      <c r="C44" s="162" t="inlineStr">
        <is>
          <t>Hazards &amp; Resilience</t>
        </is>
      </c>
      <c r="D44" s="163" t="n">
        <v>4</v>
      </c>
      <c r="E44" s="231" t="inlineStr">
        <is>
          <t>To review</t>
        </is>
      </c>
      <c r="F44" s="167" t="n"/>
      <c r="G44" s="168" t="inlineStr">
        <is>
          <t>Shows how shield tunnels respond to fault offset when longitudinal bolts interact with segments, useful for designing tunnels crossing active faults.</t>
        </is>
      </c>
      <c r="H44" s="232" t="inlineStr">
        <is>
          <t>Tunnelling and Underground Space Technology</t>
        </is>
      </c>
      <c r="I44" s="233" t="inlineStr">
        <is>
          <t>Zeng G, Sawamura Y et al.</t>
        </is>
      </c>
      <c r="J44" s="234" t="n">
        <v>46322</v>
      </c>
      <c r="K44" s="234" t="n">
        <v>46322</v>
      </c>
      <c r="L44" s="172" t="inlineStr">
        <is>
          <t>tunnel</t>
        </is>
      </c>
      <c r="M44" s="235" t="inlineStr">
        <is>
          <t>https://doi.org/10.1016/j.tust.2026.108223</t>
        </is>
      </c>
    </row>
    <row r="45" ht="53" customHeight="1">
      <c r="A45" s="160" t="n">
        <v>42</v>
      </c>
      <c r="B45" s="161" t="inlineStr">
        <is>
          <t>A framework for evaluating soil liquefaction and weakening of dam foundation during earthquakes</t>
        </is>
      </c>
      <c r="C45" s="162" t="inlineStr">
        <is>
          <t>Hazards &amp; Resilience</t>
        </is>
      </c>
      <c r="D45" s="163" t="n">
        <v>4</v>
      </c>
      <c r="E45" s="231" t="inlineStr">
        <is>
          <t>To review</t>
        </is>
      </c>
      <c r="F45" s="167" t="n"/>
      <c r="G45" s="168" t="inlineStr">
        <is>
          <t>Offers a framework for judging liquefaction and strength loss in dam foundations during earthquakes, directly useful for seismic safety assessments of existing dams.</t>
        </is>
      </c>
      <c r="H45" s="232" t="inlineStr">
        <is>
          <t>Soil Dynamics and Earthquake Engineering</t>
        </is>
      </c>
      <c r="I45" s="233" t="inlineStr">
        <is>
          <t>Zhou YG, Li YZ et al.</t>
        </is>
      </c>
      <c r="J45" s="234" t="n">
        <v>46321</v>
      </c>
      <c r="K45" s="234" t="n">
        <v>46322</v>
      </c>
      <c r="L45" s="172" t="inlineStr">
        <is>
          <t>liquefaction, foundation, dam, earthquake, soil</t>
        </is>
      </c>
      <c r="M45" s="235" t="inlineStr">
        <is>
          <t>https://doi.org/10.1016/j.soildyn.2026.110781</t>
        </is>
      </c>
    </row>
    <row r="46" ht="53" customHeight="1">
      <c r="A46" s="160" t="n">
        <v>43</v>
      </c>
      <c r="B46" s="161" t="inlineStr">
        <is>
          <t>Shear characteristics and torque prediction of foam-conditioned sand in EPB shield tunneling: Experimental-machine learning approach</t>
        </is>
      </c>
      <c r="C46" s="176" t="inlineStr">
        <is>
          <t>Infrastructure &amp; the Underground City</t>
        </is>
      </c>
      <c r="D46" s="163" t="n">
        <v>4</v>
      </c>
      <c r="E46" s="231" t="inlineStr">
        <is>
          <t>To review</t>
        </is>
      </c>
      <c r="F46" s="167" t="n"/>
      <c r="G46" s="168" t="inlineStr">
        <is>
          <t>Links foam-conditioned sand testing with machine learning torque prediction, helping tunnel teams anticipate cutterhead loads in EPB drives.</t>
        </is>
      </c>
      <c r="H46" s="232" t="inlineStr">
        <is>
          <t>Tunnelling and Underground Space Technology</t>
        </is>
      </c>
      <c r="I46" s="233" t="inlineStr">
        <is>
          <t>Zhou X, Yang J et al.</t>
        </is>
      </c>
      <c r="J46" s="234" t="n">
        <v>46321</v>
      </c>
      <c r="K46" s="234" t="n">
        <v>46322</v>
      </c>
      <c r="L46" s="172" t="inlineStr">
        <is>
          <t>tunneling</t>
        </is>
      </c>
      <c r="M46" s="235" t="inlineStr">
        <is>
          <t>https://doi.org/10.1016/j.tust.2026.108249</t>
        </is>
      </c>
    </row>
    <row r="47" ht="53" customHeight="1">
      <c r="A47" s="160" t="n">
        <v>44</v>
      </c>
      <c r="B47" s="161" t="inlineStr">
        <is>
          <t>Failure mechanisms and damage evolution of cross-fault tunnels under combined sliding and nonlinearly distributed fault displacement</t>
        </is>
      </c>
      <c r="C47" s="162" t="inlineStr">
        <is>
          <t>Hazards &amp; Resilience</t>
        </is>
      </c>
      <c r="D47" s="163" t="n">
        <v>4</v>
      </c>
      <c r="E47" s="231" t="inlineStr">
        <is>
          <t>To review</t>
        </is>
      </c>
      <c r="F47" s="167" t="n"/>
      <c r="G47" s="168" t="inlineStr">
        <is>
          <t>Explains how tunnels crossing faults fail under combined sliding and uneven displacement, supporting practical damage assessment and fault-crossing design.</t>
        </is>
      </c>
      <c r="H47" s="232" t="inlineStr">
        <is>
          <t>Tunnelling and Underground Space Technology</t>
        </is>
      </c>
      <c r="I47" s="233" t="inlineStr">
        <is>
          <t>Liu X, Zhang C et al.</t>
        </is>
      </c>
      <c r="J47" s="234" t="n">
        <v>46321</v>
      </c>
      <c r="K47" s="234" t="n">
        <v>46322</v>
      </c>
      <c r="L47" s="172" t="inlineStr">
        <is>
          <t>tunnel</t>
        </is>
      </c>
      <c r="M47" s="235" t="inlineStr">
        <is>
          <t>https://doi.org/10.1016/j.tust.2026.108251</t>
        </is>
      </c>
    </row>
    <row r="48" ht="53" customHeight="1">
      <c r="A48" s="160" t="n">
        <v>45</v>
      </c>
      <c r="B48" s="161" t="inlineStr">
        <is>
          <t>Damage characteristics of tunnels under different temporal sequences of reverse fault dislocation and intense seismic excitation</t>
        </is>
      </c>
      <c r="C48" s="162" t="inlineStr">
        <is>
          <t>Hazards &amp; Resilience</t>
        </is>
      </c>
      <c r="D48" s="163" t="n">
        <v>4</v>
      </c>
      <c r="E48" s="231" t="inlineStr">
        <is>
          <t>To review</t>
        </is>
      </c>
      <c r="F48" s="167" t="n"/>
      <c r="G48" s="168" t="inlineStr">
        <is>
          <t>Shows that the timing of fault movement relative to strong shaking changes tunnel damage, important for seismic risk assessment of tunnels.</t>
        </is>
      </c>
      <c r="H48" s="232" t="inlineStr">
        <is>
          <t>Soil Dynamics and Earthquake Engineering</t>
        </is>
      </c>
      <c r="I48" s="233" t="inlineStr">
        <is>
          <t>Xu Z, Yu L et al.</t>
        </is>
      </c>
      <c r="J48" s="234" t="n">
        <v>46321</v>
      </c>
      <c r="K48" s="234" t="n">
        <v>46322</v>
      </c>
      <c r="L48" s="172" t="inlineStr">
        <is>
          <t>tunnel</t>
        </is>
      </c>
      <c r="M48" s="235" t="inlineStr">
        <is>
          <t>https://doi.org/10.1016/j.soildyn.2026.110791</t>
        </is>
      </c>
    </row>
    <row r="49" ht="53" customHeight="1">
      <c r="A49" s="160" t="n">
        <v>46</v>
      </c>
      <c r="B49" s="161" t="inlineStr">
        <is>
          <t>Design implications of composite tunnel linings with varying stiffness and thickness in saturated sand: Insights from large-scale 1g shaking table tests</t>
        </is>
      </c>
      <c r="C49" s="162" t="inlineStr">
        <is>
          <t>Hazards &amp; Resilience</t>
        </is>
      </c>
      <c r="D49" s="163" t="n">
        <v>4</v>
      </c>
      <c r="E49" s="231" t="inlineStr">
        <is>
          <t>To review</t>
        </is>
      </c>
      <c r="F49" s="167" t="n"/>
      <c r="G49" s="168" t="inlineStr">
        <is>
          <t>Provides shaking-table evidence on how lining stiffness and thickness affect tunnels in saturated sand, informing seismic lining design choices.</t>
        </is>
      </c>
      <c r="H49" s="232" t="inlineStr">
        <is>
          <t>Soil Dynamics and Earthquake Engineering</t>
        </is>
      </c>
      <c r="I49" s="233" t="inlineStr">
        <is>
          <t>Huang H, Zhang S et al.</t>
        </is>
      </c>
      <c r="J49" s="234" t="n">
        <v>46321</v>
      </c>
      <c r="K49" s="234" t="n">
        <v>46322</v>
      </c>
      <c r="L49" s="172" t="inlineStr">
        <is>
          <t>tunnel</t>
        </is>
      </c>
      <c r="M49" s="235" t="inlineStr">
        <is>
          <t>https://doi.org/10.1016/j.soildyn.2026.110759</t>
        </is>
      </c>
    </row>
    <row r="50" ht="53" customHeight="1">
      <c r="A50" s="160" t="n">
        <v>47</v>
      </c>
      <c r="B50" s="161" t="inlineStr">
        <is>
          <t>Effects of sequential hydration on water retention and shrinkage of cement-stabilized unsaturated soil</t>
        </is>
      </c>
      <c r="C50" s="184" t="inlineStr">
        <is>
          <t>Ground Improvement &amp; Innovation</t>
        </is>
      </c>
      <c r="D50" s="163" t="n">
        <v>4</v>
      </c>
      <c r="E50" s="231" t="inlineStr">
        <is>
          <t>To review</t>
        </is>
      </c>
      <c r="F50" s="167" t="n"/>
      <c r="G50" s="168" t="inlineStr">
        <is>
          <t>Shows how wetting sequence alters water retention and shrinkage in cement-stabilised soils, relevant to specifying and quality-controlling stabilised fills.</t>
        </is>
      </c>
      <c r="H50" s="232" t="inlineStr">
        <is>
          <t>Soils and Foundations</t>
        </is>
      </c>
      <c r="I50" s="233" t="inlineStr">
        <is>
          <t>Tawiah SO, Shi X</t>
        </is>
      </c>
      <c r="J50" s="234" t="n">
        <v>46321</v>
      </c>
      <c r="K50" s="234" t="n">
        <v>46322</v>
      </c>
      <c r="L50" s="172" t="inlineStr">
        <is>
          <t>soil</t>
        </is>
      </c>
      <c r="M50" s="235" t="inlineStr">
        <is>
          <t>https://doi.org/10.1016/j.sandf.2026.101883</t>
        </is>
      </c>
    </row>
    <row r="51" ht="53" customHeight="1">
      <c r="A51" s="160" t="n">
        <v>48</v>
      </c>
      <c r="B51" s="161" t="inlineStr">
        <is>
          <t>One-dimensional compressive deformation behavior and underlying mechanisms of saturated coastal soft clay under vibratory loading</t>
        </is>
      </c>
      <c r="C51" s="185" t="inlineStr">
        <is>
          <t>Offshore, Coasts &amp; Water</t>
        </is>
      </c>
      <c r="D51" s="163" t="n">
        <v>4</v>
      </c>
      <c r="E51" s="231" t="inlineStr">
        <is>
          <t>To review</t>
        </is>
      </c>
      <c r="F51" s="167" t="n"/>
      <c r="G51" s="168" t="inlineStr">
        <is>
          <t>Quantifies compression of coastal soft clay under vibration, directly informing settlement predictions for foundations near ports and waterfronts.</t>
        </is>
      </c>
      <c r="H51" s="232" t="inlineStr">
        <is>
          <t>Soil Dynamics and Earthquake Engineering</t>
        </is>
      </c>
      <c r="I51" s="233" t="inlineStr">
        <is>
          <t>Du C, Xia T, Xia F</t>
        </is>
      </c>
      <c r="J51" s="234" t="n">
        <v>46321</v>
      </c>
      <c r="K51" s="234" t="n">
        <v>46322</v>
      </c>
      <c r="L51" s="172" t="inlineStr">
        <is>
          <t>clay</t>
        </is>
      </c>
      <c r="M51" s="235" t="inlineStr">
        <is>
          <t>https://doi.org/10.1016/j.soildyn.2026.110793</t>
        </is>
      </c>
    </row>
    <row r="52" ht="53" customHeight="1">
      <c r="A52" s="160" t="n">
        <v>49</v>
      </c>
      <c r="B52" s="161" t="inlineStr">
        <is>
          <t>Experimental Study on the Mechanical Properties of Gently Inclined Layered Soft Rock Utilizing 3D Printing Technology</t>
        </is>
      </c>
      <c r="C52" s="180" t="inlineStr">
        <is>
          <t>Characterisation &amp; Modelling</t>
        </is>
      </c>
      <c r="D52" s="163" t="n">
        <v>4</v>
      </c>
      <c r="E52" s="231" t="inlineStr">
        <is>
          <t>To review</t>
        </is>
      </c>
      <c r="F52" s="167" t="n"/>
      <c r="G52" s="168" t="inlineStr">
        <is>
          <t>Uses 3D printed analogue soft rock to reveal how inclined layering controls mechanical behaviour, aiding interpretation of layered rock test data.</t>
        </is>
      </c>
      <c r="H52" s="232" t="inlineStr">
        <is>
          <t>Geomechanics for Energy and the Environment</t>
        </is>
      </c>
      <c r="I52" s="233" t="inlineStr">
        <is>
          <t>Liu Q, Chen S et al.</t>
        </is>
      </c>
      <c r="J52" s="234" t="n">
        <v>46321</v>
      </c>
      <c r="K52" s="234" t="n">
        <v>46322</v>
      </c>
      <c r="L52" s="172" t="n"/>
      <c r="M52" s="235" t="inlineStr">
        <is>
          <t>https://doi.org/10.1016/j.gete.2026.100922</t>
        </is>
      </c>
    </row>
    <row r="53" ht="53" customHeight="1">
      <c r="A53" s="160" t="n">
        <v>50</v>
      </c>
      <c r="B53" s="161" t="inlineStr">
        <is>
          <t>Parameter optimization study on plant–derived enzyme–induced carbonate precipitation method to improve the mechanics and durability of Loess</t>
        </is>
      </c>
      <c r="C53" s="184" t="inlineStr">
        <is>
          <t>Ground Improvement &amp; Innovation</t>
        </is>
      </c>
      <c r="D53" s="163" t="n">
        <v>4</v>
      </c>
      <c r="E53" s="231" t="inlineStr">
        <is>
          <t>To review</t>
        </is>
      </c>
      <c r="F53" s="167" t="n"/>
      <c r="G53" s="168" t="inlineStr">
        <is>
          <t>Optimises a plant-enzyme carbonate precipitation treatment for loess, offering a greener ground improvement option with improved strength and durability.</t>
        </is>
      </c>
      <c r="H53" s="232" t="inlineStr">
        <is>
          <t>Bulletin of Engineering Geology and the Environment</t>
        </is>
      </c>
      <c r="I53" s="233" t="inlineStr">
        <is>
          <t>Wan R, Muneer M et al.</t>
        </is>
      </c>
      <c r="J53" s="234" t="n">
        <v>46321</v>
      </c>
      <c r="K53" s="234" t="n">
        <v>46322</v>
      </c>
      <c r="L53" s="172" t="n"/>
      <c r="M53" s="235" t="inlineStr">
        <is>
          <t>https://doi.org/10.1007/s10064-026-05322-2</t>
        </is>
      </c>
    </row>
    <row r="54" ht="53" customHeight="1">
      <c r="A54" s="160" t="n">
        <v>51</v>
      </c>
      <c r="B54" s="161" t="inlineStr">
        <is>
          <t>Rainfall-Induced Differential Deformation of the Fracture-Cut Roof of Beishan Cave 168: A Flexural-Rotational Interpretation and Response to Negative Poisson’s Ratio Bolting</t>
        </is>
      </c>
      <c r="C54" s="176" t="inlineStr">
        <is>
          <t>Infrastructure &amp; the Underground City</t>
        </is>
      </c>
      <c r="D54" s="163" t="n">
        <v>4</v>
      </c>
      <c r="E54" s="231" t="inlineStr">
        <is>
          <t>To review</t>
        </is>
      </c>
      <c r="F54" s="167" t="n"/>
      <c r="G54" s="168" t="inlineStr">
        <is>
          <t>Explains rainfall-driven roof movement in a cave and tests negative Poisson's ratio bolts, offering practical support lessons for fractured ground.</t>
        </is>
      </c>
      <c r="H54" s="232" t="inlineStr">
        <is>
          <t>Rock Mechanics and Rock Engineering</t>
        </is>
      </c>
      <c r="I54" s="233" t="inlineStr">
        <is>
          <t>Liu S, Yang P et al.</t>
        </is>
      </c>
      <c r="J54" s="234" t="n">
        <v>46321</v>
      </c>
      <c r="K54" s="234" t="n">
        <v>46322</v>
      </c>
      <c r="L54" s="172" t="n"/>
      <c r="M54" s="235" t="inlineStr">
        <is>
          <t>https://doi.org/10.1007/s00603-026-06107-5</t>
        </is>
      </c>
    </row>
    <row r="55" ht="53" customHeight="1">
      <c r="A55" s="160" t="n">
        <v>52</v>
      </c>
      <c r="B55" s="161" t="inlineStr">
        <is>
          <t>Experimental Research and Engineering Practice on the Synergistic Anti-impact Mechanism of Bolt–U-Steel–Backfill Support System in Deep Roadways</t>
        </is>
      </c>
      <c r="C55" s="176" t="inlineStr">
        <is>
          <t>Infrastructure &amp; the Underground City</t>
        </is>
      </c>
      <c r="D55" s="163" t="n">
        <v>4</v>
      </c>
      <c r="E55" s="231" t="inlineStr">
        <is>
          <t>To review</t>
        </is>
      </c>
      <c r="F55" s="167" t="n"/>
      <c r="G55" s="168" t="inlineStr">
        <is>
          <t>Combines experiments and field practice on a bolt, U-steel and backfill system, giving roadway designers evidence for resisting dynamic impacts in deep mines.</t>
        </is>
      </c>
      <c r="H55" s="232" t="inlineStr">
        <is>
          <t>Rock Mechanics and Rock Engineering</t>
        </is>
      </c>
      <c r="I55" s="233" t="inlineStr">
        <is>
          <t>He S, Wu Y et al.</t>
        </is>
      </c>
      <c r="J55" s="234" t="n">
        <v>46321</v>
      </c>
      <c r="K55" s="234" t="n">
        <v>46322</v>
      </c>
      <c r="L55" s="172" t="n"/>
      <c r="M55" s="235" t="inlineStr">
        <is>
          <t>https://doi.org/10.1007/s00603-026-06090-x</t>
        </is>
      </c>
    </row>
    <row r="56" ht="53" customHeight="1">
      <c r="A56" s="160" t="n">
        <v>53</v>
      </c>
      <c r="B56" s="161" t="inlineStr">
        <is>
          <t>Seismic performance assessment of high-speed railway track-bridge system with CFRP-repaired piers under near-fault pulse-like ground motions</t>
        </is>
      </c>
      <c r="C56" s="176" t="inlineStr">
        <is>
          <t>Infrastructure &amp; the Underground City</t>
        </is>
      </c>
      <c r="D56" s="163" t="n">
        <v>4</v>
      </c>
      <c r="E56" s="231" t="inlineStr">
        <is>
          <t>To review</t>
        </is>
      </c>
      <c r="F56" s="167" t="n"/>
      <c r="G56" s="168" t="inlineStr">
        <is>
          <t>Seismic response results for CFRP-repaired bridge piers under pulse-like motions help engineers judge whether repair strategies protect high-speed rail track-bridge systems.</t>
        </is>
      </c>
      <c r="H56" s="232" t="inlineStr">
        <is>
          <t>Soil Dynamics and Earthquake Engineering</t>
        </is>
      </c>
      <c r="I56" s="233" t="inlineStr">
        <is>
          <t>Kang Z, Jiang L, Jiang L</t>
        </is>
      </c>
      <c r="J56" s="234" t="n">
        <v>46321</v>
      </c>
      <c r="K56" s="234" t="n">
        <v>46321</v>
      </c>
      <c r="L56" s="172" t="inlineStr">
        <is>
          <t>railway</t>
        </is>
      </c>
      <c r="M56" s="235" t="inlineStr">
        <is>
          <t>https://doi.org/10.1016/j.soildyn.2026.110792</t>
        </is>
      </c>
    </row>
    <row r="57" ht="53" customHeight="1">
      <c r="A57" s="160" t="n">
        <v>54</v>
      </c>
      <c r="B57" s="161" t="inlineStr">
        <is>
          <t>A modified triaxial test for characterising soil–structure interface behaviour</t>
        </is>
      </c>
      <c r="C57" s="180" t="inlineStr">
        <is>
          <t>Characterisation &amp; Modelling</t>
        </is>
      </c>
      <c r="D57" s="163" t="n">
        <v>4</v>
      </c>
      <c r="E57" s="231" t="inlineStr">
        <is>
          <t>To review</t>
        </is>
      </c>
      <c r="F57" s="167" t="n"/>
      <c r="G57" s="168" t="inlineStr">
        <is>
          <t>A modified triaxial set-up that yields interface friction comparable to direct shear lets labs measure soil-structure interface strength with equipment they already own.</t>
        </is>
      </c>
      <c r="H57" s="232" t="inlineStr">
        <is>
          <t>Acta Geotechnica</t>
        </is>
      </c>
      <c r="I57" s="233" t="inlineStr">
        <is>
          <t>Ho CYR, Khoshghalb A, Khalili N</t>
        </is>
      </c>
      <c r="J57" s="234" t="n">
        <v>46320</v>
      </c>
      <c r="K57" s="234" t="n">
        <v>46321</v>
      </c>
      <c r="L57" s="172" t="inlineStr">
        <is>
          <t>soil</t>
        </is>
      </c>
      <c r="M57" s="235" t="inlineStr">
        <is>
          <t>https://doi.org/10.1007/s11440-026-03248-3</t>
        </is>
      </c>
    </row>
    <row r="58" ht="53" customHeight="1">
      <c r="A58" s="160" t="n">
        <v>55</v>
      </c>
      <c r="B58" s="161" t="inlineStr">
        <is>
          <t>Fine particle migration of gravel-sand mixtures under coupled hydraulic gradient and cyclic loading</t>
        </is>
      </c>
      <c r="C58" s="162" t="inlineStr">
        <is>
          <t>Hazards &amp; Resilience</t>
        </is>
      </c>
      <c r="D58" s="163" t="n">
        <v>4</v>
      </c>
      <c r="E58" s="231" t="inlineStr">
        <is>
          <t>To review</t>
        </is>
      </c>
      <c r="F58" s="167" t="n"/>
      <c r="G58" s="168" t="inlineStr">
        <is>
          <t>Showing how fines wash out of gravel-sand mixtures under combined seepage and cyclic loading flags internal erosion risks for dams, levees and filters that engineers must assess.</t>
        </is>
      </c>
      <c r="H58" s="232" t="inlineStr">
        <is>
          <t>Acta Geotechnica</t>
        </is>
      </c>
      <c r="I58" s="233" t="inlineStr">
        <is>
          <t>Li ZQ, Zhang S et al.</t>
        </is>
      </c>
      <c r="J58" s="234" t="n">
        <v>46320</v>
      </c>
      <c r="K58" s="234" t="n">
        <v>46321</v>
      </c>
      <c r="L58" s="172" t="n"/>
      <c r="M58" s="235" t="inlineStr">
        <is>
          <t>https://doi.org/10.1007/s11440-026-03237-6</t>
        </is>
      </c>
    </row>
    <row r="59" ht="65.5" customHeight="1">
      <c r="A59" s="160" t="n">
        <v>56</v>
      </c>
      <c r="B59" s="161" t="inlineStr">
        <is>
          <t>Secondary Compression of Deep Foundations in Carbonate Soils: An InSAR Study of Sunny Isles, Florida</t>
        </is>
      </c>
      <c r="C59" s="176" t="inlineStr">
        <is>
          <t>Infrastructure &amp; the Underground City</t>
        </is>
      </c>
      <c r="D59" s="163" t="n">
        <v>4</v>
      </c>
      <c r="E59" s="231" t="inlineStr">
        <is>
          <t>To review</t>
        </is>
      </c>
      <c r="F59" s="167" t="n"/>
      <c r="G59" s="168" t="inlineStr">
        <is>
          <t>Six years of InSAR data show building-specific settlements in carbonate soils that continue after construction, so engineers should plan for long-term deformation and monitoring of deep foundations.</t>
        </is>
      </c>
      <c r="H59" s="232" t="inlineStr">
        <is>
          <t>Journal of Geotechnical and Geoenvironmental Engineering</t>
        </is>
      </c>
      <c r="I59" s="233" t="inlineStr">
        <is>
          <t>Bardet JP</t>
        </is>
      </c>
      <c r="J59" s="234" t="n">
        <v>46319</v>
      </c>
      <c r="K59" s="234" t="n">
        <v>46319</v>
      </c>
      <c r="L59" s="172" t="inlineStr">
        <is>
          <t>subsidence, settlement, deep foundation, foundation, pile, soil</t>
        </is>
      </c>
      <c r="M59" s="235" t="inlineStr">
        <is>
          <t>https://doi.org/10.1061/jggefk.gteng-15394</t>
        </is>
      </c>
    </row>
    <row r="60" ht="53" customHeight="1">
      <c r="A60" s="160" t="n">
        <v>57</v>
      </c>
      <c r="B60" s="161" t="inlineStr">
        <is>
          <t>Experimental investigation on deformation behavior of pile-supported embankments with geogrid-tire cells reinforcement</t>
        </is>
      </c>
      <c r="C60" s="184" t="inlineStr">
        <is>
          <t>Ground Improvement &amp; Innovation</t>
        </is>
      </c>
      <c r="D60" s="163" t="n">
        <v>4</v>
      </c>
      <c r="E60" s="231" t="inlineStr">
        <is>
          <t>To review</t>
        </is>
      </c>
      <c r="F60" s="167" t="n"/>
      <c r="G60" s="168" t="inlineStr">
        <is>
          <t>Experimental results on pile-supported embankments with geogrid-tire cells give practical guidance on deformation behaviour and load transfer for low-cost reinforced embankment design.</t>
        </is>
      </c>
      <c r="H60" s="232" t="inlineStr">
        <is>
          <t>Transportation Geotechnics</t>
        </is>
      </c>
      <c r="I60" s="233" t="inlineStr">
        <is>
          <t>Zhang H, Jia Y et al.</t>
        </is>
      </c>
      <c r="J60" s="234" t="n">
        <v>46318</v>
      </c>
      <c r="K60" s="234" t="n">
        <v>46319</v>
      </c>
      <c r="L60" s="172" t="inlineStr">
        <is>
          <t>pile, embankment, geogrid</t>
        </is>
      </c>
      <c r="M60" s="235" t="inlineStr">
        <is>
          <t>https://doi.org/10.1016/j.trgeo.2026.102499</t>
        </is>
      </c>
    </row>
    <row r="61" ht="65.5" customHeight="1">
      <c r="A61" s="160" t="n">
        <v>58</v>
      </c>
      <c r="B61" s="161" t="inlineStr">
        <is>
          <t>Stiffness compatibility in geosynthetic-reinforced column-supported embankment widening over soft ground: numerical insights and a design framework</t>
        </is>
      </c>
      <c r="C61" s="184" t="inlineStr">
        <is>
          <t>Ground Improvement &amp; Innovation</t>
        </is>
      </c>
      <c r="D61" s="163" t="n">
        <v>4</v>
      </c>
      <c r="E61" s="231" t="inlineStr">
        <is>
          <t>To review</t>
        </is>
      </c>
      <c r="F61" s="167" t="n"/>
      <c r="G61" s="168" t="inlineStr">
        <is>
          <t>A stiffness-compatibility design framework for geosynthetic-reinforced column-supported embankment widening addresses differential settlement issues that practitioners face when widening existing embankments.</t>
        </is>
      </c>
      <c r="H61" s="232" t="inlineStr">
        <is>
          <t>Soils and Foundations</t>
        </is>
      </c>
      <c r="I61" s="233" t="inlineStr">
        <is>
          <t>Pham TA</t>
        </is>
      </c>
      <c r="J61" s="234" t="n">
        <v>46317</v>
      </c>
      <c r="K61" s="234" t="n">
        <v>46319</v>
      </c>
      <c r="L61" s="172" t="inlineStr">
        <is>
          <t>embankment, geosynthetic</t>
        </is>
      </c>
      <c r="M61" s="235" t="inlineStr">
        <is>
          <t>https://doi.org/10.1016/j.sandf.2026.101892</t>
        </is>
      </c>
    </row>
    <row r="62" ht="65.5" customHeight="1">
      <c r="A62" s="160" t="n">
        <v>59</v>
      </c>
      <c r="B62" s="161" t="inlineStr">
        <is>
          <t>Extended soil-arching analysis for piled embankments with rectangular pile layouts</t>
        </is>
      </c>
      <c r="C62" s="184" t="inlineStr">
        <is>
          <t>Ground Improvement &amp; Innovation</t>
        </is>
      </c>
      <c r="D62" s="163" t="n">
        <v>4</v>
      </c>
      <c r="E62" s="231" t="inlineStr">
        <is>
          <t>To review</t>
        </is>
      </c>
      <c r="F62" s="167" t="n"/>
      <c r="G62" s="168" t="inlineStr">
        <is>
          <t>Extended soil-arching solutions for rectangular pile layouts, with error quantified against the equivalent-square simplification, give designers a more accurate load-transfer method for piled embankments.</t>
        </is>
      </c>
      <c r="H62" s="232" t="inlineStr">
        <is>
          <t>Proceedings of the Institution of Civil Engineers - Geotechnical Engineering</t>
        </is>
      </c>
      <c r="I62" s="233" t="inlineStr">
        <is>
          <t>He X, Li G et al.</t>
        </is>
      </c>
      <c r="J62" s="234" t="n">
        <v>46316</v>
      </c>
      <c r="K62" s="234" t="n">
        <v>46319</v>
      </c>
      <c r="L62" s="172" t="inlineStr">
        <is>
          <t>pile, embankment, soil</t>
        </is>
      </c>
      <c r="M62" s="235" t="inlineStr">
        <is>
          <t>https://doi.org/10.1680/jgeen.26.00025</t>
        </is>
      </c>
    </row>
    <row r="63" ht="65.5" customHeight="1">
      <c r="A63" s="160" t="n">
        <v>60</v>
      </c>
      <c r="B63" s="161" t="inlineStr">
        <is>
          <t>Development and properties of thixotropic cementitious slurry for ultra-long horizontal directional pre-grouting</t>
        </is>
      </c>
      <c r="C63" s="176" t="inlineStr">
        <is>
          <t>Infrastructure &amp; the Underground City</t>
        </is>
      </c>
      <c r="D63" s="163" t="n">
        <v>4</v>
      </c>
      <c r="E63" s="231" t="inlineStr">
        <is>
          <t>To review</t>
        </is>
      </c>
      <c r="F63" s="167" t="n"/>
      <c r="G63" s="168" t="inlineStr">
        <is>
          <t>A thixotropic cementitious slurry for ultra-long horizontal directional pre-grouting offers a practical grout formulation with properties engineers can specify for long drilled crossings.</t>
        </is>
      </c>
      <c r="H63" s="232" t="inlineStr">
        <is>
          <t>Tunnelling and Underground Space Technology</t>
        </is>
      </c>
      <c r="I63" s="233" t="inlineStr">
        <is>
          <t>Gong J, Xi F et al.</t>
        </is>
      </c>
      <c r="J63" s="234" t="n">
        <v>46316</v>
      </c>
      <c r="K63" s="234" t="n">
        <v>46319</v>
      </c>
      <c r="L63" s="172" t="inlineStr">
        <is>
          <t>grouting</t>
        </is>
      </c>
      <c r="M63" s="235" t="inlineStr">
        <is>
          <t>https://doi.org/10.1016/j.tust.2026.108244</t>
        </is>
      </c>
    </row>
    <row r="64" ht="65.5" customHeight="1">
      <c r="A64" s="160" t="n">
        <v>61</v>
      </c>
      <c r="B64" s="161" t="inlineStr">
        <is>
          <t>Probabilistic State Parameter–Based Liquefaction Triggering Model</t>
        </is>
      </c>
      <c r="C64" s="162" t="inlineStr">
        <is>
          <t>Hazards &amp; Resilience</t>
        </is>
      </c>
      <c r="D64" s="163" t="n">
        <v>4</v>
      </c>
      <c r="E64" s="231" t="inlineStr">
        <is>
          <t>To review</t>
        </is>
      </c>
      <c r="F64" s="167" t="n"/>
      <c r="G64" s="168" t="inlineStr">
        <is>
          <t>A lab-anchored, state-parameter liquefaction triggering model offers an alternative to case-history procedures that can be biased, and it is validated against CPTu data practitioners already use.</t>
        </is>
      </c>
      <c r="H64" s="232" t="inlineStr">
        <is>
          <t>Journal of Geotechnical and Geoenvironmental Engineering</t>
        </is>
      </c>
      <c r="I64" s="233" t="inlineStr">
        <is>
          <t>Reyes P, Montalva G et al.</t>
        </is>
      </c>
      <c r="J64" s="234" t="n">
        <v>46315</v>
      </c>
      <c r="K64" s="234" t="n">
        <v>46319</v>
      </c>
      <c r="L64" s="172" t="inlineStr">
        <is>
          <t>geotechnical, liquefaction, earthquake, soil</t>
        </is>
      </c>
      <c r="M64" s="235" t="inlineStr">
        <is>
          <t>https://doi.org/10.1061/jggefk.gteng-15418</t>
        </is>
      </c>
    </row>
    <row r="65" ht="53" customHeight="1">
      <c r="A65" s="160" t="n">
        <v>62</v>
      </c>
      <c r="B65" s="161" t="inlineStr">
        <is>
          <t>From rockfall to landslide: early warning based on video monitoring in open-pit mines</t>
        </is>
      </c>
      <c r="C65" s="162" t="inlineStr">
        <is>
          <t>Hazards &amp; Resilience</t>
        </is>
      </c>
      <c r="D65" s="163" t="n">
        <v>4</v>
      </c>
      <c r="E65" s="231" t="inlineStr">
        <is>
          <t>To review</t>
        </is>
      </c>
      <c r="F65" s="167" t="n"/>
      <c r="G65" s="168" t="inlineStr">
        <is>
          <t>Video monitoring workflows that link rockfall events to developing landslides give open-pit mine operators a practical early-warning approach they could deploy now.</t>
        </is>
      </c>
      <c r="H65" s="232" t="inlineStr">
        <is>
          <t>Landslides</t>
        </is>
      </c>
      <c r="I65" s="233" t="inlineStr">
        <is>
          <t>Liu F, Deng W et al.</t>
        </is>
      </c>
      <c r="J65" s="234" t="n">
        <v>46315</v>
      </c>
      <c r="K65" s="234" t="n">
        <v>46319</v>
      </c>
      <c r="L65" s="172" t="inlineStr">
        <is>
          <t>landslide, rockfall</t>
        </is>
      </c>
      <c r="M65" s="235" t="inlineStr">
        <is>
          <t>https://doi.org/10.1007/s10346-026-02861-3</t>
        </is>
      </c>
    </row>
    <row r="66" ht="53" customHeight="1">
      <c r="A66" s="160" t="n">
        <v>63</v>
      </c>
      <c r="B66" s="161" t="inlineStr">
        <is>
          <t>Stability analysis of geotextile tube tailings dams under inclined stacking: composite failure mechanism and oblique horizontal slice method</t>
        </is>
      </c>
      <c r="C66" s="178" t="inlineStr">
        <is>
          <t>Sustainability &amp; the Energy Transition</t>
        </is>
      </c>
      <c r="D66" s="163" t="n">
        <v>4</v>
      </c>
      <c r="E66" s="231" t="inlineStr">
        <is>
          <t>To review</t>
        </is>
      </c>
      <c r="F66" s="167" t="n"/>
      <c r="G66" s="168" t="inlineStr">
        <is>
          <t>A composite failure mechanism and slice method for geotextile tube tailings dams under inclined stacking provide a stability check that practitioners can use for tailings management.</t>
        </is>
      </c>
      <c r="H66" s="232" t="inlineStr">
        <is>
          <t>Acta Geotechnica</t>
        </is>
      </c>
      <c r="I66" s="233" t="inlineStr">
        <is>
          <t>Wu Z, Liu X et al.</t>
        </is>
      </c>
      <c r="J66" s="234" t="n">
        <v>46315</v>
      </c>
      <c r="K66" s="234" t="n">
        <v>46319</v>
      </c>
      <c r="L66" s="172" t="inlineStr">
        <is>
          <t>tailings, dam</t>
        </is>
      </c>
      <c r="M66" s="235" t="inlineStr">
        <is>
          <t>https://doi.org/10.1007/s11440-026-03261-6</t>
        </is>
      </c>
    </row>
    <row r="67" ht="53" customHeight="1">
      <c r="A67" s="160" t="n">
        <v>64</v>
      </c>
      <c r="B67" s="161" t="inlineStr">
        <is>
          <t>A unified experimental-numerical assessment of Cable, Pile, and Zone solid rockbolt models in FLAC3D: bond-slip, load transfer, and model selection</t>
        </is>
      </c>
      <c r="C67" s="181" t="inlineStr">
        <is>
          <t>Digital Geotechnics</t>
        </is>
      </c>
      <c r="D67" s="163" t="n">
        <v>4</v>
      </c>
      <c r="E67" s="231" t="inlineStr">
        <is>
          <t>To review</t>
        </is>
      </c>
      <c r="F67" s="167" t="n"/>
      <c r="G67" s="168" t="inlineStr">
        <is>
          <t>A combined experimental and numerical comparison of FLAC3D rockbolt models helps engineers select the appropriate bolt model and calibrate bond-slip parameters for support design.</t>
        </is>
      </c>
      <c r="H67" s="232" t="inlineStr">
        <is>
          <t>Computers and Geotechnics</t>
        </is>
      </c>
      <c r="I67" s="233" t="inlineStr">
        <is>
          <t>Chen J, Ma S, Yuan L</t>
        </is>
      </c>
      <c r="J67" s="234" t="n">
        <v>46315</v>
      </c>
      <c r="K67" s="234" t="n">
        <v>46319</v>
      </c>
      <c r="L67" s="172" t="inlineStr">
        <is>
          <t>pile</t>
        </is>
      </c>
      <c r="M67" s="235" t="inlineStr">
        <is>
          <t>https://doi.org/10.1016/j.compgeo.2026.108759</t>
        </is>
      </c>
    </row>
    <row r="68" ht="53" customHeight="1">
      <c r="A68" s="160" t="n">
        <v>65</v>
      </c>
      <c r="B68" s="161" t="inlineStr">
        <is>
          <t>Integrated seismic and electrical imaging with clustering for the hydro-mechanical screening of a high-altitude earthfill dam</t>
        </is>
      </c>
      <c r="C68" s="180" t="inlineStr">
        <is>
          <t>Characterisation &amp; Modelling</t>
        </is>
      </c>
      <c r="D68" s="163" t="n">
        <v>4</v>
      </c>
      <c r="E68" s="231" t="inlineStr">
        <is>
          <t>To review</t>
        </is>
      </c>
      <c r="F68" s="167" t="n"/>
      <c r="G68" s="168" t="inlineStr">
        <is>
          <t>Integrated seismic and electrical imaging with clustering offers a practical screening approach for assessing hydro-mechanical condition in earthfill dams.</t>
        </is>
      </c>
      <c r="H68" s="232" t="inlineStr">
        <is>
          <t>Engineering Geology</t>
        </is>
      </c>
      <c r="I68" s="233" t="inlineStr">
        <is>
          <t>Strallo V, Colombero C, Godio A</t>
        </is>
      </c>
      <c r="J68" s="234" t="n">
        <v>46315</v>
      </c>
      <c r="K68" s="234" t="n">
        <v>46319</v>
      </c>
      <c r="L68" s="172" t="inlineStr">
        <is>
          <t>dam</t>
        </is>
      </c>
      <c r="M68" s="235" t="inlineStr">
        <is>
          <t>https://doi.org/10.1016/j.enggeo.2026.109161</t>
        </is>
      </c>
    </row>
    <row r="69" ht="53" customHeight="1">
      <c r="A69" s="160" t="n">
        <v>66</v>
      </c>
      <c r="B69" s="161" t="inlineStr">
        <is>
          <t>Geophysical site characterization and scenario-based seismic hazard mapping with slope-based topographic amplification factors: case study of the hilltop Trakošćan castle, Croatia</t>
        </is>
      </c>
      <c r="C69" s="162" t="inlineStr">
        <is>
          <t>Hazards &amp; Resilience</t>
        </is>
      </c>
      <c r="D69" s="163" t="n">
        <v>4</v>
      </c>
      <c r="E69" s="231" t="inlineStr">
        <is>
          <t>To review</t>
        </is>
      </c>
      <c r="F69" s="167" t="n"/>
      <c r="G69" s="168" t="inlineStr">
        <is>
          <t>A case study combining geophysical characterisation with slope-based topographic amplification factors shows a practical workflow for seismic hazard mapping at hilltop sites.</t>
        </is>
      </c>
      <c r="H69" s="232" t="inlineStr">
        <is>
          <t>Engineering Geology</t>
        </is>
      </c>
      <c r="I69" s="233" t="inlineStr">
        <is>
          <t>Stanko D, Korbar T, Markušić S</t>
        </is>
      </c>
      <c r="J69" s="234" t="n">
        <v>46315</v>
      </c>
      <c r="K69" s="234" t="n">
        <v>46319</v>
      </c>
      <c r="L69" s="172" t="inlineStr">
        <is>
          <t>slope</t>
        </is>
      </c>
      <c r="M69" s="235" t="inlineStr">
        <is>
          <t>https://doi.org/10.1016/j.enggeo.2026.109162</t>
        </is>
      </c>
    </row>
    <row r="70" ht="53" customHeight="1">
      <c r="A70" s="160" t="n">
        <v>67</v>
      </c>
      <c r="B70" s="161" t="inlineStr">
        <is>
          <t>Evaluation of cyclic response of local subgrade materials in Thailand conforming to Chinese high-speed rail standard</t>
        </is>
      </c>
      <c r="C70" s="176" t="inlineStr">
        <is>
          <t>Infrastructure &amp; the Underground City</t>
        </is>
      </c>
      <c r="D70" s="163" t="n">
        <v>4</v>
      </c>
      <c r="E70" s="231" t="inlineStr">
        <is>
          <t>To review</t>
        </is>
      </c>
      <c r="F70" s="167" t="n"/>
      <c r="G70" s="168" t="inlineStr">
        <is>
          <t>Cyclic testing of Thai subgrade materials against Chinese high-speed rail standards gives engineers local performance data for railway subgrade design.</t>
        </is>
      </c>
      <c r="H70" s="232" t="inlineStr">
        <is>
          <t>Soil Dynamics and Earthquake Engineering</t>
        </is>
      </c>
      <c r="I70" s="233" t="inlineStr">
        <is>
          <t>Kaewdee N, Suddeepong A et al.</t>
        </is>
      </c>
      <c r="J70" s="234" t="n">
        <v>46315</v>
      </c>
      <c r="K70" s="234" t="n">
        <v>46319</v>
      </c>
      <c r="L70" s="172" t="n"/>
      <c r="M70" s="235" t="inlineStr">
        <is>
          <t>https://doi.org/10.1016/j.soildyn.2026.110756</t>
        </is>
      </c>
    </row>
    <row r="71" ht="53" customHeight="1">
      <c r="A71" s="160" t="n">
        <v>68</v>
      </c>
      <c r="B71" s="161" t="inlineStr">
        <is>
          <t>Unveiling fire disturbance on debris flows through multi-source observation and numerical simulation</t>
        </is>
      </c>
      <c r="C71" s="162" t="inlineStr">
        <is>
          <t>Hazards &amp; Resilience</t>
        </is>
      </c>
      <c r="D71" s="163" t="n">
        <v>3</v>
      </c>
      <c r="E71" s="231" t="inlineStr">
        <is>
          <t>To review</t>
        </is>
      </c>
      <c r="F71" s="167" t="n"/>
      <c r="G71" s="168" t="inlineStr">
        <is>
          <t>Explains how wildfire burns alter debris-flow behaviour, helping engineers in burned catchments anticipate larger or altered flows when assessing hazard and mitigation.</t>
        </is>
      </c>
      <c r="H71" s="232" t="inlineStr">
        <is>
          <t>Engineering Geology</t>
        </is>
      </c>
      <c r="I71" s="233" t="inlineStr">
        <is>
          <t>He K, Hu X et al.</t>
        </is>
      </c>
      <c r="J71" s="234" t="n">
        <v>46326</v>
      </c>
      <c r="K71" s="234" t="n">
        <v>46326</v>
      </c>
      <c r="L71" s="172" t="inlineStr">
        <is>
          <t>debris flow</t>
        </is>
      </c>
      <c r="M71" s="235" t="inlineStr">
        <is>
          <t>https://doi.org/10.1016/j.enggeo.2026.109180</t>
        </is>
      </c>
    </row>
    <row r="72" ht="53" customHeight="1">
      <c r="A72" s="160" t="n">
        <v>69</v>
      </c>
      <c r="B72" s="161" t="inlineStr">
        <is>
          <t>Study on a triaxial damage constitutive model for rock considering freeze–thaw and load effects</t>
        </is>
      </c>
      <c r="C72" s="162" t="inlineStr">
        <is>
          <t>Hazards &amp; Resilience</t>
        </is>
      </c>
      <c r="D72" s="163" t="n">
        <v>3</v>
      </c>
      <c r="E72" s="231" t="inlineStr">
        <is>
          <t>To review</t>
        </is>
      </c>
      <c r="F72" s="167" t="n"/>
      <c r="G72" s="168" t="inlineStr">
        <is>
          <t>A damage model accounting for freeze–thaw and loading can support design of rock slopes and tunnels in cold regions, though calibration to site data is needed.</t>
        </is>
      </c>
      <c r="H72" s="232" t="inlineStr">
        <is>
          <t>Bulletin of Engineering Geology and the Environment</t>
        </is>
      </c>
      <c r="I72" s="233" t="inlineStr">
        <is>
          <t>Zhang Z, Zhu S et al.</t>
        </is>
      </c>
      <c r="J72" s="234" t="n">
        <v>46326</v>
      </c>
      <c r="K72" s="234" t="n">
        <v>46326</v>
      </c>
      <c r="L72" s="172" t="n"/>
      <c r="M72" s="235" t="inlineStr">
        <is>
          <t>https://doi.org/10.1007/s10064-026-05370-8</t>
        </is>
      </c>
    </row>
    <row r="73" ht="53" customHeight="1">
      <c r="A73" s="160" t="n">
        <v>70</v>
      </c>
      <c r="B73" s="161" t="inlineStr">
        <is>
          <t>Interpretable modeling based probabilistic risk assessment and 3D spatial risk field construction of rock mass instability in deep mining</t>
        </is>
      </c>
      <c r="C73" s="176" t="inlineStr">
        <is>
          <t>Infrastructure &amp; the Underground City</t>
        </is>
      </c>
      <c r="D73" s="163" t="n">
        <v>3</v>
      </c>
      <c r="E73" s="231" t="inlineStr">
        <is>
          <t>To review</t>
        </is>
      </c>
      <c r="F73" s="167" t="n"/>
      <c r="G73" s="168" t="inlineStr">
        <is>
          <t>Probabilistic, spatially mapped risk of rock instability in deep mines offers a practical framework for prioritising ground support and monitoring.</t>
        </is>
      </c>
      <c r="H73" s="232" t="inlineStr">
        <is>
          <t>Underground Space</t>
        </is>
      </c>
      <c r="I73" s="233" t="inlineStr">
        <is>
          <t>Yan F, Li G et al.</t>
        </is>
      </c>
      <c r="J73" s="234" t="n">
        <v>46325</v>
      </c>
      <c r="K73" s="234" t="n">
        <v>46326</v>
      </c>
      <c r="L73" s="172" t="n"/>
      <c r="M73" s="235" t="inlineStr">
        <is>
          <t>https://doi.org/10.1016/j.undsp.2026.09.008</t>
        </is>
      </c>
    </row>
    <row r="74" ht="53" customHeight="1">
      <c r="A74" s="160" t="n">
        <v>71</v>
      </c>
      <c r="B74" s="161" t="inlineStr">
        <is>
          <t>Constant shear drained behaviour of tailings predicted by hypoplasticity</t>
        </is>
      </c>
      <c r="C74" s="180" t="inlineStr">
        <is>
          <t>Characterisation &amp; Modelling</t>
        </is>
      </c>
      <c r="D74" s="163" t="n">
        <v>3</v>
      </c>
      <c r="E74" s="231" t="inlineStr">
        <is>
          <t>To review</t>
        </is>
      </c>
      <c r="F74" s="167" t="n"/>
      <c r="G74" s="168" t="inlineStr">
        <is>
          <t>Shows whether hypoplastic models can capture the loading path that triggers liquefaction in tailings, helping engineers judge dam and impoundment stability when water levels rise.</t>
        </is>
      </c>
      <c r="H74" s="232" t="inlineStr">
        <is>
          <t>Géotechnique Letters</t>
        </is>
      </c>
      <c r="I74" s="233" t="inlineStr">
        <is>
          <t>Medicus G, Reid D, Fanni R</t>
        </is>
      </c>
      <c r="J74" s="234" t="n">
        <v>46325</v>
      </c>
      <c r="K74" s="234" t="n">
        <v>46325</v>
      </c>
      <c r="L74" s="172" t="inlineStr">
        <is>
          <t>liquefaction, slope, tailings, dam, clay</t>
        </is>
      </c>
      <c r="M74" s="235" t="inlineStr">
        <is>
          <t>https://doi.org/10.1680/jgele.26.00008</t>
        </is>
      </c>
    </row>
    <row r="75" ht="53" customHeight="1">
      <c r="A75" s="160" t="n">
        <v>72</v>
      </c>
      <c r="B75" s="161" t="inlineStr">
        <is>
          <t>Effect of tailings composition on enzyme-induced carbonate precipitation stabilisation: a baseline study</t>
        </is>
      </c>
      <c r="C75" s="184" t="inlineStr">
        <is>
          <t>Ground Improvement &amp; Innovation</t>
        </is>
      </c>
      <c r="D75" s="163" t="n">
        <v>3</v>
      </c>
      <c r="E75" s="231" t="inlineStr">
        <is>
          <t>To review</t>
        </is>
      </c>
      <c r="F75" s="167" t="n"/>
      <c r="G75" s="168" t="inlineStr">
        <is>
          <t>Identifies which tailings contaminants and flotation chemicals suppress enzyme-based cementation, guiding whether this biological treatment is viable on real tailings.</t>
        </is>
      </c>
      <c r="H75" s="232" t="inlineStr">
        <is>
          <t>Géotechnique</t>
        </is>
      </c>
      <c r="I75" s="233" t="inlineStr">
        <is>
          <t>Ibrahim B, Rahman MM et al.</t>
        </is>
      </c>
      <c r="J75" s="234" t="n">
        <v>46325</v>
      </c>
      <c r="K75" s="234" t="n">
        <v>46325</v>
      </c>
      <c r="L75" s="172" t="inlineStr">
        <is>
          <t>tailings, soil</t>
        </is>
      </c>
      <c r="M75" s="235" t="inlineStr">
        <is>
          <t>https://doi.org/10.1680/jgeot.25.00518</t>
        </is>
      </c>
    </row>
    <row r="76" ht="40.5" customHeight="1">
      <c r="A76" s="160" t="n">
        <v>73</v>
      </c>
      <c r="B76" s="161" t="inlineStr">
        <is>
          <t>Macro and microscale evaluation of shear behaviour and particle breakage in bioclastic carbonate sediments</t>
        </is>
      </c>
      <c r="C76" s="185" t="inlineStr">
        <is>
          <t>Offshore, Coasts &amp; Water</t>
        </is>
      </c>
      <c r="D76" s="163" t="n">
        <v>3</v>
      </c>
      <c r="E76" s="231" t="inlineStr">
        <is>
          <t>To review</t>
        </is>
      </c>
      <c r="F76" s="167" t="n"/>
      <c r="G76" s="168" t="inlineStr">
        <is>
          <t>Links particle crushing to shear strength in carbonate sands, important for foundation design on offshore calcareous soils.</t>
        </is>
      </c>
      <c r="H76" s="232" t="inlineStr">
        <is>
          <t>Transportation Geotechnics</t>
        </is>
      </c>
      <c r="I76" s="233" t="inlineStr">
        <is>
          <t>Yan L, Zhang X et al.</t>
        </is>
      </c>
      <c r="J76" s="234" t="n">
        <v>46325</v>
      </c>
      <c r="K76" s="234" t="n">
        <v>46325</v>
      </c>
      <c r="L76" s="172" t="n"/>
      <c r="M76" s="235" t="inlineStr">
        <is>
          <t>https://doi.org/10.1016/j.trgeo.2026.102486</t>
        </is>
      </c>
    </row>
    <row r="77" ht="53" customHeight="1">
      <c r="A77" s="160" t="n">
        <v>74</v>
      </c>
      <c r="B77" s="161" t="inlineStr">
        <is>
          <t>An RQD-Based Refined Numerical Model and Stability Comprehensive Evaluation Method of Goaf: A Case Study at Alhada Lead–Zinc Mine, Inner Mongolia, China</t>
        </is>
      </c>
      <c r="C77" s="180" t="inlineStr">
        <is>
          <t>Characterisation &amp; Modelling</t>
        </is>
      </c>
      <c r="D77" s="163" t="n">
        <v>3</v>
      </c>
      <c r="E77" s="231" t="inlineStr">
        <is>
          <t>To review</t>
        </is>
      </c>
      <c r="F77" s="167" t="n"/>
      <c r="G77" s="168" t="inlineStr">
        <is>
          <t>Uses rock quality data to build a heterogeneous model for mined-out void stability, showing how variability changes conclusions compared with homogeneous assumptions.</t>
        </is>
      </c>
      <c r="H77" s="232" t="inlineStr">
        <is>
          <t>International Journal of Geomechanics</t>
        </is>
      </c>
      <c r="I77" s="233" t="inlineStr">
        <is>
          <t>Wang Y, Guan K et al.</t>
        </is>
      </c>
      <c r="J77" s="234" t="n">
        <v>46324</v>
      </c>
      <c r="K77" s="234" t="n">
        <v>46325</v>
      </c>
      <c r="L77" s="172" t="inlineStr">
        <is>
          <t>borehole</t>
        </is>
      </c>
      <c r="M77" s="235" t="inlineStr">
        <is>
          <t>https://doi.org/10.1061/ijgnai.gmeng-13791</t>
        </is>
      </c>
    </row>
    <row r="78" ht="40.5" customHeight="1">
      <c r="A78" s="160" t="n">
        <v>75</v>
      </c>
      <c r="B78" s="161" t="inlineStr">
        <is>
          <t>Macroscopic modelling of expansive clay soils</t>
        </is>
      </c>
      <c r="C78" s="180" t="inlineStr">
        <is>
          <t>Characterisation &amp; Modelling</t>
        </is>
      </c>
      <c r="D78" s="163" t="n">
        <v>3</v>
      </c>
      <c r="E78" s="231" t="inlineStr">
        <is>
          <t>To review</t>
        </is>
      </c>
      <c r="F78" s="167" t="n"/>
      <c r="G78" s="168" t="inlineStr">
        <is>
          <t>Proposes a macroscale model for swelling clays that could simplify routine analysis of heave-prone foundations and cuttings.</t>
        </is>
      </c>
      <c r="H78" s="232" t="inlineStr">
        <is>
          <t>Engineering Geology</t>
        </is>
      </c>
      <c r="I78" s="233" t="inlineStr">
        <is>
          <t>Navarro V, López-Vizcaíno R et al.</t>
        </is>
      </c>
      <c r="J78" s="234" t="n">
        <v>46324</v>
      </c>
      <c r="K78" s="234" t="n">
        <v>46325</v>
      </c>
      <c r="L78" s="172" t="inlineStr">
        <is>
          <t>clay, soil</t>
        </is>
      </c>
      <c r="M78" s="235" t="inlineStr">
        <is>
          <t>https://doi.org/10.1016/j.enggeo.2026.109186</t>
        </is>
      </c>
    </row>
    <row r="79" ht="40.5" customHeight="1">
      <c r="A79" s="160" t="n">
        <v>76</v>
      </c>
      <c r="B79" s="161" t="inlineStr">
        <is>
          <t>Strength–stiffness divergence and fracture-inclination effects in frozen green sandstone: implications for surrounding rock stability in cold-region tunnels</t>
        </is>
      </c>
      <c r="C79" s="176" t="inlineStr">
        <is>
          <t>Infrastructure &amp; the Underground City</t>
        </is>
      </c>
      <c r="D79" s="163" t="n">
        <v>3</v>
      </c>
      <c r="E79" s="231" t="inlineStr">
        <is>
          <t>To review</t>
        </is>
      </c>
      <c r="F79" s="167" t="n"/>
      <c r="G79" s="168" t="inlineStr">
        <is>
          <t>Quantifies how freezing alters rock strength and stiffness in cold-region tunnels, informing support design where frost is a concern.</t>
        </is>
      </c>
      <c r="H79" s="232" t="inlineStr">
        <is>
          <t>Transportation Geotechnics</t>
        </is>
      </c>
      <c r="I79" s="233" t="inlineStr">
        <is>
          <t>Zhang P, Wang Q et al.</t>
        </is>
      </c>
      <c r="J79" s="234" t="n">
        <v>46324</v>
      </c>
      <c r="K79" s="234" t="n">
        <v>46325</v>
      </c>
      <c r="L79" s="172" t="inlineStr">
        <is>
          <t>tunnel</t>
        </is>
      </c>
      <c r="M79" s="235" t="inlineStr">
        <is>
          <t>https://doi.org/10.1016/j.trgeo.2026.102510</t>
        </is>
      </c>
    </row>
    <row r="80" ht="40.5" customHeight="1">
      <c r="A80" s="160" t="n">
        <v>77</v>
      </c>
      <c r="B80" s="161" t="inlineStr">
        <is>
          <t>Integrated structural screening of faults for CO₂ storage in the EM field, Bredasdorp Basin</t>
        </is>
      </c>
      <c r="C80" s="178" t="inlineStr">
        <is>
          <t>Sustainability &amp; the Energy Transition</t>
        </is>
      </c>
      <c r="D80" s="163" t="n">
        <v>3</v>
      </c>
      <c r="E80" s="231" t="inlineStr">
        <is>
          <t>To review</t>
        </is>
      </c>
      <c r="F80" s="167" t="n"/>
      <c r="G80" s="168" t="inlineStr">
        <is>
          <t>Ranks fault attributes to show which structures dominate leakage risk, guiding site screening for offshore CO2 storage.</t>
        </is>
      </c>
      <c r="H80" s="232" t="inlineStr">
        <is>
          <t>Bulletin of Engineering Geology and the Environment</t>
        </is>
      </c>
      <c r="I80" s="233" t="inlineStr">
        <is>
          <t>Mbongonya MA, Opuwari M</t>
        </is>
      </c>
      <c r="J80" s="234" t="n">
        <v>46324</v>
      </c>
      <c r="K80" s="234" t="n">
        <v>46325</v>
      </c>
      <c r="L80" s="172" t="n"/>
      <c r="M80" s="235" t="inlineStr">
        <is>
          <t>https://doi.org/10.1007/s10064-026-05356-6</t>
        </is>
      </c>
    </row>
    <row r="81" ht="40.5" customHeight="1">
      <c r="A81" s="160" t="n">
        <v>78</v>
      </c>
      <c r="B81" s="161" t="inlineStr">
        <is>
          <t>Assessing cement–reservoir rock discontinuities: Triaxial shear tests at high confining pressure for CO2 geological storage</t>
        </is>
      </c>
      <c r="C81" s="178" t="inlineStr">
        <is>
          <t>Sustainability &amp; the Energy Transition</t>
        </is>
      </c>
      <c r="D81" s="163" t="n">
        <v>3</v>
      </c>
      <c r="E81" s="231" t="inlineStr">
        <is>
          <t>To review</t>
        </is>
      </c>
      <c r="F81" s="167" t="n"/>
      <c r="G81" s="168" t="inlineStr">
        <is>
          <t>Measures shear strength of cement-rock interfaces at high confining stress, providing data needed to judge well integrity in CO2 storage.</t>
        </is>
      </c>
      <c r="H81" s="232" t="inlineStr">
        <is>
          <t>Geomechanics for Energy and the Environment</t>
        </is>
      </c>
      <c r="I81" s="233" t="inlineStr">
        <is>
          <t>Laskowski C, Casagrande C et al.</t>
        </is>
      </c>
      <c r="J81" s="234" t="n">
        <v>46324</v>
      </c>
      <c r="K81" s="234" t="n">
        <v>46325</v>
      </c>
      <c r="L81" s="172" t="n"/>
      <c r="M81" s="235" t="inlineStr">
        <is>
          <t>https://doi.org/10.1016/j.gete.2026.100916</t>
        </is>
      </c>
    </row>
    <row r="82" ht="40.5" customHeight="1">
      <c r="A82" s="160" t="n">
        <v>79</v>
      </c>
      <c r="B82" s="161" t="inlineStr">
        <is>
          <t>Disintegration Characteristics and Prediction Model for Biopolymer-Modified Sandy Loam</t>
        </is>
      </c>
      <c r="C82" s="184" t="inlineStr">
        <is>
          <t>Ground Improvement &amp; Innovation</t>
        </is>
      </c>
      <c r="D82" s="163" t="n">
        <v>3</v>
      </c>
      <c r="E82" s="231" t="inlineStr">
        <is>
          <t>To review</t>
        </is>
      </c>
      <c r="F82" s="167" t="n"/>
      <c r="G82" s="168" t="inlineStr">
        <is>
          <t>Predicts how biopolymer-treated sandy loam disintegrates, supporting the use of bio-based stabilisers in erosion-prone soils.</t>
        </is>
      </c>
      <c r="H82" s="232" t="inlineStr">
        <is>
          <t>Bulletin of Engineering Geology and the Environment</t>
        </is>
      </c>
      <c r="I82" s="233" t="inlineStr">
        <is>
          <t>Zhang J, Dong K et al.</t>
        </is>
      </c>
      <c r="J82" s="234" t="n">
        <v>46324</v>
      </c>
      <c r="K82" s="234" t="n">
        <v>46325</v>
      </c>
      <c r="L82" s="172" t="n"/>
      <c r="M82" s="235" t="inlineStr">
        <is>
          <t>https://doi.org/10.1007/s10064-026-05375-3</t>
        </is>
      </c>
    </row>
    <row r="83" ht="53" customHeight="1">
      <c r="A83" s="160" t="n">
        <v>80</v>
      </c>
      <c r="B83" s="161" t="inlineStr">
        <is>
          <t>Physics-weighted Bayesian spatiotemporal modeling of landslide susceptibility dynamics and future urban exposure</t>
        </is>
      </c>
      <c r="C83" s="162" t="inlineStr">
        <is>
          <t>Hazards &amp; Resilience</t>
        </is>
      </c>
      <c r="D83" s="163" t="n">
        <v>3</v>
      </c>
      <c r="E83" s="231" t="inlineStr">
        <is>
          <t>To review</t>
        </is>
      </c>
      <c r="F83" s="167" t="n"/>
      <c r="G83" s="168" t="inlineStr">
        <is>
          <t>Offers a spatiotemporal susceptibility framework that planners and engineers can use to anticipate how landslide risk shifts as urban areas expand.</t>
        </is>
      </c>
      <c r="H83" s="232" t="inlineStr">
        <is>
          <t>Engineering Geology</t>
        </is>
      </c>
      <c r="I83" s="233" t="inlineStr">
        <is>
          <t>Zheng X, Chen X et al.</t>
        </is>
      </c>
      <c r="J83" s="234" t="n">
        <v>46323</v>
      </c>
      <c r="K83" s="234" t="n">
        <v>46324</v>
      </c>
      <c r="L83" s="172" t="inlineStr">
        <is>
          <t>landslide</t>
        </is>
      </c>
      <c r="M83" s="235" t="inlineStr">
        <is>
          <t>https://doi.org/10.1016/j.enggeo.2026.109184</t>
        </is>
      </c>
    </row>
    <row r="84" ht="53" customHeight="1">
      <c r="A84" s="160" t="n">
        <v>81</v>
      </c>
      <c r="B84" s="161" t="inlineStr">
        <is>
          <t>Mechanisms of flexural buckling failure in rock slopes under climate-driven episodic river incision</t>
        </is>
      </c>
      <c r="C84" s="162" t="inlineStr">
        <is>
          <t>Hazards &amp; Resilience</t>
        </is>
      </c>
      <c r="D84" s="163" t="n">
        <v>3</v>
      </c>
      <c r="E84" s="231" t="inlineStr">
        <is>
          <t>To review</t>
        </is>
      </c>
      <c r="F84" s="167" t="n"/>
      <c r="G84" s="168" t="inlineStr">
        <is>
          <t>Explains how river incision under changing climate can trigger buckling in rock slopes, informing hazard assessment for valley-side stability.</t>
        </is>
      </c>
      <c r="H84" s="232" t="inlineStr">
        <is>
          <t>Engineering Geology</t>
        </is>
      </c>
      <c r="I84" s="233" t="inlineStr">
        <is>
          <t>Zhang H, Yuan X et al.</t>
        </is>
      </c>
      <c r="J84" s="234" t="n">
        <v>46323</v>
      </c>
      <c r="K84" s="234" t="n">
        <v>46324</v>
      </c>
      <c r="L84" s="172" t="inlineStr">
        <is>
          <t>slope</t>
        </is>
      </c>
      <c r="M84" s="235" t="inlineStr">
        <is>
          <t>https://doi.org/10.1016/j.enggeo.2026.109191</t>
        </is>
      </c>
    </row>
    <row r="85" ht="53" customHeight="1">
      <c r="A85" s="160" t="n">
        <v>82</v>
      </c>
      <c r="B85" s="161" t="inlineStr">
        <is>
          <t>Seismic performance and strengthened-storey optimization of super-tall outrigger buildings using braces with intentional eccentricity</t>
        </is>
      </c>
      <c r="C85" s="162" t="inlineStr">
        <is>
          <t>Hazards &amp; Resilience</t>
        </is>
      </c>
      <c r="D85" s="163" t="n">
        <v>3</v>
      </c>
      <c r="E85" s="231" t="inlineStr">
        <is>
          <t>To review</t>
        </is>
      </c>
      <c r="F85" s="167" t="n"/>
      <c r="G85" s="168" t="inlineStr">
        <is>
          <t>Optimises bracing eccentricity and strengthened storeys for super-tall buildings, offering seismic design guidance relevant to foundation and structural teams.</t>
        </is>
      </c>
      <c r="H85" s="232" t="inlineStr">
        <is>
          <t>Soil Dynamics and Earthquake Engineering</t>
        </is>
      </c>
      <c r="I85" s="233" t="inlineStr">
        <is>
          <t>Zhang J, Amaidia H et al.</t>
        </is>
      </c>
      <c r="J85" s="234" t="n">
        <v>46323</v>
      </c>
      <c r="K85" s="234" t="n">
        <v>46324</v>
      </c>
      <c r="L85" s="172" t="n"/>
      <c r="M85" s="235" t="inlineStr">
        <is>
          <t>https://doi.org/10.1016/j.soildyn.2026.110780</t>
        </is>
      </c>
    </row>
    <row r="86" ht="53" customHeight="1">
      <c r="A86" s="160" t="n">
        <v>83</v>
      </c>
      <c r="B86" s="161" t="inlineStr">
        <is>
          <t>Influence of matrix strength and block content on the mechanical characteristics of block-in-matrix rocks (bimrock)</t>
        </is>
      </c>
      <c r="C86" s="180" t="inlineStr">
        <is>
          <t>Characterisation &amp; Modelling</t>
        </is>
      </c>
      <c r="D86" s="163" t="n">
        <v>3</v>
      </c>
      <c r="E86" s="231" t="inlineStr">
        <is>
          <t>To review</t>
        </is>
      </c>
      <c r="F86" s="167" t="n"/>
      <c r="G86" s="168" t="inlineStr">
        <is>
          <t>Showing how matrix strength and block content control bimrock behaviour helps engineers judge when mélange-type ground can be treated as a homogeneous material.</t>
        </is>
      </c>
      <c r="H86" s="232" t="inlineStr">
        <is>
          <t>Bulletin of Engineering Geology and the Environment</t>
        </is>
      </c>
      <c r="I86" s="233" t="inlineStr">
        <is>
          <t>Liang N, Wei J et al.</t>
        </is>
      </c>
      <c r="J86" s="234" t="n">
        <v>46323</v>
      </c>
      <c r="K86" s="234" t="n">
        <v>46323</v>
      </c>
      <c r="L86" s="172" t="n"/>
      <c r="M86" s="235" t="inlineStr">
        <is>
          <t>https://doi.org/10.1007/s10064-026-05371-7</t>
        </is>
      </c>
    </row>
    <row r="87" ht="65.5" customHeight="1">
      <c r="A87" s="160" t="n">
        <v>84</v>
      </c>
      <c r="B87" s="161" t="inlineStr">
        <is>
          <t>An Innovative Composite Foundation System for Offshore Wind Turbines: A Finite-Element Approach</t>
        </is>
      </c>
      <c r="C87" s="185" t="inlineStr">
        <is>
          <t>Offshore, Coasts &amp; Water</t>
        </is>
      </c>
      <c r="D87" s="163" t="n">
        <v>3</v>
      </c>
      <c r="E87" s="231" t="inlineStr">
        <is>
          <t>To review</t>
        </is>
      </c>
      <c r="F87" s="167" t="n"/>
      <c r="G87" s="168" t="inlineStr">
        <is>
          <t>A shallow plate combined with a smaller monopile offers a potentially cheaper foundation option for deeper-water wind turbines, which designers should evaluate against conventional large monopiles.</t>
        </is>
      </c>
      <c r="H87" s="232" t="inlineStr">
        <is>
          <t>International Journal of Geomechanics</t>
        </is>
      </c>
      <c r="I87" s="233" t="inlineStr">
        <is>
          <t>Alsharedah YA, Newson T et al.</t>
        </is>
      </c>
      <c r="J87" s="234" t="n">
        <v>46322</v>
      </c>
      <c r="K87" s="234" t="n">
        <v>46323</v>
      </c>
      <c r="L87" s="172" t="inlineStr">
        <is>
          <t>foundation, monopile, offshore wind</t>
        </is>
      </c>
      <c r="M87" s="235" t="inlineStr">
        <is>
          <t>https://doi.org/10.1061/ijgnai.gmeng-13807</t>
        </is>
      </c>
    </row>
    <row r="88" ht="53" customHeight="1">
      <c r="A88" s="160" t="n">
        <v>85</v>
      </c>
      <c r="B88" s="161" t="inlineStr">
        <is>
          <t>Liquefaction susceptibility assessment using joint inversion of Rayleigh and love waves: A case study from the Granada Basin (Spain)</t>
        </is>
      </c>
      <c r="C88" s="162" t="inlineStr">
        <is>
          <t>Hazards &amp; Resilience</t>
        </is>
      </c>
      <c r="D88" s="163" t="n">
        <v>3</v>
      </c>
      <c r="E88" s="231" t="inlineStr">
        <is>
          <t>To review</t>
        </is>
      </c>
      <c r="F88" s="167" t="n"/>
      <c r="G88" s="168" t="inlineStr">
        <is>
          <t>Combining surface-wave dispersion types offers a non-invasive way to map liquefaction susceptibility, useful for site screening where boreholes are limited.</t>
        </is>
      </c>
      <c r="H88" s="232" t="inlineStr">
        <is>
          <t>Engineering Geology</t>
        </is>
      </c>
      <c r="I88" s="233" t="inlineStr">
        <is>
          <t>Hellín-Rodríguez JJ, Valverde-Palacios I et al.</t>
        </is>
      </c>
      <c r="J88" s="234" t="n">
        <v>46322</v>
      </c>
      <c r="K88" s="234" t="n">
        <v>46323</v>
      </c>
      <c r="L88" s="172" t="inlineStr">
        <is>
          <t>liquefaction</t>
        </is>
      </c>
      <c r="M88" s="235" t="inlineStr">
        <is>
          <t>https://doi.org/10.1016/j.enggeo.2026.109158</t>
        </is>
      </c>
    </row>
    <row r="89" ht="53" customHeight="1">
      <c r="A89" s="160" t="n">
        <v>86</v>
      </c>
      <c r="B89" s="161" t="inlineStr">
        <is>
          <t>Pull-out interface mechanism of geogrid-reinforced construction and demolition waste</t>
        </is>
      </c>
      <c r="C89" s="178" t="inlineStr">
        <is>
          <t>Sustainability &amp; the Energy Transition</t>
        </is>
      </c>
      <c r="D89" s="163" t="n">
        <v>3</v>
      </c>
      <c r="E89" s="231" t="inlineStr">
        <is>
          <t>To review</t>
        </is>
      </c>
      <c r="F89" s="167" t="n"/>
      <c r="G89" s="168" t="inlineStr">
        <is>
          <t>Simulations of geogrid pull-out in recycled construction waste clarify load transfer, supporting the use of recycled fill in reinforced earth structures.</t>
        </is>
      </c>
      <c r="H89" s="232" t="inlineStr">
        <is>
          <t>Geosynthetics International</t>
        </is>
      </c>
      <c r="I89" s="233" t="inlineStr">
        <is>
          <t>Yang G, Yang C et al.</t>
        </is>
      </c>
      <c r="J89" s="234" t="n">
        <v>46322</v>
      </c>
      <c r="K89" s="234" t="n">
        <v>46323</v>
      </c>
      <c r="L89" s="172" t="inlineStr">
        <is>
          <t>geogrid</t>
        </is>
      </c>
      <c r="M89" s="235" t="inlineStr">
        <is>
          <t>https://doi.org/10.1680/jgein.26.00070</t>
        </is>
      </c>
    </row>
    <row r="90" ht="53" customHeight="1">
      <c r="A90" s="160" t="n">
        <v>87</v>
      </c>
      <c r="B90" s="161" t="inlineStr">
        <is>
          <t>Deformation and failure mechanism of Jinping landslide in Junlian County, Sichuan Province, China: insight into mineral disintegration characteristics</t>
        </is>
      </c>
      <c r="C90" s="162" t="inlineStr">
        <is>
          <t>Hazards &amp; Resilience</t>
        </is>
      </c>
      <c r="D90" s="163" t="n">
        <v>3</v>
      </c>
      <c r="E90" s="231" t="inlineStr">
        <is>
          <t>To review</t>
        </is>
      </c>
      <c r="F90" s="167" t="n"/>
      <c r="G90" s="168" t="inlineStr">
        <is>
          <t>Documenting how weathered rock minerals disintegrate in a landslide helps engineers recognise progressive weakening in similar slopes during investigation.</t>
        </is>
      </c>
      <c r="H90" s="232" t="inlineStr">
        <is>
          <t>Landslides</t>
        </is>
      </c>
      <c r="I90" s="233" t="inlineStr">
        <is>
          <t>Wen T, Cui R et al.</t>
        </is>
      </c>
      <c r="J90" s="234" t="n">
        <v>46322</v>
      </c>
      <c r="K90" s="234" t="n">
        <v>46323</v>
      </c>
      <c r="L90" s="172" t="inlineStr">
        <is>
          <t>landslide</t>
        </is>
      </c>
      <c r="M90" s="235" t="inlineStr">
        <is>
          <t>https://doi.org/10.1007/s10346-026-02870-2</t>
        </is>
      </c>
    </row>
    <row r="91" ht="53" customHeight="1">
      <c r="A91" s="160" t="n">
        <v>88</v>
      </c>
      <c r="B91" s="161" t="inlineStr">
        <is>
          <t>Experimental and Numerical Investigations of Mechanical Properties and Fracture Behaviors in Fluvial‐Lacustrine Sedimentary Rocks Under Uniaxial Compression</t>
        </is>
      </c>
      <c r="C91" s="180" t="inlineStr">
        <is>
          <t>Characterisation &amp; Modelling</t>
        </is>
      </c>
      <c r="D91" s="163" t="n">
        <v>3</v>
      </c>
      <c r="E91" s="231" t="inlineStr">
        <is>
          <t>To review</t>
        </is>
      </c>
      <c r="F91" s="167" t="n"/>
      <c r="G91" s="168" t="inlineStr">
        <is>
          <t>Linking microstructure to strength and fracture in sedimentary rocks helps engineers interpret lab strength data for underground excavations in similar strata.</t>
        </is>
      </c>
      <c r="H91" s="232" t="inlineStr">
        <is>
          <t>International Journal for Numerical and Analytical Methods in Geomechanics</t>
        </is>
      </c>
      <c r="I91" s="233" t="inlineStr">
        <is>
          <t>Meng X, Qiao W et al.</t>
        </is>
      </c>
      <c r="J91" s="234" t="n">
        <v>46322</v>
      </c>
      <c r="K91" s="234" t="n">
        <v>46323</v>
      </c>
      <c r="L91" s="172" t="inlineStr">
        <is>
          <t>clay</t>
        </is>
      </c>
      <c r="M91" s="235" t="inlineStr">
        <is>
          <t>https://doi.org/10.1002/nag.70466</t>
        </is>
      </c>
    </row>
    <row r="92" ht="53" customHeight="1">
      <c r="A92" s="160" t="n">
        <v>89</v>
      </c>
      <c r="B92" s="161" t="inlineStr">
        <is>
          <t>Mechanical Behaviors of Reservoir Sandstone Under Coupled High Temperature and True Triaxial Stress Conditions: A Discrete Element Modeling Study</t>
        </is>
      </c>
      <c r="C92" s="178" t="inlineStr">
        <is>
          <t>Sustainability &amp; the Energy Transition</t>
        </is>
      </c>
      <c r="D92" s="163" t="n">
        <v>3</v>
      </c>
      <c r="E92" s="231" t="inlineStr">
        <is>
          <t>To review</t>
        </is>
      </c>
      <c r="F92" s="167" t="n"/>
      <c r="G92" s="168" t="inlineStr">
        <is>
          <t>Discrete-element results for reservoir sandstone under heat and true triaxial stress inform geothermal design, though the findings remain numerical and need field validation.</t>
        </is>
      </c>
      <c r="H92" s="232" t="inlineStr">
        <is>
          <t>International Journal for Numerical and Analytical Methods in Geomechanics</t>
        </is>
      </c>
      <c r="I92" s="233" t="inlineStr">
        <is>
          <t>Li K, Yang J et al.</t>
        </is>
      </c>
      <c r="J92" s="234" t="n">
        <v>46322</v>
      </c>
      <c r="K92" s="234" t="n">
        <v>46323</v>
      </c>
      <c r="L92" s="172" t="n"/>
      <c r="M92" s="235" t="inlineStr">
        <is>
          <t>https://doi.org/10.1002/nag.70469</t>
        </is>
      </c>
    </row>
    <row r="93" ht="53" customHeight="1">
      <c r="A93" s="160" t="n">
        <v>90</v>
      </c>
      <c r="B93" s="161" t="inlineStr">
        <is>
          <t>Quantitative Assessment of Grain Size Effects on Granite Fracture Characteristics: from Microcracking to Macroscopic Failure</t>
        </is>
      </c>
      <c r="C93" s="180" t="inlineStr">
        <is>
          <t>Characterisation &amp; Modelling</t>
        </is>
      </c>
      <c r="D93" s="163" t="n">
        <v>3</v>
      </c>
      <c r="E93" s="231" t="inlineStr">
        <is>
          <t>To review</t>
        </is>
      </c>
      <c r="F93" s="167" t="n"/>
      <c r="G93" s="168" t="inlineStr">
        <is>
          <t>Quantifying how grain size controls granite fracture links lab observations to macroscopic failure, aiding interpretation of rock strength variability.</t>
        </is>
      </c>
      <c r="H93" s="232" t="inlineStr">
        <is>
          <t>Rock Mechanics and Rock Engineering</t>
        </is>
      </c>
      <c r="I93" s="233" t="inlineStr">
        <is>
          <t>Xue F, Zhou S et al.</t>
        </is>
      </c>
      <c r="J93" s="234" t="n">
        <v>46322</v>
      </c>
      <c r="K93" s="234" t="n">
        <v>46323</v>
      </c>
      <c r="L93" s="172" t="n"/>
      <c r="M93" s="235" t="inlineStr">
        <is>
          <t>https://doi.org/10.1007/s00603-026-06097-4</t>
        </is>
      </c>
    </row>
    <row r="94" ht="53" customHeight="1">
      <c r="A94" s="160" t="n">
        <v>91</v>
      </c>
      <c r="B94" s="161" t="inlineStr">
        <is>
          <t>Constant-Volume Direct Simple Shear Behavior of Reconstituted Natural and Degraded Glauconite Sand</t>
        </is>
      </c>
      <c r="C94" s="180" t="inlineStr">
        <is>
          <t>Characterisation &amp; Modelling</t>
        </is>
      </c>
      <c r="D94" s="163" t="n">
        <v>3</v>
      </c>
      <c r="E94" s="231" t="inlineStr">
        <is>
          <t>To review</t>
        </is>
      </c>
      <c r="F94" s="167" t="n"/>
      <c r="G94" s="168" t="inlineStr">
        <is>
          <t>Reveals how glauconite sands behave under simple shear and as they degrade, a caution for engineers encountering these unusual marine soils on site.</t>
        </is>
      </c>
      <c r="H94" s="232" t="inlineStr">
        <is>
          <t>Journal of Geotechnical and Geoenvironmental Engineering</t>
        </is>
      </c>
      <c r="I94" s="233" t="inlineStr">
        <is>
          <t>Guo D, Van Haren S et al.</t>
        </is>
      </c>
      <c r="J94" s="234" t="n">
        <v>46322</v>
      </c>
      <c r="K94" s="234" t="n">
        <v>46322</v>
      </c>
      <c r="L94" s="172" t="inlineStr">
        <is>
          <t>geotechnical, clay, soil</t>
        </is>
      </c>
      <c r="M94" s="235" t="inlineStr">
        <is>
          <t>https://doi.org/10.1061/jggefk.gteng-15176</t>
        </is>
      </c>
    </row>
    <row r="95" ht="53" customHeight="1">
      <c r="A95" s="160" t="n">
        <v>92</v>
      </c>
      <c r="B95" s="161" t="inlineStr">
        <is>
          <t>SBAS-InSAR-ML Dynamic-static coupling for landslide susceptibility in Xinyuan’s ecologically sensitive mountains</t>
        </is>
      </c>
      <c r="C95" s="162" t="inlineStr">
        <is>
          <t>Hazards &amp; Resilience</t>
        </is>
      </c>
      <c r="D95" s="163" t="n">
        <v>3</v>
      </c>
      <c r="E95" s="231" t="inlineStr">
        <is>
          <t>To review</t>
        </is>
      </c>
      <c r="F95" s="167" t="n"/>
      <c r="G95" s="168" t="inlineStr">
        <is>
          <t>Combines satellite ground-movement data with machine learning to map landslide susceptibility, a practical screening tool for planning in sensitive mountain areas.</t>
        </is>
      </c>
      <c r="H95" s="232" t="inlineStr">
        <is>
          <t>Bulletin of Engineering Geology and the Environment</t>
        </is>
      </c>
      <c r="I95" s="233" t="inlineStr">
        <is>
          <t>Deng W, Fang K</t>
        </is>
      </c>
      <c r="J95" s="234" t="n">
        <v>46322</v>
      </c>
      <c r="K95" s="234" t="n">
        <v>46322</v>
      </c>
      <c r="L95" s="172" t="inlineStr">
        <is>
          <t>landslide</t>
        </is>
      </c>
      <c r="M95" s="235" t="inlineStr">
        <is>
          <t>https://doi.org/10.1007/s10064-026-05365-5</t>
        </is>
      </c>
    </row>
    <row r="96" ht="53" customHeight="1">
      <c r="A96" s="160" t="n">
        <v>93</v>
      </c>
      <c r="B96" s="161" t="inlineStr">
        <is>
          <t>Research on the friction effect and quantitative characterization method during rock analytical drilling</t>
        </is>
      </c>
      <c r="C96" s="180" t="inlineStr">
        <is>
          <t>Characterisation &amp; Modelling</t>
        </is>
      </c>
      <c r="D96" s="163" t="n">
        <v>3</v>
      </c>
      <c r="E96" s="231" t="inlineStr">
        <is>
          <t>To review</t>
        </is>
      </c>
      <c r="F96" s="167" t="n"/>
      <c r="G96" s="168" t="inlineStr">
        <is>
          <t>Quantifies how friction affects rock drilling measurements, which could improve field strength estimates from drilling-based site investigation.</t>
        </is>
      </c>
      <c r="H96" s="232" t="inlineStr">
        <is>
          <t>Bulletin of Engineering Geology and the Environment</t>
        </is>
      </c>
      <c r="I96" s="233" t="inlineStr">
        <is>
          <t>Wang Q, Pang B et al.</t>
        </is>
      </c>
      <c r="J96" s="234" t="n">
        <v>46322</v>
      </c>
      <c r="K96" s="234" t="n">
        <v>46322</v>
      </c>
      <c r="L96" s="172" t="n"/>
      <c r="M96" s="235" t="inlineStr">
        <is>
          <t>https://doi.org/10.1007/s10064-026-05361-9</t>
        </is>
      </c>
    </row>
    <row r="97" ht="53" customHeight="1">
      <c r="A97" s="160" t="n">
        <v>94</v>
      </c>
      <c r="B97" s="161" t="inlineStr">
        <is>
          <t>Effects of blockage location on vorticity distribution, flame characteristics, and ceiling smoke temperature in longitudinally ventilated tunnel spill fires</t>
        </is>
      </c>
      <c r="C97" s="176" t="inlineStr">
        <is>
          <t>Infrastructure &amp; the Underground City</t>
        </is>
      </c>
      <c r="D97" s="163" t="n">
        <v>3</v>
      </c>
      <c r="E97" s="231" t="inlineStr">
        <is>
          <t>To review</t>
        </is>
      </c>
      <c r="F97" s="167" t="n"/>
      <c r="G97" s="168" t="inlineStr">
        <is>
          <t>Clarifies how blockages shift smoke and temperature under tunnel fires, a useful consideration for ventilation and fire-life-safety design.</t>
        </is>
      </c>
      <c r="H97" s="232" t="inlineStr">
        <is>
          <t>Tunnelling and Underground Space Technology</t>
        </is>
      </c>
      <c r="I97" s="233" t="inlineStr">
        <is>
          <t>Hu X, Li J et al.</t>
        </is>
      </c>
      <c r="J97" s="234" t="n">
        <v>46321</v>
      </c>
      <c r="K97" s="234" t="n">
        <v>46322</v>
      </c>
      <c r="L97" s="172" t="inlineStr">
        <is>
          <t>tunnel</t>
        </is>
      </c>
      <c r="M97" s="235" t="inlineStr">
        <is>
          <t>https://doi.org/10.1016/j.tust.2026.108253</t>
        </is>
      </c>
    </row>
    <row r="98" ht="53" customHeight="1">
      <c r="A98" s="160" t="n">
        <v>95</v>
      </c>
      <c r="B98" s="161" t="inlineStr">
        <is>
          <t>Thermal Impacts on Induced Hydraulic Fracture Propagation in Complex Carbonate Reservoirs</t>
        </is>
      </c>
      <c r="C98" s="178" t="inlineStr">
        <is>
          <t>Sustainability &amp; the Energy Transition</t>
        </is>
      </c>
      <c r="D98" s="163" t="n">
        <v>3</v>
      </c>
      <c r="E98" s="231" t="inlineStr">
        <is>
          <t>To review</t>
        </is>
      </c>
      <c r="F98" s="167" t="n"/>
      <c r="G98" s="168" t="inlineStr">
        <is>
          <t>Models how cold water injection alters hydraulic fracture growth in hot carbonates, relevant to geothermal and deep reservoir stimulation planning.</t>
        </is>
      </c>
      <c r="H98" s="232" t="inlineStr">
        <is>
          <t>Rock Mechanics and Rock Engineering</t>
        </is>
      </c>
      <c r="I98" s="233" t="inlineStr">
        <is>
          <t>Rueda J, Mejia C et al.</t>
        </is>
      </c>
      <c r="J98" s="234" t="n">
        <v>46321</v>
      </c>
      <c r="K98" s="234" t="n">
        <v>46322</v>
      </c>
      <c r="L98" s="172" t="n"/>
      <c r="M98" s="235" t="inlineStr">
        <is>
          <t>https://doi.org/10.1007/s00603-026-06036-3</t>
        </is>
      </c>
    </row>
    <row r="99" ht="53" customHeight="1">
      <c r="A99" s="160" t="n">
        <v>96</v>
      </c>
      <c r="B99" s="161" t="inlineStr">
        <is>
          <t>Gob Side Entry Retaining in Pillarless Mining: A Comprehensive Review and Research Agenda for Intelligent Rock Parameter Inversion and Hybrid Machine Learning Support Optimization</t>
        </is>
      </c>
      <c r="C99" s="176" t="inlineStr">
        <is>
          <t>Infrastructure &amp; the Underground City</t>
        </is>
      </c>
      <c r="D99" s="163" t="n">
        <v>3</v>
      </c>
      <c r="E99" s="231" t="inlineStr">
        <is>
          <t>To review</t>
        </is>
      </c>
      <c r="F99" s="167" t="n"/>
      <c r="G99" s="168" t="inlineStr">
        <is>
          <t>Reviews gob-side entry retaining and proposes machine-learning rock parameter inversion, offering a research agenda for pillarless mining support design.</t>
        </is>
      </c>
      <c r="H99" s="232" t="inlineStr">
        <is>
          <t>Rock Mechanics and Rock Engineering</t>
        </is>
      </c>
      <c r="I99" s="233" t="inlineStr">
        <is>
          <t>Hong L, Hongqiang T et al.</t>
        </is>
      </c>
      <c r="J99" s="234" t="n">
        <v>46321</v>
      </c>
      <c r="K99" s="234" t="n">
        <v>46322</v>
      </c>
      <c r="L99" s="172" t="n"/>
      <c r="M99" s="235" t="inlineStr">
        <is>
          <t>https://doi.org/10.1007/s00603-026-06050-5</t>
        </is>
      </c>
    </row>
    <row r="100" ht="53" customHeight="1">
      <c r="A100" s="160" t="n">
        <v>97</v>
      </c>
      <c r="B100" s="161" t="inlineStr">
        <is>
          <t>Data-driven approach for stability analysis of river embankments in Bengkulu City, Indonesia</t>
        </is>
      </c>
      <c r="C100" s="162" t="inlineStr">
        <is>
          <t>Hazards &amp; Resilience</t>
        </is>
      </c>
      <c r="D100" s="163" t="n">
        <v>3</v>
      </c>
      <c r="E100" s="231" t="inlineStr">
        <is>
          <t>To review</t>
        </is>
      </c>
      <c r="F100" s="167" t="n"/>
      <c r="G100" s="168" t="inlineStr">
        <is>
          <t>A data-driven stability tool for river embankments could give practitioners a quicker screening method for flood-prone levees, provided it is validated against local failure records.</t>
        </is>
      </c>
      <c r="H100" s="232" t="inlineStr">
        <is>
          <t>Bulletin of Engineering Geology and the Environment</t>
        </is>
      </c>
      <c r="I100" s="233" t="inlineStr">
        <is>
          <t>Apriadi AA, Mase LZ et al.</t>
        </is>
      </c>
      <c r="J100" s="234" t="n">
        <v>46321</v>
      </c>
      <c r="K100" s="234" t="n">
        <v>46321</v>
      </c>
      <c r="L100" s="172" t="inlineStr">
        <is>
          <t>embankment</t>
        </is>
      </c>
      <c r="M100" s="235" t="inlineStr">
        <is>
          <t>https://doi.org/10.1007/s10064-026-05359-3</t>
        </is>
      </c>
    </row>
    <row r="101" ht="65.5" customHeight="1">
      <c r="A101" s="160" t="n">
        <v>98</v>
      </c>
      <c r="B101" s="161" t="inlineStr">
        <is>
          <t>Origin, General Definition, and Implications of Cryosuction in Frozen Soil</t>
        </is>
      </c>
      <c r="C101" s="178" t="inlineStr">
        <is>
          <t>Sustainability &amp; the Energy Transition</t>
        </is>
      </c>
      <c r="D101" s="163" t="n">
        <v>3</v>
      </c>
      <c r="E101" s="231" t="inlineStr">
        <is>
          <t>To review</t>
        </is>
      </c>
      <c r="F101" s="167" t="n"/>
      <c r="G101" s="168" t="inlineStr">
        <is>
          <t>Explaining cryosuction thermodynamically clarifies moisture migration and frost heave mechanisms, which helps engineers judge ice lens risk in cold-region foundations and cut-off design.</t>
        </is>
      </c>
      <c r="H101" s="232" t="inlineStr">
        <is>
          <t>Journal of Geotechnical and Geoenvironmental Engineering</t>
        </is>
      </c>
      <c r="I101" s="233" t="inlineStr">
        <is>
          <t>Gou L, Likos WJ et al.</t>
        </is>
      </c>
      <c r="J101" s="234" t="n">
        <v>46321</v>
      </c>
      <c r="K101" s="234" t="n">
        <v>46321</v>
      </c>
      <c r="L101" s="172" t="inlineStr">
        <is>
          <t>soil</t>
        </is>
      </c>
      <c r="M101" s="235" t="inlineStr">
        <is>
          <t>https://doi.org/10.1061/jggefk.gteng-15318</t>
        </is>
      </c>
    </row>
    <row r="102" ht="53" customHeight="1">
      <c r="A102" s="160" t="n">
        <v>99</v>
      </c>
      <c r="B102" s="161" t="inlineStr">
        <is>
          <t>Eco-friendly urease-independent MICP through bio-stimulation of indigenous soil microorganisms for soil strength improvement: Potential involvement of carbonic anhydrase-associated processes</t>
        </is>
      </c>
      <c r="C102" s="184" t="inlineStr">
        <is>
          <t>Ground Improvement &amp; Innovation</t>
        </is>
      </c>
      <c r="D102" s="163" t="n">
        <v>3</v>
      </c>
      <c r="E102" s="231" t="inlineStr">
        <is>
          <t>To review</t>
        </is>
      </c>
      <c r="F102" s="167" t="n"/>
      <c r="G102" s="168" t="inlineStr">
        <is>
          <t>Stimulating native microbes to cement soil without added urease could make biological ground improvement more acceptable and easier to permit on real sites.</t>
        </is>
      </c>
      <c r="H102" s="232" t="inlineStr">
        <is>
          <t>Bulletin of Engineering Geology and the Environment</t>
        </is>
      </c>
      <c r="I102" s="233" t="inlineStr">
        <is>
          <t>Oulapour M, Ghezelbash GR, Rabeiazadeh M</t>
        </is>
      </c>
      <c r="J102" s="234" t="n">
        <v>46321</v>
      </c>
      <c r="K102" s="234" t="n">
        <v>46321</v>
      </c>
      <c r="L102" s="172" t="inlineStr">
        <is>
          <t>soil</t>
        </is>
      </c>
      <c r="M102" s="235" t="inlineStr">
        <is>
          <t>https://doi.org/10.1007/s10064-026-05357-5</t>
        </is>
      </c>
    </row>
    <row r="103" ht="53" customHeight="1">
      <c r="A103" s="160" t="n">
        <v>100</v>
      </c>
      <c r="B103" s="161" t="inlineStr">
        <is>
          <t>Surrogate models for forward simulation and inverse parameter identification using numerical cone penetration test data</t>
        </is>
      </c>
      <c r="C103" s="181" t="inlineStr">
        <is>
          <t>Digital Geotechnics</t>
        </is>
      </c>
      <c r="D103" s="163" t="n">
        <v>3</v>
      </c>
      <c r="E103" s="231" t="inlineStr">
        <is>
          <t>To review</t>
        </is>
      </c>
      <c r="F103" s="167" t="n"/>
      <c r="G103" s="168" t="inlineStr">
        <is>
          <t>Trained surrogate models can invert CPT data for soil parameters in seconds, offering a fast route to calibrating site-specific models from penetration records.</t>
        </is>
      </c>
      <c r="H103" s="232" t="inlineStr">
        <is>
          <t>Computers and Geotechnics</t>
        </is>
      </c>
      <c r="I103" s="233" t="inlineStr">
        <is>
          <t>Felić H, Wijaya AE et al.</t>
        </is>
      </c>
      <c r="J103" s="234" t="n">
        <v>46320</v>
      </c>
      <c r="K103" s="234" t="n">
        <v>46321</v>
      </c>
      <c r="L103" s="172" t="inlineStr">
        <is>
          <t>cone penetration</t>
        </is>
      </c>
      <c r="M103" s="235" t="inlineStr">
        <is>
          <t>https://doi.org/10.1016/j.compgeo.2026.108749</t>
        </is>
      </c>
    </row>
    <row r="104" ht="53" customHeight="1">
      <c r="A104" s="160" t="n">
        <v>101</v>
      </c>
      <c r="B104" s="161" t="inlineStr">
        <is>
          <t>Temperature-dependent swelling and compressibility behavior of microfiber-reinforced bentonite</t>
        </is>
      </c>
      <c r="C104" s="178" t="inlineStr">
        <is>
          <t>Sustainability &amp; the Energy Transition</t>
        </is>
      </c>
      <c r="D104" s="163" t="n">
        <v>3</v>
      </c>
      <c r="E104" s="231" t="inlineStr">
        <is>
          <t>To review</t>
        </is>
      </c>
      <c r="F104" s="167" t="n"/>
      <c r="G104" s="168" t="inlineStr">
        <is>
          <t>Data on how fibre-reinforced bentonite swells and compresses at elevated temperature informs buffer design for geological repositories where heat loads are significant.</t>
        </is>
      </c>
      <c r="H104" s="232" t="inlineStr">
        <is>
          <t>Acta Geotechnica</t>
        </is>
      </c>
      <c r="I104" s="233" t="inlineStr">
        <is>
          <t>Calaunan JMFV, Feng Y et al.</t>
        </is>
      </c>
      <c r="J104" s="234" t="n">
        <v>46320</v>
      </c>
      <c r="K104" s="234" t="n">
        <v>46321</v>
      </c>
      <c r="L104" s="172" t="n"/>
      <c r="M104" s="235" t="inlineStr">
        <is>
          <t>https://doi.org/10.1007/s11440-026-03269-y</t>
        </is>
      </c>
    </row>
    <row r="105" ht="65.5" customHeight="1">
      <c r="A105" s="160" t="n">
        <v>102</v>
      </c>
      <c r="B105" s="161" t="inlineStr">
        <is>
          <t>Energy-based machine learning models for predicting soil liquefaction potential</t>
        </is>
      </c>
      <c r="C105" s="162" t="inlineStr">
        <is>
          <t>Hazards &amp; Resilience</t>
        </is>
      </c>
      <c r="D105" s="163" t="n">
        <v>3</v>
      </c>
      <c r="E105" s="231" t="inlineStr">
        <is>
          <t>To review</t>
        </is>
      </c>
      <c r="F105" s="167" t="n"/>
      <c r="G105" s="168" t="inlineStr">
        <is>
          <t>Machine learning models trained on energy-based parameters could offer a quicker screening tool for liquefaction potential, though engineers should validate them against local case histories before relying on them.</t>
        </is>
      </c>
      <c r="H105" s="232" t="inlineStr">
        <is>
          <t>Computers and Geotechnics</t>
        </is>
      </c>
      <c r="I105" s="233" t="inlineStr">
        <is>
          <t>Zheng S, Xue X</t>
        </is>
      </c>
      <c r="J105" s="234" t="n">
        <v>46320</v>
      </c>
      <c r="K105" s="234" t="n">
        <v>46320</v>
      </c>
      <c r="L105" s="172" t="inlineStr">
        <is>
          <t>liquefaction, soil</t>
        </is>
      </c>
      <c r="M105" s="235" t="inlineStr">
        <is>
          <t>https://doi.org/10.1016/j.compgeo.2026.108768</t>
        </is>
      </c>
    </row>
    <row r="106" ht="65.5" customHeight="1">
      <c r="A106" s="160" t="n">
        <v>103</v>
      </c>
      <c r="B106" s="161" t="inlineStr">
        <is>
          <t>Particle-scale insights into sand deformation during open-ended pile installation using DIC and X-ray CT</t>
        </is>
      </c>
      <c r="C106" s="180" t="inlineStr">
        <is>
          <t>Characterisation &amp; Modelling</t>
        </is>
      </c>
      <c r="D106" s="163" t="n">
        <v>3</v>
      </c>
      <c r="E106" s="231" t="inlineStr">
        <is>
          <t>To review</t>
        </is>
      </c>
      <c r="F106" s="167" t="n"/>
      <c r="G106" s="168" t="inlineStr">
        <is>
          <t>Particle-scale imaging of sand around open-ended piles clarifies plugging and displacement mechanisms, offering evidence to refine installation and capacity design assumptions for pile engineers.</t>
        </is>
      </c>
      <c r="H106" s="232" t="inlineStr">
        <is>
          <t>Géotechnique</t>
        </is>
      </c>
      <c r="I106" s="233" t="inlineStr">
        <is>
          <t>Fridman DG, Stamati O et al.</t>
        </is>
      </c>
      <c r="J106" s="234" t="n">
        <v>46319</v>
      </c>
      <c r="K106" s="234" t="n">
        <v>46320</v>
      </c>
      <c r="L106" s="172" t="inlineStr">
        <is>
          <t>pile</t>
        </is>
      </c>
      <c r="M106" s="235" t="inlineStr">
        <is>
          <t>https://doi.org/10.1680/jgeot.25.00605</t>
        </is>
      </c>
    </row>
    <row r="107" ht="78" customHeight="1">
      <c r="A107" s="160" t="n">
        <v>104</v>
      </c>
      <c r="B107" s="161" t="inlineStr">
        <is>
          <t>Shaking table test of high-speed railway bridges with novel variable friction pendulum bearings</t>
        </is>
      </c>
      <c r="C107" s="162" t="inlineStr">
        <is>
          <t>Hazards &amp; Resilience</t>
        </is>
      </c>
      <c r="D107" s="163" t="n">
        <v>3</v>
      </c>
      <c r="E107" s="231" t="inlineStr">
        <is>
          <t>To review</t>
        </is>
      </c>
      <c r="F107" s="167" t="n"/>
      <c r="G107" s="168" t="inlineStr">
        <is>
          <t>Shaking table results for novel variable friction pendulum bearings on high-speed rail bridges give engineers tested seismic isolation performance data relevant to specifying bearings and foundation-structure interaction in earthquake regions.</t>
        </is>
      </c>
      <c r="H107" s="232" t="inlineStr">
        <is>
          <t>Soil Dynamics and Earthquake Engineering</t>
        </is>
      </c>
      <c r="I107" s="233" t="inlineStr">
        <is>
          <t>Xia X, Yang Z, Huang Y</t>
        </is>
      </c>
      <c r="J107" s="234" t="n">
        <v>46319</v>
      </c>
      <c r="K107" s="234" t="n">
        <v>46320</v>
      </c>
      <c r="L107" s="172" t="inlineStr">
        <is>
          <t>railway</t>
        </is>
      </c>
      <c r="M107" s="235" t="inlineStr">
        <is>
          <t>https://doi.org/10.1016/j.soildyn.2026.110782</t>
        </is>
      </c>
    </row>
    <row r="108" ht="53" customHeight="1">
      <c r="A108" s="160" t="n">
        <v>105</v>
      </c>
      <c r="B108" s="161" t="inlineStr">
        <is>
          <t>Influence of Fabric and Drying Shrinkage on Heat Transfer in Unsaturated Soils: Experimental and Microscale Numerical Study</t>
        </is>
      </c>
      <c r="C108" s="178" t="inlineStr">
        <is>
          <t>Sustainability &amp; the Energy Transition</t>
        </is>
      </c>
      <c r="D108" s="163" t="n">
        <v>3</v>
      </c>
      <c r="E108" s="231" t="inlineStr">
        <is>
          <t>To review</t>
        </is>
      </c>
      <c r="F108" s="167" t="n"/>
      <c r="G108" s="168" t="inlineStr">
        <is>
          <t>Findings on how fabric and drying shrinkage alter thermal conductivity help engineers of energy geostructures better estimate heat transfer in unsaturated soils.</t>
        </is>
      </c>
      <c r="H108" s="232" t="inlineStr">
        <is>
          <t>Journal of Geotechnical and Geoenvironmental Engineering</t>
        </is>
      </c>
      <c r="I108" s="233" t="inlineStr">
        <is>
          <t>Chen K, Liu K et al.</t>
        </is>
      </c>
      <c r="J108" s="234" t="n">
        <v>46318</v>
      </c>
      <c r="K108" s="234" t="n">
        <v>46319</v>
      </c>
      <c r="L108" s="172" t="inlineStr">
        <is>
          <t>clay, soil</t>
        </is>
      </c>
      <c r="M108" s="235" t="inlineStr">
        <is>
          <t>https://doi.org/10.1061/jggefk.gteng-15142</t>
        </is>
      </c>
    </row>
    <row r="109" ht="53" customHeight="1">
      <c r="A109" s="160" t="n">
        <v>106</v>
      </c>
      <c r="B109" s="161" t="inlineStr">
        <is>
          <t>Impact of spatial soil variability on landslide susceptibility using 3D probabilistic slope stability analysis</t>
        </is>
      </c>
      <c r="C109" s="162" t="inlineStr">
        <is>
          <t>Hazards &amp; Resilience</t>
        </is>
      </c>
      <c r="D109" s="163" t="n">
        <v>3</v>
      </c>
      <c r="E109" s="231" t="inlineStr">
        <is>
          <t>To review</t>
        </is>
      </c>
      <c r="F109" s="167" t="n"/>
      <c r="G109" s="168" t="inlineStr">
        <is>
          <t>3D probabilistic slope analysis shows how spatial soil variability changes landslide susceptibility, helping engineers judge when simple deterministic factors of safety are misleading.</t>
        </is>
      </c>
      <c r="H109" s="232" t="inlineStr">
        <is>
          <t>Georisk: Assessment and Management of Risk for Engineered Systems and Geohazards</t>
        </is>
      </c>
      <c r="I109" s="233" t="inlineStr">
        <is>
          <t>Oguz EA, Lacasse S</t>
        </is>
      </c>
      <c r="J109" s="234" t="n">
        <v>46317</v>
      </c>
      <c r="K109" s="234" t="n">
        <v>46319</v>
      </c>
      <c r="L109" s="172" t="inlineStr">
        <is>
          <t>landslide, slope stability, slope, soil</t>
        </is>
      </c>
      <c r="M109" s="235" t="inlineStr">
        <is>
          <t>https://doi.org/10.1080/17499518.2026.2750358</t>
        </is>
      </c>
    </row>
    <row r="110" ht="53" customHeight="1">
      <c r="A110" s="160" t="n">
        <v>107</v>
      </c>
      <c r="B110" s="161" t="inlineStr">
        <is>
          <t>Progressive soil collapse and tunnel-system response in an underground complex under varying excavation configurations</t>
        </is>
      </c>
      <c r="C110" s="176" t="inlineStr">
        <is>
          <t>Infrastructure &amp; the Underground City</t>
        </is>
      </c>
      <c r="D110" s="163" t="n">
        <v>3</v>
      </c>
      <c r="E110" s="231" t="inlineStr">
        <is>
          <t>To review</t>
        </is>
      </c>
      <c r="F110" s="167" t="n"/>
      <c r="G110" s="168" t="inlineStr">
        <is>
          <t>Numerical results on progressive soil collapse and tunnel-system response under different excavation sequences help designers of underground complexes assess staging risks.</t>
        </is>
      </c>
      <c r="H110" s="232" t="inlineStr">
        <is>
          <t>Tunnelling and Underground Space Technology</t>
        </is>
      </c>
      <c r="I110" s="233" t="inlineStr">
        <is>
          <t>Xiong H, Huang J et al.</t>
        </is>
      </c>
      <c r="J110" s="234" t="n">
        <v>46317</v>
      </c>
      <c r="K110" s="234" t="n">
        <v>46319</v>
      </c>
      <c r="L110" s="172" t="inlineStr">
        <is>
          <t>excavation, tunnel, collapse, soil</t>
        </is>
      </c>
      <c r="M110" s="235" t="inlineStr">
        <is>
          <t>https://doi.org/10.1016/j.tust.2026.108241</t>
        </is>
      </c>
    </row>
    <row r="111" ht="53" customHeight="1">
      <c r="A111" s="160" t="n">
        <v>108</v>
      </c>
      <c r="B111" s="161" t="inlineStr">
        <is>
          <t>Defining the chalk–shale boundary in intact rock samples for engineering geology practice</t>
        </is>
      </c>
      <c r="C111" s="180" t="inlineStr">
        <is>
          <t>Characterisation &amp; Modelling</t>
        </is>
      </c>
      <c r="D111" s="163" t="n">
        <v>3</v>
      </c>
      <c r="E111" s="231" t="inlineStr">
        <is>
          <t>To review</t>
        </is>
      </c>
      <c r="F111" s="167" t="n"/>
      <c r="G111" s="168" t="inlineStr">
        <is>
          <t>A method for defining the chalk–shale boundary in intact samples gives engineering geologists a clearer classification basis for site characterisation.</t>
        </is>
      </c>
      <c r="H111" s="232" t="inlineStr">
        <is>
          <t>Engineering Geology</t>
        </is>
      </c>
      <c r="I111" s="233" t="inlineStr">
        <is>
          <t>Gilad R, Hatzor YH</t>
        </is>
      </c>
      <c r="J111" s="234" t="n">
        <v>46317</v>
      </c>
      <c r="K111" s="234" t="n">
        <v>46319</v>
      </c>
      <c r="L111" s="172" t="inlineStr">
        <is>
          <t>engineering geology</t>
        </is>
      </c>
      <c r="M111" s="235" t="inlineStr">
        <is>
          <t>https://doi.org/10.1016/j.enggeo.2026.109168</t>
        </is>
      </c>
    </row>
    <row r="112" ht="53" customHeight="1">
      <c r="A112" s="160" t="n">
        <v>109</v>
      </c>
      <c r="B112" s="161" t="inlineStr">
        <is>
          <t>A nonlinear elastoplastic subloading surface model for rock under cyclic loading-unloading with application to compressed air energy storage cavern operation</t>
        </is>
      </c>
      <c r="C112" s="178" t="inlineStr">
        <is>
          <t>Sustainability &amp; the Energy Transition</t>
        </is>
      </c>
      <c r="D112" s="163" t="n">
        <v>3</v>
      </c>
      <c r="E112" s="231" t="inlineStr">
        <is>
          <t>To review</t>
        </is>
      </c>
      <c r="F112" s="167" t="n"/>
      <c r="G112" s="168" t="inlineStr">
        <is>
          <t>A subloading surface model for rock under cyclic loading supports compressed air energy storage cavern design by capturing the behaviour under repeated pressure cycles.</t>
        </is>
      </c>
      <c r="H112" s="232" t="inlineStr">
        <is>
          <t>Computers and Geotechnics</t>
        </is>
      </c>
      <c r="I112" s="233" t="inlineStr">
        <is>
          <t>Zhang H, Li G et al.</t>
        </is>
      </c>
      <c r="J112" s="234" t="n">
        <v>46316</v>
      </c>
      <c r="K112" s="234" t="n">
        <v>46319</v>
      </c>
      <c r="L112" s="172" t="n"/>
      <c r="M112" s="235" t="inlineStr">
        <is>
          <t>https://doi.org/10.1016/j.compgeo.2026.108765</t>
        </is>
      </c>
    </row>
    <row r="113" ht="65.5" customHeight="1">
      <c r="A113" s="160" t="n">
        <v>110</v>
      </c>
      <c r="B113" s="161" t="inlineStr">
        <is>
          <t>Probabilistic stability and progressive failure of pile-supported embankments under borehole-constrained stratigraphic uncertainty</t>
        </is>
      </c>
      <c r="C113" s="180" t="inlineStr">
        <is>
          <t>Characterisation &amp; Modelling</t>
        </is>
      </c>
      <c r="D113" s="163" t="n">
        <v>3</v>
      </c>
      <c r="E113" s="231" t="inlineStr">
        <is>
          <t>To review</t>
        </is>
      </c>
      <c r="F113" s="167" t="n"/>
      <c r="G113" s="168" t="inlineStr">
        <is>
          <t>Probabilistic progressive-failure analysis shows how borehole-limited stratigraphic uncertainty affects pile-supported embankment stability, supporting reliability-based site investigation decisions.</t>
        </is>
      </c>
      <c r="H113" s="232" t="inlineStr">
        <is>
          <t>Transportation Geotechnics</t>
        </is>
      </c>
      <c r="I113" s="233" t="inlineStr">
        <is>
          <t>Lv L, Zheng G et al.</t>
        </is>
      </c>
      <c r="J113" s="234" t="n">
        <v>46315</v>
      </c>
      <c r="K113" s="234" t="n">
        <v>46319</v>
      </c>
      <c r="L113" s="172" t="inlineStr">
        <is>
          <t>pile, embankment, borehole</t>
        </is>
      </c>
      <c r="M113" s="235" t="inlineStr">
        <is>
          <t>https://doi.org/10.1016/j.trgeo.2026.102482</t>
        </is>
      </c>
    </row>
    <row r="114" ht="53" customHeight="1">
      <c r="A114" s="160" t="n">
        <v>111</v>
      </c>
      <c r="B114" s="161" t="inlineStr">
        <is>
          <t>Large-Scale Flume Investigation of Pore Water Pressure Evolution under Wave–Soil–Structure Interaction</t>
        </is>
      </c>
      <c r="C114" s="185" t="inlineStr">
        <is>
          <t>Offshore, Coasts &amp; Water</t>
        </is>
      </c>
      <c r="D114" s="163" t="n">
        <v>3</v>
      </c>
      <c r="E114" s="231" t="inlineStr">
        <is>
          <t>To review</t>
        </is>
      </c>
      <c r="F114" s="167" t="n"/>
      <c r="G114" s="168" t="inlineStr">
        <is>
          <t>Flume tests show how solitary wave impact generates excess pore pressure and seepage gradients around foundations, informing scour and liquefaction checks for coastal structures.</t>
        </is>
      </c>
      <c r="H114" s="232" t="inlineStr">
        <is>
          <t>Journal of Geotechnical and Geoenvironmental Engineering</t>
        </is>
      </c>
      <c r="I114" s="233" t="inlineStr">
        <is>
          <t>Klait A, Mirghafouri S et al.</t>
        </is>
      </c>
      <c r="J114" s="234" t="n">
        <v>46315</v>
      </c>
      <c r="K114" s="234" t="n">
        <v>46319</v>
      </c>
      <c r="L114" s="172" t="inlineStr">
        <is>
          <t>liquefaction, foundation, soil</t>
        </is>
      </c>
      <c r="M114" s="235" t="inlineStr">
        <is>
          <t>https://doi.org/10.1061/jggefk.gteng-15428</t>
        </is>
      </c>
    </row>
    <row r="115" ht="53" customHeight="1">
      <c r="A115" s="160" t="n">
        <v>112</v>
      </c>
      <c r="B115" s="161" t="inlineStr">
        <is>
          <t>Digital technology and AI for climate-resilient underground infrastructure: Current advances and future directions</t>
        </is>
      </c>
      <c r="C115" s="181" t="inlineStr">
        <is>
          <t>Digital Geotechnics</t>
        </is>
      </c>
      <c r="D115" s="163" t="n">
        <v>3</v>
      </c>
      <c r="E115" s="231" t="inlineStr">
        <is>
          <t>To review</t>
        </is>
      </c>
      <c r="F115" s="167" t="n"/>
      <c r="G115" s="168" t="inlineStr">
        <is>
          <t>This review of digital and AI tools for climate-resilient underground infrastructure highlights practical technologies and gaps that owners and designers should track.</t>
        </is>
      </c>
      <c r="H115" s="232" t="inlineStr">
        <is>
          <t>Underground Space</t>
        </is>
      </c>
      <c r="I115" s="233" t="inlineStr">
        <is>
          <t>Heo S, Loy-Benitez J et al.</t>
        </is>
      </c>
      <c r="J115" s="234" t="n">
        <v>46315</v>
      </c>
      <c r="K115" s="234" t="n">
        <v>46319</v>
      </c>
      <c r="L115" s="172" t="n"/>
      <c r="M115" s="235" t="inlineStr">
        <is>
          <t>https://doi.org/10.1016/j.undsp.2026.09.005</t>
        </is>
      </c>
    </row>
  </sheetData>
  <conditionalFormatting sqref="E4:E115">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115">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115"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13"/>
  </tableParts>
</worksheet>
</file>

<file path=xl/worksheets/sheet6.xml><?xml version="1.0" encoding="utf-8"?>
<worksheet xmlns="http://schemas.openxmlformats.org/spreadsheetml/2006/main">
  <sheetPr>
    <tabColor rgb="00D38B00"/>
    <outlinePr summaryBelow="1" summaryRight="1"/>
    <pageSetUpPr fitToPage="1"/>
  </sheetPr>
  <dimension ref="A1:I55"/>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4" t="inlineStr">
        <is>
          <t>Events · 44 upcoming, 3 open deadlines</t>
        </is>
      </c>
      <c r="D1" s="155" t="inlineStr">
        <is>
          <t>← Dashboard</t>
        </is>
      </c>
      <c r="E1" s="155" t="inlineStr">
        <is>
          <t>↑ Start here</t>
        </is>
      </c>
    </row>
    <row r="2" ht="16" customHeight="1">
      <c r="A2" s="156" t="inlineStr">
        <is>
          <t>From the website's events calendar on 31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3" t="inlineStr">
        <is>
          <t>Deadline</t>
        </is>
      </c>
      <c r="B5" s="73" t="inlineStr">
        <is>
          <t>Days left</t>
        </is>
      </c>
      <c r="C5" s="73" t="inlineStr">
        <is>
          <t>Event</t>
        </is>
      </c>
      <c r="D5" s="73" t="inlineStr">
        <is>
          <t>Kind</t>
        </is>
      </c>
      <c r="E5" s="73" t="inlineStr">
        <is>
          <t>Place</t>
        </is>
      </c>
      <c r="F5" s="73" t="inlineStr">
        <is>
          <t>Event dates</t>
        </is>
      </c>
      <c r="G5" s="73" t="inlineStr">
        <is>
          <t>Organiser</t>
        </is>
      </c>
      <c r="H5" s="73" t="inlineStr">
        <is>
          <t>What is due</t>
        </is>
      </c>
      <c r="I5" s="73" t="inlineStr">
        <is>
          <t>Website</t>
        </is>
      </c>
    </row>
    <row r="6" ht="55" customHeight="1">
      <c r="A6" s="236" t="n">
        <v>46367</v>
      </c>
      <c r="B6" s="237">
        <f>A6-TODAY()</f>
        <v/>
      </c>
      <c r="C6" s="232" t="inlineStr">
        <is>
          <t>11th European Conference on Numerical Methods in Geotechnical Engineering (NUMGE 2027)</t>
        </is>
      </c>
      <c r="D6" s="238" t="inlineStr">
        <is>
          <t>ISSMGE-supported</t>
        </is>
      </c>
      <c r="E6" s="168" t="inlineStr">
        <is>
          <t>Graz, Austria</t>
        </is>
      </c>
      <c r="F6" s="168" t="inlineStr">
        <is>
          <t>21–24 Sep 2027</t>
        </is>
      </c>
      <c r="G6" s="233" t="inlineStr">
        <is>
          <t>Institute of Soil Mechanics, Foundation Engineering and Computational Geotechnics, Graz University of Technology</t>
        </is>
      </c>
      <c r="H6" s="232" t="inlineStr">
        <is>
          <t>Notification of accepted abstracts</t>
        </is>
      </c>
      <c r="I6" s="239" t="inlineStr">
        <is>
          <t>https://www.issmge.org/events/numge2027</t>
        </is>
      </c>
    </row>
    <row r="7" ht="55" customHeight="1">
      <c r="A7" s="236" t="n">
        <v>46465</v>
      </c>
      <c r="B7" s="237">
        <f>A7-TODAY()</f>
        <v/>
      </c>
      <c r="C7" s="232" t="inlineStr">
        <is>
          <t>11th European Conference on Numerical Methods in Geotechnical Engineering (NUMGE 2027)</t>
        </is>
      </c>
      <c r="D7" s="238" t="inlineStr">
        <is>
          <t>ISSMGE-supported</t>
        </is>
      </c>
      <c r="E7" s="168" t="inlineStr">
        <is>
          <t>Graz, Austria</t>
        </is>
      </c>
      <c r="F7" s="168" t="inlineStr">
        <is>
          <t>21–24 Sep 2027</t>
        </is>
      </c>
      <c r="G7" s="233" t="inlineStr">
        <is>
          <t>Institute of Soil Mechanics, Foundation Engineering and Computational Geotechnics, Graz University of Technology</t>
        </is>
      </c>
      <c r="H7" s="232" t="inlineStr">
        <is>
          <t>Manuscripts</t>
        </is>
      </c>
      <c r="I7" s="239" t="inlineStr">
        <is>
          <t>https://www.issmge.org/events/numge2027</t>
        </is>
      </c>
    </row>
    <row r="8" ht="55" customHeight="1">
      <c r="A8" s="236" t="n">
        <v>46537</v>
      </c>
      <c r="B8" s="237">
        <f>A8-TODAY()</f>
        <v/>
      </c>
      <c r="C8" s="232" t="inlineStr">
        <is>
          <t>11th European Conference on Numerical Methods in Geotechnical Engineering (NUMGE 2027)</t>
        </is>
      </c>
      <c r="D8" s="238" t="inlineStr">
        <is>
          <t>ISSMGE-supported</t>
        </is>
      </c>
      <c r="E8" s="168" t="inlineStr">
        <is>
          <t>Graz, Austria</t>
        </is>
      </c>
      <c r="F8" s="168" t="inlineStr">
        <is>
          <t>21–24 Sep 2027</t>
        </is>
      </c>
      <c r="G8" s="233" t="inlineStr">
        <is>
          <t>Institute of Soil Mechanics, Foundation Engineering and Computational Geotechnics, Graz University of Technology</t>
        </is>
      </c>
      <c r="H8" s="232" t="inlineStr">
        <is>
          <t>Final papers</t>
        </is>
      </c>
      <c r="I8" s="239" t="inlineStr">
        <is>
          <t>https://www.issmge.org/events/numge2027</t>
        </is>
      </c>
    </row>
    <row r="10" ht="22" customHeight="1">
      <c r="A10" s="7" t="inlineStr">
        <is>
          <t>Upcoming events (44)</t>
        </is>
      </c>
      <c r="B10" s="8" t="n"/>
      <c r="C10" s="8" t="n"/>
      <c r="D10" s="8" t="n"/>
      <c r="E10" s="8" t="n"/>
      <c r="F10" s="8" t="n"/>
      <c r="G10" s="8" t="n"/>
      <c r="H10" s="8" t="n"/>
      <c r="I10" s="8" t="n"/>
    </row>
    <row r="11" ht="20" customHeight="1">
      <c r="A11" s="73" t="inlineStr">
        <is>
          <t>Starts</t>
        </is>
      </c>
      <c r="B11" s="73" t="inlineStr">
        <is>
          <t>ISSMGE</t>
        </is>
      </c>
      <c r="C11" s="73" t="inlineStr">
        <is>
          <t>Event</t>
        </is>
      </c>
      <c r="D11" s="73" t="inlineStr">
        <is>
          <t>Kind</t>
        </is>
      </c>
      <c r="E11" s="73" t="inlineStr">
        <is>
          <t>Place</t>
        </is>
      </c>
      <c r="F11" s="73" t="inlineStr">
        <is>
          <t>Dates</t>
        </is>
      </c>
      <c r="G11" s="73" t="inlineStr">
        <is>
          <t>Organiser</t>
        </is>
      </c>
      <c r="H11" s="73" t="inlineStr">
        <is>
          <t>Deadlines</t>
        </is>
      </c>
      <c r="I11" s="73" t="inlineStr">
        <is>
          <t>Website</t>
        </is>
      </c>
    </row>
    <row r="12" ht="30" customHeight="1">
      <c r="A12" s="236" t="n">
        <v>46328</v>
      </c>
      <c r="B12" s="240" t="n"/>
      <c r="C12" s="232" t="inlineStr">
        <is>
          <t>DFI's 51st Annual Conference on Deep Foundations (DFI51)</t>
        </is>
      </c>
      <c r="D12" s="241" t="inlineStr">
        <is>
          <t>Other conference</t>
        </is>
      </c>
      <c r="E12" s="168" t="inlineStr">
        <is>
          <t>Orlando, United States</t>
        </is>
      </c>
      <c r="F12" s="168" t="inlineStr">
        <is>
          <t>2–5 Nov 2026</t>
        </is>
      </c>
      <c r="G12" s="233" t="inlineStr">
        <is>
          <t>Deep Foundations Institute (DFI)</t>
        </is>
      </c>
      <c r="H12" s="233" t="n"/>
      <c r="I12" s="239" t="inlineStr">
        <is>
          <t>https://dfi-events.org/dfi51/</t>
        </is>
      </c>
    </row>
    <row r="13" ht="42.5" customHeight="1">
      <c r="A13" s="236" t="n">
        <v>46330</v>
      </c>
      <c r="B13" s="240" t="n"/>
      <c r="C13" s="232" t="inlineStr">
        <is>
          <t>2026 Geotechnical Engineering Proceedings Lecture: Strains in sprayed concrete tunnel linings at Heathrow Terminal 4 and back-calculation of stress</t>
        </is>
      </c>
      <c r="D13" s="242" t="inlineStr">
        <is>
          <t>Course / webinar</t>
        </is>
      </c>
      <c r="E13" s="168" t="inlineStr">
        <is>
          <t>London, United Kingdom</t>
        </is>
      </c>
      <c r="F13" s="168" t="inlineStr">
        <is>
          <t>4 Nov 2026</t>
        </is>
      </c>
      <c r="G13" s="233" t="inlineStr">
        <is>
          <t>British Geotechnical Association (BGA)</t>
        </is>
      </c>
      <c r="H13" s="233" t="n"/>
      <c r="I13" s="239" t="inlineStr">
        <is>
          <t>https://www.britishgeotech.org/event/the-2026-geotechnical-engineering-proceedings-lecture-strains-in-sprayed-concrete-tunnel-linings-at-heathrow-terminal-4-and-back-calculation-of-stress/</t>
        </is>
      </c>
    </row>
    <row r="14" ht="30" customHeight="1">
      <c r="A14" s="236" t="n">
        <v>46330</v>
      </c>
      <c r="B14" s="240" t="inlineStr">
        <is>
          <t>ISSMGE</t>
        </is>
      </c>
      <c r="C14" s="232" t="inlineStr">
        <is>
          <t>International Conference on Performance-Based Design in Earthquake Geotechnical Engineering (PBD-V 2026)</t>
        </is>
      </c>
      <c r="D14" s="238" t="inlineStr">
        <is>
          <t>ISSMGE-supported</t>
        </is>
      </c>
      <c r="E14" s="168" t="inlineStr">
        <is>
          <t>Puerto Varas, Chile</t>
        </is>
      </c>
      <c r="F14" s="168" t="inlineStr">
        <is>
          <t>4–6 Nov 2026</t>
        </is>
      </c>
      <c r="G14" s="233" t="n"/>
      <c r="H14" s="233" t="n"/>
      <c r="I14" s="239" t="inlineStr">
        <is>
          <t>https://www.issmge.org/events/pbd-v-conference-2026</t>
        </is>
      </c>
    </row>
    <row r="15" ht="30" customHeight="1">
      <c r="A15" s="236" t="n">
        <v>46336</v>
      </c>
      <c r="B15" s="240" t="n"/>
      <c r="C15" s="232" t="inlineStr">
        <is>
          <t>BGA ECG Advanced Laboratory Testing &amp; Dynamic Behaviour of Soils</t>
        </is>
      </c>
      <c r="D15" s="242" t="inlineStr">
        <is>
          <t>Course / webinar</t>
        </is>
      </c>
      <c r="E15" s="168" t="inlineStr">
        <is>
          <t>Online</t>
        </is>
      </c>
      <c r="F15" s="168" t="inlineStr">
        <is>
          <t>10 Nov 2026</t>
        </is>
      </c>
      <c r="G15" s="233" t="inlineStr">
        <is>
          <t>BGA Early Career Group</t>
        </is>
      </c>
      <c r="H15" s="233" t="n"/>
      <c r="I15" s="239" t="inlineStr">
        <is>
          <t>https://www.britishgeotech.org/event/bga-ecg-advanced-laboratory-testing-dynamic-behaviour-of-soils/</t>
        </is>
      </c>
    </row>
    <row r="16" ht="17.5" customHeight="1">
      <c r="A16" s="236" t="n">
        <v>46336</v>
      </c>
      <c r="B16" s="240" t="n"/>
      <c r="C16" s="232" t="inlineStr">
        <is>
          <t>ITACET Lunchtime Lecture Series #60</t>
        </is>
      </c>
      <c r="D16" s="242" t="inlineStr">
        <is>
          <t>Course / webinar</t>
        </is>
      </c>
      <c r="E16" s="168" t="n"/>
      <c r="F16" s="168" t="inlineStr">
        <is>
          <t>10 Nov 2026</t>
        </is>
      </c>
      <c r="G16" s="233" t="inlineStr">
        <is>
          <t>ITA-AITES / ITACET Foundation</t>
        </is>
      </c>
      <c r="H16" s="233" t="n"/>
      <c r="I16" s="239" t="inlineStr">
        <is>
          <t>https://about.ita-aites.org/future-events/2671/itacet-lunchtime-lecture-series-60?tmpl=component</t>
        </is>
      </c>
    </row>
    <row r="17" ht="42.5" customHeight="1">
      <c r="A17" s="236" t="n">
        <v>46336</v>
      </c>
      <c r="B17" s="240" t="inlineStr">
        <is>
          <t>ISSMGE</t>
        </is>
      </c>
      <c r="C17" s="232" t="inlineStr">
        <is>
          <t>Woh Hup Distinguished Lecture by Prof. Kenichi Soga</t>
        </is>
      </c>
      <c r="D17" s="242" t="inlineStr">
        <is>
          <t>Course / webinar</t>
        </is>
      </c>
      <c r="E17" s="168" t="n"/>
      <c r="F17" s="168" t="inlineStr">
        <is>
          <t>10 Nov 2026</t>
        </is>
      </c>
      <c r="G17" s="233" t="inlineStr">
        <is>
          <t>National University of Singapore, co-organised by ISSMGE TC207</t>
        </is>
      </c>
      <c r="H17" s="233" t="n"/>
      <c r="I17" s="239" t="inlineStr">
        <is>
          <t>https://www.issmge.org/news/distinguished-lecture-by-prof-kenichi-soga-co-organised-by-issmge-tc207-10-nov-2026</t>
        </is>
      </c>
    </row>
    <row r="18" ht="42.5" customHeight="1">
      <c r="A18" s="236" t="n">
        <v>46338</v>
      </c>
      <c r="B18" s="240" t="n"/>
      <c r="C18" s="232" t="inlineStr">
        <is>
          <t>10th Conference of the Croatian Geotechnical Society: Geotechnical Engineering in Soft Rocks and Heterogeneous Rock Masses – an ISRM Specialized Conference</t>
        </is>
      </c>
      <c r="D18" s="241" t="inlineStr">
        <is>
          <t>Other conference</t>
        </is>
      </c>
      <c r="E18" s="168" t="inlineStr">
        <is>
          <t>Split, Croatia</t>
        </is>
      </c>
      <c r="F18" s="168" t="inlineStr">
        <is>
          <t>12–14 Nov 2026</t>
        </is>
      </c>
      <c r="G18" s="233" t="inlineStr">
        <is>
          <t>Croatian Geotechnical Society</t>
        </is>
      </c>
      <c r="H18" s="233" t="n"/>
      <c r="I18" s="239" t="inlineStr">
        <is>
          <t>https://isrm.net/conference/show/6404</t>
        </is>
      </c>
    </row>
    <row r="19" ht="17.5" customHeight="1">
      <c r="A19" s="236" t="n">
        <v>46338</v>
      </c>
      <c r="B19" s="240" t="n"/>
      <c r="C19" s="232" t="inlineStr">
        <is>
          <t>Tunnel Turkey 2026</t>
        </is>
      </c>
      <c r="D19" s="241" t="inlineStr">
        <is>
          <t>Other conference</t>
        </is>
      </c>
      <c r="E19" s="168" t="inlineStr">
        <is>
          <t>Türkiye</t>
        </is>
      </c>
      <c r="F19" s="168" t="inlineStr">
        <is>
          <t>12 Nov 2026</t>
        </is>
      </c>
      <c r="G19" s="233" t="n"/>
      <c r="H19" s="233" t="n"/>
      <c r="I19" s="239" t="inlineStr">
        <is>
          <t>https://about.ita-aites.org/future-events/2558/tunnel-turkey-2026?tmpl=component</t>
        </is>
      </c>
    </row>
    <row r="20" ht="30" customHeight="1">
      <c r="A20" s="236" t="n">
        <v>46343</v>
      </c>
      <c r="B20" s="240" t="n"/>
      <c r="C20" s="232" t="inlineStr">
        <is>
          <t>BGA Touring Lecture – Beyond Automation: Responsible AI Workflows in Geotechnical Modelling and Monitoring</t>
        </is>
      </c>
      <c r="D20" s="242" t="inlineStr">
        <is>
          <t>Course / webinar</t>
        </is>
      </c>
      <c r="E20" s="168" t="inlineStr">
        <is>
          <t>Leeds, United Kingdom</t>
        </is>
      </c>
      <c r="F20" s="168" t="inlineStr">
        <is>
          <t>17–19 Nov 2026</t>
        </is>
      </c>
      <c r="G20" s="233" t="inlineStr">
        <is>
          <t>British Geotechnical Association (BGA)</t>
        </is>
      </c>
      <c r="H20" s="233" t="n"/>
      <c r="I20" s="239" t="inlineStr">
        <is>
          <t>https://www.britishgeotech.org/event/bga-touring-lecture-beyond-automation-responsible-ai-workflows-in-geotechnical-modelling-and-monitoring/</t>
        </is>
      </c>
    </row>
    <row r="21" ht="55" customHeight="1">
      <c r="A21" s="236" t="n">
        <v>46348</v>
      </c>
      <c r="B21" s="240" t="n"/>
      <c r="C21" s="232" t="inlineStr">
        <is>
          <t>ARMS14 – 14th Asian Rock Mechanics Symposium – Rock Mechanics for the Next Generation – Innovations, Sustainability, and Resilience – the 2026 ISRM International Symposium</t>
        </is>
      </c>
      <c r="D21" s="241" t="inlineStr">
        <is>
          <t>Other conference</t>
        </is>
      </c>
      <c r="E21" s="168" t="inlineStr">
        <is>
          <t>Fukuoka, Japan</t>
        </is>
      </c>
      <c r="F21" s="168" t="inlineStr">
        <is>
          <t>22–26 Nov 2026</t>
        </is>
      </c>
      <c r="G21" s="233" t="inlineStr">
        <is>
          <t>ISRM</t>
        </is>
      </c>
      <c r="H21" s="233" t="n"/>
      <c r="I21" s="239" t="inlineStr">
        <is>
          <t>https://isrm.net/conference/show/6382</t>
        </is>
      </c>
    </row>
    <row r="22" ht="17.5" customHeight="1">
      <c r="A22" s="236" t="n">
        <v>46352</v>
      </c>
      <c r="B22" s="240" t="n"/>
      <c r="C22" s="232" t="inlineStr">
        <is>
          <t>Italian Underground Conference / Congress</t>
        </is>
      </c>
      <c r="D22" s="241" t="inlineStr">
        <is>
          <t>Other conference</t>
        </is>
      </c>
      <c r="E22" s="168" t="n"/>
      <c r="F22" s="168" t="inlineStr">
        <is>
          <t>26 Nov 2026</t>
        </is>
      </c>
      <c r="G22" s="233" t="n"/>
      <c r="H22" s="233" t="n"/>
      <c r="I22" s="239" t="inlineStr">
        <is>
          <t>https://about.ita-aites.org/future-events/2652/italian-underground-conference-congress?tmpl=component</t>
        </is>
      </c>
    </row>
    <row r="23" ht="42.5" customHeight="1">
      <c r="A23" s="236" t="n">
        <v>46352</v>
      </c>
      <c r="B23" s="240" t="inlineStr">
        <is>
          <t>ISSMGE</t>
        </is>
      </c>
      <c r="C23" s="232" t="inlineStr">
        <is>
          <t>The 6th International Conference on Geotechnics for Sustainable Infrastructure Development (GEOTEC HANOI 2026)</t>
        </is>
      </c>
      <c r="D23" s="238" t="inlineStr">
        <is>
          <t>ISSMGE-supported</t>
        </is>
      </c>
      <c r="E23" s="168" t="inlineStr">
        <is>
          <t>Hanoi, Vietnam</t>
        </is>
      </c>
      <c r="F23" s="168" t="inlineStr">
        <is>
          <t>26 Nov 2026</t>
        </is>
      </c>
      <c r="G23" s="233" t="n"/>
      <c r="H23" s="233" t="n"/>
      <c r="I23" s="239" t="inlineStr">
        <is>
          <t>https://www.issmge.org/events/geotec-hanoi-2026-gh2026</t>
        </is>
      </c>
    </row>
    <row r="24" ht="30" customHeight="1">
      <c r="A24" s="236" t="n">
        <v>46357</v>
      </c>
      <c r="B24" s="240" t="n"/>
      <c r="C24" s="232" t="inlineStr">
        <is>
          <t>BGA Fleming Award Event 2026</t>
        </is>
      </c>
      <c r="D24" s="242" t="inlineStr">
        <is>
          <t>Course / webinar</t>
        </is>
      </c>
      <c r="E24" s="168" t="inlineStr">
        <is>
          <t>London, United Kingdom</t>
        </is>
      </c>
      <c r="F24" s="168" t="inlineStr">
        <is>
          <t>1 Dec 2026</t>
        </is>
      </c>
      <c r="G24" s="233" t="inlineStr">
        <is>
          <t>British Geotechnical Association (BGA)</t>
        </is>
      </c>
      <c r="H24" s="233" t="n"/>
      <c r="I24" s="239" t="inlineStr">
        <is>
          <t>https://www.britishgeotech.org/event/bga-fleming-award-event-2026/</t>
        </is>
      </c>
    </row>
    <row r="25" ht="30" customHeight="1">
      <c r="A25" s="236" t="n">
        <v>46359</v>
      </c>
      <c r="B25" s="240" t="n"/>
      <c r="C25" s="232" t="inlineStr">
        <is>
          <t>TUNNELLING ASIA 2026: International Conference &amp; Exhibition</t>
        </is>
      </c>
      <c r="D25" s="241" t="inlineStr">
        <is>
          <t>Other conference</t>
        </is>
      </c>
      <c r="E25" s="168" t="n"/>
      <c r="F25" s="168" t="inlineStr">
        <is>
          <t>3 Dec 2026</t>
        </is>
      </c>
      <c r="G25" s="233" t="n"/>
      <c r="H25" s="233" t="n"/>
      <c r="I25" s="239" t="inlineStr">
        <is>
          <t>https://about.ita-aites.org/future-events/2654/tunnelling-asia-2026-international-conference-exhibition?tmpl=component</t>
        </is>
      </c>
    </row>
    <row r="26" ht="30" customHeight="1">
      <c r="A26" s="236" t="n">
        <v>46363</v>
      </c>
      <c r="B26" s="240" t="n"/>
      <c r="C26" s="232" t="inlineStr">
        <is>
          <t>World Tunnel Day 2026 – ITAym</t>
        </is>
      </c>
      <c r="D26" s="242" t="inlineStr">
        <is>
          <t>Course / webinar</t>
        </is>
      </c>
      <c r="E26" s="168" t="n"/>
      <c r="F26" s="168" t="inlineStr">
        <is>
          <t>7 Dec 2026</t>
        </is>
      </c>
      <c r="G26" s="233" t="inlineStr">
        <is>
          <t>ITA-AITES Young Members (ITAym)</t>
        </is>
      </c>
      <c r="H26" s="233" t="n"/>
      <c r="I26" s="239" t="inlineStr">
        <is>
          <t>https://about.ita-aites.org/future-events/2658/world-tunnel-day-2026-itaym?tmpl=component</t>
        </is>
      </c>
    </row>
    <row r="27" ht="30" customHeight="1">
      <c r="A27" s="236" t="n">
        <v>46364</v>
      </c>
      <c r="B27" s="240" t="inlineStr">
        <is>
          <t>ISSMGE</t>
        </is>
      </c>
      <c r="C27" s="232" t="inlineStr">
        <is>
          <t>Colloque National sur la Géotechnique (National Colloquium on Geotechnics)</t>
        </is>
      </c>
      <c r="D27" s="238" t="inlineStr">
        <is>
          <t>ISSMGE-supported</t>
        </is>
      </c>
      <c r="E27" s="168" t="inlineStr">
        <is>
          <t>Marrakech, Morocco</t>
        </is>
      </c>
      <c r="F27" s="168" t="inlineStr">
        <is>
          <t>8 Dec 2026</t>
        </is>
      </c>
      <c r="G27" s="233" t="n"/>
      <c r="H27" s="233" t="n"/>
      <c r="I27" s="239" t="inlineStr">
        <is>
          <t>https://www.issmge.org/events/colloque-national-sur-la-gotechnique</t>
        </is>
      </c>
    </row>
    <row r="28" ht="17.5" customHeight="1">
      <c r="A28" s="236" t="n">
        <v>46366</v>
      </c>
      <c r="B28" s="240" t="n"/>
      <c r="C28" s="232" t="inlineStr">
        <is>
          <t>Nepal Tunnelling Conference 2026</t>
        </is>
      </c>
      <c r="D28" s="241" t="inlineStr">
        <is>
          <t>Other conference</t>
        </is>
      </c>
      <c r="E28" s="168" t="inlineStr">
        <is>
          <t>Nepal</t>
        </is>
      </c>
      <c r="F28" s="168" t="inlineStr">
        <is>
          <t>10 Dec 2026</t>
        </is>
      </c>
      <c r="G28" s="233" t="n"/>
      <c r="H28" s="233" t="n"/>
      <c r="I28" s="239" t="inlineStr">
        <is>
          <t>https://about.ita-aites.org/future-events/2666/nepal-tunnelling-conference-2026?tmpl=component</t>
        </is>
      </c>
    </row>
    <row r="29" ht="30" customHeight="1">
      <c r="A29" s="236" t="n">
        <v>46406</v>
      </c>
      <c r="B29" s="240" t="n"/>
      <c r="C29" s="232" t="inlineStr">
        <is>
          <t>Underground Construction Association (UCA) 2027 George A. Fox Conference</t>
        </is>
      </c>
      <c r="D29" s="241" t="inlineStr">
        <is>
          <t>Other conference</t>
        </is>
      </c>
      <c r="E29" s="168" t="inlineStr">
        <is>
          <t>New York, United States</t>
        </is>
      </c>
      <c r="F29" s="168" t="inlineStr">
        <is>
          <t>19 Jan 2027</t>
        </is>
      </c>
      <c r="G29" s="233" t="inlineStr">
        <is>
          <t>Underground Construction Association (UCA)</t>
        </is>
      </c>
      <c r="H29" s="233" t="n"/>
      <c r="I29" s="239" t="inlineStr">
        <is>
          <t>https://about.ita-aites.org/future-events/2656/underground-construction-association-uca-2027-george-a-fox-conference?tmpl=component</t>
        </is>
      </c>
    </row>
    <row r="30" ht="42.5" customHeight="1">
      <c r="A30" s="236" t="n">
        <v>46428</v>
      </c>
      <c r="B30" s="240" t="inlineStr">
        <is>
          <t>ISSMGE</t>
        </is>
      </c>
      <c r="C30" s="232" t="inlineStr">
        <is>
          <t>The III International Research and Practical Conference "Geotechnical Engineering in Cold Regions. The Basis of Infrastructure Safety in Global Changes"</t>
        </is>
      </c>
      <c r="D30" s="238" t="inlineStr">
        <is>
          <t>ISSMGE-supported</t>
        </is>
      </c>
      <c r="E30" s="168" t="inlineStr">
        <is>
          <t>Moscow, Russia</t>
        </is>
      </c>
      <c r="F30" s="168" t="inlineStr">
        <is>
          <t>10–12 Feb 2027</t>
        </is>
      </c>
      <c r="G30" s="233" t="n"/>
      <c r="H30" s="233" t="n"/>
      <c r="I30" s="239" t="inlineStr">
        <is>
          <t>https://www.issmge.org/events/the-iii-international-research-and-practical-conference-on-geotechnical-engineering-in-cold-regions-the-basis-of-infrastructure-safety-in-global-changes</t>
        </is>
      </c>
    </row>
    <row r="31" ht="17.5" customHeight="1">
      <c r="A31" s="236" t="n">
        <v>46447</v>
      </c>
      <c r="B31" s="240" t="n"/>
      <c r="C31" s="232" t="inlineStr">
        <is>
          <t>Geo-Congress 2027, part of ASCE2027</t>
        </is>
      </c>
      <c r="D31" s="241" t="inlineStr">
        <is>
          <t>Other conference</t>
        </is>
      </c>
      <c r="E31" s="168" t="inlineStr">
        <is>
          <t>Philadelphia, United States</t>
        </is>
      </c>
      <c r="F31" s="168" t="inlineStr">
        <is>
          <t>1–5 Mar 2027</t>
        </is>
      </c>
      <c r="G31" s="233" t="inlineStr">
        <is>
          <t>ASCE Geo-Institute</t>
        </is>
      </c>
      <c r="H31" s="233" t="inlineStr">
        <is>
          <t>Abstracts: 4 Mar 2026 (passed)</t>
        </is>
      </c>
      <c r="I31" s="239" t="inlineStr">
        <is>
          <t>https://geoinstitute.org/news/call-abstract-geo-congress-2027-part-asce2027</t>
        </is>
      </c>
    </row>
    <row r="32" ht="42.5" customHeight="1">
      <c r="A32" s="236" t="n">
        <v>46463</v>
      </c>
      <c r="B32" s="240" t="n"/>
      <c r="C32" s="232" t="inlineStr">
        <is>
          <t>7th International Conference on Grouting and Deep Mixing (Grout27)</t>
        </is>
      </c>
      <c r="D32" s="241" t="inlineStr">
        <is>
          <t>Other conference</t>
        </is>
      </c>
      <c r="E32" s="168" t="n"/>
      <c r="F32" s="168" t="inlineStr">
        <is>
          <t>17–19 Mar 2027</t>
        </is>
      </c>
      <c r="G32" s="233" t="inlineStr">
        <is>
          <t>Deep Foundations Institute (DFI) with the International Conference on Grouting (ICOG)</t>
        </is>
      </c>
      <c r="H32" s="233" t="n"/>
      <c r="I32" s="239" t="inlineStr">
        <is>
          <t>https://dfi-events.org/grout27/</t>
        </is>
      </c>
    </row>
    <row r="33" ht="30" customHeight="1">
      <c r="A33" s="236" t="n">
        <v>46463</v>
      </c>
      <c r="B33" s="240" t="inlineStr">
        <is>
          <t>ISSMGE</t>
        </is>
      </c>
      <c r="C33" s="232" t="inlineStr">
        <is>
          <t>GeoMandu 2027, 11th AYGEC and 1st SACG: Mountain Geotechnics for Infrastructure Development</t>
        </is>
      </c>
      <c r="D33" s="238" t="inlineStr">
        <is>
          <t>ISSMGE-supported</t>
        </is>
      </c>
      <c r="E33" s="168" t="inlineStr">
        <is>
          <t>Kathmandu, Nepal</t>
        </is>
      </c>
      <c r="F33" s="168" t="inlineStr">
        <is>
          <t>17 Mar 2027</t>
        </is>
      </c>
      <c r="G33" s="233" t="n"/>
      <c r="H33" s="233" t="n"/>
      <c r="I33" s="239" t="inlineStr">
        <is>
          <t>https://www.issmge.org/events/geomandu-2027-11th-aygec-and-1st-sacg-mountain-geotechnics-for-infrastructure-development</t>
        </is>
      </c>
    </row>
    <row r="34" ht="30" customHeight="1">
      <c r="A34" s="236" t="n">
        <v>46489</v>
      </c>
      <c r="B34" s="240" t="inlineStr">
        <is>
          <t>ISSMGE</t>
        </is>
      </c>
      <c r="C34" s="232" t="inlineStr">
        <is>
          <t>2nd International Symposium on Ground Improvement (IS-GI 2027)</t>
        </is>
      </c>
      <c r="D34" s="238" t="inlineStr">
        <is>
          <t>ISSMGE-supported</t>
        </is>
      </c>
      <c r="E34" s="168" t="inlineStr">
        <is>
          <t>Lyon, France</t>
        </is>
      </c>
      <c r="F34" s="168" t="inlineStr">
        <is>
          <t>12–14 Apr 2027</t>
        </is>
      </c>
      <c r="G34" s="233" t="inlineStr">
        <is>
          <t>ISSMGE TC211</t>
        </is>
      </c>
      <c r="H34" s="233" t="inlineStr">
        <is>
          <t>Abstracts: 15 May 2026 (passed)</t>
        </is>
      </c>
      <c r="I34" s="239" t="inlineStr">
        <is>
          <t>https://www.issmge.org/news/2nd-is-gi-2027-lyon-call-for-abstracts</t>
        </is>
      </c>
    </row>
    <row r="35" ht="17.5" customHeight="1">
      <c r="A35" s="236" t="n">
        <v>46497</v>
      </c>
      <c r="B35" s="240" t="n"/>
      <c r="C35" s="232" t="inlineStr">
        <is>
          <t>Young Professionals Think Deep Programme – Antwerp</t>
        </is>
      </c>
      <c r="D35" s="242" t="inlineStr">
        <is>
          <t>Course / webinar</t>
        </is>
      </c>
      <c r="E35" s="168" t="inlineStr">
        <is>
          <t>Antwerp, Belgium</t>
        </is>
      </c>
      <c r="F35" s="168" t="inlineStr">
        <is>
          <t>20 Apr 2027</t>
        </is>
      </c>
      <c r="G35" s="233" t="inlineStr">
        <is>
          <t>ITA-AITES</t>
        </is>
      </c>
      <c r="H35" s="233" t="n"/>
      <c r="I35" s="239" t="inlineStr">
        <is>
          <t>https://about.ita-aites.org/future-events/2665/young-professionals-think-deep-programme-antwerp?tmpl=component</t>
        </is>
      </c>
    </row>
    <row r="36" ht="30" customHeight="1">
      <c r="A36" s="236" t="n">
        <v>46500</v>
      </c>
      <c r="B36" s="240" t="n"/>
      <c r="C36" s="232" t="inlineStr">
        <is>
          <t>ITA-AITES World Tunnel Congress 2027 (WTC 2027)</t>
        </is>
      </c>
      <c r="D36" s="241" t="inlineStr">
        <is>
          <t>Other conference</t>
        </is>
      </c>
      <c r="E36" s="168" t="inlineStr">
        <is>
          <t>Antwerp, Belgium</t>
        </is>
      </c>
      <c r="F36" s="168" t="inlineStr">
        <is>
          <t>23–29 Apr 2027</t>
        </is>
      </c>
      <c r="G36" s="233" t="inlineStr">
        <is>
          <t>ITA-AITES with the Belgian Tunnel Association</t>
        </is>
      </c>
      <c r="H36" s="233" t="inlineStr">
        <is>
          <t>Abstracts: 10 Jun 2026 (passed)</t>
        </is>
      </c>
      <c r="I36" s="239" t="inlineStr">
        <is>
          <t>https://about.ita-aites.org/future-events/2350/world-tunnel-congress-wtc-2027</t>
        </is>
      </c>
    </row>
    <row r="37" ht="30" customHeight="1">
      <c r="A37" s="236" t="n">
        <v>46518</v>
      </c>
      <c r="B37" s="240" t="n"/>
      <c r="C37" s="232" t="inlineStr">
        <is>
          <t>International Foundations Congress and Equipment Expo 2027 (IFCEE 2027)</t>
        </is>
      </c>
      <c r="D37" s="241" t="inlineStr">
        <is>
          <t>Other conference</t>
        </is>
      </c>
      <c r="E37" s="168" t="n"/>
      <c r="F37" s="168" t="inlineStr">
        <is>
          <t>11–14 May 2027</t>
        </is>
      </c>
      <c r="G37" s="233" t="inlineStr">
        <is>
          <t>Deep Foundations Institute (DFI)</t>
        </is>
      </c>
      <c r="H37" s="233" t="n"/>
      <c r="I37" s="239" t="inlineStr">
        <is>
          <t>https://www.ifcee.com/</t>
        </is>
      </c>
    </row>
    <row r="38" ht="30" customHeight="1">
      <c r="A38" s="236" t="n">
        <v>46518</v>
      </c>
      <c r="B38" s="240" t="n"/>
      <c r="C38" s="232" t="inlineStr">
        <is>
          <t>SDC2027 – 5th International Conference on Shaft Design &amp; Construction</t>
        </is>
      </c>
      <c r="D38" s="241" t="inlineStr">
        <is>
          <t>Other conference</t>
        </is>
      </c>
      <c r="E38" s="168" t="n"/>
      <c r="F38" s="168" t="inlineStr">
        <is>
          <t>11 May 2027</t>
        </is>
      </c>
      <c r="G38" s="233" t="n"/>
      <c r="H38" s="233" t="n"/>
      <c r="I38" s="239" t="inlineStr">
        <is>
          <t>https://about.ita-aites.org/future-events/2549/sdc2027-5th-international-conference-on-shaft-design-construction?tmpl=component</t>
        </is>
      </c>
    </row>
    <row r="39" ht="30" customHeight="1">
      <c r="A39" s="236" t="n">
        <v>46519</v>
      </c>
      <c r="B39" s="240" t="n"/>
      <c r="C39" s="232" t="inlineStr">
        <is>
          <t>CPT'27: International Symposium on Cone Penetration Testing</t>
        </is>
      </c>
      <c r="D39" s="241" t="inlineStr">
        <is>
          <t>Other conference</t>
        </is>
      </c>
      <c r="E39" s="168" t="inlineStr">
        <is>
          <t>Vancouver, Canada</t>
        </is>
      </c>
      <c r="F39" s="168" t="inlineStr">
        <is>
          <t>12 May 2027</t>
        </is>
      </c>
      <c r="G39" s="233" t="n"/>
      <c r="H39" s="233" t="n"/>
      <c r="I39" s="239" t="inlineStr">
        <is>
          <t>https://www.issmge.org/events/cpt27-international-symposium-on-cone-penetration-testing</t>
        </is>
      </c>
    </row>
    <row r="40" ht="30" customHeight="1">
      <c r="A40" s="236" t="n">
        <v>46540</v>
      </c>
      <c r="B40" s="240" t="n"/>
      <c r="C40" s="232" t="inlineStr">
        <is>
          <t>The 4th International Conference on Press-in Engineering 2027 (ICPE2027)</t>
        </is>
      </c>
      <c r="D40" s="241" t="inlineStr">
        <is>
          <t>Other conference</t>
        </is>
      </c>
      <c r="E40" s="168" t="inlineStr">
        <is>
          <t>Papendrecht, Netherlands</t>
        </is>
      </c>
      <c r="F40" s="168" t="inlineStr">
        <is>
          <t>2 Jun 2027</t>
        </is>
      </c>
      <c r="G40" s="233" t="n"/>
      <c r="H40" s="233" t="n"/>
      <c r="I40" s="239" t="inlineStr">
        <is>
          <t>https://www.issmge.org/events/the-4th-international-conference-on-press-in-engineering-2027-icpe2027</t>
        </is>
      </c>
    </row>
    <row r="41" ht="30" customHeight="1">
      <c r="A41" s="236" t="n">
        <v>46547</v>
      </c>
      <c r="B41" s="240" t="inlineStr">
        <is>
          <t>ISSMGE</t>
        </is>
      </c>
      <c r="C41" s="232" t="inlineStr">
        <is>
          <t>XVIII Danube-European Conference on Geotechnical Engineering</t>
        </is>
      </c>
      <c r="D41" s="243" t="inlineStr">
        <is>
          <t>ISSMGE conference</t>
        </is>
      </c>
      <c r="E41" s="168" t="inlineStr">
        <is>
          <t>Budapest, Hungary</t>
        </is>
      </c>
      <c r="F41" s="168" t="inlineStr">
        <is>
          <t>9 Jun 2027</t>
        </is>
      </c>
      <c r="G41" s="233" t="n"/>
      <c r="H41" s="233" t="n"/>
      <c r="I41" s="239" t="inlineStr">
        <is>
          <t>https://www.issmge.org/events/xviii-danube-european-conference-on-geotechnical-engineering</t>
        </is>
      </c>
    </row>
    <row r="42" ht="30" customHeight="1">
      <c r="A42" s="236" t="n">
        <v>46552</v>
      </c>
      <c r="B42" s="240" t="n"/>
      <c r="C42" s="232" t="inlineStr">
        <is>
          <t>9th International Conference on Debris Flow Hazard Mitigation (DFHM9)</t>
        </is>
      </c>
      <c r="D42" s="241" t="inlineStr">
        <is>
          <t>Other conference</t>
        </is>
      </c>
      <c r="E42" s="168" t="inlineStr">
        <is>
          <t>Daejeon, South Korea</t>
        </is>
      </c>
      <c r="F42" s="168" t="inlineStr">
        <is>
          <t>14 Jun 2027</t>
        </is>
      </c>
      <c r="G42" s="233" t="n"/>
      <c r="H42" s="233" t="n"/>
      <c r="I42" s="239" t="inlineStr">
        <is>
          <t>https://www.issmge.org/events/9th-international-conference-on-debris-flow-hazard-mitigation-dfhm9</t>
        </is>
      </c>
    </row>
    <row r="43" ht="30" customHeight="1">
      <c r="A43" s="236" t="n">
        <v>46566</v>
      </c>
      <c r="B43" s="240" t="inlineStr">
        <is>
          <t>ISSMGE</t>
        </is>
      </c>
      <c r="C43" s="232" t="inlineStr">
        <is>
          <t>International Conference on Sustainability in Geotechnical Engineering (ICSGE 2027)</t>
        </is>
      </c>
      <c r="D43" s="238" t="inlineStr">
        <is>
          <t>ISSMGE-supported</t>
        </is>
      </c>
      <c r="E43" s="168" t="inlineStr">
        <is>
          <t>Lisbon, Portugal</t>
        </is>
      </c>
      <c r="F43" s="168" t="inlineStr">
        <is>
          <t>28 Jun – 1 Jul 2027</t>
        </is>
      </c>
      <c r="G43" s="233" t="inlineStr">
        <is>
          <t>ISSMGE TC307 and LNEC</t>
        </is>
      </c>
      <c r="H43" s="233" t="inlineStr">
        <is>
          <t>Abstracts: 15 Jul 2026 (passed)</t>
        </is>
      </c>
      <c r="I43" s="239" t="inlineStr">
        <is>
          <t>https://www.issmge.org/news/tc223-june-news-update</t>
        </is>
      </c>
    </row>
    <row r="44" ht="30" customHeight="1">
      <c r="A44" s="236" t="n">
        <v>46609</v>
      </c>
      <c r="B44" s="240" t="n"/>
      <c r="C44" s="232" t="inlineStr">
        <is>
          <t>S3 2027</t>
        </is>
      </c>
      <c r="D44" s="241" t="inlineStr">
        <is>
          <t>Other conference</t>
        </is>
      </c>
      <c r="E44" s="168" t="n"/>
      <c r="F44" s="168" t="inlineStr">
        <is>
          <t>10–12 Aug 2027</t>
        </is>
      </c>
      <c r="G44" s="233" t="inlineStr">
        <is>
          <t>Deep Foundations Institute (DFI)</t>
        </is>
      </c>
      <c r="H44" s="233" t="n"/>
      <c r="I44" s="239" t="inlineStr">
        <is>
          <t>https://dfi-events.org/s3-27/</t>
        </is>
      </c>
    </row>
    <row r="45" ht="30" customHeight="1">
      <c r="A45" s="236" t="n">
        <v>46631</v>
      </c>
      <c r="B45" s="240" t="inlineStr">
        <is>
          <t>ISSMGE</t>
        </is>
      </c>
      <c r="C45" s="232" t="inlineStr">
        <is>
          <t>30th European Young Geotechnical Engineers Conference (EYGEC 2027)</t>
        </is>
      </c>
      <c r="D45" s="238" t="inlineStr">
        <is>
          <t>ISSMGE-supported</t>
        </is>
      </c>
      <c r="E45" s="168" t="inlineStr">
        <is>
          <t>Sofia, Bulgaria</t>
        </is>
      </c>
      <c r="F45" s="168" t="inlineStr">
        <is>
          <t>1 Sep 2027</t>
        </is>
      </c>
      <c r="G45" s="233" t="n"/>
      <c r="H45" s="233" t="n"/>
      <c r="I45" s="239" t="inlineStr">
        <is>
          <t>https://www.issmge.org/events/30th-european-young-geotechnical-engineers-conference-eygec-2027</t>
        </is>
      </c>
    </row>
    <row r="46" ht="30" customHeight="1">
      <c r="A46" s="236" t="n">
        <v>46644</v>
      </c>
      <c r="B46" s="240" t="inlineStr">
        <is>
          <t>ISSMGE</t>
        </is>
      </c>
      <c r="C46" s="232" t="inlineStr">
        <is>
          <t>9th International Symposium on Deformation Characteristics of Geomaterials (IS-Ankara 2027)</t>
        </is>
      </c>
      <c r="D46" s="238" t="inlineStr">
        <is>
          <t>ISSMGE-supported</t>
        </is>
      </c>
      <c r="E46" s="168" t="inlineStr">
        <is>
          <t>Ankara, Türkiye</t>
        </is>
      </c>
      <c r="F46" s="168" t="inlineStr">
        <is>
          <t>14–17 Sep 2027</t>
        </is>
      </c>
      <c r="G46" s="233" t="inlineStr">
        <is>
          <t>ISSMGE TC101, Middle East Technical University (METU)</t>
        </is>
      </c>
      <c r="H46" s="233" t="inlineStr">
        <is>
          <t>Abstracts: 21 Sep 2026 (passed)</t>
        </is>
      </c>
      <c r="I46" s="239" t="inlineStr">
        <is>
          <t>https://www.issmge.org/news/tc223-june-news-update</t>
        </is>
      </c>
    </row>
    <row r="47" ht="30" customHeight="1">
      <c r="A47" s="236" t="n">
        <v>46644</v>
      </c>
      <c r="B47" s="240" t="n"/>
      <c r="C47" s="232" t="inlineStr">
        <is>
          <t>Energy Geotechnics</t>
        </is>
      </c>
      <c r="D47" s="241" t="inlineStr">
        <is>
          <t>Other conference</t>
        </is>
      </c>
      <c r="E47" s="168" t="inlineStr">
        <is>
          <t>Leeds, United Kingdom</t>
        </is>
      </c>
      <c r="F47" s="168" t="inlineStr">
        <is>
          <t>14 Sep 2027</t>
        </is>
      </c>
      <c r="G47" s="233" t="inlineStr">
        <is>
          <t>British Geotechnical Association (BGA)</t>
        </is>
      </c>
      <c r="H47" s="233" t="n"/>
      <c r="I47" s="239" t="inlineStr">
        <is>
          <t>https://www.britishgeotech.org/event/energy-geotechnics/</t>
        </is>
      </c>
    </row>
    <row r="48" ht="67.5" customHeight="1">
      <c r="A48" s="236" t="n">
        <v>46651</v>
      </c>
      <c r="B48" s="240" t="inlineStr">
        <is>
          <t>ISSMGE</t>
        </is>
      </c>
      <c r="C48" s="232" t="inlineStr">
        <is>
          <t>11th European Conference on Numerical Methods in Geotechnical Engineering (NUMGE 2027)</t>
        </is>
      </c>
      <c r="D48" s="238" t="inlineStr">
        <is>
          <t>ISSMGE-supported</t>
        </is>
      </c>
      <c r="E48" s="168" t="inlineStr">
        <is>
          <t>Graz, Austria</t>
        </is>
      </c>
      <c r="F48" s="168" t="inlineStr">
        <is>
          <t>21–24 Sep 2027</t>
        </is>
      </c>
      <c r="G48" s="233" t="inlineStr">
        <is>
          <t>Institute of Soil Mechanics, Foundation Engineering and Computational Geotechnics, Graz University of Technology</t>
        </is>
      </c>
      <c r="H48" s="233" t="inlineStr">
        <is>
          <t>Sessions and workshops (closed): 14 Aug 2026 (passed)
Abstracts (closed): 1 Sep 2026 (passed)
Notification of accepted abstracts: 11 Dec 2026
Manuscripts: 19 Mar 2027
Final papers: 30 May 2027</t>
        </is>
      </c>
      <c r="I48" s="239" t="inlineStr">
        <is>
          <t>https://www.issmge.org/events/numge2027</t>
        </is>
      </c>
    </row>
    <row r="49" ht="30" customHeight="1">
      <c r="A49" s="236" t="n">
        <v>46692</v>
      </c>
      <c r="B49" s="240" t="n"/>
      <c r="C49" s="232" t="inlineStr">
        <is>
          <t>DFI's 52nd Annual Conference on Deep Foundations (DFI52)</t>
        </is>
      </c>
      <c r="D49" s="241" t="inlineStr">
        <is>
          <t>Other conference</t>
        </is>
      </c>
      <c r="E49" s="168" t="n"/>
      <c r="F49" s="168" t="inlineStr">
        <is>
          <t>1–4 Nov 2027</t>
        </is>
      </c>
      <c r="G49" s="233" t="inlineStr">
        <is>
          <t>Deep Foundations Institute (DFI)</t>
        </is>
      </c>
      <c r="H49" s="233" t="n"/>
      <c r="I49" s="239" t="inlineStr">
        <is>
          <t>https://dfi-events.org/dfi52/</t>
        </is>
      </c>
    </row>
    <row r="50" ht="30" customHeight="1">
      <c r="A50" s="236" t="n">
        <v>46692</v>
      </c>
      <c r="B50" s="240" t="inlineStr">
        <is>
          <t>ISSMGE</t>
        </is>
      </c>
      <c r="C50" s="232" t="inlineStr">
        <is>
          <t>The 10th International Congress on Environmental Geotechnics (10ICEG)</t>
        </is>
      </c>
      <c r="D50" s="238" t="inlineStr">
        <is>
          <t>ISSMGE-supported</t>
        </is>
      </c>
      <c r="E50" s="168" t="inlineStr">
        <is>
          <t>Kyoto, Japan</t>
        </is>
      </c>
      <c r="F50" s="168" t="inlineStr">
        <is>
          <t>1 Nov 2027</t>
        </is>
      </c>
      <c r="G50" s="233" t="n"/>
      <c r="H50" s="233" t="n"/>
      <c r="I50" s="239" t="inlineStr">
        <is>
          <t>https://www.issmge.org/events/10iceg</t>
        </is>
      </c>
    </row>
    <row r="51" ht="30" customHeight="1">
      <c r="A51" s="236" t="n">
        <v>46700</v>
      </c>
      <c r="B51" s="240" t="inlineStr">
        <is>
          <t>ISSMGE</t>
        </is>
      </c>
      <c r="C51" s="232" t="inlineStr">
        <is>
          <t>18th Asian Regional Conference on Soil Mechanics and Geotechnical Engineering (18ARC)</t>
        </is>
      </c>
      <c r="D51" s="243" t="inlineStr">
        <is>
          <t>ISSMGE conference</t>
        </is>
      </c>
      <c r="E51" s="168" t="inlineStr">
        <is>
          <t>Bangkok, Thailand</t>
        </is>
      </c>
      <c r="F51" s="168" t="inlineStr">
        <is>
          <t>9–13 Nov 2027</t>
        </is>
      </c>
      <c r="G51" s="233" t="inlineStr">
        <is>
          <t>Thai Geotechnical Society, under the auspices of ISSMGE</t>
        </is>
      </c>
      <c r="H51" s="233" t="n"/>
      <c r="I51" s="239" t="inlineStr">
        <is>
          <t>https://www.issmge.org/events/18arc</t>
        </is>
      </c>
    </row>
    <row r="52" ht="30" customHeight="1">
      <c r="A52" s="236" t="n">
        <v>46716</v>
      </c>
      <c r="B52" s="240" t="n"/>
      <c r="C52" s="232" t="inlineStr">
        <is>
          <t>The Fourth Vietnam Symposium on Advances in Offshore Engineering (VSOE 2027)</t>
        </is>
      </c>
      <c r="D52" s="241" t="inlineStr">
        <is>
          <t>Other conference</t>
        </is>
      </c>
      <c r="E52" s="168" t="inlineStr">
        <is>
          <t>Ho Chi Minh City, Vietnam</t>
        </is>
      </c>
      <c r="F52" s="168" t="inlineStr">
        <is>
          <t>25 Nov 2027</t>
        </is>
      </c>
      <c r="G52" s="233" t="n"/>
      <c r="H52" s="233" t="n"/>
      <c r="I52" s="239" t="inlineStr">
        <is>
          <t>https://www.issmge.org/events/the-fourth-vietnam-symposium-on-advances-in-offshore-engineering-vsoe-2027</t>
        </is>
      </c>
    </row>
    <row r="53" ht="17.5" customHeight="1">
      <c r="A53" s="236" t="n">
        <v>46722</v>
      </c>
      <c r="B53" s="240" t="inlineStr">
        <is>
          <t>ISSMGE</t>
        </is>
      </c>
      <c r="C53" s="232" t="inlineStr">
        <is>
          <t>XIII Chilean Geotechnical Conference</t>
        </is>
      </c>
      <c r="D53" s="238" t="inlineStr">
        <is>
          <t>ISSMGE-supported</t>
        </is>
      </c>
      <c r="E53" s="168" t="inlineStr">
        <is>
          <t>Punta Arenas, Chile</t>
        </is>
      </c>
      <c r="F53" s="168" t="inlineStr">
        <is>
          <t>1 Dec 2027</t>
        </is>
      </c>
      <c r="G53" s="233" t="n"/>
      <c r="H53" s="233" t="n"/>
      <c r="I53" s="239" t="inlineStr">
        <is>
          <t>https://www.issmge.org/events/xiii-chilean-geotechnical-conference</t>
        </is>
      </c>
    </row>
    <row r="54" ht="30" customHeight="1">
      <c r="A54" s="236" t="n">
        <v>46924</v>
      </c>
      <c r="B54" s="240" t="inlineStr">
        <is>
          <t>ISSMGE</t>
        </is>
      </c>
      <c r="C54" s="232" t="inlineStr">
        <is>
          <t>6th European Conference on Physical Modelling in Geotechnics (ECPMG 2028)</t>
        </is>
      </c>
      <c r="D54" s="238" t="inlineStr">
        <is>
          <t>ISSMGE-supported</t>
        </is>
      </c>
      <c r="E54" s="168" t="inlineStr">
        <is>
          <t>Southampton, United Kingdom</t>
        </is>
      </c>
      <c r="F54" s="168" t="inlineStr">
        <is>
          <t>20 Jun 2028</t>
        </is>
      </c>
      <c r="G54" s="233" t="n"/>
      <c r="H54" s="233" t="n"/>
      <c r="I54" s="239" t="inlineStr">
        <is>
          <t>https://www.issmge.org/events/ecpmg-2028</t>
        </is>
      </c>
    </row>
    <row r="55" ht="42.5" customHeight="1">
      <c r="A55" s="236" t="n">
        <v>46985</v>
      </c>
      <c r="B55" s="240" t="inlineStr">
        <is>
          <t>ISSMGE</t>
        </is>
      </c>
      <c r="C55" s="232" t="inlineStr">
        <is>
          <t>19th European Conference on Soil Mechanics and Geotechnical Engineering (ECSMGE 2028)</t>
        </is>
      </c>
      <c r="D55" s="243" t="inlineStr">
        <is>
          <t>ISSMGE conference</t>
        </is>
      </c>
      <c r="E55" s="168" t="inlineStr">
        <is>
          <t>Istanbul, Türkiye</t>
        </is>
      </c>
      <c r="F55" s="168" t="inlineStr">
        <is>
          <t>20–25 Aug 2028</t>
        </is>
      </c>
      <c r="G55" s="233" t="inlineStr">
        <is>
          <t>Turkish Society for Soil Mechanics and Geotechnical Engineering</t>
        </is>
      </c>
      <c r="H55" s="233" t="n"/>
      <c r="I55"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241"/>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4" t="inlineStr">
        <is>
          <t>Sources · 238 outlets</t>
        </is>
      </c>
      <c r="C1" s="155" t="inlineStr">
        <is>
          <t>← Dashboard</t>
        </is>
      </c>
      <c r="D1" s="155" t="inlineStr">
        <is>
          <t>↑ Start here</t>
        </is>
      </c>
    </row>
    <row r="2" ht="16" customHeight="1">
      <c r="A2" s="156" t="inlineStr">
        <is>
          <t>One row per outlet, most stories first. ‘In current selection’ follows the Dashboard selectors; average relevance counts AI-rated stories only.</t>
        </is>
      </c>
    </row>
    <row r="3" ht="30" customHeight="1">
      <c r="A3" s="158" t="inlineStr">
        <is>
          <t>Source</t>
        </is>
      </c>
      <c r="B3" s="157" t="inlineStr">
        <is>
          <t>Stories</t>
        </is>
      </c>
      <c r="C3" s="157" t="inlineStr">
        <is>
          <t>In current selection</t>
        </is>
      </c>
      <c r="D3" s="157" t="inlineStr">
        <is>
          <t>Average relevance</t>
        </is>
      </c>
      <c r="E3" s="157" t="inlineStr">
        <is>
          <t>Rated 4 or 5</t>
        </is>
      </c>
      <c r="F3" s="158" t="inlineStr">
        <is>
          <t>Most frequent theme</t>
        </is>
      </c>
      <c r="G3" s="157" t="inlineStr">
        <is>
          <t>Themes covered</t>
        </is>
      </c>
      <c r="H3" s="158" t="inlineStr">
        <is>
          <t>Google News editions</t>
        </is>
      </c>
      <c r="I3" s="157" t="inlineStr">
        <is>
          <t>Latest digest</t>
        </is>
      </c>
    </row>
    <row r="4" ht="53" customHeight="1">
      <c r="A4" s="232" t="inlineStr">
        <is>
          <t>Vietnam.vn</t>
        </is>
      </c>
      <c r="B4" s="244" t="n">
        <v>47</v>
      </c>
      <c r="C4" s="245">
        <f>SUMPRODUCT(Stories!$W$4:$W$357,--(Stories!$J$4:$J$357=$A4))</f>
        <v/>
      </c>
      <c r="D4" s="246" t="n">
        <v>3.6</v>
      </c>
      <c r="E4" s="244" t="n">
        <v>27</v>
      </c>
      <c r="F4" s="247" t="inlineStr">
        <is>
          <t>Hazards &amp; Resilience</t>
        </is>
      </c>
      <c r="G4" s="244" t="n">
        <v>6</v>
      </c>
      <c r="H4" s="172" t="inlineStr">
        <is>
          <t>France, Egypt, Indonesia, South Korea, Spain, Vietnam, Russia, Colombia, Argentina, United Kingdom, Japan, Italy, China, Brazil</t>
        </is>
      </c>
      <c r="I4" s="248" t="n">
        <v>46326</v>
      </c>
    </row>
    <row r="5" ht="28" customHeight="1">
      <c r="A5" s="232" t="inlineStr">
        <is>
          <t>Tunnelling Journal</t>
        </is>
      </c>
      <c r="B5" s="244" t="n">
        <v>13</v>
      </c>
      <c r="C5" s="245">
        <f>SUMPRODUCT(Stories!$W$4:$W$357,--(Stories!$J$4:$J$357=$A5))</f>
        <v/>
      </c>
      <c r="D5" s="246" t="n">
        <v>3.7</v>
      </c>
      <c r="E5" s="244" t="n">
        <v>9</v>
      </c>
      <c r="F5" s="249" t="inlineStr">
        <is>
          <t>Infrastructure &amp; the Underground City</t>
        </is>
      </c>
      <c r="G5" s="244" t="n">
        <v>2</v>
      </c>
      <c r="H5" s="172" t="inlineStr"/>
      <c r="I5" s="248" t="n">
        <v>46326</v>
      </c>
    </row>
    <row r="6" ht="28" customHeight="1">
      <c r="A6" s="232" t="inlineStr">
        <is>
          <t>Tunnels &amp; Tunnelling</t>
        </is>
      </c>
      <c r="B6" s="244" t="n">
        <v>11</v>
      </c>
      <c r="C6" s="245">
        <f>SUMPRODUCT(Stories!$W$4:$W$357,--(Stories!$J$4:$J$357=$A6))</f>
        <v/>
      </c>
      <c r="D6" s="246" t="n">
        <v>3.9</v>
      </c>
      <c r="E6" s="244" t="n">
        <v>9</v>
      </c>
      <c r="F6" s="249" t="inlineStr">
        <is>
          <t>Infrastructure &amp; the Underground City</t>
        </is>
      </c>
      <c r="G6" s="244" t="n">
        <v>2</v>
      </c>
      <c r="H6" s="172" t="inlineStr"/>
      <c r="I6" s="248" t="n">
        <v>46325</v>
      </c>
    </row>
    <row r="7" ht="28" customHeight="1">
      <c r="A7" s="232" t="inlineStr">
        <is>
          <t>Ground Engineering</t>
        </is>
      </c>
      <c r="B7" s="244" t="n">
        <v>7</v>
      </c>
      <c r="C7" s="245">
        <f>SUMPRODUCT(Stories!$W$4:$W$357,--(Stories!$J$4:$J$357=$A7))</f>
        <v/>
      </c>
      <c r="D7" s="246" t="n">
        <v>3.7</v>
      </c>
      <c r="E7" s="244" t="n">
        <v>4</v>
      </c>
      <c r="F7" s="249" t="inlineStr">
        <is>
          <t>Infrastructure &amp; the Underground City</t>
        </is>
      </c>
      <c r="G7" s="244" t="n">
        <v>6</v>
      </c>
      <c r="H7" s="172" t="inlineStr"/>
      <c r="I7" s="248" t="n">
        <v>46325</v>
      </c>
    </row>
    <row r="8" ht="15.5" customHeight="1">
      <c r="A8" s="232" t="inlineStr">
        <is>
          <t>Bioengineer.org</t>
        </is>
      </c>
      <c r="B8" s="244" t="n">
        <v>5</v>
      </c>
      <c r="C8" s="245">
        <f>SUMPRODUCT(Stories!$W$4:$W$357,--(Stories!$J$4:$J$357=$A8))</f>
        <v/>
      </c>
      <c r="D8" s="246" t="n">
        <v>3.6</v>
      </c>
      <c r="E8" s="244" t="n">
        <v>3</v>
      </c>
      <c r="F8" s="250" t="inlineStr">
        <is>
          <t>Ground Improvement &amp; Innovation</t>
        </is>
      </c>
      <c r="G8" s="244" t="n">
        <v>4</v>
      </c>
      <c r="H8" s="172" t="inlineStr">
        <is>
          <t>United Kingdom, United States</t>
        </is>
      </c>
      <c r="I8" s="248" t="n">
        <v>46324</v>
      </c>
    </row>
    <row r="9" ht="28" customHeight="1">
      <c r="A9" s="232" t="inlineStr">
        <is>
          <t>El Sol de México</t>
        </is>
      </c>
      <c r="B9" s="244" t="n">
        <v>4</v>
      </c>
      <c r="C9" s="245">
        <f>SUMPRODUCT(Stories!$W$4:$W$357,--(Stories!$J$4:$J$357=$A9))</f>
        <v/>
      </c>
      <c r="D9" s="246" t="n">
        <v>3</v>
      </c>
      <c r="E9" s="244" t="n">
        <v>0</v>
      </c>
      <c r="F9" s="249" t="inlineStr">
        <is>
          <t>Infrastructure &amp; the Underground City</t>
        </is>
      </c>
      <c r="G9" s="244" t="n">
        <v>2</v>
      </c>
      <c r="H9" s="172" t="inlineStr">
        <is>
          <t>Colombia, Mexico</t>
        </is>
      </c>
      <c r="I9" s="248" t="n">
        <v>46326</v>
      </c>
    </row>
    <row r="10" ht="15.5" customHeight="1">
      <c r="A10" s="232" t="inlineStr">
        <is>
          <t>Yahoo!ニュース</t>
        </is>
      </c>
      <c r="B10" s="244" t="n">
        <v>4</v>
      </c>
      <c r="C10" s="245">
        <f>SUMPRODUCT(Stories!$W$4:$W$357,--(Stories!$J$4:$J$357=$A10))</f>
        <v/>
      </c>
      <c r="D10" s="246" t="n">
        <v>4</v>
      </c>
      <c r="E10" s="244" t="n">
        <v>3</v>
      </c>
      <c r="F10" s="247" t="inlineStr">
        <is>
          <t>Hazards &amp; Resilience</t>
        </is>
      </c>
      <c r="G10" s="244" t="n">
        <v>1</v>
      </c>
      <c r="H10" s="172" t="inlineStr">
        <is>
          <t>Japan</t>
        </is>
      </c>
      <c r="I10" s="248" t="n">
        <v>46323</v>
      </c>
    </row>
    <row r="11" ht="28" customHeight="1">
      <c r="A11" s="232" t="inlineStr">
        <is>
          <t>Debate</t>
        </is>
      </c>
      <c r="B11" s="244" t="n">
        <v>3</v>
      </c>
      <c r="C11" s="245">
        <f>SUMPRODUCT(Stories!$W$4:$W$357,--(Stories!$J$4:$J$357=$A11))</f>
        <v/>
      </c>
      <c r="D11" s="246" t="n">
        <v>3.3</v>
      </c>
      <c r="E11" s="244" t="n">
        <v>1</v>
      </c>
      <c r="F11" s="249" t="inlineStr">
        <is>
          <t>Infrastructure &amp; the Underground City</t>
        </is>
      </c>
      <c r="G11" s="244" t="n">
        <v>2</v>
      </c>
      <c r="H11" s="172" t="inlineStr">
        <is>
          <t>Colombia</t>
        </is>
      </c>
      <c r="I11" s="248" t="n">
        <v>46325</v>
      </c>
    </row>
    <row r="12" ht="28" customHeight="1">
      <c r="A12" s="232" t="inlineStr">
        <is>
          <t>Haberler</t>
        </is>
      </c>
      <c r="B12" s="244" t="n">
        <v>3</v>
      </c>
      <c r="C12" s="245">
        <f>SUMPRODUCT(Stories!$W$4:$W$357,--(Stories!$J$4:$J$357=$A12))</f>
        <v/>
      </c>
      <c r="D12" s="246" t="n">
        <v>3</v>
      </c>
      <c r="E12" s="244" t="n">
        <v>0</v>
      </c>
      <c r="F12" s="249" t="inlineStr">
        <is>
          <t>Infrastructure &amp; the Underground City</t>
        </is>
      </c>
      <c r="G12" s="244" t="n">
        <v>2</v>
      </c>
      <c r="H12" s="172" t="inlineStr">
        <is>
          <t>Russia</t>
        </is>
      </c>
      <c r="I12" s="248" t="n">
        <v>46326</v>
      </c>
    </row>
    <row r="13" ht="15.5" customHeight="1">
      <c r="A13" s="232" t="inlineStr">
        <is>
          <t>Infobae</t>
        </is>
      </c>
      <c r="B13" s="244" t="n">
        <v>3</v>
      </c>
      <c r="C13" s="245">
        <f>SUMPRODUCT(Stories!$W$4:$W$357,--(Stories!$J$4:$J$357=$A13))</f>
        <v/>
      </c>
      <c r="D13" s="246" t="n">
        <v>4</v>
      </c>
      <c r="E13" s="244" t="n">
        <v>2</v>
      </c>
      <c r="F13" s="247" t="inlineStr">
        <is>
          <t>Hazards &amp; Resilience</t>
        </is>
      </c>
      <c r="G13" s="244" t="n">
        <v>2</v>
      </c>
      <c r="H13" s="172" t="inlineStr">
        <is>
          <t>Spain, Argentina, Colombia</t>
        </is>
      </c>
      <c r="I13" s="248" t="n">
        <v>46321</v>
      </c>
    </row>
    <row r="14" ht="15.5" customHeight="1">
      <c r="A14" s="232" t="inlineStr">
        <is>
          <t>La Tercera</t>
        </is>
      </c>
      <c r="B14" s="244" t="n">
        <v>3</v>
      </c>
      <c r="C14" s="245">
        <f>SUMPRODUCT(Stories!$W$4:$W$357,--(Stories!$J$4:$J$357=$A14))</f>
        <v/>
      </c>
      <c r="D14" s="246" t="n">
        <v>4</v>
      </c>
      <c r="E14" s="244" t="n">
        <v>3</v>
      </c>
      <c r="F14" s="247" t="inlineStr">
        <is>
          <t>Hazards &amp; Resilience</t>
        </is>
      </c>
      <c r="G14" s="244" t="n">
        <v>1</v>
      </c>
      <c r="H14" s="172" t="inlineStr">
        <is>
          <t>Chile</t>
        </is>
      </c>
      <c r="I14" s="248" t="n">
        <v>46324</v>
      </c>
    </row>
    <row r="15" ht="15.5" customHeight="1">
      <c r="A15" s="232" t="inlineStr">
        <is>
          <t>NST Online</t>
        </is>
      </c>
      <c r="B15" s="244" t="n">
        <v>3</v>
      </c>
      <c r="C15" s="245">
        <f>SUMPRODUCT(Stories!$W$4:$W$357,--(Stories!$J$4:$J$357=$A15))</f>
        <v/>
      </c>
      <c r="D15" s="246" t="n">
        <v>3.3</v>
      </c>
      <c r="E15" s="244" t="n">
        <v>1</v>
      </c>
      <c r="F15" s="247" t="inlineStr">
        <is>
          <t>Hazards &amp; Resilience</t>
        </is>
      </c>
      <c r="G15" s="244" t="n">
        <v>2</v>
      </c>
      <c r="H15" s="172" t="inlineStr">
        <is>
          <t>United Kingdom, Australia</t>
        </is>
      </c>
      <c r="I15" s="248" t="n">
        <v>46323</v>
      </c>
    </row>
    <row r="16" ht="15.5" customHeight="1">
      <c r="A16" s="232" t="inlineStr">
        <is>
          <t>www.noroeste.com.mx</t>
        </is>
      </c>
      <c r="B16" s="244" t="n">
        <v>3</v>
      </c>
      <c r="C16" s="245">
        <f>SUMPRODUCT(Stories!$W$4:$W$357,--(Stories!$J$4:$J$357=$A16))</f>
        <v/>
      </c>
      <c r="D16" s="246" t="n">
        <v>3.3</v>
      </c>
      <c r="E16" s="244" t="n">
        <v>1</v>
      </c>
      <c r="F16" s="251" t="inlineStr">
        <is>
          <t>Offshore, Coasts &amp; Water</t>
        </is>
      </c>
      <c r="G16" s="244" t="n">
        <v>2</v>
      </c>
      <c r="H16" s="172" t="inlineStr">
        <is>
          <t>Colombia</t>
        </is>
      </c>
      <c r="I16" s="248" t="n">
        <v>46324</v>
      </c>
    </row>
    <row r="17" ht="28" customHeight="1">
      <c r="A17" s="232" t="inlineStr">
        <is>
          <t>78.ru</t>
        </is>
      </c>
      <c r="B17" s="244" t="n">
        <v>2</v>
      </c>
      <c r="C17" s="245">
        <f>SUMPRODUCT(Stories!$W$4:$W$357,--(Stories!$J$4:$J$357=$A17))</f>
        <v/>
      </c>
      <c r="D17" s="246" t="n">
        <v>3</v>
      </c>
      <c r="E17" s="244" t="n">
        <v>0</v>
      </c>
      <c r="F17" s="249" t="inlineStr">
        <is>
          <t>Infrastructure &amp; the Underground City</t>
        </is>
      </c>
      <c r="G17" s="244" t="n">
        <v>1</v>
      </c>
      <c r="H17" s="172" t="inlineStr">
        <is>
          <t>Russia</t>
        </is>
      </c>
      <c r="I17" s="248" t="n">
        <v>46324</v>
      </c>
    </row>
    <row r="18" ht="15.5" customHeight="1">
      <c r="A18" s="232" t="inlineStr">
        <is>
          <t>China Press</t>
        </is>
      </c>
      <c r="B18" s="244" t="n">
        <v>2</v>
      </c>
      <c r="C18" s="245">
        <f>SUMPRODUCT(Stories!$W$4:$W$357,--(Stories!$J$4:$J$357=$A18))</f>
        <v/>
      </c>
      <c r="D18" s="246" t="n">
        <v>5</v>
      </c>
      <c r="E18" s="244" t="n">
        <v>2</v>
      </c>
      <c r="F18" s="247" t="inlineStr">
        <is>
          <t>Hazards &amp; Resilience</t>
        </is>
      </c>
      <c r="G18" s="244" t="n">
        <v>1</v>
      </c>
      <c r="H18" s="172" t="inlineStr">
        <is>
          <t>China</t>
        </is>
      </c>
      <c r="I18" s="248" t="n">
        <v>46321</v>
      </c>
    </row>
    <row r="19" ht="15.5" customHeight="1">
      <c r="A19" s="232" t="inlineStr">
        <is>
          <t>Cooperativa</t>
        </is>
      </c>
      <c r="B19" s="244" t="n">
        <v>2</v>
      </c>
      <c r="C19" s="245">
        <f>SUMPRODUCT(Stories!$W$4:$W$357,--(Stories!$J$4:$J$357=$A19))</f>
        <v/>
      </c>
      <c r="D19" s="246" t="n">
        <v>4</v>
      </c>
      <c r="E19" s="244" t="n">
        <v>2</v>
      </c>
      <c r="F19" s="247" t="inlineStr">
        <is>
          <t>Hazards &amp; Resilience</t>
        </is>
      </c>
      <c r="G19" s="244" t="n">
        <v>2</v>
      </c>
      <c r="H19" s="172" t="inlineStr">
        <is>
          <t>Chile, Colombia</t>
        </is>
      </c>
      <c r="I19" s="248" t="n">
        <v>46321</v>
      </c>
    </row>
    <row r="20" ht="28" customHeight="1">
      <c r="A20" s="232" t="inlineStr">
        <is>
          <t>El Comercio</t>
        </is>
      </c>
      <c r="B20" s="244" t="n">
        <v>2</v>
      </c>
      <c r="C20" s="245">
        <f>SUMPRODUCT(Stories!$W$4:$W$357,--(Stories!$J$4:$J$357=$A20))</f>
        <v/>
      </c>
      <c r="D20" s="246" t="n">
        <v>3</v>
      </c>
      <c r="E20" s="244" t="n">
        <v>0</v>
      </c>
      <c r="F20" s="249" t="inlineStr">
        <is>
          <t>Infrastructure &amp; the Underground City</t>
        </is>
      </c>
      <c r="G20" s="244" t="n">
        <v>1</v>
      </c>
      <c r="H20" s="172" t="inlineStr">
        <is>
          <t>Colombia, Spain</t>
        </is>
      </c>
      <c r="I20" s="248" t="n">
        <v>46326</v>
      </c>
    </row>
    <row r="21" ht="28" customHeight="1">
      <c r="A21" s="232" t="inlineStr">
        <is>
          <t>El Diario Ecuador</t>
        </is>
      </c>
      <c r="B21" s="244" t="n">
        <v>2</v>
      </c>
      <c r="C21" s="245">
        <f>SUMPRODUCT(Stories!$W$4:$W$357,--(Stories!$J$4:$J$357=$A21))</f>
        <v/>
      </c>
      <c r="D21" s="246" t="n">
        <v>3</v>
      </c>
      <c r="E21" s="244" t="n">
        <v>0</v>
      </c>
      <c r="F21" s="249" t="inlineStr">
        <is>
          <t>Infrastructure &amp; the Underground City</t>
        </is>
      </c>
      <c r="G21" s="244" t="n">
        <v>1</v>
      </c>
      <c r="H21" s="172" t="inlineStr">
        <is>
          <t>Colombia</t>
        </is>
      </c>
      <c r="I21" s="248" t="n">
        <v>46326</v>
      </c>
    </row>
    <row r="22" ht="15.5" customHeight="1">
      <c r="A22" s="232" t="inlineStr">
        <is>
          <t>El Universal</t>
        </is>
      </c>
      <c r="B22" s="244" t="n">
        <v>2</v>
      </c>
      <c r="C22" s="245">
        <f>SUMPRODUCT(Stories!$W$4:$W$357,--(Stories!$J$4:$J$357=$A22))</f>
        <v/>
      </c>
      <c r="D22" s="246" t="n">
        <v>3.5</v>
      </c>
      <c r="E22" s="244" t="n">
        <v>1</v>
      </c>
      <c r="F22" s="247" t="inlineStr">
        <is>
          <t>Hazards &amp; Resilience</t>
        </is>
      </c>
      <c r="G22" s="244" t="n">
        <v>2</v>
      </c>
      <c r="H22" s="172" t="inlineStr">
        <is>
          <t>Spain, Colombia</t>
        </is>
      </c>
      <c r="I22" s="248" t="n">
        <v>46321</v>
      </c>
    </row>
    <row r="23" ht="28" customHeight="1">
      <c r="A23" s="232" t="inlineStr">
        <is>
          <t>El Universo</t>
        </is>
      </c>
      <c r="B23" s="244" t="n">
        <v>2</v>
      </c>
      <c r="C23" s="245">
        <f>SUMPRODUCT(Stories!$W$4:$W$357,--(Stories!$J$4:$J$357=$A23))</f>
        <v/>
      </c>
      <c r="D23" s="246" t="n">
        <v>3.5</v>
      </c>
      <c r="E23" s="244" t="n">
        <v>1</v>
      </c>
      <c r="F23" s="249" t="inlineStr">
        <is>
          <t>Infrastructure &amp; the Underground City</t>
        </is>
      </c>
      <c r="G23" s="244" t="n">
        <v>1</v>
      </c>
      <c r="H23" s="172" t="inlineStr">
        <is>
          <t>Colombia</t>
        </is>
      </c>
      <c r="I23" s="248" t="n">
        <v>46323</v>
      </c>
    </row>
    <row r="24" ht="28" customHeight="1">
      <c r="A24" s="232" t="inlineStr">
        <is>
          <t>ETV Bharat</t>
        </is>
      </c>
      <c r="B24" s="244" t="n">
        <v>2</v>
      </c>
      <c r="C24" s="245">
        <f>SUMPRODUCT(Stories!$W$4:$W$357,--(Stories!$J$4:$J$357=$A24))</f>
        <v/>
      </c>
      <c r="D24" s="246" t="n">
        <v>4</v>
      </c>
      <c r="E24" s="244" t="n">
        <v>2</v>
      </c>
      <c r="F24" s="249" t="inlineStr">
        <is>
          <t>Infrastructure &amp; the Underground City</t>
        </is>
      </c>
      <c r="G24" s="244" t="n">
        <v>1</v>
      </c>
      <c r="H24" s="172" t="inlineStr">
        <is>
          <t>India</t>
        </is>
      </c>
      <c r="I24" s="248" t="n">
        <v>46322</v>
      </c>
    </row>
    <row r="25" ht="28" customHeight="1">
      <c r="A25" s="232" t="inlineStr">
        <is>
          <t>Geoengineer.org</t>
        </is>
      </c>
      <c r="B25" s="244" t="n">
        <v>2</v>
      </c>
      <c r="C25" s="245">
        <f>SUMPRODUCT(Stories!$W$4:$W$357,--(Stories!$J$4:$J$357=$A25))</f>
        <v/>
      </c>
      <c r="D25" s="246" t="n">
        <v>4</v>
      </c>
      <c r="E25" s="244" t="n">
        <v>1</v>
      </c>
      <c r="F25" s="249" t="inlineStr">
        <is>
          <t>Infrastructure &amp; the Underground City</t>
        </is>
      </c>
      <c r="G25" s="244" t="n">
        <v>2</v>
      </c>
      <c r="H25" s="172" t="inlineStr">
        <is>
          <t>United States</t>
        </is>
      </c>
      <c r="I25" s="248" t="n">
        <v>46326</v>
      </c>
    </row>
    <row r="26" ht="15.5" customHeight="1">
      <c r="A26" s="232" t="inlineStr">
        <is>
          <t>Geomechanics.io</t>
        </is>
      </c>
      <c r="B26" s="244" t="n">
        <v>2</v>
      </c>
      <c r="C26" s="245">
        <f>SUMPRODUCT(Stories!$W$4:$W$357,--(Stories!$J$4:$J$357=$A26))</f>
        <v/>
      </c>
      <c r="D26" s="246" t="n">
        <v>3.5</v>
      </c>
      <c r="E26" s="244" t="n">
        <v>1</v>
      </c>
      <c r="F26" s="247" t="inlineStr">
        <is>
          <t>Hazards &amp; Resilience</t>
        </is>
      </c>
      <c r="G26" s="244" t="n">
        <v>2</v>
      </c>
      <c r="H26" s="172" t="inlineStr">
        <is>
          <t>United Kingdom</t>
        </is>
      </c>
      <c r="I26" s="248" t="n">
        <v>46325</v>
      </c>
    </row>
    <row r="27" ht="15.5" customHeight="1">
      <c r="A27" s="232" t="inlineStr">
        <is>
          <t>Laodong.vn</t>
        </is>
      </c>
      <c r="B27" s="244" t="n">
        <v>2</v>
      </c>
      <c r="C27" s="245">
        <f>SUMPRODUCT(Stories!$W$4:$W$357,--(Stories!$J$4:$J$357=$A27))</f>
        <v/>
      </c>
      <c r="D27" s="246" t="n">
        <v>4</v>
      </c>
      <c r="E27" s="244" t="n">
        <v>2</v>
      </c>
      <c r="F27" s="247" t="inlineStr">
        <is>
          <t>Hazards &amp; Resilience</t>
        </is>
      </c>
      <c r="G27" s="244" t="n">
        <v>2</v>
      </c>
      <c r="H27" s="172" t="inlineStr">
        <is>
          <t>France, South Korea</t>
        </is>
      </c>
      <c r="I27" s="248" t="n">
        <v>46324</v>
      </c>
    </row>
    <row r="28" ht="15.5" customHeight="1">
      <c r="A28" s="232" t="inlineStr">
        <is>
          <t>Periódico La Voz</t>
        </is>
      </c>
      <c r="B28" s="244" t="n">
        <v>2</v>
      </c>
      <c r="C28" s="245">
        <f>SUMPRODUCT(Stories!$W$4:$W$357,--(Stories!$J$4:$J$357=$A28))</f>
        <v/>
      </c>
      <c r="D28" s="246" t="n">
        <v>4</v>
      </c>
      <c r="E28" s="244" t="n">
        <v>2</v>
      </c>
      <c r="F28" s="247" t="inlineStr">
        <is>
          <t>Hazards &amp; Resilience</t>
        </is>
      </c>
      <c r="G28" s="244" t="n">
        <v>1</v>
      </c>
      <c r="H28" s="172" t="inlineStr">
        <is>
          <t>Spain, Mexico</t>
        </is>
      </c>
      <c r="I28" s="248" t="n">
        <v>46325</v>
      </c>
    </row>
    <row r="29" ht="15.5" customHeight="1">
      <c r="A29" s="232" t="inlineStr">
        <is>
          <t>Phys.org Earth Sciences</t>
        </is>
      </c>
      <c r="B29" s="244" t="n">
        <v>2</v>
      </c>
      <c r="C29" s="245">
        <f>SUMPRODUCT(Stories!$W$4:$W$357,--(Stories!$J$4:$J$357=$A29))</f>
        <v/>
      </c>
      <c r="D29" s="246" t="n">
        <v>4</v>
      </c>
      <c r="E29" s="244" t="n">
        <v>2</v>
      </c>
      <c r="F29" s="252" t="inlineStr">
        <is>
          <t>Digital Geotechnics</t>
        </is>
      </c>
      <c r="G29" s="244" t="n">
        <v>2</v>
      </c>
      <c r="H29" s="172" t="inlineStr"/>
      <c r="I29" s="248" t="n">
        <v>46325</v>
      </c>
    </row>
    <row r="30" ht="15.5" customHeight="1">
      <c r="A30" s="232" t="inlineStr">
        <is>
          <t>pless.pl</t>
        </is>
      </c>
      <c r="B30" s="244" t="n">
        <v>2</v>
      </c>
      <c r="C30" s="245">
        <f>SUMPRODUCT(Stories!$W$4:$W$357,--(Stories!$J$4:$J$357=$A30))</f>
        <v/>
      </c>
      <c r="D30" s="246" t="n">
        <v>3</v>
      </c>
      <c r="E30" s="244" t="n">
        <v>0</v>
      </c>
      <c r="F30" s="247" t="inlineStr">
        <is>
          <t>Hazards &amp; Resilience</t>
        </is>
      </c>
      <c r="G30" s="244" t="n">
        <v>1</v>
      </c>
      <c r="H30" s="172" t="inlineStr">
        <is>
          <t>Poland</t>
        </is>
      </c>
      <c r="I30" s="248" t="n">
        <v>46326</v>
      </c>
    </row>
    <row r="31" ht="15.5" customHeight="1">
      <c r="A31" s="232" t="inlineStr">
        <is>
          <t>Revista Digital Minera REDIMIN</t>
        </is>
      </c>
      <c r="B31" s="244" t="n">
        <v>2</v>
      </c>
      <c r="C31" s="245">
        <f>SUMPRODUCT(Stories!$W$4:$W$357,--(Stories!$J$4:$J$357=$A31))</f>
        <v/>
      </c>
      <c r="D31" s="246" t="n">
        <v>4.5</v>
      </c>
      <c r="E31" s="244" t="n">
        <v>2</v>
      </c>
      <c r="F31" s="247" t="inlineStr">
        <is>
          <t>Hazards &amp; Resilience</t>
        </is>
      </c>
      <c r="G31" s="244" t="n">
        <v>1</v>
      </c>
      <c r="H31" s="172" t="inlineStr">
        <is>
          <t>Chile, Argentina</t>
        </is>
      </c>
      <c r="I31" s="248" t="n">
        <v>46324</v>
      </c>
    </row>
    <row r="32" ht="15.5" customHeight="1">
      <c r="A32" s="232" t="inlineStr">
        <is>
          <t>UA.NEWS</t>
        </is>
      </c>
      <c r="B32" s="244" t="n">
        <v>2</v>
      </c>
      <c r="C32" s="245">
        <f>SUMPRODUCT(Stories!$W$4:$W$357,--(Stories!$J$4:$J$357=$A32))</f>
        <v/>
      </c>
      <c r="D32" s="246" t="n">
        <v>4</v>
      </c>
      <c r="E32" s="244" t="n">
        <v>2</v>
      </c>
      <c r="F32" s="247" t="inlineStr">
        <is>
          <t>Hazards &amp; Resilience</t>
        </is>
      </c>
      <c r="G32" s="244" t="n">
        <v>1</v>
      </c>
      <c r="H32" s="172" t="inlineStr">
        <is>
          <t>United States, Russia</t>
        </is>
      </c>
      <c r="I32" s="248" t="n">
        <v>46322</v>
      </c>
    </row>
    <row r="33" ht="15.5" customHeight="1">
      <c r="A33" s="232" t="inlineStr">
        <is>
          <t>World Highways</t>
        </is>
      </c>
      <c r="B33" s="244" t="n">
        <v>2</v>
      </c>
      <c r="C33" s="245">
        <f>SUMPRODUCT(Stories!$W$4:$W$357,--(Stories!$J$4:$J$357=$A33))</f>
        <v/>
      </c>
      <c r="D33" s="246" t="n">
        <v>3.5</v>
      </c>
      <c r="E33" s="244" t="n">
        <v>1</v>
      </c>
      <c r="F33" s="250" t="inlineStr">
        <is>
          <t>Ground Improvement &amp; Innovation</t>
        </is>
      </c>
      <c r="G33" s="244" t="n">
        <v>2</v>
      </c>
      <c r="H33" s="172" t="inlineStr"/>
      <c r="I33" s="248" t="n">
        <v>46325</v>
      </c>
    </row>
    <row r="34" ht="28" customHeight="1">
      <c r="A34" s="232" t="inlineStr">
        <is>
          <t>Новости Воронежа интернет-газета</t>
        </is>
      </c>
      <c r="B34" s="244" t="n">
        <v>2</v>
      </c>
      <c r="C34" s="245">
        <f>SUMPRODUCT(Stories!$W$4:$W$357,--(Stories!$J$4:$J$357=$A34))</f>
        <v/>
      </c>
      <c r="D34" s="246" t="n">
        <v>3</v>
      </c>
      <c r="E34" s="244" t="n">
        <v>0</v>
      </c>
      <c r="F34" s="249" t="inlineStr">
        <is>
          <t>Infrastructure &amp; the Underground City</t>
        </is>
      </c>
      <c r="G34" s="244" t="n">
        <v>1</v>
      </c>
      <c r="H34" s="172" t="inlineStr">
        <is>
          <t>Russia</t>
        </is>
      </c>
      <c r="I34" s="248" t="n">
        <v>46321</v>
      </c>
    </row>
    <row r="35" ht="15.5" customHeight="1">
      <c r="A35" s="232" t="inlineStr">
        <is>
          <t>生物通</t>
        </is>
      </c>
      <c r="B35" s="244" t="n">
        <v>2</v>
      </c>
      <c r="C35" s="245">
        <f>SUMPRODUCT(Stories!$W$4:$W$357,--(Stories!$J$4:$J$357=$A35))</f>
        <v/>
      </c>
      <c r="D35" s="246" t="n">
        <v>4.5</v>
      </c>
      <c r="E35" s="244" t="n">
        <v>2</v>
      </c>
      <c r="F35" s="252" t="inlineStr">
        <is>
          <t>Digital Geotechnics</t>
        </is>
      </c>
      <c r="G35" s="244" t="n">
        <v>2</v>
      </c>
      <c r="H35" s="172" t="inlineStr">
        <is>
          <t>China</t>
        </is>
      </c>
      <c r="I35" s="248" t="n">
        <v>46319</v>
      </c>
    </row>
    <row r="36" ht="15.5" customHeight="1">
      <c r="A36" s="232" t="inlineStr">
        <is>
          <t>読売新聞</t>
        </is>
      </c>
      <c r="B36" s="244" t="n">
        <v>2</v>
      </c>
      <c r="C36" s="245">
        <f>SUMPRODUCT(Stories!$W$4:$W$357,--(Stories!$J$4:$J$357=$A36))</f>
        <v/>
      </c>
      <c r="D36" s="246" t="n">
        <v>4.5</v>
      </c>
      <c r="E36" s="244" t="n">
        <v>2</v>
      </c>
      <c r="F36" s="247" t="inlineStr">
        <is>
          <t>Hazards &amp; Resilience</t>
        </is>
      </c>
      <c r="G36" s="244" t="n">
        <v>1</v>
      </c>
      <c r="H36" s="172" t="inlineStr">
        <is>
          <t>Japan</t>
        </is>
      </c>
      <c r="I36" s="248" t="n">
        <v>46322</v>
      </c>
    </row>
    <row r="37" ht="15.5" customHeight="1">
      <c r="A37" s="232" t="inlineStr">
        <is>
          <t>24horas</t>
        </is>
      </c>
      <c r="B37" s="244" t="n">
        <v>1</v>
      </c>
      <c r="C37" s="245">
        <f>SUMPRODUCT(Stories!$W$4:$W$357,--(Stories!$J$4:$J$357=$A37))</f>
        <v/>
      </c>
      <c r="D37" s="246" t="n">
        <v>3</v>
      </c>
      <c r="E37" s="244" t="n">
        <v>0</v>
      </c>
      <c r="F37" s="253" t="inlineStr">
        <is>
          <t>Characterisation &amp; Modelling</t>
        </is>
      </c>
      <c r="G37" s="244" t="n">
        <v>1</v>
      </c>
      <c r="H37" s="172" t="inlineStr">
        <is>
          <t>Chile</t>
        </is>
      </c>
      <c r="I37" s="248" t="n">
        <v>46324</v>
      </c>
    </row>
    <row r="38" ht="15.5" customHeight="1">
      <c r="A38" s="232" t="inlineStr">
        <is>
          <t>:: Foro Coatza ::</t>
        </is>
      </c>
      <c r="B38" s="244" t="n">
        <v>1</v>
      </c>
      <c r="C38" s="245">
        <f>SUMPRODUCT(Stories!$W$4:$W$357,--(Stories!$J$4:$J$357=$A38))</f>
        <v/>
      </c>
      <c r="D38" s="246" t="n">
        <v>3</v>
      </c>
      <c r="E38" s="244" t="n">
        <v>0</v>
      </c>
      <c r="F38" s="251" t="inlineStr">
        <is>
          <t>Offshore, Coasts &amp; Water</t>
        </is>
      </c>
      <c r="G38" s="244" t="n">
        <v>1</v>
      </c>
      <c r="H38" s="172" t="inlineStr">
        <is>
          <t>Argentina</t>
        </is>
      </c>
      <c r="I38" s="248" t="n">
        <v>46319</v>
      </c>
    </row>
    <row r="39" ht="28" customHeight="1">
      <c r="A39" s="232" t="inlineStr">
        <is>
          <t>ABC27</t>
        </is>
      </c>
      <c r="B39" s="244" t="n">
        <v>1</v>
      </c>
      <c r="C39" s="245">
        <f>SUMPRODUCT(Stories!$W$4:$W$357,--(Stories!$J$4:$J$357=$A39))</f>
        <v/>
      </c>
      <c r="D39" s="246" t="n">
        <v>3</v>
      </c>
      <c r="E39" s="244" t="n">
        <v>0</v>
      </c>
      <c r="F39" s="249" t="inlineStr">
        <is>
          <t>Infrastructure &amp; the Underground City</t>
        </is>
      </c>
      <c r="G39" s="244" t="n">
        <v>1</v>
      </c>
      <c r="H39" s="172" t="inlineStr">
        <is>
          <t>United Kingdom</t>
        </is>
      </c>
      <c r="I39" s="248" t="n">
        <v>46320</v>
      </c>
    </row>
    <row r="40" ht="15.5" customHeight="1">
      <c r="A40" s="232" t="inlineStr">
        <is>
          <t>Abruzzo Popolare</t>
        </is>
      </c>
      <c r="B40" s="244" t="n">
        <v>1</v>
      </c>
      <c r="C40" s="245">
        <f>SUMPRODUCT(Stories!$W$4:$W$357,--(Stories!$J$4:$J$357=$A40))</f>
        <v/>
      </c>
      <c r="D40" s="246" t="n">
        <v>4</v>
      </c>
      <c r="E40" s="244" t="n">
        <v>1</v>
      </c>
      <c r="F40" s="247" t="inlineStr">
        <is>
          <t>Hazards &amp; Resilience</t>
        </is>
      </c>
      <c r="G40" s="244" t="n">
        <v>1</v>
      </c>
      <c r="H40" s="172" t="inlineStr">
        <is>
          <t>Italy</t>
        </is>
      </c>
      <c r="I40" s="248" t="n">
        <v>46326</v>
      </c>
    </row>
    <row r="41" ht="15.5" customHeight="1">
      <c r="A41" s="232" t="inlineStr">
        <is>
          <t>ADN Radio</t>
        </is>
      </c>
      <c r="B41" s="244" t="n">
        <v>1</v>
      </c>
      <c r="C41" s="245">
        <f>SUMPRODUCT(Stories!$W$4:$W$357,--(Stories!$J$4:$J$357=$A41))</f>
        <v/>
      </c>
      <c r="D41" s="246" t="n">
        <v>4</v>
      </c>
      <c r="E41" s="244" t="n">
        <v>1</v>
      </c>
      <c r="F41" s="247" t="inlineStr">
        <is>
          <t>Hazards &amp; Resilience</t>
        </is>
      </c>
      <c r="G41" s="244" t="n">
        <v>1</v>
      </c>
      <c r="H41" s="172" t="inlineStr">
        <is>
          <t>Chile</t>
        </is>
      </c>
      <c r="I41" s="248" t="n">
        <v>46326</v>
      </c>
    </row>
    <row r="42" ht="15.5" customHeight="1">
      <c r="A42" s="232" t="inlineStr">
        <is>
          <t>agenzia giornalistica opinione</t>
        </is>
      </c>
      <c r="B42" s="244" t="n">
        <v>1</v>
      </c>
      <c r="C42" s="245">
        <f>SUMPRODUCT(Stories!$W$4:$W$357,--(Stories!$J$4:$J$357=$A42))</f>
        <v/>
      </c>
      <c r="D42" s="246" t="n">
        <v>4</v>
      </c>
      <c r="E42" s="244" t="n">
        <v>1</v>
      </c>
      <c r="F42" s="247" t="inlineStr">
        <is>
          <t>Hazards &amp; Resilience</t>
        </is>
      </c>
      <c r="G42" s="244" t="n">
        <v>1</v>
      </c>
      <c r="H42" s="172" t="inlineStr">
        <is>
          <t>Italy</t>
        </is>
      </c>
      <c r="I42" s="248" t="n">
        <v>46319</v>
      </c>
    </row>
    <row r="43" ht="15.5" customHeight="1">
      <c r="A43" s="232" t="inlineStr">
        <is>
          <t>AI넷</t>
        </is>
      </c>
      <c r="B43" s="244" t="n">
        <v>1</v>
      </c>
      <c r="C43" s="245">
        <f>SUMPRODUCT(Stories!$W$4:$W$357,--(Stories!$J$4:$J$357=$A43))</f>
        <v/>
      </c>
      <c r="D43" s="246" t="n">
        <v>4</v>
      </c>
      <c r="E43" s="244" t="n">
        <v>1</v>
      </c>
      <c r="F43" s="251" t="inlineStr">
        <is>
          <t>Offshore, Coasts &amp; Water</t>
        </is>
      </c>
      <c r="G43" s="244" t="n">
        <v>1</v>
      </c>
      <c r="H43" s="172" t="inlineStr">
        <is>
          <t>South Korea</t>
        </is>
      </c>
      <c r="I43" s="248" t="n">
        <v>46320</v>
      </c>
    </row>
    <row r="44" ht="15.5" customHeight="1">
      <c r="A44" s="232" t="inlineStr">
        <is>
          <t>Al-Monitor</t>
        </is>
      </c>
      <c r="B44" s="244" t="n">
        <v>1</v>
      </c>
      <c r="C44" s="245">
        <f>SUMPRODUCT(Stories!$W$4:$W$357,--(Stories!$J$4:$J$357=$A44))</f>
        <v/>
      </c>
      <c r="D44" s="246" t="n">
        <v>3</v>
      </c>
      <c r="E44" s="244" t="n">
        <v>0</v>
      </c>
      <c r="F44" s="247" t="inlineStr">
        <is>
          <t>Hazards &amp; Resilience</t>
        </is>
      </c>
      <c r="G44" s="244" t="n">
        <v>1</v>
      </c>
      <c r="H44" s="172" t="inlineStr">
        <is>
          <t>Egypt</t>
        </is>
      </c>
      <c r="I44" s="248" t="n">
        <v>46325</v>
      </c>
    </row>
    <row r="45" ht="15.5" customHeight="1">
      <c r="A45" s="232" t="inlineStr">
        <is>
          <t>Alaska's News Source</t>
        </is>
      </c>
      <c r="B45" s="244" t="n">
        <v>1</v>
      </c>
      <c r="C45" s="245">
        <f>SUMPRODUCT(Stories!$W$4:$W$357,--(Stories!$J$4:$J$357=$A45))</f>
        <v/>
      </c>
      <c r="D45" s="246" t="n">
        <v>4</v>
      </c>
      <c r="E45" s="244" t="n">
        <v>1</v>
      </c>
      <c r="F45" s="253" t="inlineStr">
        <is>
          <t>Characterisation &amp; Modelling</t>
        </is>
      </c>
      <c r="G45" s="244" t="n">
        <v>1</v>
      </c>
      <c r="H45" s="172" t="inlineStr">
        <is>
          <t>United Kingdom</t>
        </is>
      </c>
      <c r="I45" s="248" t="n">
        <v>46326</v>
      </c>
    </row>
    <row r="46" ht="28" customHeight="1">
      <c r="A46" s="232" t="inlineStr">
        <is>
          <t>Andalucía Información</t>
        </is>
      </c>
      <c r="B46" s="244" t="n">
        <v>1</v>
      </c>
      <c r="C46" s="245">
        <f>SUMPRODUCT(Stories!$W$4:$W$357,--(Stories!$J$4:$J$357=$A46))</f>
        <v/>
      </c>
      <c r="D46" s="246" t="n">
        <v>3</v>
      </c>
      <c r="E46" s="244" t="n">
        <v>0</v>
      </c>
      <c r="F46" s="249" t="inlineStr">
        <is>
          <t>Infrastructure &amp; the Underground City</t>
        </is>
      </c>
      <c r="G46" s="244" t="n">
        <v>1</v>
      </c>
      <c r="H46" s="172" t="inlineStr">
        <is>
          <t>Argentina</t>
        </is>
      </c>
      <c r="I46" s="248" t="n">
        <v>46324</v>
      </c>
    </row>
    <row r="47" ht="15.5" customHeight="1">
      <c r="A47" s="232" t="inlineStr">
        <is>
          <t>Asianet Newsable</t>
        </is>
      </c>
      <c r="B47" s="244" t="n">
        <v>1</v>
      </c>
      <c r="C47" s="245">
        <f>SUMPRODUCT(Stories!$W$4:$W$357,--(Stories!$J$4:$J$357=$A47))</f>
        <v/>
      </c>
      <c r="D47" s="246" t="n">
        <v>4</v>
      </c>
      <c r="E47" s="244" t="n">
        <v>1</v>
      </c>
      <c r="F47" s="247" t="inlineStr">
        <is>
          <t>Hazards &amp; Resilience</t>
        </is>
      </c>
      <c r="G47" s="244" t="n">
        <v>1</v>
      </c>
      <c r="H47" s="172" t="inlineStr">
        <is>
          <t>New Zealand</t>
        </is>
      </c>
      <c r="I47" s="248" t="n">
        <v>46325</v>
      </c>
    </row>
    <row r="48" ht="15.5" customHeight="1">
      <c r="A48" s="232" t="inlineStr">
        <is>
          <t>Azərtac</t>
        </is>
      </c>
      <c r="B48" s="244" t="n">
        <v>1</v>
      </c>
      <c r="C48" s="245">
        <f>SUMPRODUCT(Stories!$W$4:$W$357,--(Stories!$J$4:$J$357=$A48))</f>
        <v/>
      </c>
      <c r="D48" s="246" t="n">
        <v>3</v>
      </c>
      <c r="E48" s="244" t="n">
        <v>0</v>
      </c>
      <c r="F48" s="247" t="inlineStr">
        <is>
          <t>Hazards &amp; Resilience</t>
        </is>
      </c>
      <c r="G48" s="244" t="n">
        <v>1</v>
      </c>
      <c r="H48" s="172" t="inlineStr">
        <is>
          <t>Russia</t>
        </is>
      </c>
      <c r="I48" s="248" t="n">
        <v>46326</v>
      </c>
    </row>
    <row r="49" ht="15.5" customHeight="1">
      <c r="A49" s="232" t="inlineStr">
        <is>
          <t>Baird Maritime</t>
        </is>
      </c>
      <c r="B49" s="244" t="n">
        <v>1</v>
      </c>
      <c r="C49" s="245">
        <f>SUMPRODUCT(Stories!$W$4:$W$357,--(Stories!$J$4:$J$357=$A49))</f>
        <v/>
      </c>
      <c r="D49" s="246" t="n">
        <v>3</v>
      </c>
      <c r="E49" s="244" t="n">
        <v>0</v>
      </c>
      <c r="F49" s="251" t="inlineStr">
        <is>
          <t>Offshore, Coasts &amp; Water</t>
        </is>
      </c>
      <c r="G49" s="244" t="n">
        <v>1</v>
      </c>
      <c r="H49" s="172" t="inlineStr">
        <is>
          <t>United Kingdom</t>
        </is>
      </c>
      <c r="I49" s="248" t="n">
        <v>46324</v>
      </c>
    </row>
    <row r="50" ht="15.5" customHeight="1">
      <c r="A50" s="232" t="inlineStr">
        <is>
          <t>Baolangson.vn</t>
        </is>
      </c>
      <c r="B50" s="244" t="n">
        <v>1</v>
      </c>
      <c r="C50" s="245">
        <f>SUMPRODUCT(Stories!$W$4:$W$357,--(Stories!$J$4:$J$357=$A50))</f>
        <v/>
      </c>
      <c r="D50" s="246" t="n">
        <v>4</v>
      </c>
      <c r="E50" s="244" t="n">
        <v>1</v>
      </c>
      <c r="F50" s="247" t="inlineStr">
        <is>
          <t>Hazards &amp; Resilience</t>
        </is>
      </c>
      <c r="G50" s="244" t="n">
        <v>1</v>
      </c>
      <c r="H50" s="172" t="inlineStr">
        <is>
          <t>Vietnam</t>
        </is>
      </c>
      <c r="I50" s="248" t="n">
        <v>46319</v>
      </c>
    </row>
    <row r="51" ht="15.5" customHeight="1">
      <c r="A51" s="232" t="inlineStr">
        <is>
          <t>Bem Paraná</t>
        </is>
      </c>
      <c r="B51" s="244" t="n">
        <v>1</v>
      </c>
      <c r="C51" s="245">
        <f>SUMPRODUCT(Stories!$W$4:$W$357,--(Stories!$J$4:$J$357=$A51))</f>
        <v/>
      </c>
      <c r="D51" s="246" t="n">
        <v>4</v>
      </c>
      <c r="E51" s="244" t="n">
        <v>1</v>
      </c>
      <c r="F51" s="247" t="inlineStr">
        <is>
          <t>Hazards &amp; Resilience</t>
        </is>
      </c>
      <c r="G51" s="244" t="n">
        <v>1</v>
      </c>
      <c r="H51" s="172" t="inlineStr">
        <is>
          <t>Brazil</t>
        </is>
      </c>
      <c r="I51" s="248" t="n">
        <v>46326</v>
      </c>
    </row>
    <row r="52" ht="28" customHeight="1">
      <c r="A52" s="232" t="inlineStr">
        <is>
          <t>BioBioChile</t>
        </is>
      </c>
      <c r="B52" s="244" t="n">
        <v>1</v>
      </c>
      <c r="C52" s="245">
        <f>SUMPRODUCT(Stories!$W$4:$W$357,--(Stories!$J$4:$J$357=$A52))</f>
        <v/>
      </c>
      <c r="D52" s="246" t="n">
        <v>4</v>
      </c>
      <c r="E52" s="244" t="n">
        <v>1</v>
      </c>
      <c r="F52" s="249" t="inlineStr">
        <is>
          <t>Infrastructure &amp; the Underground City</t>
        </is>
      </c>
      <c r="G52" s="244" t="n">
        <v>1</v>
      </c>
      <c r="H52" s="172" t="inlineStr">
        <is>
          <t>Colombia</t>
        </is>
      </c>
      <c r="I52" s="248" t="n">
        <v>46319</v>
      </c>
    </row>
    <row r="53" ht="15.5" customHeight="1">
      <c r="A53" s="232" t="inlineStr">
        <is>
          <t>Blu Radio</t>
        </is>
      </c>
      <c r="B53" s="244" t="n">
        <v>1</v>
      </c>
      <c r="C53" s="245">
        <f>SUMPRODUCT(Stories!$W$4:$W$357,--(Stories!$J$4:$J$357=$A53))</f>
        <v/>
      </c>
      <c r="D53" s="246" t="n">
        <v>3</v>
      </c>
      <c r="E53" s="244" t="n">
        <v>0</v>
      </c>
      <c r="F53" s="247" t="inlineStr">
        <is>
          <t>Hazards &amp; Resilience</t>
        </is>
      </c>
      <c r="G53" s="244" t="n">
        <v>1</v>
      </c>
      <c r="H53" s="172" t="inlineStr">
        <is>
          <t>Colombia</t>
        </is>
      </c>
      <c r="I53" s="248" t="n">
        <v>46323</v>
      </c>
    </row>
    <row r="54" ht="15.5" customHeight="1">
      <c r="A54" s="232" t="inlineStr">
        <is>
          <t>BNamericas</t>
        </is>
      </c>
      <c r="B54" s="244" t="n">
        <v>1</v>
      </c>
      <c r="C54" s="245">
        <f>SUMPRODUCT(Stories!$W$4:$W$357,--(Stories!$J$4:$J$357=$A54))</f>
        <v/>
      </c>
      <c r="D54" s="246" t="n">
        <v>5</v>
      </c>
      <c r="E54" s="244" t="n">
        <v>1</v>
      </c>
      <c r="F54" s="247" t="inlineStr">
        <is>
          <t>Hazards &amp; Resilience</t>
        </is>
      </c>
      <c r="G54" s="244" t="n">
        <v>1</v>
      </c>
      <c r="H54" s="172" t="inlineStr">
        <is>
          <t>United Kingdom</t>
        </is>
      </c>
      <c r="I54" s="248" t="n">
        <v>46322</v>
      </c>
    </row>
    <row r="55" ht="15.5" customHeight="1">
      <c r="A55" s="232" t="inlineStr">
        <is>
          <t>Boyacá 7 Días</t>
        </is>
      </c>
      <c r="B55" s="244" t="n">
        <v>1</v>
      </c>
      <c r="C55" s="245">
        <f>SUMPRODUCT(Stories!$W$4:$W$357,--(Stories!$J$4:$J$357=$A55))</f>
        <v/>
      </c>
      <c r="D55" s="246" t="n">
        <v>3</v>
      </c>
      <c r="E55" s="244" t="n">
        <v>0</v>
      </c>
      <c r="F55" s="254" t="inlineStr">
        <is>
          <t>Geotechnics &amp; Society</t>
        </is>
      </c>
      <c r="G55" s="244" t="n">
        <v>1</v>
      </c>
      <c r="H55" s="172" t="inlineStr">
        <is>
          <t>Colombia</t>
        </is>
      </c>
      <c r="I55" s="248" t="n">
        <v>46319</v>
      </c>
    </row>
    <row r="56" ht="15.5" customHeight="1">
      <c r="A56" s="232" t="inlineStr">
        <is>
          <t>Bridport News</t>
        </is>
      </c>
      <c r="B56" s="244" t="n">
        <v>1</v>
      </c>
      <c r="C56" s="245">
        <f>SUMPRODUCT(Stories!$W$4:$W$357,--(Stories!$J$4:$J$357=$A56))</f>
        <v/>
      </c>
      <c r="D56" s="246" t="n">
        <v>3</v>
      </c>
      <c r="E56" s="244" t="n">
        <v>0</v>
      </c>
      <c r="F56" s="247" t="inlineStr">
        <is>
          <t>Hazards &amp; Resilience</t>
        </is>
      </c>
      <c r="G56" s="244" t="n">
        <v>1</v>
      </c>
      <c r="H56" s="172" t="inlineStr">
        <is>
          <t>United Kingdom</t>
        </is>
      </c>
      <c r="I56" s="248" t="n">
        <v>46324</v>
      </c>
    </row>
    <row r="57" ht="15.5" customHeight="1">
      <c r="A57" s="232" t="inlineStr">
        <is>
          <t>Báo Dân trí</t>
        </is>
      </c>
      <c r="B57" s="244" t="n">
        <v>1</v>
      </c>
      <c r="C57" s="245">
        <f>SUMPRODUCT(Stories!$W$4:$W$357,--(Stories!$J$4:$J$357=$A57))</f>
        <v/>
      </c>
      <c r="D57" s="246" t="n">
        <v>3</v>
      </c>
      <c r="E57" s="244" t="n">
        <v>0</v>
      </c>
      <c r="F57" s="247" t="inlineStr">
        <is>
          <t>Hazards &amp; Resilience</t>
        </is>
      </c>
      <c r="G57" s="244" t="n">
        <v>1</v>
      </c>
      <c r="H57" s="172" t="inlineStr">
        <is>
          <t>Vietnam</t>
        </is>
      </c>
      <c r="I57" s="248" t="n">
        <v>46326</v>
      </c>
    </row>
    <row r="58" ht="15.5" customHeight="1">
      <c r="A58" s="232" t="inlineStr">
        <is>
          <t>Báo Nhân Dân điện tử</t>
        </is>
      </c>
      <c r="B58" s="244" t="n">
        <v>1</v>
      </c>
      <c r="C58" s="245">
        <f>SUMPRODUCT(Stories!$W$4:$W$357,--(Stories!$J$4:$J$357=$A58))</f>
        <v/>
      </c>
      <c r="D58" s="246" t="n">
        <v>4</v>
      </c>
      <c r="E58" s="244" t="n">
        <v>1</v>
      </c>
      <c r="F58" s="251" t="inlineStr">
        <is>
          <t>Offshore, Coasts &amp; Water</t>
        </is>
      </c>
      <c r="G58" s="244" t="n">
        <v>1</v>
      </c>
      <c r="H58" s="172" t="inlineStr">
        <is>
          <t>Vietnam</t>
        </is>
      </c>
      <c r="I58" s="248" t="n">
        <v>46320</v>
      </c>
    </row>
    <row r="59" ht="15.5" customHeight="1">
      <c r="A59" s="232" t="inlineStr">
        <is>
          <t>Báo Thanh Niên</t>
        </is>
      </c>
      <c r="B59" s="244" t="n">
        <v>1</v>
      </c>
      <c r="C59" s="245">
        <f>SUMPRODUCT(Stories!$W$4:$W$357,--(Stories!$J$4:$J$357=$A59))</f>
        <v/>
      </c>
      <c r="D59" s="246" t="n">
        <v>4</v>
      </c>
      <c r="E59" s="244" t="n">
        <v>1</v>
      </c>
      <c r="F59" s="247" t="inlineStr">
        <is>
          <t>Hazards &amp; Resilience</t>
        </is>
      </c>
      <c r="G59" s="244" t="n">
        <v>1</v>
      </c>
      <c r="H59" s="172" t="inlineStr">
        <is>
          <t>Vietnam</t>
        </is>
      </c>
      <c r="I59" s="248" t="n">
        <v>46319</v>
      </c>
    </row>
    <row r="60" ht="28" customHeight="1">
      <c r="A60" s="232" t="inlineStr">
        <is>
          <t>Báo và phát thanh, truyền hình Đồng Tháp</t>
        </is>
      </c>
      <c r="B60" s="244" t="n">
        <v>1</v>
      </c>
      <c r="C60" s="245">
        <f>SUMPRODUCT(Stories!$W$4:$W$357,--(Stories!$J$4:$J$357=$A60))</f>
        <v/>
      </c>
      <c r="D60" s="246" t="n">
        <v>4</v>
      </c>
      <c r="E60" s="244" t="n">
        <v>1</v>
      </c>
      <c r="F60" s="247" t="inlineStr">
        <is>
          <t>Hazards &amp; Resilience</t>
        </is>
      </c>
      <c r="G60" s="244" t="n">
        <v>1</v>
      </c>
      <c r="H60" s="172" t="inlineStr">
        <is>
          <t>Vietnam</t>
        </is>
      </c>
      <c r="I60" s="248" t="n">
        <v>46319</v>
      </c>
    </row>
    <row r="61" ht="15.5" customHeight="1">
      <c r="A61" s="232" t="inlineStr">
        <is>
          <t>Báo Điện tử An ninh Thủ đô</t>
        </is>
      </c>
      <c r="B61" s="244" t="n">
        <v>1</v>
      </c>
      <c r="C61" s="245">
        <f>SUMPRODUCT(Stories!$W$4:$W$357,--(Stories!$J$4:$J$357=$A61))</f>
        <v/>
      </c>
      <c r="D61" s="246" t="n">
        <v>3</v>
      </c>
      <c r="E61" s="244" t="n">
        <v>0</v>
      </c>
      <c r="F61" s="247" t="inlineStr">
        <is>
          <t>Hazards &amp; Resilience</t>
        </is>
      </c>
      <c r="G61" s="244" t="n">
        <v>1</v>
      </c>
      <c r="H61" s="172" t="inlineStr">
        <is>
          <t>Vietnam</t>
        </is>
      </c>
      <c r="I61" s="248" t="n">
        <v>46325</v>
      </c>
    </row>
    <row r="62" ht="15.5" customHeight="1">
      <c r="A62" s="232" t="inlineStr">
        <is>
          <t>c-inform</t>
        </is>
      </c>
      <c r="B62" s="244" t="n">
        <v>1</v>
      </c>
      <c r="C62" s="245">
        <f>SUMPRODUCT(Stories!$W$4:$W$357,--(Stories!$J$4:$J$357=$A62))</f>
        <v/>
      </c>
      <c r="D62" s="246" t="n">
        <v>3</v>
      </c>
      <c r="E62" s="244" t="n">
        <v>0</v>
      </c>
      <c r="F62" s="247" t="inlineStr">
        <is>
          <t>Hazards &amp; Resilience</t>
        </is>
      </c>
      <c r="G62" s="244" t="n">
        <v>1</v>
      </c>
      <c r="H62" s="172" t="inlineStr">
        <is>
          <t>Russia</t>
        </is>
      </c>
      <c r="I62" s="248" t="n">
        <v>46323</v>
      </c>
    </row>
    <row r="63" ht="28" customHeight="1">
      <c r="A63" s="232" t="inlineStr">
        <is>
          <t>Cancun Sun</t>
        </is>
      </c>
      <c r="B63" s="244" t="n">
        <v>1</v>
      </c>
      <c r="C63" s="245">
        <f>SUMPRODUCT(Stories!$W$4:$W$357,--(Stories!$J$4:$J$357=$A63))</f>
        <v/>
      </c>
      <c r="D63" s="246" t="n">
        <v>4</v>
      </c>
      <c r="E63" s="244" t="n">
        <v>1</v>
      </c>
      <c r="F63" s="249" t="inlineStr">
        <is>
          <t>Infrastructure &amp; the Underground City</t>
        </is>
      </c>
      <c r="G63" s="244" t="n">
        <v>1</v>
      </c>
      <c r="H63" s="172" t="inlineStr">
        <is>
          <t>United Kingdom</t>
        </is>
      </c>
      <c r="I63" s="248" t="n">
        <v>46321</v>
      </c>
    </row>
    <row r="64" ht="28" customHeight="1">
      <c r="A64" s="232" t="inlineStr">
        <is>
          <t>Catve</t>
        </is>
      </c>
      <c r="B64" s="244" t="n">
        <v>1</v>
      </c>
      <c r="C64" s="245">
        <f>SUMPRODUCT(Stories!$W$4:$W$357,--(Stories!$J$4:$J$357=$A64))</f>
        <v/>
      </c>
      <c r="D64" s="246" t="n">
        <v>3</v>
      </c>
      <c r="E64" s="244" t="n">
        <v>0</v>
      </c>
      <c r="F64" s="249" t="inlineStr">
        <is>
          <t>Infrastructure &amp; the Underground City</t>
        </is>
      </c>
      <c r="G64" s="244" t="n">
        <v>1</v>
      </c>
      <c r="H64" s="172" t="inlineStr">
        <is>
          <t>Brazil</t>
        </is>
      </c>
      <c r="I64" s="248" t="n">
        <v>46321</v>
      </c>
    </row>
    <row r="65" ht="15.5" customHeight="1">
      <c r="A65" s="232" t="inlineStr">
        <is>
          <t>CiudadCCS</t>
        </is>
      </c>
      <c r="B65" s="244" t="n">
        <v>1</v>
      </c>
      <c r="C65" s="245">
        <f>SUMPRODUCT(Stories!$W$4:$W$357,--(Stories!$J$4:$J$357=$A65))</f>
        <v/>
      </c>
      <c r="D65" s="246" t="n">
        <v>3</v>
      </c>
      <c r="E65" s="244" t="n">
        <v>0</v>
      </c>
      <c r="F65" s="253" t="inlineStr">
        <is>
          <t>Characterisation &amp; Modelling</t>
        </is>
      </c>
      <c r="G65" s="244" t="n">
        <v>1</v>
      </c>
      <c r="H65" s="172" t="inlineStr">
        <is>
          <t>Peru</t>
        </is>
      </c>
      <c r="I65" s="248" t="n">
        <v>46326</v>
      </c>
    </row>
    <row r="66" ht="15.5" customHeight="1">
      <c r="A66" s="232" t="inlineStr">
        <is>
          <t>CNN Chile</t>
        </is>
      </c>
      <c r="B66" s="244" t="n">
        <v>1</v>
      </c>
      <c r="C66" s="245">
        <f>SUMPRODUCT(Stories!$W$4:$W$357,--(Stories!$J$4:$J$357=$A66))</f>
        <v/>
      </c>
      <c r="D66" s="246" t="n">
        <v>4</v>
      </c>
      <c r="E66" s="244" t="n">
        <v>1</v>
      </c>
      <c r="F66" s="247" t="inlineStr">
        <is>
          <t>Hazards &amp; Resilience</t>
        </is>
      </c>
      <c r="G66" s="244" t="n">
        <v>1</v>
      </c>
      <c r="H66" s="172" t="inlineStr">
        <is>
          <t>Colombia</t>
        </is>
      </c>
      <c r="I66" s="248" t="n">
        <v>46324</v>
      </c>
    </row>
    <row r="67" ht="15.5" customHeight="1">
      <c r="A67" s="232" t="inlineStr">
        <is>
          <t>CNN Indonesia</t>
        </is>
      </c>
      <c r="B67" s="244" t="n">
        <v>1</v>
      </c>
      <c r="C67" s="245">
        <f>SUMPRODUCT(Stories!$W$4:$W$357,--(Stories!$J$4:$J$357=$A67))</f>
        <v/>
      </c>
      <c r="D67" s="246" t="n">
        <v>3</v>
      </c>
      <c r="E67" s="244" t="n">
        <v>0</v>
      </c>
      <c r="F67" s="247" t="inlineStr">
        <is>
          <t>Hazards &amp; Resilience</t>
        </is>
      </c>
      <c r="G67" s="244" t="n">
        <v>1</v>
      </c>
      <c r="H67" s="172" t="inlineStr">
        <is>
          <t>Indonesia</t>
        </is>
      </c>
      <c r="I67" s="248" t="n">
        <v>46326</v>
      </c>
    </row>
    <row r="68" ht="15.5" customHeight="1">
      <c r="A68" s="232" t="inlineStr">
        <is>
          <t>ComNews.ru</t>
        </is>
      </c>
      <c r="B68" s="244" t="n">
        <v>1</v>
      </c>
      <c r="C68" s="245">
        <f>SUMPRODUCT(Stories!$W$4:$W$357,--(Stories!$J$4:$J$357=$A68))</f>
        <v/>
      </c>
      <c r="D68" s="246" t="n">
        <v>4</v>
      </c>
      <c r="E68" s="244" t="n">
        <v>1</v>
      </c>
      <c r="F68" s="252" t="inlineStr">
        <is>
          <t>Digital Geotechnics</t>
        </is>
      </c>
      <c r="G68" s="244" t="n">
        <v>1</v>
      </c>
      <c r="H68" s="172" t="inlineStr">
        <is>
          <t>Russia</t>
        </is>
      </c>
      <c r="I68" s="248" t="n">
        <v>46321</v>
      </c>
    </row>
    <row r="69" ht="28" customHeight="1">
      <c r="A69" s="232" t="inlineStr">
        <is>
          <t>COPE</t>
        </is>
      </c>
      <c r="B69" s="244" t="n">
        <v>1</v>
      </c>
      <c r="C69" s="245">
        <f>SUMPRODUCT(Stories!$W$4:$W$357,--(Stories!$J$4:$J$357=$A69))</f>
        <v/>
      </c>
      <c r="D69" s="246" t="n">
        <v>4</v>
      </c>
      <c r="E69" s="244" t="n">
        <v>1</v>
      </c>
      <c r="F69" s="249" t="inlineStr">
        <is>
          <t>Infrastructure &amp; the Underground City</t>
        </is>
      </c>
      <c r="G69" s="244" t="n">
        <v>1</v>
      </c>
      <c r="H69" s="172" t="inlineStr">
        <is>
          <t>Colombia</t>
        </is>
      </c>
      <c r="I69" s="248" t="n">
        <v>46323</v>
      </c>
    </row>
    <row r="70" ht="15.5" customHeight="1">
      <c r="A70" s="232" t="inlineStr">
        <is>
          <t>CYBER88</t>
        </is>
      </c>
      <c r="B70" s="244" t="n">
        <v>1</v>
      </c>
      <c r="C70" s="245">
        <f>SUMPRODUCT(Stories!$W$4:$W$357,--(Stories!$J$4:$J$357=$A70))</f>
        <v/>
      </c>
      <c r="D70" s="246" t="n">
        <v>3</v>
      </c>
      <c r="E70" s="244" t="n">
        <v>0</v>
      </c>
      <c r="F70" s="247" t="inlineStr">
        <is>
          <t>Hazards &amp; Resilience</t>
        </is>
      </c>
      <c r="G70" s="244" t="n">
        <v>1</v>
      </c>
      <c r="H70" s="172" t="inlineStr">
        <is>
          <t>Indonesia</t>
        </is>
      </c>
      <c r="I70" s="248" t="n">
        <v>46325</v>
      </c>
    </row>
    <row r="71" ht="28" customHeight="1">
      <c r="A71" s="232" t="inlineStr">
        <is>
          <t>Dainik Bhaskar</t>
        </is>
      </c>
      <c r="B71" s="244" t="n">
        <v>1</v>
      </c>
      <c r="C71" s="245">
        <f>SUMPRODUCT(Stories!$W$4:$W$357,--(Stories!$J$4:$J$357=$A71))</f>
        <v/>
      </c>
      <c r="D71" s="246" t="n">
        <v>5</v>
      </c>
      <c r="E71" s="244" t="n">
        <v>1</v>
      </c>
      <c r="F71" s="249" t="inlineStr">
        <is>
          <t>Infrastructure &amp; the Underground City</t>
        </is>
      </c>
      <c r="G71" s="244" t="n">
        <v>1</v>
      </c>
      <c r="H71" s="172" t="inlineStr">
        <is>
          <t>India</t>
        </is>
      </c>
      <c r="I71" s="248" t="n">
        <v>46321</v>
      </c>
    </row>
    <row r="72" ht="15.5" customHeight="1">
      <c r="A72" s="232" t="inlineStr">
        <is>
          <t>Demokratis.co.id</t>
        </is>
      </c>
      <c r="B72" s="244" t="n">
        <v>1</v>
      </c>
      <c r="C72" s="245">
        <f>SUMPRODUCT(Stories!$W$4:$W$357,--(Stories!$J$4:$J$357=$A72))</f>
        <v/>
      </c>
      <c r="D72" s="246" t="n">
        <v>4</v>
      </c>
      <c r="E72" s="244" t="n">
        <v>1</v>
      </c>
      <c r="F72" s="247" t="inlineStr">
        <is>
          <t>Hazards &amp; Resilience</t>
        </is>
      </c>
      <c r="G72" s="244" t="n">
        <v>1</v>
      </c>
      <c r="H72" s="172" t="inlineStr">
        <is>
          <t>Indonesia</t>
        </is>
      </c>
      <c r="I72" s="248" t="n">
        <v>46324</v>
      </c>
    </row>
    <row r="73" ht="15.5" customHeight="1">
      <c r="A73" s="232" t="inlineStr">
        <is>
          <t>detikInet</t>
        </is>
      </c>
      <c r="B73" s="244" t="n">
        <v>1</v>
      </c>
      <c r="C73" s="245">
        <f>SUMPRODUCT(Stories!$W$4:$W$357,--(Stories!$J$4:$J$357=$A73))</f>
        <v/>
      </c>
      <c r="D73" s="246" t="n">
        <v>4</v>
      </c>
      <c r="E73" s="244" t="n">
        <v>1</v>
      </c>
      <c r="F73" s="247" t="inlineStr">
        <is>
          <t>Hazards &amp; Resilience</t>
        </is>
      </c>
      <c r="G73" s="244" t="n">
        <v>1</v>
      </c>
      <c r="H73" s="172" t="inlineStr">
        <is>
          <t>Indonesia</t>
        </is>
      </c>
      <c r="I73" s="248" t="n">
        <v>46324</v>
      </c>
    </row>
    <row r="74" ht="28" customHeight="1">
      <c r="A74" s="232" t="inlineStr">
        <is>
          <t>Detona, Real News</t>
        </is>
      </c>
      <c r="B74" s="244" t="n">
        <v>1</v>
      </c>
      <c r="C74" s="245">
        <f>SUMPRODUCT(Stories!$W$4:$W$357,--(Stories!$J$4:$J$357=$A74))</f>
        <v/>
      </c>
      <c r="D74" s="246" t="n">
        <v>3</v>
      </c>
      <c r="E74" s="244" t="n">
        <v>0</v>
      </c>
      <c r="F74" s="249" t="inlineStr">
        <is>
          <t>Infrastructure &amp; the Underground City</t>
        </is>
      </c>
      <c r="G74" s="244" t="n">
        <v>1</v>
      </c>
      <c r="H74" s="172" t="inlineStr">
        <is>
          <t>Colombia</t>
        </is>
      </c>
      <c r="I74" s="248" t="n">
        <v>46319</v>
      </c>
    </row>
    <row r="75" ht="15.5" customHeight="1">
      <c r="A75" s="232" t="inlineStr">
        <is>
          <t>Diari ARA</t>
        </is>
      </c>
      <c r="B75" s="244" t="n">
        <v>1</v>
      </c>
      <c r="C75" s="245">
        <f>SUMPRODUCT(Stories!$W$4:$W$357,--(Stories!$J$4:$J$357=$A75))</f>
        <v/>
      </c>
      <c r="D75" s="246" t="n">
        <v>3</v>
      </c>
      <c r="E75" s="244" t="n">
        <v>0</v>
      </c>
      <c r="F75" s="247" t="inlineStr">
        <is>
          <t>Hazards &amp; Resilience</t>
        </is>
      </c>
      <c r="G75" s="244" t="n">
        <v>1</v>
      </c>
      <c r="H75" s="172" t="inlineStr">
        <is>
          <t>United Kingdom</t>
        </is>
      </c>
      <c r="I75" s="248" t="n">
        <v>46323</v>
      </c>
    </row>
    <row r="76" ht="15.5" customHeight="1">
      <c r="A76" s="232" t="inlineStr">
        <is>
          <t>Diario 1588</t>
        </is>
      </c>
      <c r="B76" s="244" t="n">
        <v>1</v>
      </c>
      <c r="C76" s="245">
        <f>SUMPRODUCT(Stories!$W$4:$W$357,--(Stories!$J$4:$J$357=$A76))</f>
        <v/>
      </c>
      <c r="D76" s="246" t="n">
        <v>3</v>
      </c>
      <c r="E76" s="244" t="n">
        <v>0</v>
      </c>
      <c r="F76" s="251" t="inlineStr">
        <is>
          <t>Offshore, Coasts &amp; Water</t>
        </is>
      </c>
      <c r="G76" s="244" t="n">
        <v>1</v>
      </c>
      <c r="H76" s="172" t="inlineStr">
        <is>
          <t>Argentina</t>
        </is>
      </c>
      <c r="I76" s="248" t="n">
        <v>46320</v>
      </c>
    </row>
    <row r="77" ht="28" customHeight="1">
      <c r="A77" s="232" t="inlineStr">
        <is>
          <t>Diario 7 lagos</t>
        </is>
      </c>
      <c r="B77" s="244" t="n">
        <v>1</v>
      </c>
      <c r="C77" s="245">
        <f>SUMPRODUCT(Stories!$W$4:$W$357,--(Stories!$J$4:$J$357=$A77))</f>
        <v/>
      </c>
      <c r="D77" s="246" t="n">
        <v>3</v>
      </c>
      <c r="E77" s="244" t="n">
        <v>0</v>
      </c>
      <c r="F77" s="249" t="inlineStr">
        <is>
          <t>Infrastructure &amp; the Underground City</t>
        </is>
      </c>
      <c r="G77" s="244" t="n">
        <v>1</v>
      </c>
      <c r="H77" s="172" t="inlineStr">
        <is>
          <t>Colombia</t>
        </is>
      </c>
      <c r="I77" s="248" t="n">
        <v>46320</v>
      </c>
    </row>
    <row r="78" ht="28" customHeight="1">
      <c r="A78" s="232" t="inlineStr">
        <is>
          <t>Diario Correo</t>
        </is>
      </c>
      <c r="B78" s="244" t="n">
        <v>1</v>
      </c>
      <c r="C78" s="245">
        <f>SUMPRODUCT(Stories!$W$4:$W$357,--(Stories!$J$4:$J$357=$A78))</f>
        <v/>
      </c>
      <c r="D78" s="246" t="n">
        <v>4</v>
      </c>
      <c r="E78" s="244" t="n">
        <v>1</v>
      </c>
      <c r="F78" s="249" t="inlineStr">
        <is>
          <t>Infrastructure &amp; the Underground City</t>
        </is>
      </c>
      <c r="G78" s="244" t="n">
        <v>1</v>
      </c>
      <c r="H78" s="172" t="inlineStr">
        <is>
          <t>Peru</t>
        </is>
      </c>
      <c r="I78" s="248" t="n">
        <v>46321</v>
      </c>
    </row>
    <row r="79" ht="15.5" customHeight="1">
      <c r="A79" s="232" t="inlineStr">
        <is>
          <t>Diario La Tribuna</t>
        </is>
      </c>
      <c r="B79" s="244" t="n">
        <v>1</v>
      </c>
      <c r="C79" s="245">
        <f>SUMPRODUCT(Stories!$W$4:$W$357,--(Stories!$J$4:$J$357=$A79))</f>
        <v/>
      </c>
      <c r="D79" s="246" t="n">
        <v>3</v>
      </c>
      <c r="E79" s="244" t="n">
        <v>0</v>
      </c>
      <c r="F79" s="247" t="inlineStr">
        <is>
          <t>Hazards &amp; Resilience</t>
        </is>
      </c>
      <c r="G79" s="244" t="n">
        <v>1</v>
      </c>
      <c r="H79" s="172" t="inlineStr">
        <is>
          <t>Mexico</t>
        </is>
      </c>
      <c r="I79" s="248" t="n">
        <v>46323</v>
      </c>
    </row>
    <row r="80" ht="28" customHeight="1">
      <c r="A80" s="232" t="inlineStr">
        <is>
          <t>diariolosandes.com.ec</t>
        </is>
      </c>
      <c r="B80" s="244" t="n">
        <v>1</v>
      </c>
      <c r="C80" s="245">
        <f>SUMPRODUCT(Stories!$W$4:$W$357,--(Stories!$J$4:$J$357=$A80))</f>
        <v/>
      </c>
      <c r="D80" s="246" t="n">
        <v>3</v>
      </c>
      <c r="E80" s="244" t="n">
        <v>0</v>
      </c>
      <c r="F80" s="249" t="inlineStr">
        <is>
          <t>Infrastructure &amp; the Underground City</t>
        </is>
      </c>
      <c r="G80" s="244" t="n">
        <v>1</v>
      </c>
      <c r="H80" s="172" t="inlineStr">
        <is>
          <t>Spain</t>
        </is>
      </c>
      <c r="I80" s="248" t="n">
        <v>46321</v>
      </c>
    </row>
    <row r="81" ht="15.5" customHeight="1">
      <c r="A81" s="232" t="inlineStr">
        <is>
          <t>DTiNews</t>
        </is>
      </c>
      <c r="B81" s="244" t="n">
        <v>1</v>
      </c>
      <c r="C81" s="245">
        <f>SUMPRODUCT(Stories!$W$4:$W$357,--(Stories!$J$4:$J$357=$A81))</f>
        <v/>
      </c>
      <c r="D81" s="246" t="n">
        <v>3</v>
      </c>
      <c r="E81" s="244" t="n">
        <v>0</v>
      </c>
      <c r="F81" s="253" t="inlineStr">
        <is>
          <t>Characterisation &amp; Modelling</t>
        </is>
      </c>
      <c r="G81" s="244" t="n">
        <v>1</v>
      </c>
      <c r="H81" s="172" t="inlineStr">
        <is>
          <t>United Kingdom</t>
        </is>
      </c>
      <c r="I81" s="248" t="n">
        <v>46320</v>
      </c>
    </row>
    <row r="82" ht="15.5" customHeight="1">
      <c r="A82" s="232" t="inlineStr">
        <is>
          <t>El Congresista</t>
        </is>
      </c>
      <c r="B82" s="244" t="n">
        <v>1</v>
      </c>
      <c r="C82" s="245">
        <f>SUMPRODUCT(Stories!$W$4:$W$357,--(Stories!$J$4:$J$357=$A82))</f>
        <v/>
      </c>
      <c r="D82" s="246" t="n">
        <v>4</v>
      </c>
      <c r="E82" s="244" t="n">
        <v>1</v>
      </c>
      <c r="F82" s="247" t="inlineStr">
        <is>
          <t>Hazards &amp; Resilience</t>
        </is>
      </c>
      <c r="G82" s="244" t="n">
        <v>1</v>
      </c>
      <c r="H82" s="172" t="inlineStr">
        <is>
          <t>Spain</t>
        </is>
      </c>
      <c r="I82" s="248" t="n">
        <v>46320</v>
      </c>
    </row>
    <row r="83" ht="28" customHeight="1">
      <c r="A83" s="232" t="inlineStr">
        <is>
          <t>El Diario</t>
        </is>
      </c>
      <c r="B83" s="244" t="n">
        <v>1</v>
      </c>
      <c r="C83" s="245">
        <f>SUMPRODUCT(Stories!$W$4:$W$357,--(Stories!$J$4:$J$357=$A83))</f>
        <v/>
      </c>
      <c r="D83" s="246" t="n">
        <v>3</v>
      </c>
      <c r="E83" s="244" t="n">
        <v>0</v>
      </c>
      <c r="F83" s="249" t="inlineStr">
        <is>
          <t>Infrastructure &amp; the Underground City</t>
        </is>
      </c>
      <c r="G83" s="244" t="n">
        <v>1</v>
      </c>
      <c r="H83" s="172" t="inlineStr">
        <is>
          <t>Colombia</t>
        </is>
      </c>
      <c r="I83" s="248" t="n">
        <v>46323</v>
      </c>
    </row>
    <row r="84" ht="15.5" customHeight="1">
      <c r="A84" s="232" t="inlineStr">
        <is>
          <t>El Dínamo</t>
        </is>
      </c>
      <c r="B84" s="244" t="n">
        <v>1</v>
      </c>
      <c r="C84" s="245">
        <f>SUMPRODUCT(Stories!$W$4:$W$357,--(Stories!$J$4:$J$357=$A84))</f>
        <v/>
      </c>
      <c r="D84" s="246" t="n">
        <v>4</v>
      </c>
      <c r="E84" s="244" t="n">
        <v>1</v>
      </c>
      <c r="F84" s="247" t="inlineStr">
        <is>
          <t>Hazards &amp; Resilience</t>
        </is>
      </c>
      <c r="G84" s="244" t="n">
        <v>1</v>
      </c>
      <c r="H84" s="172" t="inlineStr">
        <is>
          <t>Chile</t>
        </is>
      </c>
      <c r="I84" s="248" t="n">
        <v>46322</v>
      </c>
    </row>
    <row r="85" ht="15.5" customHeight="1">
      <c r="A85" s="232" t="inlineStr">
        <is>
          <t>El Financiero</t>
        </is>
      </c>
      <c r="B85" s="244" t="n">
        <v>1</v>
      </c>
      <c r="C85" s="245">
        <f>SUMPRODUCT(Stories!$W$4:$W$357,--(Stories!$J$4:$J$357=$A85))</f>
        <v/>
      </c>
      <c r="D85" s="246" t="n">
        <v>4</v>
      </c>
      <c r="E85" s="244" t="n">
        <v>1</v>
      </c>
      <c r="F85" s="247" t="inlineStr">
        <is>
          <t>Hazards &amp; Resilience</t>
        </is>
      </c>
      <c r="G85" s="244" t="n">
        <v>1</v>
      </c>
      <c r="H85" s="172" t="inlineStr">
        <is>
          <t>Argentina</t>
        </is>
      </c>
      <c r="I85" s="248" t="n">
        <v>46323</v>
      </c>
    </row>
    <row r="86" ht="28" customHeight="1">
      <c r="A86" s="232" t="inlineStr">
        <is>
          <t>El Litoral | Novedades de Corrientes</t>
        </is>
      </c>
      <c r="B86" s="244" t="n">
        <v>1</v>
      </c>
      <c r="C86" s="245">
        <f>SUMPRODUCT(Stories!$W$4:$W$357,--(Stories!$J$4:$J$357=$A86))</f>
        <v/>
      </c>
      <c r="D86" s="246" t="n">
        <v>3</v>
      </c>
      <c r="E86" s="244" t="n">
        <v>0</v>
      </c>
      <c r="F86" s="251" t="inlineStr">
        <is>
          <t>Offshore, Coasts &amp; Water</t>
        </is>
      </c>
      <c r="G86" s="244" t="n">
        <v>1</v>
      </c>
      <c r="H86" s="172" t="inlineStr">
        <is>
          <t>Argentina</t>
        </is>
      </c>
      <c r="I86" s="248" t="n">
        <v>46319</v>
      </c>
    </row>
    <row r="87" ht="28" customHeight="1">
      <c r="A87" s="232" t="inlineStr">
        <is>
          <t>El Norte</t>
        </is>
      </c>
      <c r="B87" s="244" t="n">
        <v>1</v>
      </c>
      <c r="C87" s="245">
        <f>SUMPRODUCT(Stories!$W$4:$W$357,--(Stories!$J$4:$J$357=$A87))</f>
        <v/>
      </c>
      <c r="D87" s="246" t="n">
        <v>3</v>
      </c>
      <c r="E87" s="244" t="n">
        <v>0</v>
      </c>
      <c r="F87" s="249" t="inlineStr">
        <is>
          <t>Infrastructure &amp; the Underground City</t>
        </is>
      </c>
      <c r="G87" s="244" t="n">
        <v>1</v>
      </c>
      <c r="H87" s="172" t="inlineStr">
        <is>
          <t>Colombia</t>
        </is>
      </c>
      <c r="I87" s="248" t="n">
        <v>46323</v>
      </c>
    </row>
    <row r="88" ht="28" customHeight="1">
      <c r="A88" s="232" t="inlineStr">
        <is>
          <t>El Popular, periodismo con causa</t>
        </is>
      </c>
      <c r="B88" s="244" t="n">
        <v>1</v>
      </c>
      <c r="C88" s="245">
        <f>SUMPRODUCT(Stories!$W$4:$W$357,--(Stories!$J$4:$J$357=$A88))</f>
        <v/>
      </c>
      <c r="D88" s="246" t="n">
        <v>3</v>
      </c>
      <c r="E88" s="244" t="n">
        <v>0</v>
      </c>
      <c r="F88" s="249" t="inlineStr">
        <is>
          <t>Infrastructure &amp; the Underground City</t>
        </is>
      </c>
      <c r="G88" s="244" t="n">
        <v>1</v>
      </c>
      <c r="H88" s="172" t="inlineStr">
        <is>
          <t>Colombia</t>
        </is>
      </c>
      <c r="I88" s="248" t="n">
        <v>46323</v>
      </c>
    </row>
    <row r="89" ht="28" customHeight="1">
      <c r="A89" s="232" t="inlineStr">
        <is>
          <t>El Portal de Chicoloapan</t>
        </is>
      </c>
      <c r="B89" s="244" t="n">
        <v>1</v>
      </c>
      <c r="C89" s="245">
        <f>SUMPRODUCT(Stories!$W$4:$W$357,--(Stories!$J$4:$J$357=$A89))</f>
        <v/>
      </c>
      <c r="D89" s="246" t="n">
        <v>3</v>
      </c>
      <c r="E89" s="244" t="n">
        <v>0</v>
      </c>
      <c r="F89" s="249" t="inlineStr">
        <is>
          <t>Infrastructure &amp; the Underground City</t>
        </is>
      </c>
      <c r="G89" s="244" t="n">
        <v>1</v>
      </c>
      <c r="H89" s="172" t="inlineStr">
        <is>
          <t>Argentina</t>
        </is>
      </c>
      <c r="I89" s="248" t="n">
        <v>46320</v>
      </c>
    </row>
    <row r="90" ht="28" customHeight="1">
      <c r="A90" s="232" t="inlineStr">
        <is>
          <t>El Siglo de Torreón</t>
        </is>
      </c>
      <c r="B90" s="244" t="n">
        <v>1</v>
      </c>
      <c r="C90" s="245">
        <f>SUMPRODUCT(Stories!$W$4:$W$357,--(Stories!$J$4:$J$357=$A90))</f>
        <v/>
      </c>
      <c r="D90" s="246" t="n">
        <v>3</v>
      </c>
      <c r="E90" s="244" t="n">
        <v>0</v>
      </c>
      <c r="F90" s="249" t="inlineStr">
        <is>
          <t>Infrastructure &amp; the Underground City</t>
        </is>
      </c>
      <c r="G90" s="244" t="n">
        <v>1</v>
      </c>
      <c r="H90" s="172" t="inlineStr">
        <is>
          <t>Colombia</t>
        </is>
      </c>
      <c r="I90" s="248" t="n">
        <v>46319</v>
      </c>
    </row>
    <row r="91" ht="28" customHeight="1">
      <c r="A91" s="232" t="inlineStr">
        <is>
          <t>emsavalles.com</t>
        </is>
      </c>
      <c r="B91" s="244" t="n">
        <v>1</v>
      </c>
      <c r="C91" s="245">
        <f>SUMPRODUCT(Stories!$W$4:$W$357,--(Stories!$J$4:$J$357=$A91))</f>
        <v/>
      </c>
      <c r="D91" s="246" t="n">
        <v>3</v>
      </c>
      <c r="E91" s="244" t="n">
        <v>0</v>
      </c>
      <c r="F91" s="249" t="inlineStr">
        <is>
          <t>Infrastructure &amp; the Underground City</t>
        </is>
      </c>
      <c r="G91" s="244" t="n">
        <v>1</v>
      </c>
      <c r="H91" s="172" t="inlineStr">
        <is>
          <t>Colombia</t>
        </is>
      </c>
      <c r="I91" s="248" t="n">
        <v>46320</v>
      </c>
    </row>
    <row r="92" ht="28" customHeight="1">
      <c r="A92" s="232" t="inlineStr">
        <is>
          <t>Energies Media</t>
        </is>
      </c>
      <c r="B92" s="244" t="n">
        <v>1</v>
      </c>
      <c r="C92" s="245">
        <f>SUMPRODUCT(Stories!$W$4:$W$357,--(Stories!$J$4:$J$357=$A92))</f>
        <v/>
      </c>
      <c r="D92" s="246" t="n">
        <v>4</v>
      </c>
      <c r="E92" s="244" t="n">
        <v>1</v>
      </c>
      <c r="F92" s="255" t="inlineStr">
        <is>
          <t>Sustainability &amp; the Energy Transition</t>
        </is>
      </c>
      <c r="G92" s="244" t="n">
        <v>1</v>
      </c>
      <c r="H92" s="172" t="inlineStr">
        <is>
          <t>United Kingdom</t>
        </is>
      </c>
      <c r="I92" s="248" t="n">
        <v>46326</v>
      </c>
    </row>
    <row r="93" ht="28" customHeight="1">
      <c r="A93" s="232" t="inlineStr">
        <is>
          <t>Equipment World</t>
        </is>
      </c>
      <c r="B93" s="244" t="n">
        <v>1</v>
      </c>
      <c r="C93" s="245">
        <f>SUMPRODUCT(Stories!$W$4:$W$357,--(Stories!$J$4:$J$357=$A93))</f>
        <v/>
      </c>
      <c r="D93" s="246" t="n">
        <v>3</v>
      </c>
      <c r="E93" s="244" t="n">
        <v>0</v>
      </c>
      <c r="F93" s="249" t="inlineStr">
        <is>
          <t>Infrastructure &amp; the Underground City</t>
        </is>
      </c>
      <c r="G93" s="244" t="n">
        <v>1</v>
      </c>
      <c r="H93" s="172" t="inlineStr">
        <is>
          <t>United Kingdom</t>
        </is>
      </c>
      <c r="I93" s="248" t="n">
        <v>46325</v>
      </c>
    </row>
    <row r="94" ht="15.5" customHeight="1">
      <c r="A94" s="232" t="inlineStr">
        <is>
          <t>Falmouth Packet</t>
        </is>
      </c>
      <c r="B94" s="244" t="n">
        <v>1</v>
      </c>
      <c r="C94" s="245">
        <f>SUMPRODUCT(Stories!$W$4:$W$357,--(Stories!$J$4:$J$357=$A94))</f>
        <v/>
      </c>
      <c r="D94" s="246" t="n">
        <v>3</v>
      </c>
      <c r="E94" s="244" t="n">
        <v>0</v>
      </c>
      <c r="F94" s="247" t="inlineStr">
        <is>
          <t>Hazards &amp; Resilience</t>
        </is>
      </c>
      <c r="G94" s="244" t="n">
        <v>1</v>
      </c>
      <c r="H94" s="172" t="inlineStr">
        <is>
          <t>United Arab Emirates</t>
        </is>
      </c>
      <c r="I94" s="248" t="n">
        <v>46323</v>
      </c>
    </row>
    <row r="95" ht="15.5" customHeight="1">
      <c r="A95" s="232" t="inlineStr">
        <is>
          <t>FNNプライムオンライン</t>
        </is>
      </c>
      <c r="B95" s="244" t="n">
        <v>1</v>
      </c>
      <c r="C95" s="245">
        <f>SUMPRODUCT(Stories!$W$4:$W$357,--(Stories!$J$4:$J$357=$A95))</f>
        <v/>
      </c>
      <c r="D95" s="246" t="n">
        <v>4</v>
      </c>
      <c r="E95" s="244" t="n">
        <v>1</v>
      </c>
      <c r="F95" s="247" t="inlineStr">
        <is>
          <t>Hazards &amp; Resilience</t>
        </is>
      </c>
      <c r="G95" s="244" t="n">
        <v>1</v>
      </c>
      <c r="H95" s="172" t="inlineStr">
        <is>
          <t>Japan</t>
        </is>
      </c>
      <c r="I95" s="248" t="n">
        <v>46320</v>
      </c>
    </row>
    <row r="96" ht="28" customHeight="1">
      <c r="A96" s="232" t="inlineStr">
        <is>
          <t>G1</t>
        </is>
      </c>
      <c r="B96" s="244" t="n">
        <v>1</v>
      </c>
      <c r="C96" s="245">
        <f>SUMPRODUCT(Stories!$W$4:$W$357,--(Stories!$J$4:$J$357=$A96))</f>
        <v/>
      </c>
      <c r="D96" s="246" t="n">
        <v>3</v>
      </c>
      <c r="E96" s="244" t="n">
        <v>0</v>
      </c>
      <c r="F96" s="249" t="inlineStr">
        <is>
          <t>Infrastructure &amp; the Underground City</t>
        </is>
      </c>
      <c r="G96" s="244" t="n">
        <v>1</v>
      </c>
      <c r="H96" s="172" t="inlineStr">
        <is>
          <t>Brazil</t>
        </is>
      </c>
      <c r="I96" s="248" t="n">
        <v>46321</v>
      </c>
    </row>
    <row r="97" ht="15.5" customHeight="1">
      <c r="A97" s="232" t="inlineStr">
        <is>
          <t>gadget.qoo10.co.id</t>
        </is>
      </c>
      <c r="B97" s="244" t="n">
        <v>1</v>
      </c>
      <c r="C97" s="245">
        <f>SUMPRODUCT(Stories!$W$4:$W$357,--(Stories!$J$4:$J$357=$A97))</f>
        <v/>
      </c>
      <c r="D97" s="246" t="n">
        <v>4</v>
      </c>
      <c r="E97" s="244" t="n">
        <v>1</v>
      </c>
      <c r="F97" s="247" t="inlineStr">
        <is>
          <t>Hazards &amp; Resilience</t>
        </is>
      </c>
      <c r="G97" s="244" t="n">
        <v>1</v>
      </c>
      <c r="H97" s="172" t="inlineStr">
        <is>
          <t>Indonesia</t>
        </is>
      </c>
      <c r="I97" s="248" t="n">
        <v>46324</v>
      </c>
    </row>
    <row r="98" ht="15.5" customHeight="1">
      <c r="A98" s="232" t="inlineStr">
        <is>
          <t>Geosynthetics Magazine</t>
        </is>
      </c>
      <c r="B98" s="244" t="n">
        <v>1</v>
      </c>
      <c r="C98" s="245">
        <f>SUMPRODUCT(Stories!$W$4:$W$357,--(Stories!$J$4:$J$357=$A98))</f>
        <v/>
      </c>
      <c r="D98" s="246" t="n">
        <v>4</v>
      </c>
      <c r="E98" s="244" t="n">
        <v>1</v>
      </c>
      <c r="F98" s="250" t="inlineStr">
        <is>
          <t>Ground Improvement &amp; Innovation</t>
        </is>
      </c>
      <c r="G98" s="244" t="n">
        <v>1</v>
      </c>
      <c r="H98" s="172" t="inlineStr">
        <is>
          <t>United States</t>
        </is>
      </c>
      <c r="I98" s="248" t="n">
        <v>46323</v>
      </c>
    </row>
    <row r="99" ht="15.5" customHeight="1">
      <c r="A99" s="232" t="inlineStr">
        <is>
          <t>Giornale Nord Est</t>
        </is>
      </c>
      <c r="B99" s="244" t="n">
        <v>1</v>
      </c>
      <c r="C99" s="245">
        <f>SUMPRODUCT(Stories!$W$4:$W$357,--(Stories!$J$4:$J$357=$A99))</f>
        <v/>
      </c>
      <c r="D99" s="246" t="n">
        <v>4</v>
      </c>
      <c r="E99" s="244" t="n">
        <v>1</v>
      </c>
      <c r="F99" s="247" t="inlineStr">
        <is>
          <t>Hazards &amp; Resilience</t>
        </is>
      </c>
      <c r="G99" s="244" t="n">
        <v>1</v>
      </c>
      <c r="H99" s="172" t="inlineStr">
        <is>
          <t>Italy</t>
        </is>
      </c>
      <c r="I99" s="248" t="n">
        <v>46320</v>
      </c>
    </row>
    <row r="100" ht="15.5" customHeight="1">
      <c r="A100" s="232" t="inlineStr">
        <is>
          <t>Global News</t>
        </is>
      </c>
      <c r="B100" s="244" t="n">
        <v>1</v>
      </c>
      <c r="C100" s="245">
        <f>SUMPRODUCT(Stories!$W$4:$W$357,--(Stories!$J$4:$J$357=$A100))</f>
        <v/>
      </c>
      <c r="D100" s="246" t="n">
        <v>3</v>
      </c>
      <c r="E100" s="244" t="n">
        <v>0</v>
      </c>
      <c r="F100" s="247" t="inlineStr">
        <is>
          <t>Hazards &amp; Resilience</t>
        </is>
      </c>
      <c r="G100" s="244" t="n">
        <v>1</v>
      </c>
      <c r="H100" s="172" t="inlineStr">
        <is>
          <t>United Kingdom</t>
        </is>
      </c>
      <c r="I100" s="248" t="n">
        <v>46325</v>
      </c>
    </row>
    <row r="101" ht="15.5" customHeight="1">
      <c r="A101" s="232" t="inlineStr">
        <is>
          <t>Habertürk</t>
        </is>
      </c>
      <c r="B101" s="244" t="n">
        <v>1</v>
      </c>
      <c r="C101" s="245">
        <f>SUMPRODUCT(Stories!$W$4:$W$357,--(Stories!$J$4:$J$357=$A101))</f>
        <v/>
      </c>
      <c r="D101" s="246" t="n">
        <v>3</v>
      </c>
      <c r="E101" s="244" t="n">
        <v>0</v>
      </c>
      <c r="F101" s="253" t="inlineStr">
        <is>
          <t>Characterisation &amp; Modelling</t>
        </is>
      </c>
      <c r="G101" s="244" t="n">
        <v>1</v>
      </c>
      <c r="H101" s="172" t="inlineStr">
        <is>
          <t>Türkiye</t>
        </is>
      </c>
      <c r="I101" s="248" t="n">
        <v>46322</v>
      </c>
    </row>
    <row r="102" ht="15.5" customHeight="1">
      <c r="A102" s="232" t="inlineStr">
        <is>
          <t>Harapan Rakyat</t>
        </is>
      </c>
      <c r="B102" s="244" t="n">
        <v>1</v>
      </c>
      <c r="C102" s="245">
        <f>SUMPRODUCT(Stories!$W$4:$W$357,--(Stories!$J$4:$J$357=$A102))</f>
        <v/>
      </c>
      <c r="D102" s="246" t="n">
        <v>3</v>
      </c>
      <c r="E102" s="244" t="n">
        <v>0</v>
      </c>
      <c r="F102" s="247" t="inlineStr">
        <is>
          <t>Hazards &amp; Resilience</t>
        </is>
      </c>
      <c r="G102" s="244" t="n">
        <v>1</v>
      </c>
      <c r="H102" s="172" t="inlineStr">
        <is>
          <t>Indonesia</t>
        </is>
      </c>
      <c r="I102" s="248" t="n">
        <v>46325</v>
      </c>
    </row>
    <row r="103" ht="15.5" customHeight="1">
      <c r="A103" s="232" t="inlineStr">
        <is>
          <t>Il Giornale dei Castelli Romani</t>
        </is>
      </c>
      <c r="B103" s="244" t="n">
        <v>1</v>
      </c>
      <c r="C103" s="245">
        <f>SUMPRODUCT(Stories!$W$4:$W$357,--(Stories!$J$4:$J$357=$A103))</f>
        <v/>
      </c>
      <c r="D103" s="246" t="n">
        <v>4</v>
      </c>
      <c r="E103" s="244" t="n">
        <v>1</v>
      </c>
      <c r="F103" s="247" t="inlineStr">
        <is>
          <t>Hazards &amp; Resilience</t>
        </is>
      </c>
      <c r="G103" s="244" t="n">
        <v>1</v>
      </c>
      <c r="H103" s="172" t="inlineStr">
        <is>
          <t>Italy</t>
        </is>
      </c>
      <c r="I103" s="248" t="n">
        <v>46319</v>
      </c>
    </row>
    <row r="104" ht="15.5" customHeight="1">
      <c r="A104" s="232" t="inlineStr">
        <is>
          <t>Il Giornale di Chieti</t>
        </is>
      </c>
      <c r="B104" s="244" t="n">
        <v>1</v>
      </c>
      <c r="C104" s="245">
        <f>SUMPRODUCT(Stories!$W$4:$W$357,--(Stories!$J$4:$J$357=$A104))</f>
        <v/>
      </c>
      <c r="D104" s="246" t="n">
        <v>4</v>
      </c>
      <c r="E104" s="244" t="n">
        <v>1</v>
      </c>
      <c r="F104" s="247" t="inlineStr">
        <is>
          <t>Hazards &amp; Resilience</t>
        </is>
      </c>
      <c r="G104" s="244" t="n">
        <v>1</v>
      </c>
      <c r="H104" s="172" t="inlineStr">
        <is>
          <t>Italy</t>
        </is>
      </c>
      <c r="I104" s="248" t="n">
        <v>46326</v>
      </c>
    </row>
    <row r="105" ht="28" customHeight="1">
      <c r="A105" s="232" t="inlineStr">
        <is>
          <t>Il Giorno</t>
        </is>
      </c>
      <c r="B105" s="244" t="n">
        <v>1</v>
      </c>
      <c r="C105" s="245">
        <f>SUMPRODUCT(Stories!$W$4:$W$357,--(Stories!$J$4:$J$357=$A105))</f>
        <v/>
      </c>
      <c r="D105" s="246" t="n">
        <v>3</v>
      </c>
      <c r="E105" s="244" t="n">
        <v>0</v>
      </c>
      <c r="F105" s="249" t="inlineStr">
        <is>
          <t>Infrastructure &amp; the Underground City</t>
        </is>
      </c>
      <c r="G105" s="244" t="n">
        <v>1</v>
      </c>
      <c r="H105" s="172" t="inlineStr">
        <is>
          <t>Italy</t>
        </is>
      </c>
      <c r="I105" s="248" t="n">
        <v>46326</v>
      </c>
    </row>
    <row r="106" ht="15.5" customHeight="1">
      <c r="A106" s="232" t="inlineStr">
        <is>
          <t>Il Messaggero</t>
        </is>
      </c>
      <c r="B106" s="244" t="n">
        <v>1</v>
      </c>
      <c r="C106" s="245">
        <f>SUMPRODUCT(Stories!$W$4:$W$357,--(Stories!$J$4:$J$357=$A106))</f>
        <v/>
      </c>
      <c r="D106" s="246" t="n">
        <v>4</v>
      </c>
      <c r="E106" s="244" t="n">
        <v>1</v>
      </c>
      <c r="F106" s="247" t="inlineStr">
        <is>
          <t>Hazards &amp; Resilience</t>
        </is>
      </c>
      <c r="G106" s="244" t="n">
        <v>1</v>
      </c>
      <c r="H106" s="172" t="inlineStr">
        <is>
          <t>Italy</t>
        </is>
      </c>
      <c r="I106" s="248" t="n">
        <v>46326</v>
      </c>
    </row>
    <row r="107" ht="28" customHeight="1">
      <c r="A107" s="232" t="inlineStr">
        <is>
          <t>Inh News</t>
        </is>
      </c>
      <c r="B107" s="244" t="n">
        <v>1</v>
      </c>
      <c r="C107" s="245">
        <f>SUMPRODUCT(Stories!$W$4:$W$357,--(Stories!$J$4:$J$357=$A107))</f>
        <v/>
      </c>
      <c r="D107" s="246" t="n">
        <v>4</v>
      </c>
      <c r="E107" s="244" t="n">
        <v>1</v>
      </c>
      <c r="F107" s="249" t="inlineStr">
        <is>
          <t>Infrastructure &amp; the Underground City</t>
        </is>
      </c>
      <c r="G107" s="244" t="n">
        <v>1</v>
      </c>
      <c r="H107" s="172" t="inlineStr">
        <is>
          <t>India</t>
        </is>
      </c>
      <c r="I107" s="248" t="n">
        <v>46321</v>
      </c>
    </row>
    <row r="108" ht="28" customHeight="1">
      <c r="A108" s="232" t="inlineStr">
        <is>
          <t>Institution of Civil Engineers (ICE)</t>
        </is>
      </c>
      <c r="B108" s="244" t="n">
        <v>1</v>
      </c>
      <c r="C108" s="245">
        <f>SUMPRODUCT(Stories!$W$4:$W$357,--(Stories!$J$4:$J$357=$A108))</f>
        <v/>
      </c>
      <c r="D108" s="246" t="n">
        <v>3</v>
      </c>
      <c r="E108" s="244" t="n">
        <v>0</v>
      </c>
      <c r="F108" s="251" t="inlineStr">
        <is>
          <t>Offshore, Coasts &amp; Water</t>
        </is>
      </c>
      <c r="G108" s="244" t="n">
        <v>1</v>
      </c>
      <c r="H108" s="172" t="inlineStr">
        <is>
          <t>United Kingdom</t>
        </is>
      </c>
      <c r="I108" s="248" t="n">
        <v>46322</v>
      </c>
    </row>
    <row r="109" ht="15.5" customHeight="1">
      <c r="A109" s="232" t="inlineStr">
        <is>
          <t>International Mining</t>
        </is>
      </c>
      <c r="B109" s="244" t="n">
        <v>1</v>
      </c>
      <c r="C109" s="245">
        <f>SUMPRODUCT(Stories!$W$4:$W$357,--(Stories!$J$4:$J$357=$A109))</f>
        <v/>
      </c>
      <c r="D109" s="246" t="n">
        <v>3</v>
      </c>
      <c r="E109" s="244" t="n">
        <v>0</v>
      </c>
      <c r="F109" s="252" t="inlineStr">
        <is>
          <t>Digital Geotechnics</t>
        </is>
      </c>
      <c r="G109" s="244" t="n">
        <v>1</v>
      </c>
      <c r="H109" s="172" t="inlineStr">
        <is>
          <t>United Kingdom</t>
        </is>
      </c>
      <c r="I109" s="248" t="n">
        <v>46325</v>
      </c>
    </row>
    <row r="110" ht="28" customHeight="1">
      <c r="A110" s="232" t="inlineStr">
        <is>
          <t>International Railway Journal</t>
        </is>
      </c>
      <c r="B110" s="244" t="n">
        <v>1</v>
      </c>
      <c r="C110" s="245">
        <f>SUMPRODUCT(Stories!$W$4:$W$357,--(Stories!$J$4:$J$357=$A110))</f>
        <v/>
      </c>
      <c r="D110" s="246" t="n">
        <v>4</v>
      </c>
      <c r="E110" s="244" t="n">
        <v>1</v>
      </c>
      <c r="F110" s="249" t="inlineStr">
        <is>
          <t>Infrastructure &amp; the Underground City</t>
        </is>
      </c>
      <c r="G110" s="244" t="n">
        <v>1</v>
      </c>
      <c r="H110" s="172" t="inlineStr">
        <is>
          <t>United Kingdom</t>
        </is>
      </c>
      <c r="I110" s="248" t="n">
        <v>46324</v>
      </c>
    </row>
    <row r="111" ht="15.5" customHeight="1">
      <c r="A111" s="232" t="inlineStr">
        <is>
          <t>iXBT.com</t>
        </is>
      </c>
      <c r="B111" s="244" t="n">
        <v>1</v>
      </c>
      <c r="C111" s="245">
        <f>SUMPRODUCT(Stories!$W$4:$W$357,--(Stories!$J$4:$J$357=$A111))</f>
        <v/>
      </c>
      <c r="D111" s="246" t="n">
        <v>4</v>
      </c>
      <c r="E111" s="244" t="n">
        <v>1</v>
      </c>
      <c r="F111" s="247" t="inlineStr">
        <is>
          <t>Hazards &amp; Resilience</t>
        </is>
      </c>
      <c r="G111" s="244" t="n">
        <v>1</v>
      </c>
      <c r="H111" s="172" t="inlineStr">
        <is>
          <t>Russia</t>
        </is>
      </c>
      <c r="I111" s="248" t="n">
        <v>46322</v>
      </c>
    </row>
    <row r="112" ht="15.5" customHeight="1">
      <c r="A112" s="232" t="inlineStr">
        <is>
          <t>Jagran</t>
        </is>
      </c>
      <c r="B112" s="244" t="n">
        <v>1</v>
      </c>
      <c r="C112" s="245">
        <f>SUMPRODUCT(Stories!$W$4:$W$357,--(Stories!$J$4:$J$357=$A112))</f>
        <v/>
      </c>
      <c r="D112" s="246" t="n">
        <v>4</v>
      </c>
      <c r="E112" s="244" t="n">
        <v>1</v>
      </c>
      <c r="F112" s="252" t="inlineStr">
        <is>
          <t>Digital Geotechnics</t>
        </is>
      </c>
      <c r="G112" s="244" t="n">
        <v>1</v>
      </c>
      <c r="H112" s="172" t="inlineStr">
        <is>
          <t>India</t>
        </is>
      </c>
      <c r="I112" s="248" t="n">
        <v>46323</v>
      </c>
    </row>
    <row r="113" ht="28" customHeight="1">
      <c r="A113" s="232" t="inlineStr">
        <is>
          <t>JORNAL DA REGIÃO</t>
        </is>
      </c>
      <c r="B113" s="244" t="n">
        <v>1</v>
      </c>
      <c r="C113" s="245">
        <f>SUMPRODUCT(Stories!$W$4:$W$357,--(Stories!$J$4:$J$357=$A113))</f>
        <v/>
      </c>
      <c r="D113" s="246" t="n">
        <v>3</v>
      </c>
      <c r="E113" s="244" t="n">
        <v>0</v>
      </c>
      <c r="F113" s="249" t="inlineStr">
        <is>
          <t>Infrastructure &amp; the Underground City</t>
        </is>
      </c>
      <c r="G113" s="244" t="n">
        <v>1</v>
      </c>
      <c r="H113" s="172" t="inlineStr">
        <is>
          <t>Brazil</t>
        </is>
      </c>
      <c r="I113" s="248" t="n">
        <v>46321</v>
      </c>
    </row>
    <row r="114" ht="28" customHeight="1">
      <c r="A114" s="232" t="inlineStr">
        <is>
          <t>Jornal Novo Tempo</t>
        </is>
      </c>
      <c r="B114" s="244" t="n">
        <v>1</v>
      </c>
      <c r="C114" s="245">
        <f>SUMPRODUCT(Stories!$W$4:$W$357,--(Stories!$J$4:$J$357=$A114))</f>
        <v/>
      </c>
      <c r="D114" s="246" t="n">
        <v>3</v>
      </c>
      <c r="E114" s="244" t="n">
        <v>0</v>
      </c>
      <c r="F114" s="249" t="inlineStr">
        <is>
          <t>Infrastructure &amp; the Underground City</t>
        </is>
      </c>
      <c r="G114" s="244" t="n">
        <v>1</v>
      </c>
      <c r="H114" s="172" t="inlineStr">
        <is>
          <t>Brazil</t>
        </is>
      </c>
      <c r="I114" s="248" t="n">
        <v>46321</v>
      </c>
    </row>
    <row r="115" ht="15.5" customHeight="1">
      <c r="A115" s="232" t="inlineStr">
        <is>
          <t>Kashmir Life</t>
        </is>
      </c>
      <c r="B115" s="244" t="n">
        <v>1</v>
      </c>
      <c r="C115" s="245">
        <f>SUMPRODUCT(Stories!$W$4:$W$357,--(Stories!$J$4:$J$357=$A115))</f>
        <v/>
      </c>
      <c r="D115" s="246" t="n">
        <v>5</v>
      </c>
      <c r="E115" s="244" t="n">
        <v>1</v>
      </c>
      <c r="F115" s="247" t="inlineStr">
        <is>
          <t>Hazards &amp; Resilience</t>
        </is>
      </c>
      <c r="G115" s="244" t="n">
        <v>1</v>
      </c>
      <c r="H115" s="172" t="inlineStr">
        <is>
          <t>United Kingdom</t>
        </is>
      </c>
      <c r="I115" s="248" t="n">
        <v>46321</v>
      </c>
    </row>
    <row r="116" ht="15.5" customHeight="1">
      <c r="A116" s="232" t="inlineStr">
        <is>
          <t>Kenh14.vn</t>
        </is>
      </c>
      <c r="B116" s="244" t="n">
        <v>1</v>
      </c>
      <c r="C116" s="245">
        <f>SUMPRODUCT(Stories!$W$4:$W$357,--(Stories!$J$4:$J$357=$A116))</f>
        <v/>
      </c>
      <c r="D116" s="246" t="n">
        <v>4</v>
      </c>
      <c r="E116" s="244" t="n">
        <v>1</v>
      </c>
      <c r="F116" s="247" t="inlineStr">
        <is>
          <t>Hazards &amp; Resilience</t>
        </is>
      </c>
      <c r="G116" s="244" t="n">
        <v>1</v>
      </c>
      <c r="H116" s="172" t="inlineStr">
        <is>
          <t>Vietnam</t>
        </is>
      </c>
      <c r="I116" s="248" t="n">
        <v>46319</v>
      </c>
    </row>
    <row r="117" ht="28" customHeight="1">
      <c r="A117" s="232" t="inlineStr">
        <is>
          <t>KLSE Screener</t>
        </is>
      </c>
      <c r="B117" s="244" t="n">
        <v>1</v>
      </c>
      <c r="C117" s="245">
        <f>SUMPRODUCT(Stories!$W$4:$W$357,--(Stories!$J$4:$J$357=$A117))</f>
        <v/>
      </c>
      <c r="D117" s="246" t="n">
        <v>3</v>
      </c>
      <c r="E117" s="244" t="n">
        <v>0</v>
      </c>
      <c r="F117" s="249" t="inlineStr">
        <is>
          <t>Infrastructure &amp; the Underground City</t>
        </is>
      </c>
      <c r="G117" s="244" t="n">
        <v>1</v>
      </c>
      <c r="H117" s="172" t="inlineStr">
        <is>
          <t>South Africa</t>
        </is>
      </c>
      <c r="I117" s="248" t="n">
        <v>46322</v>
      </c>
    </row>
    <row r="118" ht="15.5" customHeight="1">
      <c r="A118" s="232" t="inlineStr">
        <is>
          <t>Kompas.com</t>
        </is>
      </c>
      <c r="B118" s="244" t="n">
        <v>1</v>
      </c>
      <c r="C118" s="245">
        <f>SUMPRODUCT(Stories!$W$4:$W$357,--(Stories!$J$4:$J$357=$A118))</f>
        <v/>
      </c>
      <c r="D118" s="246" t="n">
        <v>3</v>
      </c>
      <c r="E118" s="244" t="n">
        <v>0</v>
      </c>
      <c r="F118" s="247" t="inlineStr">
        <is>
          <t>Hazards &amp; Resilience</t>
        </is>
      </c>
      <c r="G118" s="244" t="n">
        <v>1</v>
      </c>
      <c r="H118" s="172" t="inlineStr">
        <is>
          <t>Indonesia</t>
        </is>
      </c>
      <c r="I118" s="248" t="n">
        <v>46323</v>
      </c>
    </row>
    <row r="119" ht="28" customHeight="1">
      <c r="A119" s="232" t="inlineStr">
        <is>
          <t>La Jornada Morelos</t>
        </is>
      </c>
      <c r="B119" s="244" t="n">
        <v>1</v>
      </c>
      <c r="C119" s="245">
        <f>SUMPRODUCT(Stories!$W$4:$W$357,--(Stories!$J$4:$J$357=$A119))</f>
        <v/>
      </c>
      <c r="D119" s="246" t="n">
        <v>4</v>
      </c>
      <c r="E119" s="244" t="n">
        <v>1</v>
      </c>
      <c r="F119" s="249" t="inlineStr">
        <is>
          <t>Infrastructure &amp; the Underground City</t>
        </is>
      </c>
      <c r="G119" s="244" t="n">
        <v>1</v>
      </c>
      <c r="H119" s="172" t="inlineStr">
        <is>
          <t>Argentina</t>
        </is>
      </c>
      <c r="I119" s="248" t="n">
        <v>46321</v>
      </c>
    </row>
    <row r="120" ht="28" customHeight="1">
      <c r="A120" s="232" t="inlineStr">
        <is>
          <t>La Nueva España</t>
        </is>
      </c>
      <c r="B120" s="244" t="n">
        <v>1</v>
      </c>
      <c r="C120" s="245">
        <f>SUMPRODUCT(Stories!$W$4:$W$357,--(Stories!$J$4:$J$357=$A120))</f>
        <v/>
      </c>
      <c r="D120" s="246" t="n">
        <v>3</v>
      </c>
      <c r="E120" s="244" t="n">
        <v>0</v>
      </c>
      <c r="F120" s="249" t="inlineStr">
        <is>
          <t>Infrastructure &amp; the Underground City</t>
        </is>
      </c>
      <c r="G120" s="244" t="n">
        <v>1</v>
      </c>
      <c r="H120" s="172" t="inlineStr">
        <is>
          <t>Argentina</t>
        </is>
      </c>
      <c r="I120" s="248" t="n">
        <v>46324</v>
      </c>
    </row>
    <row r="121" ht="15.5" customHeight="1">
      <c r="A121" s="232" t="inlineStr">
        <is>
          <t>La Prensa de Monagas</t>
        </is>
      </c>
      <c r="B121" s="244" t="n">
        <v>1</v>
      </c>
      <c r="C121" s="245">
        <f>SUMPRODUCT(Stories!$W$4:$W$357,--(Stories!$J$4:$J$357=$A121))</f>
        <v/>
      </c>
      <c r="D121" s="246" t="n">
        <v>3</v>
      </c>
      <c r="E121" s="244" t="n">
        <v>0</v>
      </c>
      <c r="F121" s="247" t="inlineStr">
        <is>
          <t>Hazards &amp; Resilience</t>
        </is>
      </c>
      <c r="G121" s="244" t="n">
        <v>1</v>
      </c>
      <c r="H121" s="172" t="inlineStr">
        <is>
          <t>Mexico</t>
        </is>
      </c>
      <c r="I121" s="248" t="n">
        <v>46325</v>
      </c>
    </row>
    <row r="122" ht="15.5" customHeight="1">
      <c r="A122" s="232" t="inlineStr">
        <is>
          <t>la Repubblica</t>
        </is>
      </c>
      <c r="B122" s="244" t="n">
        <v>1</v>
      </c>
      <c r="C122" s="245">
        <f>SUMPRODUCT(Stories!$W$4:$W$357,--(Stories!$J$4:$J$357=$A122))</f>
        <v/>
      </c>
      <c r="D122" s="246" t="n">
        <v>5</v>
      </c>
      <c r="E122" s="244" t="n">
        <v>1</v>
      </c>
      <c r="F122" s="247" t="inlineStr">
        <is>
          <t>Hazards &amp; Resilience</t>
        </is>
      </c>
      <c r="G122" s="244" t="n">
        <v>1</v>
      </c>
      <c r="H122" s="172" t="inlineStr">
        <is>
          <t>Italy</t>
        </is>
      </c>
      <c r="I122" s="248" t="n">
        <v>46321</v>
      </c>
    </row>
    <row r="123" ht="15.5" customHeight="1">
      <c r="A123" s="232" t="inlineStr">
        <is>
          <t>laconexion.cl</t>
        </is>
      </c>
      <c r="B123" s="244" t="n">
        <v>1</v>
      </c>
      <c r="C123" s="245">
        <f>SUMPRODUCT(Stories!$W$4:$W$357,--(Stories!$J$4:$J$357=$A123))</f>
        <v/>
      </c>
      <c r="D123" s="246" t="n">
        <v>4</v>
      </c>
      <c r="E123" s="244" t="n">
        <v>1</v>
      </c>
      <c r="F123" s="247" t="inlineStr">
        <is>
          <t>Hazards &amp; Resilience</t>
        </is>
      </c>
      <c r="G123" s="244" t="n">
        <v>1</v>
      </c>
      <c r="H123" s="172" t="inlineStr">
        <is>
          <t>Colombia</t>
        </is>
      </c>
      <c r="I123" s="248" t="n">
        <v>46323</v>
      </c>
    </row>
    <row r="124" ht="28" customHeight="1">
      <c r="A124" s="232" t="inlineStr">
        <is>
          <t>Le Moniteur</t>
        </is>
      </c>
      <c r="B124" s="244" t="n">
        <v>1</v>
      </c>
      <c r="C124" s="245">
        <f>SUMPRODUCT(Stories!$W$4:$W$357,--(Stories!$J$4:$J$357=$A124))</f>
        <v/>
      </c>
      <c r="D124" s="246" t="n">
        <v>4</v>
      </c>
      <c r="E124" s="244" t="n">
        <v>1</v>
      </c>
      <c r="F124" s="249" t="inlineStr">
        <is>
          <t>Infrastructure &amp; the Underground City</t>
        </is>
      </c>
      <c r="G124" s="244" t="n">
        <v>1</v>
      </c>
      <c r="H124" s="172" t="inlineStr">
        <is>
          <t>Senegal</t>
        </is>
      </c>
      <c r="I124" s="248" t="n">
        <v>46324</v>
      </c>
    </row>
    <row r="125" ht="28" customHeight="1">
      <c r="A125" s="232" t="inlineStr">
        <is>
          <t>Life.ru</t>
        </is>
      </c>
      <c r="B125" s="244" t="n">
        <v>1</v>
      </c>
      <c r="C125" s="245">
        <f>SUMPRODUCT(Stories!$W$4:$W$357,--(Stories!$J$4:$J$357=$A125))</f>
        <v/>
      </c>
      <c r="D125" s="246" t="n">
        <v>5</v>
      </c>
      <c r="E125" s="244" t="n">
        <v>1</v>
      </c>
      <c r="F125" s="255" t="inlineStr">
        <is>
          <t>Sustainability &amp; the Energy Transition</t>
        </is>
      </c>
      <c r="G125" s="244" t="n">
        <v>1</v>
      </c>
      <c r="H125" s="172" t="inlineStr">
        <is>
          <t>Russia</t>
        </is>
      </c>
      <c r="I125" s="248" t="n">
        <v>46321</v>
      </c>
    </row>
    <row r="126" ht="15.5" customHeight="1">
      <c r="A126" s="232" t="inlineStr">
        <is>
          <t>Live Science</t>
        </is>
      </c>
      <c r="B126" s="244" t="n">
        <v>1</v>
      </c>
      <c r="C126" s="245">
        <f>SUMPRODUCT(Stories!$W$4:$W$357,--(Stories!$J$4:$J$357=$A126))</f>
        <v/>
      </c>
      <c r="D126" s="246" t="n">
        <v>4</v>
      </c>
      <c r="E126" s="244" t="n">
        <v>1</v>
      </c>
      <c r="F126" s="247" t="inlineStr">
        <is>
          <t>Hazards &amp; Resilience</t>
        </is>
      </c>
      <c r="G126" s="244" t="n">
        <v>1</v>
      </c>
      <c r="H126" s="172" t="inlineStr">
        <is>
          <t>United Kingdom</t>
        </is>
      </c>
      <c r="I126" s="248" t="n">
        <v>46322</v>
      </c>
    </row>
    <row r="127" ht="15.5" customHeight="1">
      <c r="A127" s="232" t="inlineStr">
        <is>
          <t>Los Noticieristas</t>
        </is>
      </c>
      <c r="B127" s="244" t="n">
        <v>1</v>
      </c>
      <c r="C127" s="245">
        <f>SUMPRODUCT(Stories!$W$4:$W$357,--(Stories!$J$4:$J$357=$A127))</f>
        <v/>
      </c>
      <c r="D127" s="246" t="n">
        <v>4</v>
      </c>
      <c r="E127" s="244" t="n">
        <v>1</v>
      </c>
      <c r="F127" s="251" t="inlineStr">
        <is>
          <t>Offshore, Coasts &amp; Water</t>
        </is>
      </c>
      <c r="G127" s="244" t="n">
        <v>1</v>
      </c>
      <c r="H127" s="172" t="inlineStr">
        <is>
          <t>Colombia</t>
        </is>
      </c>
      <c r="I127" s="248" t="n">
        <v>46321</v>
      </c>
    </row>
    <row r="128" ht="28" customHeight="1">
      <c r="A128" s="232" t="inlineStr">
        <is>
          <t>luminanoticias.pe</t>
        </is>
      </c>
      <c r="B128" s="244" t="n">
        <v>1</v>
      </c>
      <c r="C128" s="245">
        <f>SUMPRODUCT(Stories!$W$4:$W$357,--(Stories!$J$4:$J$357=$A128))</f>
        <v/>
      </c>
      <c r="D128" s="246" t="n">
        <v>3</v>
      </c>
      <c r="E128" s="244" t="n">
        <v>0</v>
      </c>
      <c r="F128" s="249" t="inlineStr">
        <is>
          <t>Infrastructure &amp; the Underground City</t>
        </is>
      </c>
      <c r="G128" s="244" t="n">
        <v>1</v>
      </c>
      <c r="H128" s="172" t="inlineStr">
        <is>
          <t>Spain</t>
        </is>
      </c>
      <c r="I128" s="248" t="n">
        <v>46321</v>
      </c>
    </row>
    <row r="129" ht="15.5" customHeight="1">
      <c r="A129" s="232" t="inlineStr">
        <is>
          <t>Malay Mail</t>
        </is>
      </c>
      <c r="B129" s="244" t="n">
        <v>1</v>
      </c>
      <c r="C129" s="245">
        <f>SUMPRODUCT(Stories!$W$4:$W$357,--(Stories!$J$4:$J$357=$A129))</f>
        <v/>
      </c>
      <c r="D129" s="246" t="n">
        <v>4</v>
      </c>
      <c r="E129" s="244" t="n">
        <v>1</v>
      </c>
      <c r="F129" s="247" t="inlineStr">
        <is>
          <t>Hazards &amp; Resilience</t>
        </is>
      </c>
      <c r="G129" s="244" t="n">
        <v>1</v>
      </c>
      <c r="H129" s="172" t="inlineStr">
        <is>
          <t>United Kingdom</t>
        </is>
      </c>
      <c r="I129" s="248" t="n">
        <v>46320</v>
      </c>
    </row>
    <row r="130" ht="28" customHeight="1">
      <c r="A130" s="232" t="inlineStr">
        <is>
          <t>MarketScreener España</t>
        </is>
      </c>
      <c r="B130" s="244" t="n">
        <v>1</v>
      </c>
      <c r="C130" s="245">
        <f>SUMPRODUCT(Stories!$W$4:$W$357,--(Stories!$J$4:$J$357=$A130))</f>
        <v/>
      </c>
      <c r="D130" s="246" t="n">
        <v>4</v>
      </c>
      <c r="E130" s="244" t="n">
        <v>1</v>
      </c>
      <c r="F130" s="249" t="inlineStr">
        <is>
          <t>Infrastructure &amp; the Underground City</t>
        </is>
      </c>
      <c r="G130" s="244" t="n">
        <v>1</v>
      </c>
      <c r="H130" s="172" t="inlineStr">
        <is>
          <t>Argentina</t>
        </is>
      </c>
      <c r="I130" s="248" t="n">
        <v>46320</v>
      </c>
    </row>
    <row r="131" ht="28" customHeight="1">
      <c r="A131" s="232" t="inlineStr">
        <is>
          <t>Marília Notícia</t>
        </is>
      </c>
      <c r="B131" s="244" t="n">
        <v>1</v>
      </c>
      <c r="C131" s="245">
        <f>SUMPRODUCT(Stories!$W$4:$W$357,--(Stories!$J$4:$J$357=$A131))</f>
        <v/>
      </c>
      <c r="D131" s="246" t="n">
        <v>3</v>
      </c>
      <c r="E131" s="244" t="n">
        <v>0</v>
      </c>
      <c r="F131" s="249" t="inlineStr">
        <is>
          <t>Infrastructure &amp; the Underground City</t>
        </is>
      </c>
      <c r="G131" s="244" t="n">
        <v>1</v>
      </c>
      <c r="H131" s="172" t="inlineStr">
        <is>
          <t>Brazil</t>
        </is>
      </c>
      <c r="I131" s="248" t="n">
        <v>46321</v>
      </c>
    </row>
    <row r="132" ht="15.5" customHeight="1">
      <c r="A132" s="232" t="inlineStr">
        <is>
          <t>Media Indonesia</t>
        </is>
      </c>
      <c r="B132" s="244" t="n">
        <v>1</v>
      </c>
      <c r="C132" s="245">
        <f>SUMPRODUCT(Stories!$W$4:$W$357,--(Stories!$J$4:$J$357=$A132))</f>
        <v/>
      </c>
      <c r="D132" s="246" t="n">
        <v>3</v>
      </c>
      <c r="E132" s="244" t="n">
        <v>0</v>
      </c>
      <c r="F132" s="247" t="inlineStr">
        <is>
          <t>Hazards &amp; Resilience</t>
        </is>
      </c>
      <c r="G132" s="244" t="n">
        <v>1</v>
      </c>
      <c r="H132" s="172" t="inlineStr">
        <is>
          <t>Indonesia</t>
        </is>
      </c>
      <c r="I132" s="248" t="n">
        <v>46325</v>
      </c>
    </row>
    <row r="133" ht="15.5" customHeight="1">
      <c r="A133" s="232" t="inlineStr">
        <is>
          <t>Media.az</t>
        </is>
      </c>
      <c r="B133" s="244" t="n">
        <v>1</v>
      </c>
      <c r="C133" s="245">
        <f>SUMPRODUCT(Stories!$W$4:$W$357,--(Stories!$J$4:$J$357=$A133))</f>
        <v/>
      </c>
      <c r="D133" s="246" t="n">
        <v>3</v>
      </c>
      <c r="E133" s="244" t="n">
        <v>0</v>
      </c>
      <c r="F133" s="247" t="inlineStr">
        <is>
          <t>Hazards &amp; Resilience</t>
        </is>
      </c>
      <c r="G133" s="244" t="n">
        <v>1</v>
      </c>
      <c r="H133" s="172" t="inlineStr">
        <is>
          <t>Russia</t>
        </is>
      </c>
      <c r="I133" s="248" t="n">
        <v>46326</v>
      </c>
    </row>
    <row r="134" ht="15.5" customHeight="1">
      <c r="A134" s="232" t="inlineStr">
        <is>
          <t>Meganoticias</t>
        </is>
      </c>
      <c r="B134" s="244" t="n">
        <v>1</v>
      </c>
      <c r="C134" s="245">
        <f>SUMPRODUCT(Stories!$W$4:$W$357,--(Stories!$J$4:$J$357=$A134))</f>
        <v/>
      </c>
      <c r="D134" s="246" t="n">
        <v>4</v>
      </c>
      <c r="E134" s="244" t="n">
        <v>1</v>
      </c>
      <c r="F134" s="247" t="inlineStr">
        <is>
          <t>Hazards &amp; Resilience</t>
        </is>
      </c>
      <c r="G134" s="244" t="n">
        <v>1</v>
      </c>
      <c r="H134" s="172" t="inlineStr">
        <is>
          <t>Chile</t>
        </is>
      </c>
      <c r="I134" s="248" t="n">
        <v>46319</v>
      </c>
    </row>
    <row r="135" ht="28" customHeight="1">
      <c r="A135" s="232" t="inlineStr">
        <is>
          <t>Metrolinx</t>
        </is>
      </c>
      <c r="B135" s="244" t="n">
        <v>1</v>
      </c>
      <c r="C135" s="245">
        <f>SUMPRODUCT(Stories!$W$4:$W$357,--(Stories!$J$4:$J$357=$A135))</f>
        <v/>
      </c>
      <c r="D135" s="246" t="n">
        <v>4</v>
      </c>
      <c r="E135" s="244" t="n">
        <v>1</v>
      </c>
      <c r="F135" s="249" t="inlineStr">
        <is>
          <t>Infrastructure &amp; the Underground City</t>
        </is>
      </c>
      <c r="G135" s="244" t="n">
        <v>1</v>
      </c>
      <c r="H135" s="172" t="inlineStr">
        <is>
          <t>United Kingdom</t>
        </is>
      </c>
      <c r="I135" s="248" t="n">
        <v>46322</v>
      </c>
    </row>
    <row r="136" ht="28" customHeight="1">
      <c r="A136" s="232" t="inlineStr">
        <is>
          <t>Mi Radio</t>
        </is>
      </c>
      <c r="B136" s="244" t="n">
        <v>1</v>
      </c>
      <c r="C136" s="245">
        <f>SUMPRODUCT(Stories!$W$4:$W$357,--(Stories!$J$4:$J$357=$A136))</f>
        <v/>
      </c>
      <c r="D136" s="246" t="n">
        <v>3</v>
      </c>
      <c r="E136" s="244" t="n">
        <v>0</v>
      </c>
      <c r="F136" s="249" t="inlineStr">
        <is>
          <t>Infrastructure &amp; the Underground City</t>
        </is>
      </c>
      <c r="G136" s="244" t="n">
        <v>1</v>
      </c>
      <c r="H136" s="172" t="inlineStr">
        <is>
          <t>Colombia</t>
        </is>
      </c>
      <c r="I136" s="248" t="n">
        <v>46323</v>
      </c>
    </row>
    <row r="137" ht="28" customHeight="1">
      <c r="A137" s="232" t="inlineStr">
        <is>
          <t>Moderator.az xəbər portalı</t>
        </is>
      </c>
      <c r="B137" s="244" t="n">
        <v>1</v>
      </c>
      <c r="C137" s="245">
        <f>SUMPRODUCT(Stories!$W$4:$W$357,--(Stories!$J$4:$J$357=$A137))</f>
        <v/>
      </c>
      <c r="D137" s="246" t="n">
        <v>3</v>
      </c>
      <c r="E137" s="244" t="n">
        <v>0</v>
      </c>
      <c r="F137" s="249" t="inlineStr">
        <is>
          <t>Infrastructure &amp; the Underground City</t>
        </is>
      </c>
      <c r="G137" s="244" t="n">
        <v>1</v>
      </c>
      <c r="H137" s="172" t="inlineStr">
        <is>
          <t>Russia</t>
        </is>
      </c>
      <c r="I137" s="248" t="n">
        <v>46325</v>
      </c>
    </row>
    <row r="138" ht="28" customHeight="1">
      <c r="A138" s="232" t="inlineStr">
        <is>
          <t>mos.ru</t>
        </is>
      </c>
      <c r="B138" s="244" t="n">
        <v>1</v>
      </c>
      <c r="C138" s="245">
        <f>SUMPRODUCT(Stories!$W$4:$W$357,--(Stories!$J$4:$J$357=$A138))</f>
        <v/>
      </c>
      <c r="D138" s="246" t="n">
        <v>4</v>
      </c>
      <c r="E138" s="244" t="n">
        <v>1</v>
      </c>
      <c r="F138" s="249" t="inlineStr">
        <is>
          <t>Infrastructure &amp; the Underground City</t>
        </is>
      </c>
      <c r="G138" s="244" t="n">
        <v>1</v>
      </c>
      <c r="H138" s="172" t="inlineStr">
        <is>
          <t>Russia</t>
        </is>
      </c>
      <c r="I138" s="248" t="n">
        <v>46322</v>
      </c>
    </row>
    <row r="139" ht="28" customHeight="1">
      <c r="A139" s="232" t="inlineStr">
        <is>
          <t>MVS Noticias</t>
        </is>
      </c>
      <c r="B139" s="244" t="n">
        <v>1</v>
      </c>
      <c r="C139" s="245">
        <f>SUMPRODUCT(Stories!$W$4:$W$357,--(Stories!$J$4:$J$357=$A139))</f>
        <v/>
      </c>
      <c r="D139" s="246" t="n">
        <v>3</v>
      </c>
      <c r="E139" s="244" t="n">
        <v>0</v>
      </c>
      <c r="F139" s="249" t="inlineStr">
        <is>
          <t>Infrastructure &amp; the Underground City</t>
        </is>
      </c>
      <c r="G139" s="244" t="n">
        <v>1</v>
      </c>
      <c r="H139" s="172" t="inlineStr">
        <is>
          <t>Colombia</t>
        </is>
      </c>
      <c r="I139" s="248" t="n">
        <v>46323</v>
      </c>
    </row>
    <row r="140" ht="15.5" customHeight="1">
      <c r="A140" s="232" t="inlineStr">
        <is>
          <t>Nature World News</t>
        </is>
      </c>
      <c r="B140" s="244" t="n">
        <v>1</v>
      </c>
      <c r="C140" s="245">
        <f>SUMPRODUCT(Stories!$W$4:$W$357,--(Stories!$J$4:$J$357=$A140))</f>
        <v/>
      </c>
      <c r="D140" s="246" t="n">
        <v>4</v>
      </c>
      <c r="E140" s="244" t="n">
        <v>1</v>
      </c>
      <c r="F140" s="247" t="inlineStr">
        <is>
          <t>Hazards &amp; Resilience</t>
        </is>
      </c>
      <c r="G140" s="244" t="n">
        <v>1</v>
      </c>
      <c r="H140" s="172" t="inlineStr">
        <is>
          <t>United Kingdom</t>
        </is>
      </c>
      <c r="I140" s="248" t="n">
        <v>46325</v>
      </c>
    </row>
    <row r="141" ht="28" customHeight="1">
      <c r="A141" s="232" t="inlineStr">
        <is>
          <t>Naver Blog</t>
        </is>
      </c>
      <c r="B141" s="244" t="n">
        <v>1</v>
      </c>
      <c r="C141" s="245">
        <f>SUMPRODUCT(Stories!$W$4:$W$357,--(Stories!$J$4:$J$357=$A141))</f>
        <v/>
      </c>
      <c r="D141" s="246" t="n">
        <v>4</v>
      </c>
      <c r="E141" s="244" t="n">
        <v>1</v>
      </c>
      <c r="F141" s="249" t="inlineStr">
        <is>
          <t>Infrastructure &amp; the Underground City</t>
        </is>
      </c>
      <c r="G141" s="244" t="n">
        <v>1</v>
      </c>
      <c r="H141" s="172" t="inlineStr">
        <is>
          <t>South Korea</t>
        </is>
      </c>
      <c r="I141" s="248" t="n">
        <v>46319</v>
      </c>
    </row>
    <row r="142" ht="28" customHeight="1">
      <c r="A142" s="232" t="inlineStr">
        <is>
          <t>NDT Noticias de Tijuana</t>
        </is>
      </c>
      <c r="B142" s="244" t="n">
        <v>1</v>
      </c>
      <c r="C142" s="245">
        <f>SUMPRODUCT(Stories!$W$4:$W$357,--(Stories!$J$4:$J$357=$A142))</f>
        <v/>
      </c>
      <c r="D142" s="246" t="n">
        <v>4</v>
      </c>
      <c r="E142" s="244" t="n">
        <v>1</v>
      </c>
      <c r="F142" s="249" t="inlineStr">
        <is>
          <t>Infrastructure &amp; the Underground City</t>
        </is>
      </c>
      <c r="G142" s="244" t="n">
        <v>1</v>
      </c>
      <c r="H142" s="172" t="inlineStr">
        <is>
          <t>Colombia</t>
        </is>
      </c>
      <c r="I142" s="248" t="n">
        <v>46320</v>
      </c>
    </row>
    <row r="143" ht="28" customHeight="1">
      <c r="A143" s="232" t="inlineStr">
        <is>
          <t>Netnoticias.mx</t>
        </is>
      </c>
      <c r="B143" s="244" t="n">
        <v>1</v>
      </c>
      <c r="C143" s="245">
        <f>SUMPRODUCT(Stories!$W$4:$W$357,--(Stories!$J$4:$J$357=$A143))</f>
        <v/>
      </c>
      <c r="D143" s="246" t="n">
        <v>3</v>
      </c>
      <c r="E143" s="244" t="n">
        <v>0</v>
      </c>
      <c r="F143" s="249" t="inlineStr">
        <is>
          <t>Infrastructure &amp; the Underground City</t>
        </is>
      </c>
      <c r="G143" s="244" t="n">
        <v>1</v>
      </c>
      <c r="H143" s="172" t="inlineStr">
        <is>
          <t>Colombia</t>
        </is>
      </c>
      <c r="I143" s="248" t="n">
        <v>46321</v>
      </c>
    </row>
    <row r="144" ht="28" customHeight="1">
      <c r="A144" s="232" t="inlineStr">
        <is>
          <t>Network Rail media centre</t>
        </is>
      </c>
      <c r="B144" s="244" t="n">
        <v>1</v>
      </c>
      <c r="C144" s="245">
        <f>SUMPRODUCT(Stories!$W$4:$W$357,--(Stories!$J$4:$J$357=$A144))</f>
        <v/>
      </c>
      <c r="D144" s="246" t="n">
        <v>3</v>
      </c>
      <c r="E144" s="244" t="n">
        <v>0</v>
      </c>
      <c r="F144" s="249" t="inlineStr">
        <is>
          <t>Infrastructure &amp; the Underground City</t>
        </is>
      </c>
      <c r="G144" s="244" t="n">
        <v>1</v>
      </c>
      <c r="H144" s="172" t="inlineStr">
        <is>
          <t>United Kingdom</t>
        </is>
      </c>
      <c r="I144" s="248" t="n">
        <v>46326</v>
      </c>
    </row>
    <row r="145" ht="15.5" customHeight="1">
      <c r="A145" s="232" t="inlineStr">
        <is>
          <t>NEWS.am</t>
        </is>
      </c>
      <c r="B145" s="244" t="n">
        <v>1</v>
      </c>
      <c r="C145" s="245">
        <f>SUMPRODUCT(Stories!$W$4:$W$357,--(Stories!$J$4:$J$357=$A145))</f>
        <v/>
      </c>
      <c r="D145" s="246" t="n">
        <v>4</v>
      </c>
      <c r="E145" s="244" t="n">
        <v>1</v>
      </c>
      <c r="F145" s="247" t="inlineStr">
        <is>
          <t>Hazards &amp; Resilience</t>
        </is>
      </c>
      <c r="G145" s="244" t="n">
        <v>1</v>
      </c>
      <c r="H145" s="172" t="inlineStr">
        <is>
          <t>Russia</t>
        </is>
      </c>
      <c r="I145" s="248" t="n">
        <v>46324</v>
      </c>
    </row>
    <row r="146" ht="15.5" customHeight="1">
      <c r="A146" s="232" t="inlineStr">
        <is>
          <t>NewSicilia</t>
        </is>
      </c>
      <c r="B146" s="244" t="n">
        <v>1</v>
      </c>
      <c r="C146" s="245">
        <f>SUMPRODUCT(Stories!$W$4:$W$357,--(Stories!$J$4:$J$357=$A146))</f>
        <v/>
      </c>
      <c r="D146" s="246" t="n">
        <v>5</v>
      </c>
      <c r="E146" s="244" t="n">
        <v>1</v>
      </c>
      <c r="F146" s="247" t="inlineStr">
        <is>
          <t>Hazards &amp; Resilience</t>
        </is>
      </c>
      <c r="G146" s="244" t="n">
        <v>1</v>
      </c>
      <c r="H146" s="172" t="inlineStr">
        <is>
          <t>Italy</t>
        </is>
      </c>
      <c r="I146" s="248" t="n">
        <v>46326</v>
      </c>
    </row>
    <row r="147" ht="15.5" customHeight="1">
      <c r="A147" s="232" t="inlineStr">
        <is>
          <t>Người Đưa Tin</t>
        </is>
      </c>
      <c r="B147" s="244" t="n">
        <v>1</v>
      </c>
      <c r="C147" s="245">
        <f>SUMPRODUCT(Stories!$W$4:$W$357,--(Stories!$J$4:$J$357=$A147))</f>
        <v/>
      </c>
      <c r="D147" s="246" t="n">
        <v>4</v>
      </c>
      <c r="E147" s="244" t="n">
        <v>1</v>
      </c>
      <c r="F147" s="251" t="inlineStr">
        <is>
          <t>Offshore, Coasts &amp; Water</t>
        </is>
      </c>
      <c r="G147" s="244" t="n">
        <v>1</v>
      </c>
      <c r="H147" s="172" t="inlineStr">
        <is>
          <t>Vietnam</t>
        </is>
      </c>
      <c r="I147" s="248" t="n">
        <v>46319</v>
      </c>
    </row>
    <row r="148" ht="28" customHeight="1">
      <c r="A148" s="232" t="inlineStr">
        <is>
          <t>noi.md</t>
        </is>
      </c>
      <c r="B148" s="244" t="n">
        <v>1</v>
      </c>
      <c r="C148" s="245">
        <f>SUMPRODUCT(Stories!$W$4:$W$357,--(Stories!$J$4:$J$357=$A148))</f>
        <v/>
      </c>
      <c r="D148" s="246" t="n">
        <v>3</v>
      </c>
      <c r="E148" s="244" t="n">
        <v>0</v>
      </c>
      <c r="F148" s="249" t="inlineStr">
        <is>
          <t>Infrastructure &amp; the Underground City</t>
        </is>
      </c>
      <c r="G148" s="244" t="n">
        <v>1</v>
      </c>
      <c r="H148" s="172" t="inlineStr">
        <is>
          <t>Russia</t>
        </is>
      </c>
      <c r="I148" s="248" t="n">
        <v>46325</v>
      </c>
    </row>
    <row r="149" ht="28" customHeight="1">
      <c r="A149" s="232" t="inlineStr">
        <is>
          <t>Norte de Ciudad Juárez</t>
        </is>
      </c>
      <c r="B149" s="244" t="n">
        <v>1</v>
      </c>
      <c r="C149" s="245">
        <f>SUMPRODUCT(Stories!$W$4:$W$357,--(Stories!$J$4:$J$357=$A149))</f>
        <v/>
      </c>
      <c r="D149" s="246" t="n">
        <v>3</v>
      </c>
      <c r="E149" s="244" t="n">
        <v>0</v>
      </c>
      <c r="F149" s="249" t="inlineStr">
        <is>
          <t>Infrastructure &amp; the Underground City</t>
        </is>
      </c>
      <c r="G149" s="244" t="n">
        <v>1</v>
      </c>
      <c r="H149" s="172" t="inlineStr">
        <is>
          <t>Colombia</t>
        </is>
      </c>
      <c r="I149" s="248" t="n">
        <v>46323</v>
      </c>
    </row>
    <row r="150" ht="15.5" customHeight="1">
      <c r="A150" s="232" t="inlineStr">
        <is>
          <t>Noticias Caracol</t>
        </is>
      </c>
      <c r="B150" s="244" t="n">
        <v>1</v>
      </c>
      <c r="C150" s="245">
        <f>SUMPRODUCT(Stories!$W$4:$W$357,--(Stories!$J$4:$J$357=$A150))</f>
        <v/>
      </c>
      <c r="D150" s="246" t="n">
        <v>4</v>
      </c>
      <c r="E150" s="244" t="n">
        <v>1</v>
      </c>
      <c r="F150" s="247" t="inlineStr">
        <is>
          <t>Hazards &amp; Resilience</t>
        </is>
      </c>
      <c r="G150" s="244" t="n">
        <v>1</v>
      </c>
      <c r="H150" s="172" t="inlineStr">
        <is>
          <t>Mexico</t>
        </is>
      </c>
      <c r="I150" s="248" t="n">
        <v>46320</v>
      </c>
    </row>
    <row r="151" ht="15.5" customHeight="1">
      <c r="A151" s="232" t="inlineStr">
        <is>
          <t>Onmanorama</t>
        </is>
      </c>
      <c r="B151" s="244" t="n">
        <v>1</v>
      </c>
      <c r="C151" s="245">
        <f>SUMPRODUCT(Stories!$W$4:$W$357,--(Stories!$J$4:$J$357=$A151))</f>
        <v/>
      </c>
      <c r="D151" s="246" t="n">
        <v>5</v>
      </c>
      <c r="E151" s="244" t="n">
        <v>1</v>
      </c>
      <c r="F151" s="247" t="inlineStr">
        <is>
          <t>Hazards &amp; Resilience</t>
        </is>
      </c>
      <c r="G151" s="244" t="n">
        <v>1</v>
      </c>
      <c r="H151" s="172" t="inlineStr">
        <is>
          <t>South Africa</t>
        </is>
      </c>
      <c r="I151" s="248" t="n">
        <v>46320</v>
      </c>
    </row>
    <row r="152" ht="15.5" customHeight="1">
      <c r="A152" s="232" t="inlineStr">
        <is>
          <t>OrissaPOST</t>
        </is>
      </c>
      <c r="B152" s="244" t="n">
        <v>1</v>
      </c>
      <c r="C152" s="245">
        <f>SUMPRODUCT(Stories!$W$4:$W$357,--(Stories!$J$4:$J$357=$A152))</f>
        <v/>
      </c>
      <c r="D152" s="246" t="n">
        <v>3</v>
      </c>
      <c r="E152" s="244" t="n">
        <v>0</v>
      </c>
      <c r="F152" s="247" t="inlineStr">
        <is>
          <t>Hazards &amp; Resilience</t>
        </is>
      </c>
      <c r="G152" s="244" t="n">
        <v>1</v>
      </c>
      <c r="H152" s="172" t="inlineStr">
        <is>
          <t>New Zealand</t>
        </is>
      </c>
      <c r="I152" s="248" t="n">
        <v>46326</v>
      </c>
    </row>
    <row r="153" ht="15.5" customHeight="1">
      <c r="A153" s="232" t="inlineStr">
        <is>
          <t>Panamericana TV</t>
        </is>
      </c>
      <c r="B153" s="244" t="n">
        <v>1</v>
      </c>
      <c r="C153" s="245">
        <f>SUMPRODUCT(Stories!$W$4:$W$357,--(Stories!$J$4:$J$357=$A153))</f>
        <v/>
      </c>
      <c r="D153" s="246" t="n">
        <v>4</v>
      </c>
      <c r="E153" s="244" t="n">
        <v>1</v>
      </c>
      <c r="F153" s="247" t="inlineStr">
        <is>
          <t>Hazards &amp; Resilience</t>
        </is>
      </c>
      <c r="G153" s="244" t="n">
        <v>1</v>
      </c>
      <c r="H153" s="172" t="inlineStr">
        <is>
          <t>Spain</t>
        </is>
      </c>
      <c r="I153" s="248" t="n">
        <v>46322</v>
      </c>
    </row>
    <row r="154" ht="28" customHeight="1">
      <c r="A154" s="232" t="inlineStr">
        <is>
          <t>Piter.tv</t>
        </is>
      </c>
      <c r="B154" s="244" t="n">
        <v>1</v>
      </c>
      <c r="C154" s="245">
        <f>SUMPRODUCT(Stories!$W$4:$W$357,--(Stories!$J$4:$J$357=$A154))</f>
        <v/>
      </c>
      <c r="D154" s="246" t="n">
        <v>4</v>
      </c>
      <c r="E154" s="244" t="n">
        <v>1</v>
      </c>
      <c r="F154" s="249" t="inlineStr">
        <is>
          <t>Infrastructure &amp; the Underground City</t>
        </is>
      </c>
      <c r="G154" s="244" t="n">
        <v>1</v>
      </c>
      <c r="H154" s="172" t="inlineStr">
        <is>
          <t>Russia</t>
        </is>
      </c>
      <c r="I154" s="248" t="n">
        <v>46320</v>
      </c>
    </row>
    <row r="155" ht="28" customHeight="1">
      <c r="A155" s="232" t="inlineStr">
        <is>
          <t>Portal Mie</t>
        </is>
      </c>
      <c r="B155" s="244" t="n">
        <v>1</v>
      </c>
      <c r="C155" s="245">
        <f>SUMPRODUCT(Stories!$W$4:$W$357,--(Stories!$J$4:$J$357=$A155))</f>
        <v/>
      </c>
      <c r="D155" s="246" t="n">
        <v>3</v>
      </c>
      <c r="E155" s="244" t="n">
        <v>0</v>
      </c>
      <c r="F155" s="249" t="inlineStr">
        <is>
          <t>Infrastructure &amp; the Underground City</t>
        </is>
      </c>
      <c r="G155" s="244" t="n">
        <v>1</v>
      </c>
      <c r="H155" s="172" t="inlineStr">
        <is>
          <t>Brazil</t>
        </is>
      </c>
      <c r="I155" s="248" t="n">
        <v>46325</v>
      </c>
    </row>
    <row r="156" ht="15.5" customHeight="1">
      <c r="A156" s="232" t="inlineStr">
        <is>
          <t>PostaMx</t>
        </is>
      </c>
      <c r="B156" s="244" t="n">
        <v>1</v>
      </c>
      <c r="C156" s="245">
        <f>SUMPRODUCT(Stories!$W$4:$W$357,--(Stories!$J$4:$J$357=$A156))</f>
        <v/>
      </c>
      <c r="D156" s="246" t="n">
        <v>4</v>
      </c>
      <c r="E156" s="244" t="n">
        <v>1</v>
      </c>
      <c r="F156" s="247" t="inlineStr">
        <is>
          <t>Hazards &amp; Resilience</t>
        </is>
      </c>
      <c r="G156" s="244" t="n">
        <v>1</v>
      </c>
      <c r="H156" s="172" t="inlineStr">
        <is>
          <t>Spain</t>
        </is>
      </c>
      <c r="I156" s="248" t="n">
        <v>46321</v>
      </c>
    </row>
    <row r="157" ht="15.5" customHeight="1">
      <c r="A157" s="232" t="inlineStr">
        <is>
          <t>PSU Connect</t>
        </is>
      </c>
      <c r="B157" s="244" t="n">
        <v>1</v>
      </c>
      <c r="C157" s="245">
        <f>SUMPRODUCT(Stories!$W$4:$W$357,--(Stories!$J$4:$J$357=$A157))</f>
        <v/>
      </c>
      <c r="D157" s="246" t="n">
        <v>3</v>
      </c>
      <c r="E157" s="244" t="n">
        <v>0</v>
      </c>
      <c r="F157" s="253" t="inlineStr">
        <is>
          <t>Characterisation &amp; Modelling</t>
        </is>
      </c>
      <c r="G157" s="244" t="n">
        <v>1</v>
      </c>
      <c r="H157" s="172" t="inlineStr">
        <is>
          <t>United Kingdom</t>
        </is>
      </c>
      <c r="I157" s="248" t="n">
        <v>46323</v>
      </c>
    </row>
    <row r="158" ht="15.5" customHeight="1">
      <c r="A158" s="232" t="inlineStr">
        <is>
          <t>PSU Watch</t>
        </is>
      </c>
      <c r="B158" s="244" t="n">
        <v>1</v>
      </c>
      <c r="C158" s="245">
        <f>SUMPRODUCT(Stories!$W$4:$W$357,--(Stories!$J$4:$J$357=$A158))</f>
        <v/>
      </c>
      <c r="D158" s="246" t="n">
        <v>3</v>
      </c>
      <c r="E158" s="244" t="n">
        <v>0</v>
      </c>
      <c r="F158" s="253" t="inlineStr">
        <is>
          <t>Characterisation &amp; Modelling</t>
        </is>
      </c>
      <c r="G158" s="244" t="n">
        <v>1</v>
      </c>
      <c r="H158" s="172" t="inlineStr">
        <is>
          <t>United Kingdom</t>
        </is>
      </c>
      <c r="I158" s="248" t="n">
        <v>46323</v>
      </c>
    </row>
    <row r="159" ht="15.5" customHeight="1">
      <c r="A159" s="232" t="inlineStr">
        <is>
          <t>Publimicro</t>
        </is>
      </c>
      <c r="B159" s="244" t="n">
        <v>1</v>
      </c>
      <c r="C159" s="245">
        <f>SUMPRODUCT(Stories!$W$4:$W$357,--(Stories!$J$4:$J$357=$A159))</f>
        <v/>
      </c>
      <c r="D159" s="246" t="n">
        <v>5</v>
      </c>
      <c r="E159" s="244" t="n">
        <v>1</v>
      </c>
      <c r="F159" s="247" t="inlineStr">
        <is>
          <t>Hazards &amp; Resilience</t>
        </is>
      </c>
      <c r="G159" s="244" t="n">
        <v>1</v>
      </c>
      <c r="H159" s="172" t="inlineStr">
        <is>
          <t>Colombia</t>
        </is>
      </c>
      <c r="I159" s="248" t="n">
        <v>46320</v>
      </c>
    </row>
    <row r="160" ht="28" customHeight="1">
      <c r="A160" s="232" t="inlineStr">
        <is>
          <t>Pulso Diario San Luis</t>
        </is>
      </c>
      <c r="B160" s="244" t="n">
        <v>1</v>
      </c>
      <c r="C160" s="245">
        <f>SUMPRODUCT(Stories!$W$4:$W$357,--(Stories!$J$4:$J$357=$A160))</f>
        <v/>
      </c>
      <c r="D160" s="246" t="n">
        <v>4</v>
      </c>
      <c r="E160" s="244" t="n">
        <v>1</v>
      </c>
      <c r="F160" s="249" t="inlineStr">
        <is>
          <t>Infrastructure &amp; the Underground City</t>
        </is>
      </c>
      <c r="G160" s="244" t="n">
        <v>1</v>
      </c>
      <c r="H160" s="172" t="inlineStr">
        <is>
          <t>Colombia</t>
        </is>
      </c>
      <c r="I160" s="248" t="n">
        <v>46321</v>
      </c>
    </row>
    <row r="161" ht="28" customHeight="1">
      <c r="A161" s="232" t="inlineStr">
        <is>
          <t>Punto Norte</t>
        </is>
      </c>
      <c r="B161" s="244" t="n">
        <v>1</v>
      </c>
      <c r="C161" s="245">
        <f>SUMPRODUCT(Stories!$W$4:$W$357,--(Stories!$J$4:$J$357=$A161))</f>
        <v/>
      </c>
      <c r="D161" s="246" t="n">
        <v>3</v>
      </c>
      <c r="E161" s="244" t="n">
        <v>0</v>
      </c>
      <c r="F161" s="249" t="inlineStr">
        <is>
          <t>Infrastructure &amp; the Underground City</t>
        </is>
      </c>
      <c r="G161" s="244" t="n">
        <v>1</v>
      </c>
      <c r="H161" s="172" t="inlineStr">
        <is>
          <t>Colombia</t>
        </is>
      </c>
      <c r="I161" s="248" t="n">
        <v>46321</v>
      </c>
    </row>
    <row r="162" ht="15.5" customHeight="1">
      <c r="A162" s="232" t="inlineStr">
        <is>
          <t>Quinta Fuerza</t>
        </is>
      </c>
      <c r="B162" s="244" t="n">
        <v>1</v>
      </c>
      <c r="C162" s="245">
        <f>SUMPRODUCT(Stories!$W$4:$W$357,--(Stories!$J$4:$J$357=$A162))</f>
        <v/>
      </c>
      <c r="D162" s="246" t="n">
        <v>4</v>
      </c>
      <c r="E162" s="244" t="n">
        <v>1</v>
      </c>
      <c r="F162" s="247" t="inlineStr">
        <is>
          <t>Hazards &amp; Resilience</t>
        </is>
      </c>
      <c r="G162" s="244" t="n">
        <v>1</v>
      </c>
      <c r="H162" s="172" t="inlineStr">
        <is>
          <t>Colombia</t>
        </is>
      </c>
      <c r="I162" s="248" t="n">
        <v>46321</v>
      </c>
    </row>
    <row r="163" ht="28" customHeight="1">
      <c r="A163" s="232" t="inlineStr">
        <is>
          <t>Quintana Roo Hoy</t>
        </is>
      </c>
      <c r="B163" s="244" t="n">
        <v>1</v>
      </c>
      <c r="C163" s="245">
        <f>SUMPRODUCT(Stories!$W$4:$W$357,--(Stories!$J$4:$J$357=$A163))</f>
        <v/>
      </c>
      <c r="D163" s="246" t="n">
        <v>4</v>
      </c>
      <c r="E163" s="244" t="n">
        <v>1</v>
      </c>
      <c r="F163" s="249" t="inlineStr">
        <is>
          <t>Infrastructure &amp; the Underground City</t>
        </is>
      </c>
      <c r="G163" s="244" t="n">
        <v>1</v>
      </c>
      <c r="H163" s="172" t="inlineStr">
        <is>
          <t>Colombia</t>
        </is>
      </c>
      <c r="I163" s="248" t="n">
        <v>46320</v>
      </c>
    </row>
    <row r="164" ht="15.5" customHeight="1">
      <c r="A164" s="232" t="inlineStr">
        <is>
          <t>Radio 90</t>
        </is>
      </c>
      <c r="B164" s="244" t="n">
        <v>1</v>
      </c>
      <c r="C164" s="245">
        <f>SUMPRODUCT(Stories!$W$4:$W$357,--(Stories!$J$4:$J$357=$A164))</f>
        <v/>
      </c>
      <c r="D164" s="246" t="n">
        <v>3</v>
      </c>
      <c r="E164" s="244" t="n">
        <v>0</v>
      </c>
      <c r="F164" s="247" t="inlineStr">
        <is>
          <t>Hazards &amp; Resilience</t>
        </is>
      </c>
      <c r="G164" s="244" t="n">
        <v>1</v>
      </c>
      <c r="H164" s="172" t="inlineStr">
        <is>
          <t>Poland</t>
        </is>
      </c>
      <c r="I164" s="248" t="n">
        <v>46324</v>
      </c>
    </row>
    <row r="165" ht="15.5" customHeight="1">
      <c r="A165" s="232" t="inlineStr">
        <is>
          <t>Radio TSN</t>
        </is>
      </c>
      <c r="B165" s="244" t="n">
        <v>1</v>
      </c>
      <c r="C165" s="245">
        <f>SUMPRODUCT(Stories!$W$4:$W$357,--(Stories!$J$4:$J$357=$A165))</f>
        <v/>
      </c>
      <c r="D165" s="246" t="n">
        <v>3</v>
      </c>
      <c r="E165" s="244" t="n">
        <v>0</v>
      </c>
      <c r="F165" s="247" t="inlineStr">
        <is>
          <t>Hazards &amp; Resilience</t>
        </is>
      </c>
      <c r="G165" s="244" t="n">
        <v>1</v>
      </c>
      <c r="H165" s="172" t="inlineStr">
        <is>
          <t>Italy</t>
        </is>
      </c>
      <c r="I165" s="248" t="n">
        <v>46325</v>
      </c>
    </row>
    <row r="166" ht="15.5" customHeight="1">
      <c r="A166" s="232" t="inlineStr">
        <is>
          <t>Radio-Canada</t>
        </is>
      </c>
      <c r="B166" s="244" t="n">
        <v>1</v>
      </c>
      <c r="C166" s="245">
        <f>SUMPRODUCT(Stories!$W$4:$W$357,--(Stories!$J$4:$J$357=$A166))</f>
        <v/>
      </c>
      <c r="D166" s="246" t="n">
        <v>4</v>
      </c>
      <c r="E166" s="244" t="n">
        <v>1</v>
      </c>
      <c r="F166" s="247" t="inlineStr">
        <is>
          <t>Hazards &amp; Resilience</t>
        </is>
      </c>
      <c r="G166" s="244" t="n">
        <v>1</v>
      </c>
      <c r="H166" s="172" t="inlineStr">
        <is>
          <t>France</t>
        </is>
      </c>
      <c r="I166" s="248" t="n">
        <v>46322</v>
      </c>
    </row>
    <row r="167" ht="15.5" customHeight="1">
      <c r="A167" s="232" t="inlineStr">
        <is>
          <t>RaiNews</t>
        </is>
      </c>
      <c r="B167" s="244" t="n">
        <v>1</v>
      </c>
      <c r="C167" s="245">
        <f>SUMPRODUCT(Stories!$W$4:$W$357,--(Stories!$J$4:$J$357=$A167))</f>
        <v/>
      </c>
      <c r="D167" s="246" t="n">
        <v>5</v>
      </c>
      <c r="E167" s="244" t="n">
        <v>1</v>
      </c>
      <c r="F167" s="247" t="inlineStr">
        <is>
          <t>Hazards &amp; Resilience</t>
        </is>
      </c>
      <c r="G167" s="244" t="n">
        <v>1</v>
      </c>
      <c r="H167" s="172" t="inlineStr">
        <is>
          <t>Italy</t>
        </is>
      </c>
      <c r="I167" s="248" t="n">
        <v>46326</v>
      </c>
    </row>
    <row r="168" ht="28" customHeight="1">
      <c r="A168" s="232" t="inlineStr">
        <is>
          <t>Raj Express</t>
        </is>
      </c>
      <c r="B168" s="244" t="n">
        <v>1</v>
      </c>
      <c r="C168" s="245">
        <f>SUMPRODUCT(Stories!$W$4:$W$357,--(Stories!$J$4:$J$357=$A168))</f>
        <v/>
      </c>
      <c r="D168" s="246" t="n">
        <v>3</v>
      </c>
      <c r="E168" s="244" t="n">
        <v>0</v>
      </c>
      <c r="F168" s="249" t="inlineStr">
        <is>
          <t>Infrastructure &amp; the Underground City</t>
        </is>
      </c>
      <c r="G168" s="244" t="n">
        <v>1</v>
      </c>
      <c r="H168" s="172" t="inlineStr">
        <is>
          <t>India</t>
        </is>
      </c>
      <c r="I168" s="248" t="n">
        <v>46325</v>
      </c>
    </row>
    <row r="169" ht="28" customHeight="1">
      <c r="A169" s="232" t="inlineStr">
        <is>
          <t>Ratopati Hindi</t>
        </is>
      </c>
      <c r="B169" s="244" t="n">
        <v>1</v>
      </c>
      <c r="C169" s="245">
        <f>SUMPRODUCT(Stories!$W$4:$W$357,--(Stories!$J$4:$J$357=$A169))</f>
        <v/>
      </c>
      <c r="D169" s="246" t="n">
        <v>4</v>
      </c>
      <c r="E169" s="244" t="n">
        <v>1</v>
      </c>
      <c r="F169" s="249" t="inlineStr">
        <is>
          <t>Infrastructure &amp; the Underground City</t>
        </is>
      </c>
      <c r="G169" s="244" t="n">
        <v>1</v>
      </c>
      <c r="H169" s="172" t="inlineStr">
        <is>
          <t>India</t>
        </is>
      </c>
      <c r="I169" s="248" t="n">
        <v>46326</v>
      </c>
    </row>
    <row r="170" ht="28" customHeight="1">
      <c r="A170" s="232" t="inlineStr">
        <is>
          <t>Realidad Sanmartinense</t>
        </is>
      </c>
      <c r="B170" s="244" t="n">
        <v>1</v>
      </c>
      <c r="C170" s="245">
        <f>SUMPRODUCT(Stories!$W$4:$W$357,--(Stories!$J$4:$J$357=$A170))</f>
        <v/>
      </c>
      <c r="D170" s="246" t="n">
        <v>3</v>
      </c>
      <c r="E170" s="244" t="n">
        <v>0</v>
      </c>
      <c r="F170" s="249" t="inlineStr">
        <is>
          <t>Infrastructure &amp; the Underground City</t>
        </is>
      </c>
      <c r="G170" s="244" t="n">
        <v>1</v>
      </c>
      <c r="H170" s="172" t="inlineStr">
        <is>
          <t>Colombia</t>
        </is>
      </c>
      <c r="I170" s="248" t="n">
        <v>46319</v>
      </c>
    </row>
    <row r="171" ht="15.5" customHeight="1">
      <c r="A171" s="232" t="inlineStr">
        <is>
          <t>RRI.co.id</t>
        </is>
      </c>
      <c r="B171" s="244" t="n">
        <v>1</v>
      </c>
      <c r="C171" s="245">
        <f>SUMPRODUCT(Stories!$W$4:$W$357,--(Stories!$J$4:$J$357=$A171))</f>
        <v/>
      </c>
      <c r="D171" s="246" t="n">
        <v>4</v>
      </c>
      <c r="E171" s="244" t="n">
        <v>1</v>
      </c>
      <c r="F171" s="247" t="inlineStr">
        <is>
          <t>Hazards &amp; Resilience</t>
        </is>
      </c>
      <c r="G171" s="244" t="n">
        <v>1</v>
      </c>
      <c r="H171" s="172" t="inlineStr">
        <is>
          <t>Indonesia</t>
        </is>
      </c>
      <c r="I171" s="248" t="n">
        <v>46319</v>
      </c>
    </row>
    <row r="172" ht="15.5" customHeight="1">
      <c r="A172" s="232" t="inlineStr">
        <is>
          <t>Sciencepost</t>
        </is>
      </c>
      <c r="B172" s="244" t="n">
        <v>1</v>
      </c>
      <c r="C172" s="245">
        <f>SUMPRODUCT(Stories!$W$4:$W$357,--(Stories!$J$4:$J$357=$A172))</f>
        <v/>
      </c>
      <c r="D172" s="246" t="n">
        <v>5</v>
      </c>
      <c r="E172" s="244" t="n">
        <v>1</v>
      </c>
      <c r="F172" s="250" t="inlineStr">
        <is>
          <t>Ground Improvement &amp; Innovation</t>
        </is>
      </c>
      <c r="G172" s="244" t="n">
        <v>1</v>
      </c>
      <c r="H172" s="172" t="inlineStr">
        <is>
          <t>Senegal</t>
        </is>
      </c>
      <c r="I172" s="248" t="n">
        <v>46319</v>
      </c>
    </row>
    <row r="173" ht="15.5" customHeight="1">
      <c r="A173" s="232" t="inlineStr">
        <is>
          <t>StrettoWeb</t>
        </is>
      </c>
      <c r="B173" s="244" t="n">
        <v>1</v>
      </c>
      <c r="C173" s="245">
        <f>SUMPRODUCT(Stories!$W$4:$W$357,--(Stories!$J$4:$J$357=$A173))</f>
        <v/>
      </c>
      <c r="D173" s="246" t="n">
        <v>4</v>
      </c>
      <c r="E173" s="244" t="n">
        <v>1</v>
      </c>
      <c r="F173" s="247" t="inlineStr">
        <is>
          <t>Hazards &amp; Resilience</t>
        </is>
      </c>
      <c r="G173" s="244" t="n">
        <v>1</v>
      </c>
      <c r="H173" s="172" t="inlineStr">
        <is>
          <t>Italy</t>
        </is>
      </c>
      <c r="I173" s="248" t="n">
        <v>46320</v>
      </c>
    </row>
    <row r="174" ht="15.5" customHeight="1">
      <c r="A174" s="232" t="inlineStr">
        <is>
          <t>SuaraGarut.ID</t>
        </is>
      </c>
      <c r="B174" s="244" t="n">
        <v>1</v>
      </c>
      <c r="C174" s="245">
        <f>SUMPRODUCT(Stories!$W$4:$W$357,--(Stories!$J$4:$J$357=$A174))</f>
        <v/>
      </c>
      <c r="D174" s="246" t="n">
        <v>4</v>
      </c>
      <c r="E174" s="244" t="n">
        <v>1</v>
      </c>
      <c r="F174" s="247" t="inlineStr">
        <is>
          <t>Hazards &amp; Resilience</t>
        </is>
      </c>
      <c r="G174" s="244" t="n">
        <v>1</v>
      </c>
      <c r="H174" s="172" t="inlineStr">
        <is>
          <t>Indonesia</t>
        </is>
      </c>
      <c r="I174" s="248" t="n">
        <v>46324</v>
      </c>
    </row>
    <row r="175" ht="28" customHeight="1">
      <c r="A175" s="232" t="inlineStr">
        <is>
          <t>Tabasco HOY</t>
        </is>
      </c>
      <c r="B175" s="244" t="n">
        <v>1</v>
      </c>
      <c r="C175" s="245">
        <f>SUMPRODUCT(Stories!$W$4:$W$357,--(Stories!$J$4:$J$357=$A175))</f>
        <v/>
      </c>
      <c r="D175" s="246" t="n">
        <v>3</v>
      </c>
      <c r="E175" s="244" t="n">
        <v>0</v>
      </c>
      <c r="F175" s="249" t="inlineStr">
        <is>
          <t>Infrastructure &amp; the Underground City</t>
        </is>
      </c>
      <c r="G175" s="244" t="n">
        <v>1</v>
      </c>
      <c r="H175" s="172" t="inlineStr">
        <is>
          <t>Colombia</t>
        </is>
      </c>
      <c r="I175" s="248" t="n">
        <v>46319</v>
      </c>
    </row>
    <row r="176" ht="15.5" customHeight="1">
      <c r="A176" s="232" t="inlineStr">
        <is>
          <t>Tele Urban</t>
        </is>
      </c>
      <c r="B176" s="244" t="n">
        <v>1</v>
      </c>
      <c r="C176" s="245">
        <f>SUMPRODUCT(Stories!$W$4:$W$357,--(Stories!$J$4:$J$357=$A176))</f>
        <v/>
      </c>
      <c r="D176" s="246" t="n">
        <v>3</v>
      </c>
      <c r="E176" s="244" t="n">
        <v>0</v>
      </c>
      <c r="F176" s="247" t="inlineStr">
        <is>
          <t>Hazards &amp; Resilience</t>
        </is>
      </c>
      <c r="G176" s="244" t="n">
        <v>1</v>
      </c>
      <c r="H176" s="172" t="inlineStr">
        <is>
          <t>Mexico</t>
        </is>
      </c>
      <c r="I176" s="248" t="n">
        <v>46323</v>
      </c>
    </row>
    <row r="177" ht="28" customHeight="1">
      <c r="A177" s="232" t="inlineStr">
        <is>
          <t>Teleamazonas</t>
        </is>
      </c>
      <c r="B177" s="244" t="n">
        <v>1</v>
      </c>
      <c r="C177" s="245">
        <f>SUMPRODUCT(Stories!$W$4:$W$357,--(Stories!$J$4:$J$357=$A177))</f>
        <v/>
      </c>
      <c r="D177" s="246" t="n">
        <v>3</v>
      </c>
      <c r="E177" s="244" t="n">
        <v>0</v>
      </c>
      <c r="F177" s="249" t="inlineStr">
        <is>
          <t>Infrastructure &amp; the Underground City</t>
        </is>
      </c>
      <c r="G177" s="244" t="n">
        <v>1</v>
      </c>
      <c r="H177" s="172" t="inlineStr">
        <is>
          <t>Mexico</t>
        </is>
      </c>
      <c r="I177" s="248" t="n">
        <v>46326</v>
      </c>
    </row>
    <row r="178" ht="28" customHeight="1">
      <c r="A178" s="232" t="inlineStr">
        <is>
          <t>Telediario</t>
        </is>
      </c>
      <c r="B178" s="244" t="n">
        <v>1</v>
      </c>
      <c r="C178" s="245">
        <f>SUMPRODUCT(Stories!$W$4:$W$357,--(Stories!$J$4:$J$357=$A178))</f>
        <v/>
      </c>
      <c r="D178" s="246" t="n">
        <v>3</v>
      </c>
      <c r="E178" s="244" t="n">
        <v>0</v>
      </c>
      <c r="F178" s="249" t="inlineStr">
        <is>
          <t>Infrastructure &amp; the Underground City</t>
        </is>
      </c>
      <c r="G178" s="244" t="n">
        <v>1</v>
      </c>
      <c r="H178" s="172" t="inlineStr">
        <is>
          <t>Colombia</t>
        </is>
      </c>
      <c r="I178" s="248" t="n">
        <v>46326</v>
      </c>
    </row>
    <row r="179" ht="15.5" customHeight="1">
      <c r="A179" s="232" t="inlineStr">
        <is>
          <t>Telemetro</t>
        </is>
      </c>
      <c r="B179" s="244" t="n">
        <v>1</v>
      </c>
      <c r="C179" s="245">
        <f>SUMPRODUCT(Stories!$W$4:$W$357,--(Stories!$J$4:$J$357=$A179))</f>
        <v/>
      </c>
      <c r="D179" s="246" t="n">
        <v>4</v>
      </c>
      <c r="E179" s="244" t="n">
        <v>1</v>
      </c>
      <c r="F179" s="247" t="inlineStr">
        <is>
          <t>Hazards &amp; Resilience</t>
        </is>
      </c>
      <c r="G179" s="244" t="n">
        <v>1</v>
      </c>
      <c r="H179" s="172" t="inlineStr">
        <is>
          <t>Colombia</t>
        </is>
      </c>
      <c r="I179" s="248" t="n">
        <v>46321</v>
      </c>
    </row>
    <row r="180" ht="28" customHeight="1">
      <c r="A180" s="232" t="inlineStr">
        <is>
          <t>Teleonuba</t>
        </is>
      </c>
      <c r="B180" s="244" t="n">
        <v>1</v>
      </c>
      <c r="C180" s="245">
        <f>SUMPRODUCT(Stories!$W$4:$W$357,--(Stories!$J$4:$J$357=$A180))</f>
        <v/>
      </c>
      <c r="D180" s="246" t="n">
        <v>3</v>
      </c>
      <c r="E180" s="244" t="n">
        <v>0</v>
      </c>
      <c r="F180" s="249" t="inlineStr">
        <is>
          <t>Infrastructure &amp; the Underground City</t>
        </is>
      </c>
      <c r="G180" s="244" t="n">
        <v>1</v>
      </c>
      <c r="H180" s="172" t="inlineStr">
        <is>
          <t>Argentina</t>
        </is>
      </c>
      <c r="I180" s="248" t="n">
        <v>46324</v>
      </c>
    </row>
    <row r="181" ht="15.5" customHeight="1">
      <c r="A181" s="232" t="inlineStr">
        <is>
          <t>Teletrece</t>
        </is>
      </c>
      <c r="B181" s="244" t="n">
        <v>1</v>
      </c>
      <c r="C181" s="245">
        <f>SUMPRODUCT(Stories!$W$4:$W$357,--(Stories!$J$4:$J$357=$A181))</f>
        <v/>
      </c>
      <c r="D181" s="246" t="n">
        <v>4</v>
      </c>
      <c r="E181" s="244" t="n">
        <v>1</v>
      </c>
      <c r="F181" s="247" t="inlineStr">
        <is>
          <t>Hazards &amp; Resilience</t>
        </is>
      </c>
      <c r="G181" s="244" t="n">
        <v>1</v>
      </c>
      <c r="H181" s="172" t="inlineStr">
        <is>
          <t>Chile</t>
        </is>
      </c>
      <c r="I181" s="248" t="n">
        <v>46322</v>
      </c>
    </row>
    <row r="182" ht="15.5" customHeight="1">
      <c r="A182" s="232" t="inlineStr">
        <is>
          <t>The Citizen</t>
        </is>
      </c>
      <c r="B182" s="244" t="n">
        <v>1</v>
      </c>
      <c r="C182" s="245">
        <f>SUMPRODUCT(Stories!$W$4:$W$357,--(Stories!$J$4:$J$357=$A182))</f>
        <v/>
      </c>
      <c r="D182" s="246" t="n">
        <v>4</v>
      </c>
      <c r="E182" s="244" t="n">
        <v>1</v>
      </c>
      <c r="F182" s="247" t="inlineStr">
        <is>
          <t>Hazards &amp; Resilience</t>
        </is>
      </c>
      <c r="G182" s="244" t="n">
        <v>1</v>
      </c>
      <c r="H182" s="172" t="inlineStr">
        <is>
          <t>United Kingdom</t>
        </is>
      </c>
      <c r="I182" s="248" t="n">
        <v>46323</v>
      </c>
    </row>
    <row r="183" ht="15.5" customHeight="1">
      <c r="A183" s="232" t="inlineStr">
        <is>
          <t>The Clinic</t>
        </is>
      </c>
      <c r="B183" s="244" t="n">
        <v>1</v>
      </c>
      <c r="C183" s="245">
        <f>SUMPRODUCT(Stories!$W$4:$W$357,--(Stories!$J$4:$J$357=$A183))</f>
        <v/>
      </c>
      <c r="D183" s="246" t="n">
        <v>4</v>
      </c>
      <c r="E183" s="244" t="n">
        <v>1</v>
      </c>
      <c r="F183" s="247" t="inlineStr">
        <is>
          <t>Hazards &amp; Resilience</t>
        </is>
      </c>
      <c r="G183" s="244" t="n">
        <v>1</v>
      </c>
      <c r="H183" s="172" t="inlineStr">
        <is>
          <t>Chile</t>
        </is>
      </c>
      <c r="I183" s="248" t="n">
        <v>46322</v>
      </c>
    </row>
    <row r="184" ht="15.5" customHeight="1">
      <c r="A184" s="232" t="inlineStr">
        <is>
          <t>The Eastleigh Voice</t>
        </is>
      </c>
      <c r="B184" s="244" t="n">
        <v>1</v>
      </c>
      <c r="C184" s="245">
        <f>SUMPRODUCT(Stories!$W$4:$W$357,--(Stories!$J$4:$J$357=$A184))</f>
        <v/>
      </c>
      <c r="D184" s="246" t="n">
        <v>3</v>
      </c>
      <c r="E184" s="244" t="n">
        <v>0</v>
      </c>
      <c r="F184" s="247" t="inlineStr">
        <is>
          <t>Hazards &amp; Resilience</t>
        </is>
      </c>
      <c r="G184" s="244" t="n">
        <v>1</v>
      </c>
      <c r="H184" s="172" t="inlineStr">
        <is>
          <t>Nigeria</t>
        </is>
      </c>
      <c r="I184" s="248" t="n">
        <v>46323</v>
      </c>
    </row>
    <row r="185" ht="28" customHeight="1">
      <c r="A185" s="232" t="inlineStr">
        <is>
          <t>The Federal</t>
        </is>
      </c>
      <c r="B185" s="244" t="n">
        <v>1</v>
      </c>
      <c r="C185" s="245">
        <f>SUMPRODUCT(Stories!$W$4:$W$357,--(Stories!$J$4:$J$357=$A185))</f>
        <v/>
      </c>
      <c r="D185" s="246" t="n">
        <v>4</v>
      </c>
      <c r="E185" s="244" t="n">
        <v>1</v>
      </c>
      <c r="F185" s="249" t="inlineStr">
        <is>
          <t>Infrastructure &amp; the Underground City</t>
        </is>
      </c>
      <c r="G185" s="244" t="n">
        <v>1</v>
      </c>
      <c r="H185" s="172" t="inlineStr">
        <is>
          <t>United Kingdom</t>
        </is>
      </c>
      <c r="I185" s="248" t="n">
        <v>46323</v>
      </c>
    </row>
    <row r="186" ht="15.5" customHeight="1">
      <c r="A186" s="232" t="inlineStr">
        <is>
          <t>The Haitian Times</t>
        </is>
      </c>
      <c r="B186" s="244" t="n">
        <v>1</v>
      </c>
      <c r="C186" s="245">
        <f>SUMPRODUCT(Stories!$W$4:$W$357,--(Stories!$J$4:$J$357=$A186))</f>
        <v/>
      </c>
      <c r="D186" s="246" t="n">
        <v>4</v>
      </c>
      <c r="E186" s="244" t="n">
        <v>1</v>
      </c>
      <c r="F186" s="247" t="inlineStr">
        <is>
          <t>Hazards &amp; Resilience</t>
        </is>
      </c>
      <c r="G186" s="244" t="n">
        <v>1</v>
      </c>
      <c r="H186" s="172" t="inlineStr">
        <is>
          <t>France</t>
        </is>
      </c>
      <c r="I186" s="248" t="n">
        <v>46324</v>
      </c>
    </row>
    <row r="187" ht="28" customHeight="1">
      <c r="A187" s="232" t="inlineStr">
        <is>
          <t>The Hindu</t>
        </is>
      </c>
      <c r="B187" s="244" t="n">
        <v>1</v>
      </c>
      <c r="C187" s="245">
        <f>SUMPRODUCT(Stories!$W$4:$W$357,--(Stories!$J$4:$J$357=$A187))</f>
        <v/>
      </c>
      <c r="D187" s="246" t="n">
        <v>3</v>
      </c>
      <c r="E187" s="244" t="n">
        <v>0</v>
      </c>
      <c r="F187" s="249" t="inlineStr">
        <is>
          <t>Infrastructure &amp; the Underground City</t>
        </is>
      </c>
      <c r="G187" s="244" t="n">
        <v>1</v>
      </c>
      <c r="H187" s="172" t="inlineStr">
        <is>
          <t>United Kingdom</t>
        </is>
      </c>
      <c r="I187" s="248" t="n">
        <v>46320</v>
      </c>
    </row>
    <row r="188" ht="15.5" customHeight="1">
      <c r="A188" s="232" t="inlineStr">
        <is>
          <t>The Japan News</t>
        </is>
      </c>
      <c r="B188" s="244" t="n">
        <v>1</v>
      </c>
      <c r="C188" s="245">
        <f>SUMPRODUCT(Stories!$W$4:$W$357,--(Stories!$J$4:$J$357=$A188))</f>
        <v/>
      </c>
      <c r="D188" s="246" t="n">
        <v>4</v>
      </c>
      <c r="E188" s="244" t="n">
        <v>1</v>
      </c>
      <c r="F188" s="250" t="inlineStr">
        <is>
          <t>Ground Improvement &amp; Innovation</t>
        </is>
      </c>
      <c r="G188" s="244" t="n">
        <v>1</v>
      </c>
      <c r="H188" s="172" t="inlineStr">
        <is>
          <t>United Kingdom</t>
        </is>
      </c>
      <c r="I188" s="248" t="n">
        <v>46322</v>
      </c>
    </row>
    <row r="189" ht="28" customHeight="1">
      <c r="A189" s="232" t="inlineStr">
        <is>
          <t>The Malaysian Reserve</t>
        </is>
      </c>
      <c r="B189" s="244" t="n">
        <v>1</v>
      </c>
      <c r="C189" s="245">
        <f>SUMPRODUCT(Stories!$W$4:$W$357,--(Stories!$J$4:$J$357=$A189))</f>
        <v/>
      </c>
      <c r="D189" s="246" t="n">
        <v>3</v>
      </c>
      <c r="E189" s="244" t="n">
        <v>0</v>
      </c>
      <c r="F189" s="249" t="inlineStr">
        <is>
          <t>Infrastructure &amp; the Underground City</t>
        </is>
      </c>
      <c r="G189" s="244" t="n">
        <v>1</v>
      </c>
      <c r="H189" s="172" t="inlineStr">
        <is>
          <t>United Kingdom</t>
        </is>
      </c>
      <c r="I189" s="248" t="n">
        <v>46322</v>
      </c>
    </row>
    <row r="190" ht="28" customHeight="1">
      <c r="A190" s="232" t="inlineStr">
        <is>
          <t>The Manila Times</t>
        </is>
      </c>
      <c r="B190" s="244" t="n">
        <v>1</v>
      </c>
      <c r="C190" s="245">
        <f>SUMPRODUCT(Stories!$W$4:$W$357,--(Stories!$J$4:$J$357=$A190))</f>
        <v/>
      </c>
      <c r="D190" s="246" t="n">
        <v>4</v>
      </c>
      <c r="E190" s="244" t="n">
        <v>1</v>
      </c>
      <c r="F190" s="249" t="inlineStr">
        <is>
          <t>Infrastructure &amp; the Underground City</t>
        </is>
      </c>
      <c r="G190" s="244" t="n">
        <v>1</v>
      </c>
      <c r="H190" s="172" t="inlineStr">
        <is>
          <t>United Kingdom</t>
        </is>
      </c>
      <c r="I190" s="248" t="n">
        <v>46325</v>
      </c>
    </row>
    <row r="191" ht="15.5" customHeight="1">
      <c r="A191" s="232" t="inlineStr">
        <is>
          <t>The New Indian Express</t>
        </is>
      </c>
      <c r="B191" s="244" t="n">
        <v>1</v>
      </c>
      <c r="C191" s="245">
        <f>SUMPRODUCT(Stories!$W$4:$W$357,--(Stories!$J$4:$J$357=$A191))</f>
        <v/>
      </c>
      <c r="D191" s="246" t="n">
        <v>4</v>
      </c>
      <c r="E191" s="244" t="n">
        <v>1</v>
      </c>
      <c r="F191" s="247" t="inlineStr">
        <is>
          <t>Hazards &amp; Resilience</t>
        </is>
      </c>
      <c r="G191" s="244" t="n">
        <v>1</v>
      </c>
      <c r="H191" s="172" t="inlineStr">
        <is>
          <t>United Kingdom</t>
        </is>
      </c>
      <c r="I191" s="248" t="n">
        <v>46320</v>
      </c>
    </row>
    <row r="192" ht="15.5" customHeight="1">
      <c r="A192" s="232" t="inlineStr">
        <is>
          <t>The Star</t>
        </is>
      </c>
      <c r="B192" s="244" t="n">
        <v>1</v>
      </c>
      <c r="C192" s="245">
        <f>SUMPRODUCT(Stories!$W$4:$W$357,--(Stories!$J$4:$J$357=$A192))</f>
        <v/>
      </c>
      <c r="D192" s="246" t="n">
        <v>4</v>
      </c>
      <c r="E192" s="244" t="n">
        <v>1</v>
      </c>
      <c r="F192" s="247" t="inlineStr">
        <is>
          <t>Hazards &amp; Resilience</t>
        </is>
      </c>
      <c r="G192" s="244" t="n">
        <v>1</v>
      </c>
      <c r="H192" s="172" t="inlineStr">
        <is>
          <t>United Kingdom</t>
        </is>
      </c>
      <c r="I192" s="248" t="n">
        <v>46321</v>
      </c>
    </row>
    <row r="193" ht="15.5" customHeight="1">
      <c r="A193" s="232" t="inlineStr">
        <is>
          <t>The Sun Malaysia</t>
        </is>
      </c>
      <c r="B193" s="244" t="n">
        <v>1</v>
      </c>
      <c r="C193" s="245">
        <f>SUMPRODUCT(Stories!$W$4:$W$357,--(Stories!$J$4:$J$357=$A193))</f>
        <v/>
      </c>
      <c r="D193" s="246" t="n">
        <v>4</v>
      </c>
      <c r="E193" s="244" t="n">
        <v>1</v>
      </c>
      <c r="F193" s="247" t="inlineStr">
        <is>
          <t>Hazards &amp; Resilience</t>
        </is>
      </c>
      <c r="G193" s="244" t="n">
        <v>1</v>
      </c>
      <c r="H193" s="172" t="inlineStr">
        <is>
          <t>United Kingdom</t>
        </is>
      </c>
      <c r="I193" s="248" t="n">
        <v>46320</v>
      </c>
    </row>
    <row r="194" ht="15.5" customHeight="1">
      <c r="A194" s="232" t="inlineStr">
        <is>
          <t>The Vibes</t>
        </is>
      </c>
      <c r="B194" s="244" t="n">
        <v>1</v>
      </c>
      <c r="C194" s="245">
        <f>SUMPRODUCT(Stories!$W$4:$W$357,--(Stories!$J$4:$J$357=$A194))</f>
        <v/>
      </c>
      <c r="D194" s="246" t="n">
        <v>4</v>
      </c>
      <c r="E194" s="244" t="n">
        <v>1</v>
      </c>
      <c r="F194" s="247" t="inlineStr">
        <is>
          <t>Hazards &amp; Resilience</t>
        </is>
      </c>
      <c r="G194" s="244" t="n">
        <v>1</v>
      </c>
      <c r="H194" s="172" t="inlineStr">
        <is>
          <t>Australia</t>
        </is>
      </c>
      <c r="I194" s="248" t="n">
        <v>46321</v>
      </c>
    </row>
    <row r="195" ht="28" customHeight="1">
      <c r="A195" s="232" t="inlineStr">
        <is>
          <t>The World Inform</t>
        </is>
      </c>
      <c r="B195" s="244" t="n">
        <v>1</v>
      </c>
      <c r="C195" s="245">
        <f>SUMPRODUCT(Stories!$W$4:$W$357,--(Stories!$J$4:$J$357=$A195))</f>
        <v/>
      </c>
      <c r="D195" s="246" t="n">
        <v>3</v>
      </c>
      <c r="E195" s="244" t="n">
        <v>0</v>
      </c>
      <c r="F195" s="249" t="inlineStr">
        <is>
          <t>Infrastructure &amp; the Underground City</t>
        </is>
      </c>
      <c r="G195" s="244" t="n">
        <v>1</v>
      </c>
      <c r="H195" s="172" t="inlineStr">
        <is>
          <t>Russia</t>
        </is>
      </c>
      <c r="I195" s="248" t="n">
        <v>46324</v>
      </c>
    </row>
    <row r="196" ht="28" customHeight="1">
      <c r="A196" s="232" t="inlineStr">
        <is>
          <t>ThePrint Hindi</t>
        </is>
      </c>
      <c r="B196" s="244" t="n">
        <v>1</v>
      </c>
      <c r="C196" s="245">
        <f>SUMPRODUCT(Stories!$W$4:$W$357,--(Stories!$J$4:$J$357=$A196))</f>
        <v/>
      </c>
      <c r="D196" s="246" t="n">
        <v>4</v>
      </c>
      <c r="E196" s="244" t="n">
        <v>1</v>
      </c>
      <c r="F196" s="249" t="inlineStr">
        <is>
          <t>Infrastructure &amp; the Underground City</t>
        </is>
      </c>
      <c r="G196" s="244" t="n">
        <v>1</v>
      </c>
      <c r="H196" s="172" t="inlineStr">
        <is>
          <t>India</t>
        </is>
      </c>
      <c r="I196" s="248" t="n">
        <v>46322</v>
      </c>
    </row>
    <row r="197" ht="15.5" customHeight="1">
      <c r="A197" s="232" t="inlineStr">
        <is>
          <t>tin.skydoor.net</t>
        </is>
      </c>
      <c r="B197" s="244" t="n">
        <v>1</v>
      </c>
      <c r="C197" s="245">
        <f>SUMPRODUCT(Stories!$W$4:$W$357,--(Stories!$J$4:$J$357=$A197))</f>
        <v/>
      </c>
      <c r="D197" s="246" t="n">
        <v>4</v>
      </c>
      <c r="E197" s="244" t="n">
        <v>1</v>
      </c>
      <c r="F197" s="251" t="inlineStr">
        <is>
          <t>Offshore, Coasts &amp; Water</t>
        </is>
      </c>
      <c r="G197" s="244" t="n">
        <v>1</v>
      </c>
      <c r="H197" s="172" t="inlineStr">
        <is>
          <t>Vietnam</t>
        </is>
      </c>
      <c r="I197" s="248" t="n">
        <v>46320</v>
      </c>
    </row>
    <row r="198" ht="28" customHeight="1">
      <c r="A198" s="232" t="inlineStr">
        <is>
          <t>Toda la información de Nariño, Colombia y El Mundo</t>
        </is>
      </c>
      <c r="B198" s="244" t="n">
        <v>1</v>
      </c>
      <c r="C198" s="245">
        <f>SUMPRODUCT(Stories!$W$4:$W$357,--(Stories!$J$4:$J$357=$A198))</f>
        <v/>
      </c>
      <c r="D198" s="246" t="n">
        <v>3</v>
      </c>
      <c r="E198" s="244" t="n">
        <v>0</v>
      </c>
      <c r="F198" s="253" t="inlineStr">
        <is>
          <t>Characterisation &amp; Modelling</t>
        </is>
      </c>
      <c r="G198" s="244" t="n">
        <v>1</v>
      </c>
      <c r="H198" s="172" t="inlineStr">
        <is>
          <t>Peru</t>
        </is>
      </c>
      <c r="I198" s="248" t="n">
        <v>46322</v>
      </c>
    </row>
    <row r="199" ht="28" customHeight="1">
      <c r="A199" s="232" t="inlineStr">
        <is>
          <t>Tolima Online</t>
        </is>
      </c>
      <c r="B199" s="244" t="n">
        <v>1</v>
      </c>
      <c r="C199" s="245">
        <f>SUMPRODUCT(Stories!$W$4:$W$357,--(Stories!$J$4:$J$357=$A199))</f>
        <v/>
      </c>
      <c r="D199" s="246" t="n">
        <v>3</v>
      </c>
      <c r="E199" s="244" t="n">
        <v>0</v>
      </c>
      <c r="F199" s="249" t="inlineStr">
        <is>
          <t>Infrastructure &amp; the Underground City</t>
        </is>
      </c>
      <c r="G199" s="244" t="n">
        <v>1</v>
      </c>
      <c r="H199" s="172" t="inlineStr">
        <is>
          <t>Spain</t>
        </is>
      </c>
      <c r="I199" s="248" t="n">
        <v>46323</v>
      </c>
    </row>
    <row r="200" ht="15.5" customHeight="1">
      <c r="A200" s="232" t="inlineStr">
        <is>
          <t>Trade-news.cl</t>
        </is>
      </c>
      <c r="B200" s="244" t="n">
        <v>1</v>
      </c>
      <c r="C200" s="245">
        <f>SUMPRODUCT(Stories!$W$4:$W$357,--(Stories!$J$4:$J$357=$A200))</f>
        <v/>
      </c>
      <c r="D200" s="246" t="n">
        <v>3</v>
      </c>
      <c r="E200" s="244" t="n">
        <v>0</v>
      </c>
      <c r="F200" s="253" t="inlineStr">
        <is>
          <t>Characterisation &amp; Modelling</t>
        </is>
      </c>
      <c r="G200" s="244" t="n">
        <v>1</v>
      </c>
      <c r="H200" s="172" t="inlineStr">
        <is>
          <t>Peru</t>
        </is>
      </c>
      <c r="I200" s="248" t="n">
        <v>46319</v>
      </c>
    </row>
    <row r="201" ht="28" customHeight="1">
      <c r="A201" s="232" t="inlineStr">
        <is>
          <t>Traders Union</t>
        </is>
      </c>
      <c r="B201" s="244" t="n">
        <v>1</v>
      </c>
      <c r="C201" s="245">
        <f>SUMPRODUCT(Stories!$W$4:$W$357,--(Stories!$J$4:$J$357=$A201))</f>
        <v/>
      </c>
      <c r="D201" s="246" t="n">
        <v>3</v>
      </c>
      <c r="E201" s="244" t="n">
        <v>0</v>
      </c>
      <c r="F201" s="249" t="inlineStr">
        <is>
          <t>Infrastructure &amp; the Underground City</t>
        </is>
      </c>
      <c r="G201" s="244" t="n">
        <v>1</v>
      </c>
      <c r="H201" s="172" t="inlineStr">
        <is>
          <t>United Kingdom</t>
        </is>
      </c>
      <c r="I201" s="248" t="n">
        <v>46322</v>
      </c>
    </row>
    <row r="202" ht="15.5" customHeight="1">
      <c r="A202" s="232" t="inlineStr">
        <is>
          <t>Trigno.net</t>
        </is>
      </c>
      <c r="B202" s="244" t="n">
        <v>1</v>
      </c>
      <c r="C202" s="245">
        <f>SUMPRODUCT(Stories!$W$4:$W$357,--(Stories!$J$4:$J$357=$A202))</f>
        <v/>
      </c>
      <c r="D202" s="246" t="n">
        <v>3</v>
      </c>
      <c r="E202" s="244" t="n">
        <v>0</v>
      </c>
      <c r="F202" s="254" t="inlineStr">
        <is>
          <t>Geotechnics &amp; Society</t>
        </is>
      </c>
      <c r="G202" s="244" t="n">
        <v>1</v>
      </c>
      <c r="H202" s="172" t="inlineStr">
        <is>
          <t>Italy</t>
        </is>
      </c>
      <c r="I202" s="248" t="n">
        <v>46320</v>
      </c>
    </row>
    <row r="203" ht="28" customHeight="1">
      <c r="A203" s="232" t="inlineStr">
        <is>
          <t>Trung tâm Nội dung số và Truyền thông</t>
        </is>
      </c>
      <c r="B203" s="244" t="n">
        <v>1</v>
      </c>
      <c r="C203" s="245">
        <f>SUMPRODUCT(Stories!$W$4:$W$357,--(Stories!$J$4:$J$357=$A203))</f>
        <v/>
      </c>
      <c r="D203" s="246" t="n">
        <v>3</v>
      </c>
      <c r="E203" s="244" t="n">
        <v>0</v>
      </c>
      <c r="F203" s="247" t="inlineStr">
        <is>
          <t>Hazards &amp; Resilience</t>
        </is>
      </c>
      <c r="G203" s="244" t="n">
        <v>1</v>
      </c>
      <c r="H203" s="172" t="inlineStr">
        <is>
          <t>Vietnam</t>
        </is>
      </c>
      <c r="I203" s="248" t="n">
        <v>46323</v>
      </c>
    </row>
    <row r="204" ht="15.5" customHeight="1">
      <c r="A204" s="232" t="inlineStr">
        <is>
          <t>TV Azteca Jalisco</t>
        </is>
      </c>
      <c r="B204" s="244" t="n">
        <v>1</v>
      </c>
      <c r="C204" s="245">
        <f>SUMPRODUCT(Stories!$W$4:$W$357,--(Stories!$J$4:$J$357=$A204))</f>
        <v/>
      </c>
      <c r="D204" s="246" t="n">
        <v>4</v>
      </c>
      <c r="E204" s="244" t="n">
        <v>1</v>
      </c>
      <c r="F204" s="251" t="inlineStr">
        <is>
          <t>Offshore, Coasts &amp; Water</t>
        </is>
      </c>
      <c r="G204" s="244" t="n">
        <v>1</v>
      </c>
      <c r="H204" s="172" t="inlineStr">
        <is>
          <t>Colombia</t>
        </is>
      </c>
      <c r="I204" s="248" t="n">
        <v>46321</v>
      </c>
    </row>
    <row r="205" ht="15.5" customHeight="1">
      <c r="A205" s="232" t="inlineStr">
        <is>
          <t>Tv7 Benevento</t>
        </is>
      </c>
      <c r="B205" s="244" t="n">
        <v>1</v>
      </c>
      <c r="C205" s="245">
        <f>SUMPRODUCT(Stories!$W$4:$W$357,--(Stories!$J$4:$J$357=$A205))</f>
        <v/>
      </c>
      <c r="D205" s="246" t="n">
        <v>4</v>
      </c>
      <c r="E205" s="244" t="n">
        <v>1</v>
      </c>
      <c r="F205" s="247" t="inlineStr">
        <is>
          <t>Hazards &amp; Resilience</t>
        </is>
      </c>
      <c r="G205" s="244" t="n">
        <v>1</v>
      </c>
      <c r="H205" s="172" t="inlineStr">
        <is>
          <t>Italy</t>
        </is>
      </c>
      <c r="I205" s="248" t="n">
        <v>46319</v>
      </c>
    </row>
    <row r="206" ht="15.5" customHeight="1">
      <c r="A206" s="232" t="inlineStr">
        <is>
          <t>TVN</t>
        </is>
      </c>
      <c r="B206" s="244" t="n">
        <v>1</v>
      </c>
      <c r="C206" s="245">
        <f>SUMPRODUCT(Stories!$W$4:$W$357,--(Stories!$J$4:$J$357=$A206))</f>
        <v/>
      </c>
      <c r="D206" s="246" t="n">
        <v>4</v>
      </c>
      <c r="E206" s="244" t="n">
        <v>1</v>
      </c>
      <c r="F206" s="247" t="inlineStr">
        <is>
          <t>Hazards &amp; Resilience</t>
        </is>
      </c>
      <c r="G206" s="244" t="n">
        <v>1</v>
      </c>
      <c r="H206" s="172" t="inlineStr">
        <is>
          <t>Chile</t>
        </is>
      </c>
      <c r="I206" s="248" t="n">
        <v>46322</v>
      </c>
    </row>
    <row r="207" ht="15.5" customHeight="1">
      <c r="A207" s="232" t="inlineStr">
        <is>
          <t>TVPerú</t>
        </is>
      </c>
      <c r="B207" s="244" t="n">
        <v>1</v>
      </c>
      <c r="C207" s="245">
        <f>SUMPRODUCT(Stories!$W$4:$W$357,--(Stories!$J$4:$J$357=$A207))</f>
        <v/>
      </c>
      <c r="D207" s="246" t="n">
        <v>4</v>
      </c>
      <c r="E207" s="244" t="n">
        <v>1</v>
      </c>
      <c r="F207" s="247" t="inlineStr">
        <is>
          <t>Hazards &amp; Resilience</t>
        </is>
      </c>
      <c r="G207" s="244" t="n">
        <v>1</v>
      </c>
      <c r="H207" s="172" t="inlineStr">
        <is>
          <t>Peru</t>
        </is>
      </c>
      <c r="I207" s="248" t="n">
        <v>46321</v>
      </c>
    </row>
    <row r="208" ht="28" customHeight="1">
      <c r="A208" s="232" t="inlineStr">
        <is>
          <t>Urban Acres</t>
        </is>
      </c>
      <c r="B208" s="244" t="n">
        <v>1</v>
      </c>
      <c r="C208" s="245">
        <f>SUMPRODUCT(Stories!$W$4:$W$357,--(Stories!$J$4:$J$357=$A208))</f>
        <v/>
      </c>
      <c r="D208" s="246" t="n">
        <v>4</v>
      </c>
      <c r="E208" s="244" t="n">
        <v>1</v>
      </c>
      <c r="F208" s="249" t="inlineStr">
        <is>
          <t>Infrastructure &amp; the Underground City</t>
        </is>
      </c>
      <c r="G208" s="244" t="n">
        <v>1</v>
      </c>
      <c r="H208" s="172" t="inlineStr">
        <is>
          <t>United Kingdom</t>
        </is>
      </c>
      <c r="I208" s="248" t="n">
        <v>46323</v>
      </c>
    </row>
    <row r="209" ht="15.5" customHeight="1">
      <c r="A209" s="232" t="inlineStr">
        <is>
          <t>Video Mediterraneo</t>
        </is>
      </c>
      <c r="B209" s="244" t="n">
        <v>1</v>
      </c>
      <c r="C209" s="245">
        <f>SUMPRODUCT(Stories!$W$4:$W$357,--(Stories!$J$4:$J$357=$A209))</f>
        <v/>
      </c>
      <c r="D209" s="246" t="n">
        <v>4</v>
      </c>
      <c r="E209" s="244" t="n">
        <v>1</v>
      </c>
      <c r="F209" s="247" t="inlineStr">
        <is>
          <t>Hazards &amp; Resilience</t>
        </is>
      </c>
      <c r="G209" s="244" t="n">
        <v>1</v>
      </c>
      <c r="H209" s="172" t="inlineStr">
        <is>
          <t>Italy</t>
        </is>
      </c>
      <c r="I209" s="248" t="n">
        <v>46326</v>
      </c>
    </row>
    <row r="210" ht="15.5" customHeight="1">
      <c r="A210" s="232" t="inlineStr">
        <is>
          <t>Vita.it</t>
        </is>
      </c>
      <c r="B210" s="244" t="n">
        <v>1</v>
      </c>
      <c r="C210" s="245">
        <f>SUMPRODUCT(Stories!$W$4:$W$357,--(Stories!$J$4:$J$357=$A210))</f>
        <v/>
      </c>
      <c r="D210" s="246" t="n">
        <v>4</v>
      </c>
      <c r="E210" s="244" t="n">
        <v>1</v>
      </c>
      <c r="F210" s="247" t="inlineStr">
        <is>
          <t>Hazards &amp; Resilience</t>
        </is>
      </c>
      <c r="G210" s="244" t="n">
        <v>1</v>
      </c>
      <c r="H210" s="172" t="inlineStr">
        <is>
          <t>Italy</t>
        </is>
      </c>
      <c r="I210" s="248" t="n">
        <v>46326</v>
      </c>
    </row>
    <row r="211" ht="15.5" customHeight="1">
      <c r="A211" s="232" t="inlineStr">
        <is>
          <t>VnExpress</t>
        </is>
      </c>
      <c r="B211" s="244" t="n">
        <v>1</v>
      </c>
      <c r="C211" s="245">
        <f>SUMPRODUCT(Stories!$W$4:$W$357,--(Stories!$J$4:$J$357=$A211))</f>
        <v/>
      </c>
      <c r="D211" s="246" t="n">
        <v>3</v>
      </c>
      <c r="E211" s="244" t="n">
        <v>0</v>
      </c>
      <c r="F211" s="247" t="inlineStr">
        <is>
          <t>Hazards &amp; Resilience</t>
        </is>
      </c>
      <c r="G211" s="244" t="n">
        <v>1</v>
      </c>
      <c r="H211" s="172" t="inlineStr">
        <is>
          <t>Vietnam</t>
        </is>
      </c>
      <c r="I211" s="248" t="n">
        <v>46324</v>
      </c>
    </row>
    <row r="212" ht="15.5" customHeight="1">
      <c r="A212" s="232" t="inlineStr">
        <is>
          <t>VnExpress International</t>
        </is>
      </c>
      <c r="B212" s="244" t="n">
        <v>1</v>
      </c>
      <c r="C212" s="245">
        <f>SUMPRODUCT(Stories!$W$4:$W$357,--(Stories!$J$4:$J$357=$A212))</f>
        <v/>
      </c>
      <c r="D212" s="246" t="n">
        <v>4</v>
      </c>
      <c r="E212" s="244" t="n">
        <v>1</v>
      </c>
      <c r="F212" s="253" t="inlineStr">
        <is>
          <t>Characterisation &amp; Modelling</t>
        </is>
      </c>
      <c r="G212" s="244" t="n">
        <v>1</v>
      </c>
      <c r="H212" s="172" t="inlineStr">
        <is>
          <t>United Kingdom</t>
        </is>
      </c>
      <c r="I212" s="248" t="n">
        <v>46319</v>
      </c>
    </row>
    <row r="213" ht="28" customHeight="1">
      <c r="A213" s="232" t="inlineStr">
        <is>
          <t>VOH</t>
        </is>
      </c>
      <c r="B213" s="244" t="n">
        <v>1</v>
      </c>
      <c r="C213" s="245">
        <f>SUMPRODUCT(Stories!$W$4:$W$357,--(Stories!$J$4:$J$357=$A213))</f>
        <v/>
      </c>
      <c r="D213" s="246" t="n">
        <v>4</v>
      </c>
      <c r="E213" s="244" t="n">
        <v>1</v>
      </c>
      <c r="F213" s="249" t="inlineStr">
        <is>
          <t>Infrastructure &amp; the Underground City</t>
        </is>
      </c>
      <c r="G213" s="244" t="n">
        <v>1</v>
      </c>
      <c r="H213" s="172" t="inlineStr">
        <is>
          <t>Vietnam</t>
        </is>
      </c>
      <c r="I213" s="248" t="n">
        <v>46319</v>
      </c>
    </row>
    <row r="214" ht="15.5" customHeight="1">
      <c r="A214" s="232" t="inlineStr">
        <is>
          <t>VTV.vn</t>
        </is>
      </c>
      <c r="B214" s="244" t="n">
        <v>1</v>
      </c>
      <c r="C214" s="245">
        <f>SUMPRODUCT(Stories!$W$4:$W$357,--(Stories!$J$4:$J$357=$A214))</f>
        <v/>
      </c>
      <c r="D214" s="246" t="n">
        <v>4</v>
      </c>
      <c r="E214" s="244" t="n">
        <v>1</v>
      </c>
      <c r="F214" s="251" t="inlineStr">
        <is>
          <t>Offshore, Coasts &amp; Water</t>
        </is>
      </c>
      <c r="G214" s="244" t="n">
        <v>1</v>
      </c>
      <c r="H214" s="172" t="inlineStr">
        <is>
          <t>Vietnam</t>
        </is>
      </c>
      <c r="I214" s="248" t="n">
        <v>46319</v>
      </c>
    </row>
    <row r="215" ht="28" customHeight="1">
      <c r="A215" s="232" t="inlineStr">
        <is>
          <t>www.marketscreener.com</t>
        </is>
      </c>
      <c r="B215" s="244" t="n">
        <v>1</v>
      </c>
      <c r="C215" s="245">
        <f>SUMPRODUCT(Stories!$W$4:$W$357,--(Stories!$J$4:$J$357=$A215))</f>
        <v/>
      </c>
      <c r="D215" s="246" t="n">
        <v>3</v>
      </c>
      <c r="E215" s="244" t="n">
        <v>0</v>
      </c>
      <c r="F215" s="249" t="inlineStr">
        <is>
          <t>Infrastructure &amp; the Underground City</t>
        </is>
      </c>
      <c r="G215" s="244" t="n">
        <v>1</v>
      </c>
      <c r="H215" s="172" t="inlineStr">
        <is>
          <t>United Kingdom</t>
        </is>
      </c>
      <c r="I215" s="248" t="n">
        <v>46322</v>
      </c>
    </row>
    <row r="216" ht="15.5" customHeight="1">
      <c r="A216" s="232" t="inlineStr">
        <is>
          <t>Zazoom Social News</t>
        </is>
      </c>
      <c r="B216" s="244" t="n">
        <v>1</v>
      </c>
      <c r="C216" s="245">
        <f>SUMPRODUCT(Stories!$W$4:$W$357,--(Stories!$J$4:$J$357=$A216))</f>
        <v/>
      </c>
      <c r="D216" s="246" t="n">
        <v>4</v>
      </c>
      <c r="E216" s="244" t="n">
        <v>1</v>
      </c>
      <c r="F216" s="247" t="inlineStr">
        <is>
          <t>Hazards &amp; Resilience</t>
        </is>
      </c>
      <c r="G216" s="244" t="n">
        <v>1</v>
      </c>
      <c r="H216" s="172" t="inlineStr">
        <is>
          <t>Italy</t>
        </is>
      </c>
      <c r="I216" s="248" t="n">
        <v>46319</v>
      </c>
    </row>
    <row r="217" ht="15.5" customHeight="1">
      <c r="A217" s="232" t="inlineStr">
        <is>
          <t>Zonalocale</t>
        </is>
      </c>
      <c r="B217" s="244" t="n">
        <v>1</v>
      </c>
      <c r="C217" s="245">
        <f>SUMPRODUCT(Stories!$W$4:$W$357,--(Stories!$J$4:$J$357=$A217))</f>
        <v/>
      </c>
      <c r="D217" s="246" t="n">
        <v>4</v>
      </c>
      <c r="E217" s="244" t="n">
        <v>1</v>
      </c>
      <c r="F217" s="247" t="inlineStr">
        <is>
          <t>Hazards &amp; Resilience</t>
        </is>
      </c>
      <c r="G217" s="244" t="n">
        <v>1</v>
      </c>
      <c r="H217" s="172" t="inlineStr">
        <is>
          <t>Italy</t>
        </is>
      </c>
      <c r="I217" s="248" t="n">
        <v>46326</v>
      </c>
    </row>
    <row r="218" ht="28" customHeight="1">
      <c r="A218" s="232" t="inlineStr">
        <is>
          <t>Движение.ру</t>
        </is>
      </c>
      <c r="B218" s="244" t="n">
        <v>1</v>
      </c>
      <c r="C218" s="245">
        <f>SUMPRODUCT(Stories!$W$4:$W$357,--(Stories!$J$4:$J$357=$A218))</f>
        <v/>
      </c>
      <c r="D218" s="246" t="n">
        <v>3</v>
      </c>
      <c r="E218" s="244" t="n">
        <v>0</v>
      </c>
      <c r="F218" s="249" t="inlineStr">
        <is>
          <t>Infrastructure &amp; the Underground City</t>
        </is>
      </c>
      <c r="G218" s="244" t="n">
        <v>1</v>
      </c>
      <c r="H218" s="172" t="inlineStr">
        <is>
          <t>Russia</t>
        </is>
      </c>
      <c r="I218" s="248" t="n">
        <v>46322</v>
      </c>
    </row>
    <row r="219" ht="28" customHeight="1">
      <c r="A219" s="232" t="inlineStr">
        <is>
          <t>Истра.РФ</t>
        </is>
      </c>
      <c r="B219" s="244" t="n">
        <v>1</v>
      </c>
      <c r="C219" s="245">
        <f>SUMPRODUCT(Stories!$W$4:$W$357,--(Stories!$J$4:$J$357=$A219))</f>
        <v/>
      </c>
      <c r="D219" s="246" t="n">
        <v>3</v>
      </c>
      <c r="E219" s="244" t="n">
        <v>0</v>
      </c>
      <c r="F219" s="249" t="inlineStr">
        <is>
          <t>Infrastructure &amp; the Underground City</t>
        </is>
      </c>
      <c r="G219" s="244" t="n">
        <v>1</v>
      </c>
      <c r="H219" s="172" t="inlineStr">
        <is>
          <t>Russia</t>
        </is>
      </c>
      <c r="I219" s="248" t="n">
        <v>46325</v>
      </c>
    </row>
    <row r="220" ht="28" customHeight="1">
      <c r="A220" s="232" t="inlineStr">
        <is>
          <t>Крыминформ</t>
        </is>
      </c>
      <c r="B220" s="244" t="n">
        <v>1</v>
      </c>
      <c r="C220" s="245">
        <f>SUMPRODUCT(Stories!$W$4:$W$357,--(Stories!$J$4:$J$357=$A220))</f>
        <v/>
      </c>
      <c r="D220" s="246" t="n">
        <v>4</v>
      </c>
      <c r="E220" s="244" t="n">
        <v>1</v>
      </c>
      <c r="F220" s="249" t="inlineStr">
        <is>
          <t>Infrastructure &amp; the Underground City</t>
        </is>
      </c>
      <c r="G220" s="244" t="n">
        <v>1</v>
      </c>
      <c r="H220" s="172" t="inlineStr">
        <is>
          <t>Russia</t>
        </is>
      </c>
      <c r="I220" s="248" t="n">
        <v>46319</v>
      </c>
    </row>
    <row r="221" ht="28" customHeight="1">
      <c r="A221" s="232" t="inlineStr">
        <is>
          <t>Кубань 24</t>
        </is>
      </c>
      <c r="B221" s="244" t="n">
        <v>1</v>
      </c>
      <c r="C221" s="245">
        <f>SUMPRODUCT(Stories!$W$4:$W$357,--(Stories!$J$4:$J$357=$A221))</f>
        <v/>
      </c>
      <c r="D221" s="246" t="n">
        <v>3</v>
      </c>
      <c r="E221" s="244" t="n">
        <v>0</v>
      </c>
      <c r="F221" s="249" t="inlineStr">
        <is>
          <t>Infrastructure &amp; the Underground City</t>
        </is>
      </c>
      <c r="G221" s="244" t="n">
        <v>1</v>
      </c>
      <c r="H221" s="172" t="inlineStr">
        <is>
          <t>Russia</t>
        </is>
      </c>
      <c r="I221" s="248" t="n">
        <v>46326</v>
      </c>
    </row>
    <row r="222" ht="28" customHeight="1">
      <c r="A222" s="232" t="inlineStr">
        <is>
          <t>Портал РЕПОСТ</t>
        </is>
      </c>
      <c r="B222" s="244" t="n">
        <v>1</v>
      </c>
      <c r="C222" s="245">
        <f>SUMPRODUCT(Stories!$W$4:$W$357,--(Stories!$J$4:$J$357=$A222))</f>
        <v/>
      </c>
      <c r="D222" s="246" t="n">
        <v>4</v>
      </c>
      <c r="E222" s="244" t="n">
        <v>1</v>
      </c>
      <c r="F222" s="249" t="inlineStr">
        <is>
          <t>Infrastructure &amp; the Underground City</t>
        </is>
      </c>
      <c r="G222" s="244" t="n">
        <v>1</v>
      </c>
      <c r="H222" s="172" t="inlineStr">
        <is>
          <t>Russia</t>
        </is>
      </c>
      <c r="I222" s="248" t="n">
        <v>46326</v>
      </c>
    </row>
    <row r="223" ht="28" customHeight="1">
      <c r="A223" s="232" t="inlineStr">
        <is>
          <t>Росбалт</t>
        </is>
      </c>
      <c r="B223" s="244" t="n">
        <v>1</v>
      </c>
      <c r="C223" s="245">
        <f>SUMPRODUCT(Stories!$W$4:$W$357,--(Stories!$J$4:$J$357=$A223))</f>
        <v/>
      </c>
      <c r="D223" s="246" t="n">
        <v>4</v>
      </c>
      <c r="E223" s="244" t="n">
        <v>1</v>
      </c>
      <c r="F223" s="249" t="inlineStr">
        <is>
          <t>Infrastructure &amp; the Underground City</t>
        </is>
      </c>
      <c r="G223" s="244" t="n">
        <v>1</v>
      </c>
      <c r="H223" s="172" t="inlineStr">
        <is>
          <t>Russia</t>
        </is>
      </c>
      <c r="I223" s="248" t="n">
        <v>46326</v>
      </c>
    </row>
    <row r="224" ht="28" customHeight="1">
      <c r="A224" s="232" t="inlineStr">
        <is>
          <t>Самарская газета</t>
        </is>
      </c>
      <c r="B224" s="244" t="n">
        <v>1</v>
      </c>
      <c r="C224" s="245">
        <f>SUMPRODUCT(Stories!$W$4:$W$357,--(Stories!$J$4:$J$357=$A224))</f>
        <v/>
      </c>
      <c r="D224" s="246" t="n">
        <v>3</v>
      </c>
      <c r="E224" s="244" t="n">
        <v>0</v>
      </c>
      <c r="F224" s="249" t="inlineStr">
        <is>
          <t>Infrastructure &amp; the Underground City</t>
        </is>
      </c>
      <c r="G224" s="244" t="n">
        <v>1</v>
      </c>
      <c r="H224" s="172" t="inlineStr">
        <is>
          <t>Russia</t>
        </is>
      </c>
      <c r="I224" s="248" t="n">
        <v>46319</v>
      </c>
    </row>
    <row r="225" ht="28" customHeight="1">
      <c r="A225" s="232" t="inlineStr">
        <is>
          <t>Севастопольская газета Объектив. Новости Севастополя онлайн</t>
        </is>
      </c>
      <c r="B225" s="244" t="n">
        <v>1</v>
      </c>
      <c r="C225" s="245">
        <f>SUMPRODUCT(Stories!$W$4:$W$357,--(Stories!$J$4:$J$357=$A225))</f>
        <v/>
      </c>
      <c r="D225" s="246" t="n">
        <v>3</v>
      </c>
      <c r="E225" s="244" t="n">
        <v>0</v>
      </c>
      <c r="F225" s="249" t="inlineStr">
        <is>
          <t>Infrastructure &amp; the Underground City</t>
        </is>
      </c>
      <c r="G225" s="244" t="n">
        <v>1</v>
      </c>
      <c r="H225" s="172" t="inlineStr">
        <is>
          <t>Russia</t>
        </is>
      </c>
      <c r="I225" s="248" t="n">
        <v>46325</v>
      </c>
    </row>
    <row r="226" ht="28" customHeight="1">
      <c r="A226" s="232" t="inlineStr">
        <is>
          <t>Телекомпания «Республиканская телевизионная сеть»</t>
        </is>
      </c>
      <c r="B226" s="244" t="n">
        <v>1</v>
      </c>
      <c r="C226" s="245">
        <f>SUMPRODUCT(Stories!$W$4:$W$357,--(Stories!$J$4:$J$357=$A226))</f>
        <v/>
      </c>
      <c r="D226" s="246" t="n">
        <v>3</v>
      </c>
      <c r="E226" s="244" t="n">
        <v>0</v>
      </c>
      <c r="F226" s="249" t="inlineStr">
        <is>
          <t>Infrastructure &amp; the Underground City</t>
        </is>
      </c>
      <c r="G226" s="244" t="n">
        <v>1</v>
      </c>
      <c r="H226" s="172" t="inlineStr">
        <is>
          <t>Russia</t>
        </is>
      </c>
      <c r="I226" s="248" t="n">
        <v>46325</v>
      </c>
    </row>
    <row r="227" ht="15.5" customHeight="1">
      <c r="A227" s="232" t="inlineStr">
        <is>
          <t>Хабр</t>
        </is>
      </c>
      <c r="B227" s="244" t="n">
        <v>1</v>
      </c>
      <c r="C227" s="245">
        <f>SUMPRODUCT(Stories!$W$4:$W$357,--(Stories!$J$4:$J$357=$A227))</f>
        <v/>
      </c>
      <c r="D227" s="246" t="n">
        <v>3</v>
      </c>
      <c r="E227" s="244" t="n">
        <v>0</v>
      </c>
      <c r="F227" s="252" t="inlineStr">
        <is>
          <t>Digital Geotechnics</t>
        </is>
      </c>
      <c r="G227" s="244" t="n">
        <v>1</v>
      </c>
      <c r="H227" s="172" t="inlineStr">
        <is>
          <t>Russia</t>
        </is>
      </c>
      <c r="I227" s="248" t="n">
        <v>46322</v>
      </c>
    </row>
    <row r="228" ht="15.5" customHeight="1">
      <c r="A228" s="232" t="inlineStr">
        <is>
          <t>التلفزيون العربي</t>
        </is>
      </c>
      <c r="B228" s="244" t="n">
        <v>1</v>
      </c>
      <c r="C228" s="245">
        <f>SUMPRODUCT(Stories!$W$4:$W$357,--(Stories!$J$4:$J$357=$A228))</f>
        <v/>
      </c>
      <c r="D228" s="246" t="n">
        <v>3</v>
      </c>
      <c r="E228" s="244" t="n">
        <v>0</v>
      </c>
      <c r="F228" s="247" t="inlineStr">
        <is>
          <t>Hazards &amp; Resilience</t>
        </is>
      </c>
      <c r="G228" s="244" t="n">
        <v>1</v>
      </c>
      <c r="H228" s="172" t="inlineStr">
        <is>
          <t>Egypt</t>
        </is>
      </c>
      <c r="I228" s="248" t="n">
        <v>46325</v>
      </c>
    </row>
    <row r="229" ht="15.5" customHeight="1">
      <c r="A229" s="232" t="inlineStr">
        <is>
          <t>تركيا عاجل</t>
        </is>
      </c>
      <c r="B229" s="244" t="n">
        <v>1</v>
      </c>
      <c r="C229" s="245">
        <f>SUMPRODUCT(Stories!$W$4:$W$357,--(Stories!$J$4:$J$357=$A229))</f>
        <v/>
      </c>
      <c r="D229" s="246" t="n">
        <v>5</v>
      </c>
      <c r="E229" s="244" t="n">
        <v>1</v>
      </c>
      <c r="F229" s="247" t="inlineStr">
        <is>
          <t>Hazards &amp; Resilience</t>
        </is>
      </c>
      <c r="G229" s="244" t="n">
        <v>1</v>
      </c>
      <c r="H229" s="172" t="inlineStr">
        <is>
          <t>Egypt</t>
        </is>
      </c>
      <c r="I229" s="248" t="n">
        <v>46321</v>
      </c>
    </row>
    <row r="230" ht="28" customHeight="1">
      <c r="A230" s="232" t="inlineStr">
        <is>
          <t>شبكة تواصل الإخبارية</t>
        </is>
      </c>
      <c r="B230" s="244" t="n">
        <v>1</v>
      </c>
      <c r="C230" s="245">
        <f>SUMPRODUCT(Stories!$W$4:$W$357,--(Stories!$J$4:$J$357=$A230))</f>
        <v/>
      </c>
      <c r="D230" s="246" t="n">
        <v>3</v>
      </c>
      <c r="E230" s="244" t="n">
        <v>0</v>
      </c>
      <c r="F230" s="249" t="inlineStr">
        <is>
          <t>Infrastructure &amp; the Underground City</t>
        </is>
      </c>
      <c r="G230" s="244" t="n">
        <v>1</v>
      </c>
      <c r="H230" s="172" t="inlineStr">
        <is>
          <t>Argentina</t>
        </is>
      </c>
      <c r="I230" s="248" t="n">
        <v>46325</v>
      </c>
    </row>
    <row r="231" ht="15.5" customHeight="1">
      <c r="A231" s="232" t="inlineStr">
        <is>
          <t>ライブドアニュース</t>
        </is>
      </c>
      <c r="B231" s="244" t="n">
        <v>1</v>
      </c>
      <c r="C231" s="245">
        <f>SUMPRODUCT(Stories!$W$4:$W$357,--(Stories!$J$4:$J$357=$A231))</f>
        <v/>
      </c>
      <c r="D231" s="246" t="n">
        <v>4</v>
      </c>
      <c r="E231" s="244" t="n">
        <v>1</v>
      </c>
      <c r="F231" s="247" t="inlineStr">
        <is>
          <t>Hazards &amp; Resilience</t>
        </is>
      </c>
      <c r="G231" s="244" t="n">
        <v>1</v>
      </c>
      <c r="H231" s="172" t="inlineStr">
        <is>
          <t>Japan</t>
        </is>
      </c>
      <c r="I231" s="248" t="n">
        <v>46322</v>
      </c>
    </row>
    <row r="232" ht="15.5" customHeight="1">
      <c r="A232" s="232" t="inlineStr">
        <is>
          <t>中日新聞Web</t>
        </is>
      </c>
      <c r="B232" s="244" t="n">
        <v>1</v>
      </c>
      <c r="C232" s="245">
        <f>SUMPRODUCT(Stories!$W$4:$W$357,--(Stories!$J$4:$J$357=$A232))</f>
        <v/>
      </c>
      <c r="D232" s="246" t="n">
        <v>3</v>
      </c>
      <c r="E232" s="244" t="n">
        <v>0</v>
      </c>
      <c r="F232" s="247" t="inlineStr">
        <is>
          <t>Hazards &amp; Resilience</t>
        </is>
      </c>
      <c r="G232" s="244" t="n">
        <v>1</v>
      </c>
      <c r="H232" s="172" t="inlineStr">
        <is>
          <t>Japan</t>
        </is>
      </c>
      <c r="I232" s="248" t="n">
        <v>46323</v>
      </c>
    </row>
    <row r="233" ht="15.5" customHeight="1">
      <c r="A233" s="232" t="inlineStr">
        <is>
          <t>千葉日報オンライン</t>
        </is>
      </c>
      <c r="B233" s="244" t="n">
        <v>1</v>
      </c>
      <c r="C233" s="245">
        <f>SUMPRODUCT(Stories!$W$4:$W$357,--(Stories!$J$4:$J$357=$A233))</f>
        <v/>
      </c>
      <c r="D233" s="246" t="n">
        <v>4</v>
      </c>
      <c r="E233" s="244" t="n">
        <v>1</v>
      </c>
      <c r="F233" s="247" t="inlineStr">
        <is>
          <t>Hazards &amp; Resilience</t>
        </is>
      </c>
      <c r="G233" s="244" t="n">
        <v>1</v>
      </c>
      <c r="H233" s="172" t="inlineStr">
        <is>
          <t>Japan</t>
        </is>
      </c>
      <c r="I233" s="248" t="n">
        <v>46320</v>
      </c>
    </row>
    <row r="234" ht="15.5" customHeight="1">
      <c r="A234" s="232" t="inlineStr">
        <is>
          <t>山陽新聞</t>
        </is>
      </c>
      <c r="B234" s="244" t="n">
        <v>1</v>
      </c>
      <c r="C234" s="245">
        <f>SUMPRODUCT(Stories!$W$4:$W$357,--(Stories!$J$4:$J$357=$A234))</f>
        <v/>
      </c>
      <c r="D234" s="246" t="n">
        <v>5</v>
      </c>
      <c r="E234" s="244" t="n">
        <v>1</v>
      </c>
      <c r="F234" s="247" t="inlineStr">
        <is>
          <t>Hazards &amp; Resilience</t>
        </is>
      </c>
      <c r="G234" s="244" t="n">
        <v>1</v>
      </c>
      <c r="H234" s="172" t="inlineStr">
        <is>
          <t>Japan</t>
        </is>
      </c>
      <c r="I234" s="248" t="n">
        <v>46320</v>
      </c>
    </row>
    <row r="235" ht="15.5" customHeight="1">
      <c r="A235" s="232" t="inlineStr">
        <is>
          <t>新潟日報</t>
        </is>
      </c>
      <c r="B235" s="244" t="n">
        <v>1</v>
      </c>
      <c r="C235" s="245">
        <f>SUMPRODUCT(Stories!$W$4:$W$357,--(Stories!$J$4:$J$357=$A235))</f>
        <v/>
      </c>
      <c r="D235" s="246" t="n">
        <v>3</v>
      </c>
      <c r="E235" s="244" t="n">
        <v>0</v>
      </c>
      <c r="F235" s="254" t="inlineStr">
        <is>
          <t>Geotechnics &amp; Society</t>
        </is>
      </c>
      <c r="G235" s="244" t="n">
        <v>1</v>
      </c>
      <c r="H235" s="172" t="inlineStr">
        <is>
          <t>Japan</t>
        </is>
      </c>
      <c r="I235" s="248" t="n">
        <v>46324</v>
      </c>
    </row>
    <row r="236" ht="15.5" customHeight="1">
      <c r="A236" s="232" t="inlineStr">
        <is>
          <t>金沢市公式ホームページ</t>
        </is>
      </c>
      <c r="B236" s="244" t="n">
        <v>1</v>
      </c>
      <c r="C236" s="245">
        <f>SUMPRODUCT(Stories!$W$4:$W$357,--(Stories!$J$4:$J$357=$A236))</f>
        <v/>
      </c>
      <c r="D236" s="246" t="n">
        <v>4</v>
      </c>
      <c r="E236" s="244" t="n">
        <v>1</v>
      </c>
      <c r="F236" s="247" t="inlineStr">
        <is>
          <t>Hazards &amp; Resilience</t>
        </is>
      </c>
      <c r="G236" s="244" t="n">
        <v>1</v>
      </c>
      <c r="H236" s="172" t="inlineStr">
        <is>
          <t>Japan</t>
        </is>
      </c>
      <c r="I236" s="248" t="n">
        <v>46326</v>
      </c>
    </row>
    <row r="237" ht="28" customHeight="1">
      <c r="A237" s="232" t="inlineStr">
        <is>
          <t>매일일보</t>
        </is>
      </c>
      <c r="B237" s="244" t="n">
        <v>1</v>
      </c>
      <c r="C237" s="245">
        <f>SUMPRODUCT(Stories!$W$4:$W$357,--(Stories!$J$4:$J$357=$A237))</f>
        <v/>
      </c>
      <c r="D237" s="246" t="n">
        <v>3</v>
      </c>
      <c r="E237" s="244" t="n">
        <v>0</v>
      </c>
      <c r="F237" s="249" t="inlineStr">
        <is>
          <t>Infrastructure &amp; the Underground City</t>
        </is>
      </c>
      <c r="G237" s="244" t="n">
        <v>1</v>
      </c>
      <c r="H237" s="172" t="inlineStr">
        <is>
          <t>South Korea</t>
        </is>
      </c>
      <c r="I237" s="248" t="n">
        <v>46324</v>
      </c>
    </row>
    <row r="238" ht="28" customHeight="1">
      <c r="A238" s="232" t="inlineStr">
        <is>
          <t>아시아경제</t>
        </is>
      </c>
      <c r="B238" s="244" t="n">
        <v>1</v>
      </c>
      <c r="C238" s="245">
        <f>SUMPRODUCT(Stories!$W$4:$W$357,--(Stories!$J$4:$J$357=$A238))</f>
        <v/>
      </c>
      <c r="D238" s="246" t="n">
        <v>4</v>
      </c>
      <c r="E238" s="244" t="n">
        <v>1</v>
      </c>
      <c r="F238" s="249" t="inlineStr">
        <is>
          <t>Infrastructure &amp; the Underground City</t>
        </is>
      </c>
      <c r="G238" s="244" t="n">
        <v>1</v>
      </c>
      <c r="H238" s="172" t="inlineStr">
        <is>
          <t>United Kingdom</t>
        </is>
      </c>
      <c r="I238" s="248" t="n">
        <v>46319</v>
      </c>
    </row>
    <row r="239" ht="28" customHeight="1">
      <c r="A239" s="232" t="inlineStr">
        <is>
          <t>아주경제</t>
        </is>
      </c>
      <c r="B239" s="244" t="n">
        <v>1</v>
      </c>
      <c r="C239" s="245">
        <f>SUMPRODUCT(Stories!$W$4:$W$357,--(Stories!$J$4:$J$357=$A239))</f>
        <v/>
      </c>
      <c r="D239" s="246" t="n">
        <v>4</v>
      </c>
      <c r="E239" s="244" t="n">
        <v>1</v>
      </c>
      <c r="F239" s="249" t="inlineStr">
        <is>
          <t>Infrastructure &amp; the Underground City</t>
        </is>
      </c>
      <c r="G239" s="244" t="n">
        <v>1</v>
      </c>
      <c r="H239" s="172" t="inlineStr">
        <is>
          <t>South Korea</t>
        </is>
      </c>
      <c r="I239" s="248" t="n">
        <v>46319</v>
      </c>
    </row>
    <row r="240" ht="28" customHeight="1">
      <c r="A240" s="232" t="inlineStr">
        <is>
          <t>충청신문</t>
        </is>
      </c>
      <c r="B240" s="244" t="n">
        <v>1</v>
      </c>
      <c r="C240" s="245">
        <f>SUMPRODUCT(Stories!$W$4:$W$357,--(Stories!$J$4:$J$357=$A240))</f>
        <v/>
      </c>
      <c r="D240" s="246" t="n">
        <v>5</v>
      </c>
      <c r="E240" s="244" t="n">
        <v>1</v>
      </c>
      <c r="F240" s="249" t="inlineStr">
        <is>
          <t>Infrastructure &amp; the Underground City</t>
        </is>
      </c>
      <c r="G240" s="244" t="n">
        <v>1</v>
      </c>
      <c r="H240" s="172" t="inlineStr">
        <is>
          <t>South Korea</t>
        </is>
      </c>
      <c r="I240" s="248" t="n">
        <v>46319</v>
      </c>
    </row>
    <row r="241" ht="28" customHeight="1">
      <c r="A241" s="232" t="inlineStr">
        <is>
          <t>한국일보</t>
        </is>
      </c>
      <c r="B241" s="244" t="n">
        <v>1</v>
      </c>
      <c r="C241" s="245">
        <f>SUMPRODUCT(Stories!$W$4:$W$357,--(Stories!$J$4:$J$357=$A241))</f>
        <v/>
      </c>
      <c r="D241" s="246" t="n">
        <v>3</v>
      </c>
      <c r="E241" s="244" t="n">
        <v>0</v>
      </c>
      <c r="F241" s="249" t="inlineStr">
        <is>
          <t>Infrastructure &amp; the Underground City</t>
        </is>
      </c>
      <c r="G241" s="244" t="n">
        <v>1</v>
      </c>
      <c r="H241" s="172" t="inlineStr">
        <is>
          <t>South Korea</t>
        </is>
      </c>
      <c r="I241" s="248" t="n">
        <v>46321</v>
      </c>
    </row>
  </sheetData>
  <conditionalFormatting sqref="B4:B241">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46326</v>
      </c>
      <c r="K2" s="257">
        <f>COUNTIFS(Stories!$W$4:$W$357,1,Stories!$K$4:$K$357,J2)</f>
        <v/>
      </c>
      <c r="M2" s="257" t="n">
        <v>1</v>
      </c>
      <c r="N2" s="259">
        <f>IFERROR(LARGE(Stories!$X$4:$X$357,M2),"")</f>
        <v/>
      </c>
      <c r="O2" s="257">
        <f>IF(N2="","",MATCH(N2,Stories!$X$4:$X$357,0))</f>
        <v/>
      </c>
      <c r="P2" s="257">
        <f>IF(O2="","",INDEX(Stories!$V$4:$V$357,O2)&amp;"")</f>
        <v/>
      </c>
      <c r="Q2" s="257">
        <f>IF(O2="","",IF(LEN(INDEX(Stories!$B$4:$B$357,O2))&gt;120,LEFT(INDEX(Stories!$B$4:$B$357,O2),118)&amp;"…",INDEX(Stories!$B$4:$B$357,O2)&amp;"")&amp;IF(INDEX(Stories!$L$4:$L$357,O2)&amp;""&lt;&gt;""," (Claude's translation)",""))</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8</v>
      </c>
      <c r="J3" s="258" t="n">
        <v>46325</v>
      </c>
      <c r="K3" s="257">
        <f>COUNTIFS(Stories!$W$4:$W$357,1,Stories!$K$4:$K$357,J3)</f>
        <v/>
      </c>
      <c r="M3" s="257" t="n">
        <v>2</v>
      </c>
      <c r="N3" s="259">
        <f>IFERROR(LARGE(Stories!$X$4:$X$357,M3),"")</f>
        <v/>
      </c>
      <c r="O3" s="257">
        <f>IF(N3="","",MATCH(N3,Stories!$X$4:$X$357,0))</f>
        <v/>
      </c>
      <c r="P3" s="257">
        <f>IF(O3="","",INDEX(Stories!$V$4:$V$357,O3)&amp;"")</f>
        <v/>
      </c>
      <c r="Q3" s="257">
        <f>IF(O3="","",IF(LEN(INDEX(Stories!$B$4:$B$357,O3))&gt;120,LEFT(INDEX(Stories!$B$4:$B$357,O3),118)&amp;"…",INDEX(Stories!$B$4:$B$357,O3)&amp;"")&amp;IF(INDEX(Stories!$L$4:$L$357,O3)&amp;""&lt;&gt;""," (Claude's translation)",""))</f>
        <v/>
      </c>
    </row>
    <row r="4">
      <c r="A4" s="257" t="inlineStr">
        <is>
          <t>Digital Geotechnics</t>
        </is>
      </c>
      <c r="B4" s="257" t="inlineStr">
        <is>
          <t>News brief</t>
        </is>
      </c>
      <c r="C4" s="257" t="n">
        <v>4</v>
      </c>
      <c r="E4" s="257" t="inlineStr">
        <is>
          <t>Commissioned</t>
        </is>
      </c>
      <c r="G4" s="257" t="inlineStr">
        <is>
          <t>Stories in this workbook</t>
        </is>
      </c>
      <c r="H4" s="257" t="n">
        <v>354</v>
      </c>
      <c r="J4" s="258" t="n">
        <v>46324</v>
      </c>
      <c r="K4" s="257">
        <f>COUNTIFS(Stories!$W$4:$W$357,1,Stories!$K$4:$K$357,J4)</f>
        <v/>
      </c>
      <c r="M4" s="257" t="n">
        <v>3</v>
      </c>
      <c r="N4" s="259">
        <f>IFERROR(LARGE(Stories!$X$4:$X$357,M4),"")</f>
        <v/>
      </c>
      <c r="O4" s="257">
        <f>IF(N4="","",MATCH(N4,Stories!$X$4:$X$357,0))</f>
        <v/>
      </c>
      <c r="P4" s="257">
        <f>IF(O4="","",INDEX(Stories!$V$4:$V$357,O4)&amp;"")</f>
        <v/>
      </c>
      <c r="Q4" s="257">
        <f>IF(O4="","",IF(LEN(INDEX(Stories!$B$4:$B$357,O4))&gt;120,LEFT(INDEX(Stories!$B$4:$B$357,O4),118)&amp;"…",INDEX(Stories!$B$4:$B$357,O4)&amp;"")&amp;IF(INDEX(Stories!$L$4:$L$357,O4)&amp;""&lt;&gt;""," (Claude's translation)",""))</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J5" s="258" t="n">
        <v>46323</v>
      </c>
      <c r="K5" s="257">
        <f>COUNTIFS(Stories!$W$4:$W$357,1,Stories!$K$4:$K$357,J5)</f>
        <v/>
      </c>
      <c r="M5" s="257" t="n">
        <v>4</v>
      </c>
      <c r="N5" s="259">
        <f>IFERROR(LARGE(Stories!$X$4:$X$357,M5),"")</f>
        <v/>
      </c>
      <c r="O5" s="257">
        <f>IF(N5="","",MATCH(N5,Stories!$X$4:$X$357,0))</f>
        <v/>
      </c>
      <c r="P5" s="257">
        <f>IF(O5="","",INDEX(Stories!$V$4:$V$357,O5)&amp;"")</f>
        <v/>
      </c>
      <c r="Q5" s="257">
        <f>IF(O5="","",IF(LEN(INDEX(Stories!$B$4:$B$357,O5))&gt;120,LEFT(INDEX(Stories!$B$4:$B$357,O5),118)&amp;"…",INDEX(Stories!$B$4:$B$357,O5)&amp;"")&amp;IF(INDEX(Stories!$L$4:$L$357,O5)&amp;""&lt;&gt;""," (Claude's translation)",""))</f>
        <v/>
      </c>
    </row>
    <row r="6">
      <c r="A6" s="257" t="inlineStr">
        <is>
          <t>Ground Improvement &amp; Innovation</t>
        </is>
      </c>
      <c r="B6" s="257" t="inlineStr">
        <is>
          <t>Regional insight</t>
        </is>
      </c>
      <c r="E6" s="257" t="inlineStr">
        <is>
          <t>Not used</t>
        </is>
      </c>
      <c r="G6" s="257" t="inlineStr">
        <is>
          <t>Stories in the selection</t>
        </is>
      </c>
      <c r="H6" s="257">
        <f>COUNTIF(Stories!$W$4:$W$357,1)</f>
        <v/>
      </c>
      <c r="J6" s="258" t="n">
        <v>46322</v>
      </c>
      <c r="K6" s="257">
        <f>COUNTIFS(Stories!$W$4:$W$357,1,Stories!$K$4:$K$357,J6)</f>
        <v/>
      </c>
      <c r="M6" s="257" t="n">
        <v>5</v>
      </c>
      <c r="N6" s="259">
        <f>IFERROR(LARGE(Stories!$X$4:$X$357,M6),"")</f>
        <v/>
      </c>
      <c r="O6" s="257">
        <f>IF(N6="","",MATCH(N6,Stories!$X$4:$X$357,0))</f>
        <v/>
      </c>
      <c r="P6" s="257">
        <f>IF(O6="","",INDEX(Stories!$V$4:$V$357,O6)&amp;"")</f>
        <v/>
      </c>
      <c r="Q6" s="257">
        <f>IF(O6="","",IF(LEN(INDEX(Stories!$B$4:$B$357,O6))&gt;120,LEFT(INDEX(Stories!$B$4:$B$357,O6),118)&amp;"…",INDEX(Stories!$B$4:$B$357,O6)&amp;"")&amp;IF(INDEX(Stories!$L$4:$L$357,O6)&amp;""&lt;&gt;""," (Claude's translation)",""))</f>
        <v/>
      </c>
    </row>
    <row r="7">
      <c r="A7" s="257" t="inlineStr">
        <is>
          <t>Infrastructure &amp; the Underground City</t>
        </is>
      </c>
      <c r="B7" s="257" t="inlineStr">
        <is>
          <t>Watch only</t>
        </is>
      </c>
      <c r="J7" s="258" t="n">
        <v>46321</v>
      </c>
      <c r="K7" s="257">
        <f>COUNTIFS(Stories!$W$4:$W$357,1,Stories!$K$4:$K$357,J7)</f>
        <v/>
      </c>
      <c r="M7" s="257" t="n">
        <v>6</v>
      </c>
      <c r="N7" s="259">
        <f>IFERROR(LARGE(Stories!$X$4:$X$357,M7),"")</f>
        <v/>
      </c>
      <c r="O7" s="257">
        <f>IF(N7="","",MATCH(N7,Stories!$X$4:$X$357,0))</f>
        <v/>
      </c>
      <c r="P7" s="257">
        <f>IF(O7="","",INDEX(Stories!$V$4:$V$357,O7)&amp;"")</f>
        <v/>
      </c>
      <c r="Q7" s="257">
        <f>IF(O7="","",IF(LEN(INDEX(Stories!$B$4:$B$357,O7))&gt;120,LEFT(INDEX(Stories!$B$4:$B$357,O7),118)&amp;"…",INDEX(Stories!$B$4:$B$357,O7)&amp;"")&amp;IF(INDEX(Stories!$L$4:$L$357,O7)&amp;""&lt;&gt;""," (Claude's translation)",""))</f>
        <v/>
      </c>
    </row>
    <row r="8">
      <c r="A8" s="257" t="inlineStr">
        <is>
          <t>Offshore, Coasts &amp; Water</t>
        </is>
      </c>
      <c r="J8" s="258" t="n">
        <v>46320</v>
      </c>
      <c r="K8" s="257">
        <f>COUNTIFS(Stories!$W$4:$W$357,1,Stories!$K$4:$K$357,J8)</f>
        <v/>
      </c>
      <c r="M8" s="257" t="n">
        <v>7</v>
      </c>
      <c r="N8" s="259">
        <f>IFERROR(LARGE(Stories!$X$4:$X$357,M8),"")</f>
        <v/>
      </c>
      <c r="O8" s="257">
        <f>IF(N8="","",MATCH(N8,Stories!$X$4:$X$357,0))</f>
        <v/>
      </c>
      <c r="P8" s="257">
        <f>IF(O8="","",INDEX(Stories!$V$4:$V$357,O8)&amp;"")</f>
        <v/>
      </c>
      <c r="Q8" s="257">
        <f>IF(O8="","",IF(LEN(INDEX(Stories!$B$4:$B$357,O8))&gt;120,LEFT(INDEX(Stories!$B$4:$B$357,O8),118)&amp;"…",INDEX(Stories!$B$4:$B$357,O8)&amp;"")&amp;IF(INDEX(Stories!$L$4:$L$357,O8)&amp;""&lt;&gt;""," (Claude's translation)",""))</f>
        <v/>
      </c>
    </row>
    <row r="9">
      <c r="A9" s="257" t="inlineStr">
        <is>
          <t>Characterisation &amp; Modelling</t>
        </is>
      </c>
      <c r="J9" s="258" t="n">
        <v>46319</v>
      </c>
      <c r="K9" s="257">
        <f>COUNTIFS(Stories!$W$4:$W$357,1,Stories!$K$4:$K$357,J9)</f>
        <v/>
      </c>
      <c r="M9" s="257" t="n">
        <v>8</v>
      </c>
      <c r="N9" s="259">
        <f>IFERROR(LARGE(Stories!$X$4:$X$357,M9),"")</f>
        <v/>
      </c>
      <c r="O9" s="257">
        <f>IF(N9="","",MATCH(N9,Stories!$X$4:$X$357,0))</f>
        <v/>
      </c>
      <c r="P9" s="257">
        <f>IF(O9="","",INDEX(Stories!$V$4:$V$357,O9)&amp;"")</f>
        <v/>
      </c>
      <c r="Q9" s="257">
        <f>IF(O9="","",IF(LEN(INDEX(Stories!$B$4:$B$357,O9))&gt;120,LEFT(INDEX(Stories!$B$4:$B$357,O9),118)&amp;"…",INDEX(Stories!$B$4:$B$357,O9)&amp;"")&amp;IF(INDEX(Stories!$L$4:$L$357,O9)&amp;""&lt;&gt;""," (Claude's translation)",""))</f>
        <v/>
      </c>
    </row>
    <row r="10">
      <c r="A10" s="257" t="inlineStr">
        <is>
          <t>Geotechnics &amp; Society</t>
        </is>
      </c>
      <c r="M10" s="257" t="n">
        <v>9</v>
      </c>
      <c r="N10" s="259">
        <f>IFERROR(LARGE(Stories!$X$4:$X$357,M10),"")</f>
        <v/>
      </c>
      <c r="O10" s="257">
        <f>IF(N10="","",MATCH(N10,Stories!$X$4:$X$357,0))</f>
        <v/>
      </c>
      <c r="P10" s="257">
        <f>IF(O10="","",INDEX(Stories!$V$4:$V$357,O10)&amp;"")</f>
        <v/>
      </c>
      <c r="Q10" s="257">
        <f>IF(O10="","",IF(LEN(INDEX(Stories!$B$4:$B$357,O10))&gt;120,LEFT(INDEX(Stories!$B$4:$B$357,O10),118)&amp;"…",INDEX(Stories!$B$4:$B$357,O10)&amp;"")&amp;IF(INDEX(Stories!$L$4:$L$357,O10)&amp;""&lt;&gt;""," (Claude's translation)",""))</f>
        <v/>
      </c>
    </row>
    <row r="11">
      <c r="A11" s="257" t="inlineStr">
        <is>
          <t>General</t>
        </is>
      </c>
      <c r="M11" s="257" t="n">
        <v>10</v>
      </c>
      <c r="N11" s="259">
        <f>IFERROR(LARGE(Stories!$X$4:$X$357,M11),"")</f>
        <v/>
      </c>
      <c r="O11" s="257">
        <f>IF(N11="","",MATCH(N11,Stories!$X$4:$X$357,0))</f>
        <v/>
      </c>
      <c r="P11" s="257">
        <f>IF(O11="","",INDEX(Stories!$V$4:$V$357,O11)&amp;"")</f>
        <v/>
      </c>
      <c r="Q11" s="257">
        <f>IF(O11="","",IF(LEN(INDEX(Stories!$B$4:$B$357,O11))&gt;120,LEFT(INDEX(Stories!$B$4:$B$357,O11),118)&amp;"…",INDEX(Stories!$B$4:$B$357,O11)&amp;"")&amp;IF(INDEX(Stories!$L$4:$L$357,O11)&amp;""&lt;&gt;"","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2026-10-31T09:11:25Z</dcterms:created>
  <dcterms:modified xmlns:dcterms="http://purl.org/dc/terms/" xmlns:xsi="http://www.w3.org/2001/XMLSchema-instance" xsi:type="dcterms:W3CDTF">2026-10-31T09:11:26Z</dcterms:modified>
</cp:coreProperties>
</file>