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shboard" sheetId="2" state="visible" r:id="rId2"/>
    <sheet xmlns:r="http://schemas.openxmlformats.org/officeDocument/2006/relationships" name="Stories" sheetId="3" state="visible" r:id="rId3"/>
    <sheet xmlns:r="http://schemas.openxmlformats.org/officeDocument/2006/relationships" name="By theme" sheetId="4" state="visible" r:id="rId4"/>
    <sheet xmlns:r="http://schemas.openxmlformats.org/officeDocument/2006/relationships" name="Research" sheetId="5" state="visible" r:id="rId5"/>
    <sheet xmlns:r="http://schemas.openxmlformats.org/officeDocument/2006/relationships" name="Events" sheetId="6" state="visible" r:id="rId6"/>
    <sheet xmlns:r="http://schemas.openxmlformats.org/officeDocument/2006/relationships" name="Sources" sheetId="7" state="visible" r:id="rId7"/>
    <sheet xmlns:r="http://schemas.openxmlformats.org/officeDocument/2006/relationships" name="Lists" sheetId="8" state="hidden" r:id="rId8"/>
  </sheets>
  <definedNames>
    <definedName name="_xlnm.Print_Titles" localSheetId="0">'Start here'!$1:$3</definedName>
    <definedName name="_xlnm.Print_Titles" localSheetId="1">'Dashboard'!$1:$6</definedName>
    <definedName name="_xlnm.Print_Titles" localSheetId="2">'Stories'!$3:$3</definedName>
    <definedName name="_xlnm.Print_Area" localSheetId="2">'Stories'!$A$1:$K$153</definedName>
    <definedName name="_xlnm.Print_Titles" localSheetId="3">'By theme'!$1:$2</definedName>
    <definedName name="_xlnm.Print_Titles" localSheetId="4">'Research'!$3:$3</definedName>
    <definedName name="_xlnm.Print_Area" localSheetId="4">'Research'!$A$1:$K$34</definedName>
    <definedName name="_xlnm.Print_Titles" localSheetId="5">'Events'!$1:$2</definedName>
    <definedName name="_xlnm.Print_Titles" localSheetId="6">'Sources'!$3:$3</definedName>
    <definedName name="_xlnm.Print_Titles" localSheetId="7">'Lists'!$1:$1</definedName>
  </definedNames>
  <calcPr calcId="124519" fullCalcOnLoad="1"/>
</workbook>
</file>

<file path=xl/styles.xml><?xml version="1.0" encoding="utf-8"?>
<styleSheet xmlns="http://schemas.openxmlformats.org/spreadsheetml/2006/main">
  <numFmts count="7">
    <numFmt numFmtId="164" formatCode="0;-0;&quot;–&quot;"/>
    <numFmt numFmtId="165" formatCode="yyyy-mm-dd"/>
    <numFmt numFmtId="166" formatCode="dd mmm yyyy"/>
    <numFmt numFmtId="167" formatCode="&quot;✓&quot;;&quot;&quot;;&quot;&quot;"/>
    <numFmt numFmtId="168" formatCode="0.0"/>
    <numFmt numFmtId="169" formatCode="0;&quot;passed&quot;;&quot;today&quot;"/>
    <numFmt numFmtId="170" formatCode="dd mmm yy;;"/>
  </numFmts>
  <fonts count="76">
    <font>
      <name val="Calibri"/>
      <family val="2"/>
      <color theme="1"/>
      <sz val="11"/>
      <scheme val="minor"/>
    </font>
    <font>
      <name val="Arial"/>
      <b val="1"/>
      <color rgb="0016324F"/>
      <sz val="14"/>
    </font>
    <font>
      <name val="Arial"/>
      <b val="1"/>
      <color rgb="001D5A8A"/>
      <sz val="9"/>
      <u val="single"/>
    </font>
    <font>
      <name val="Arial"/>
      <i val="1"/>
      <color rgb="005B6573"/>
      <sz val="9"/>
    </font>
    <font>
      <name val="Arial"/>
      <b val="1"/>
      <color rgb="00FFFFFF"/>
      <sz val="10"/>
    </font>
    <font>
      <name val="Arial"/>
      <b val="1"/>
      <color rgb="0016324F"/>
      <sz val="10"/>
    </font>
    <font>
      <name val="Arial"/>
      <color rgb="005B6573"/>
      <sz val="9"/>
    </font>
    <font>
      <name val="Arial"/>
      <b val="1"/>
      <color rgb="001D5A8A"/>
      <sz val="10"/>
      <u val="single"/>
    </font>
    <font>
      <name val="Arial"/>
      <b val="1"/>
      <color rgb="00E04F2C"/>
      <sz val="9"/>
    </font>
    <font>
      <name val="Arial"/>
      <b val="1"/>
      <color rgb="001B2430"/>
      <sz val="10"/>
    </font>
    <font>
      <name val="Arial"/>
      <b val="1"/>
      <color rgb="00D38B00"/>
      <sz val="9"/>
    </font>
    <font>
      <name val="Arial"/>
      <color rgb="001B2430"/>
      <sz val="10"/>
    </font>
    <font>
      <name val="Arial"/>
      <color rgb="001B2430"/>
      <sz val="9"/>
    </font>
    <font>
      <name val="Arial"/>
      <color rgb="005B6573"/>
      <sz val="8"/>
    </font>
    <font>
      <name val="Arial"/>
      <b val="1"/>
      <color rgb="001E7B4F"/>
      <sz val="10"/>
    </font>
    <font>
      <name val="Arial"/>
      <b val="1"/>
      <color rgb="008A94A3"/>
      <sz val="9"/>
    </font>
    <font>
      <name val="Arial"/>
      <b val="1"/>
      <color rgb="001F9D63"/>
      <sz val="9"/>
    </font>
    <font>
      <name val="Arial"/>
      <b val="1"/>
      <color rgb="002563D6"/>
      <sz val="9"/>
    </font>
    <font>
      <name val="Arial"/>
      <b val="1"/>
      <color rgb="000B97A5"/>
      <sz val="9"/>
    </font>
    <font>
      <name val="Arial"/>
      <b val="1"/>
      <color rgb="006B4FD6"/>
      <sz val="9"/>
    </font>
    <font>
      <name val="Arial"/>
      <b val="1"/>
      <color rgb="008A5A2B"/>
      <sz val="9"/>
    </font>
    <font>
      <name val="Arial"/>
      <b val="1"/>
      <color rgb="00C23D7B"/>
      <sz val="9"/>
    </font>
    <font>
      <name val="Arial"/>
      <b val="1"/>
      <color rgb="00E04F2C"/>
      <sz val="10"/>
    </font>
    <font>
      <name val="Arial"/>
      <b val="1"/>
      <color rgb="000B97A5"/>
      <sz val="10"/>
    </font>
    <font>
      <name val="Arial"/>
      <b val="1"/>
      <color rgb="002563D6"/>
      <sz val="10"/>
    </font>
    <font>
      <name val="Arial"/>
      <b val="1"/>
      <color rgb="001F9D63"/>
      <sz val="10"/>
    </font>
    <font>
      <name val="Arial"/>
      <b val="1"/>
      <color rgb="006B4FD6"/>
      <sz val="10"/>
    </font>
    <font>
      <name val="Arial"/>
      <b val="1"/>
      <color rgb="008A5A2B"/>
      <sz val="10"/>
    </font>
    <font>
      <name val="Arial"/>
      <b val="1"/>
      <color rgb="00C23D7B"/>
      <sz val="10"/>
    </font>
    <font>
      <name val="Arial"/>
      <b val="1"/>
      <color rgb="00D38B00"/>
      <sz val="10"/>
    </font>
    <font>
      <name val="Arial"/>
      <b val="1"/>
      <color rgb="0016324F"/>
      <sz val="12"/>
    </font>
    <font>
      <name val="Arial"/>
      <b val="1"/>
      <color rgb="00FFFFFF"/>
      <sz val="9"/>
    </font>
    <font>
      <name val="Arial"/>
      <b val="1"/>
      <color rgb="00B4321B"/>
      <sz val="10"/>
    </font>
    <font>
      <name val="Arial"/>
      <b val="1"/>
      <color rgb="000A6D78"/>
      <sz val="9"/>
    </font>
    <font>
      <name val="Arial"/>
      <color rgb="001D5A8A"/>
      <sz val="9"/>
      <u val="single"/>
    </font>
    <font>
      <name val="Arial"/>
      <b val="1"/>
      <color rgb="00C9A227"/>
      <sz val="9"/>
    </font>
    <font>
      <name val="Arial"/>
      <b val="1"/>
      <color rgb="0036506C"/>
      <sz val="9"/>
    </font>
    <font>
      <name val="Arial"/>
      <b val="1"/>
      <color rgb="005137B0"/>
      <sz val="9"/>
    </font>
    <font>
      <name val="Arial"/>
      <b val="1"/>
      <color rgb="007D5A0C"/>
      <sz val="9"/>
    </font>
    <font>
      <name val="Arial"/>
      <b val="1"/>
      <color rgb="00FFFFFF"/>
      <sz val="12"/>
    </font>
    <font>
      <name val="Arial"/>
      <b val="1"/>
      <color rgb="00FFFFFF"/>
      <sz val="18"/>
    </font>
    <font>
      <name val="Arial"/>
      <i val="1"/>
      <color rgb="00FFFFFF"/>
      <sz val="10"/>
    </font>
    <font>
      <name val="Arial"/>
      <b val="1"/>
      <color rgb="005B6573"/>
      <sz val="8"/>
    </font>
    <font>
      <name val="Arial"/>
      <b val="1"/>
      <color rgb="0016324F"/>
      <sz val="11"/>
    </font>
    <font>
      <name val="Arial"/>
      <i val="1"/>
      <color rgb="005B6573"/>
      <sz val="8"/>
    </font>
    <font>
      <name val="Arial"/>
      <b val="1"/>
      <color rgb="00FFFFFF"/>
      <sz val="22"/>
    </font>
    <font>
      <name val="Arial"/>
      <b val="1"/>
      <color rgb="0016324F"/>
      <sz val="8"/>
    </font>
    <font>
      <name val="Arial"/>
      <b val="1"/>
      <color rgb="000B97A5"/>
      <sz val="8"/>
    </font>
    <font>
      <name val="Arial"/>
      <b val="1"/>
      <color rgb="001E7B4F"/>
      <sz val="8"/>
    </font>
    <font>
      <name val="Arial"/>
      <b val="1"/>
      <color rgb="00D38B00"/>
      <sz val="8"/>
    </font>
    <font>
      <name val="Arial"/>
      <b val="1"/>
      <color rgb="006B4FD6"/>
      <sz val="8"/>
    </font>
    <font>
      <name val="Arial"/>
      <b val="1"/>
      <color rgb="002563D6"/>
      <sz val="8"/>
    </font>
    <font>
      <name val="Arial"/>
      <b val="1"/>
      <color rgb="00C9A227"/>
      <sz val="12"/>
    </font>
    <font>
      <name val="Arial"/>
      <b val="1"/>
      <color rgb="005B6573"/>
      <sz val="10"/>
    </font>
    <font>
      <name val="Arial"/>
      <b val="1"/>
      <color rgb="001B2430"/>
      <sz val="9"/>
    </font>
    <font>
      <name val="Arial"/>
      <color rgb="001B2430"/>
      <sz val="8"/>
    </font>
    <font>
      <name val="Arial"/>
      <b val="1"/>
      <color rgb="0064748B"/>
      <sz val="10"/>
    </font>
    <font>
      <name val="Arial"/>
      <b val="1"/>
      <color rgb="008A94A3"/>
      <sz val="10"/>
    </font>
    <font>
      <name val="Arial"/>
      <b val="1"/>
      <color rgb="004DA06E"/>
      <sz val="10"/>
    </font>
    <font>
      <name val="Arial"/>
      <b val="1"/>
      <color rgb="00D9A21B"/>
      <sz val="10"/>
    </font>
    <font>
      <name val="Arial"/>
      <b val="1"/>
      <color rgb="004A5563"/>
      <sz val="10"/>
    </font>
    <font>
      <name val="Arial"/>
      <b val="1"/>
      <color rgb="001D4FB8"/>
      <sz val="10"/>
    </font>
    <font>
      <name val="Arial"/>
      <b val="1"/>
      <color rgb="008A5300"/>
      <sz val="10"/>
    </font>
    <font>
      <name val="Arial"/>
      <b val="1"/>
      <color rgb="0017663F"/>
      <sz val="10"/>
    </font>
    <font>
      <name val="Arial"/>
      <b val="1"/>
      <color rgb="007A8491"/>
      <sz val="10"/>
    </font>
    <font>
      <name val="Arial"/>
      <color rgb="005B6573"/>
      <sz val="10"/>
    </font>
    <font>
      <name val="Arial"/>
      <color rgb="001B2430"/>
      <sz val="11"/>
    </font>
    <font>
      <name val="Arial"/>
      <b val="1"/>
      <color rgb="008A6410"/>
      <sz val="10"/>
    </font>
    <font>
      <name val="Arial"/>
      <b val="1"/>
      <color rgb="001F9D63"/>
      <sz val="10"/>
      <u val="single"/>
    </font>
    <font>
      <name val="Arial"/>
      <b val="1"/>
      <color rgb="006B4FD6"/>
      <sz val="10"/>
      <u val="single"/>
    </font>
    <font>
      <name val="Arial"/>
      <b val="1"/>
      <color rgb="00E04F2C"/>
      <sz val="10"/>
      <u val="single"/>
    </font>
    <font>
      <name val="Arial"/>
      <b val="1"/>
      <color rgb="00D38B00"/>
      <sz val="10"/>
      <u val="single"/>
    </font>
    <font>
      <name val="Arial"/>
      <b val="1"/>
      <color rgb="002563D6"/>
      <sz val="10"/>
      <u val="single"/>
    </font>
    <font>
      <name val="Arial"/>
      <b val="1"/>
      <color rgb="000B97A5"/>
      <sz val="10"/>
      <u val="single"/>
    </font>
    <font>
      <name val="Arial"/>
      <b val="1"/>
      <color rgb="00C23D7B"/>
      <sz val="10"/>
      <u val="single"/>
    </font>
    <font>
      <name val="Arial"/>
      <b val="1"/>
      <color rgb="008A5A2B"/>
      <sz val="10"/>
      <u val="single"/>
    </font>
  </fonts>
  <fills count="47">
    <fill>
      <patternFill/>
    </fill>
    <fill>
      <patternFill patternType="gray125"/>
    </fill>
    <fill>
      <patternFill patternType="solid">
        <fgColor rgb="0016324F"/>
        <bgColor rgb="0016324F"/>
      </patternFill>
    </fill>
    <fill>
      <patternFill patternType="solid">
        <fgColor rgb="00C9A227"/>
        <bgColor rgb="00C9A227"/>
      </patternFill>
    </fill>
    <fill>
      <patternFill patternType="solid">
        <fgColor rgb="00FAE5DF"/>
        <bgColor rgb="00FAE5DF"/>
      </patternFill>
    </fill>
    <fill>
      <patternFill patternType="solid">
        <fgColor rgb="00FFFBEF"/>
        <bgColor rgb="00FFFBEF"/>
      </patternFill>
    </fill>
    <fill>
      <patternFill patternType="solid">
        <fgColor rgb="00DDF0E8"/>
        <bgColor rgb="00DDF0E8"/>
      </patternFill>
    </fill>
    <fill>
      <patternFill patternType="solid">
        <fgColor rgb="00DEE8F9"/>
        <bgColor rgb="00DEE8F9"/>
      </patternFill>
    </fill>
    <fill>
      <patternFill patternType="solid">
        <fgColor rgb="00DAEFF2"/>
        <bgColor rgb="00DAEFF2"/>
      </patternFill>
    </fill>
    <fill>
      <patternFill patternType="solid">
        <fgColor rgb="00E9E5F9"/>
        <bgColor rgb="00E9E5F9"/>
      </patternFill>
    </fill>
    <fill>
      <patternFill patternType="solid">
        <fgColor rgb="00EDE6DF"/>
        <bgColor rgb="00EDE6DF"/>
      </patternFill>
    </fill>
    <fill>
      <patternFill patternType="solid">
        <fgColor rgb="00F6E2EB"/>
        <bgColor rgb="00F6E2EB"/>
      </patternFill>
    </fill>
    <fill>
      <patternFill patternType="solid">
        <fgColor rgb="00F8EED9"/>
        <bgColor rgb="00F8EED9"/>
      </patternFill>
    </fill>
    <fill>
      <patternFill patternType="solid">
        <fgColor rgb="001F9D63"/>
        <bgColor rgb="001F9D63"/>
      </patternFill>
    </fill>
    <fill>
      <patternFill patternType="solid">
        <fgColor rgb="00E0F1E9"/>
        <bgColor rgb="00E0F1E9"/>
      </patternFill>
    </fill>
    <fill>
      <patternFill patternType="solid">
        <fgColor rgb="006B4FD6"/>
        <bgColor rgb="006B4FD6"/>
      </patternFill>
    </fill>
    <fill>
      <patternFill patternType="solid">
        <fgColor rgb="00EAE6F9"/>
        <bgColor rgb="00EAE6F9"/>
      </patternFill>
    </fill>
    <fill>
      <patternFill patternType="solid">
        <fgColor rgb="00E04F2C"/>
        <bgColor rgb="00E04F2C"/>
      </patternFill>
    </fill>
    <fill>
      <patternFill patternType="solid">
        <fgColor rgb="00FBE6E1"/>
        <bgColor rgb="00FBE6E1"/>
      </patternFill>
    </fill>
    <fill>
      <patternFill patternType="solid">
        <fgColor rgb="00D38B00"/>
        <bgColor rgb="00D38B00"/>
      </patternFill>
    </fill>
    <fill>
      <patternFill patternType="solid">
        <fgColor rgb="00F9EFDB"/>
        <bgColor rgb="00F9EFDB"/>
      </patternFill>
    </fill>
    <fill>
      <patternFill patternType="solid">
        <fgColor rgb="002563D6"/>
        <bgColor rgb="002563D6"/>
      </patternFill>
    </fill>
    <fill>
      <patternFill patternType="solid">
        <fgColor rgb="00E0E9F9"/>
        <bgColor rgb="00E0E9F9"/>
      </patternFill>
    </fill>
    <fill>
      <patternFill patternType="solid">
        <fgColor rgb="000B97A5"/>
        <bgColor rgb="000B97A5"/>
      </patternFill>
    </fill>
    <fill>
      <patternFill patternType="solid">
        <fgColor rgb="00DDF0F2"/>
        <bgColor rgb="00DDF0F2"/>
      </patternFill>
    </fill>
    <fill>
      <patternFill patternType="solid">
        <fgColor rgb="00C23D7B"/>
        <bgColor rgb="00C23D7B"/>
      </patternFill>
    </fill>
    <fill>
      <patternFill patternType="solid">
        <fgColor rgb="00F6E4ED"/>
        <bgColor rgb="00F6E4ED"/>
      </patternFill>
    </fill>
    <fill>
      <patternFill patternType="solid">
        <fgColor rgb="008A5A2B"/>
        <bgColor rgb="008A5A2B"/>
      </patternFill>
    </fill>
    <fill>
      <patternFill patternType="solid">
        <fgColor rgb="00EFE8E1"/>
        <bgColor rgb="00EFE8E1"/>
      </patternFill>
    </fill>
    <fill>
      <patternFill patternType="solid">
        <fgColor rgb="0023466B"/>
        <bgColor rgb="0023466B"/>
      </patternFill>
    </fill>
    <fill>
      <patternFill patternType="solid">
        <fgColor rgb="00FFF4CC"/>
        <bgColor rgb="00FFF4CC"/>
      </patternFill>
    </fill>
    <fill>
      <patternFill patternType="solid">
        <fgColor rgb="00F4F6F9"/>
        <bgColor rgb="00F4F6F9"/>
      </patternFill>
    </fill>
    <fill>
      <patternFill patternType="solid">
        <fgColor rgb="00DEE2E6"/>
        <bgColor rgb="00DEE2E6"/>
      </patternFill>
    </fill>
    <fill>
      <patternFill patternType="solid">
        <fgColor rgb="001E7B4F"/>
        <bgColor rgb="001E7B4F"/>
      </patternFill>
    </fill>
    <fill>
      <patternFill patternType="solid">
        <fgColor rgb="00E0EDE6"/>
        <bgColor rgb="00E0EDE6"/>
      </patternFill>
    </fill>
    <fill>
      <patternFill patternType="solid">
        <fgColor rgb="00FFFFFF"/>
        <bgColor rgb="00FFFFFF"/>
      </patternFill>
    </fill>
    <fill>
      <patternFill patternType="solid">
        <fgColor rgb="00E9ECEF"/>
        <bgColor rgb="00E9ECEF"/>
      </patternFill>
    </fill>
    <fill>
      <patternFill patternType="solid">
        <fgColor rgb="00ECEFF3"/>
        <bgColor rgb="00ECEFF3"/>
      </patternFill>
    </fill>
    <fill>
      <patternFill patternType="solid">
        <fgColor rgb="00DCE7FB"/>
        <bgColor rgb="00DCE7FB"/>
      </patternFill>
    </fill>
    <fill>
      <patternFill patternType="solid">
        <fgColor rgb="00FBE6C2"/>
        <bgColor rgb="00FBE6C2"/>
      </patternFill>
    </fill>
    <fill>
      <patternFill patternType="solid">
        <fgColor rgb="00D3EDDF"/>
        <bgColor rgb="00D3EDDF"/>
      </patternFill>
    </fill>
    <fill>
      <patternFill patternType="solid">
        <fgColor rgb="00F1F2F4"/>
        <bgColor rgb="00F1F2F4"/>
      </patternFill>
    </fill>
    <fill>
      <patternFill patternType="solid">
        <fgColor rgb="004DA06E"/>
        <bgColor rgb="004DA06E"/>
      </patternFill>
    </fill>
    <fill>
      <patternFill patternType="solid">
        <fgColor rgb="00D9A21B"/>
        <bgColor rgb="00D9A21B"/>
      </patternFill>
    </fill>
    <fill>
      <patternFill patternType="solid">
        <fgColor rgb="00A3ADB8"/>
        <bgColor rgb="00A3ADB8"/>
      </patternFill>
    </fill>
    <fill>
      <patternFill patternType="solid">
        <fgColor rgb="00C9CED6"/>
        <bgColor rgb="00C9CED6"/>
      </patternFill>
    </fill>
    <fill>
      <patternFill patternType="solid">
        <fgColor rgb="00B8C0CA"/>
        <bgColor rgb="00B8C0CA"/>
      </patternFill>
    </fill>
  </fills>
  <borders count="25">
    <border>
      <left/>
      <right/>
      <top/>
      <bottom/>
      <diagonal/>
    </border>
    <border>
      <bottom style="medium">
        <color rgb="00C9A227"/>
      </bottom>
    </border>
    <border>
      <bottom style="thin">
        <color rgb="001F9D63"/>
      </bottom>
    </border>
    <border>
      <bottom style="thin">
        <color rgb="00D9DEE3"/>
      </bottom>
    </border>
    <border>
      <bottom style="thin">
        <color rgb="006B4FD6"/>
      </bottom>
    </border>
    <border>
      <bottom style="thin">
        <color rgb="00E04F2C"/>
      </bottom>
    </border>
    <border>
      <bottom style="thin">
        <color rgb="00D38B00"/>
      </bottom>
    </border>
    <border>
      <bottom style="thin">
        <color rgb="002563D6"/>
      </bottom>
    </border>
    <border>
      <bottom style="thin">
        <color rgb="000B97A5"/>
      </bottom>
    </border>
    <border>
      <bottom style="thin">
        <color rgb="00C23D7B"/>
      </bottom>
    </border>
    <border>
      <bottom style="thin">
        <color rgb="008A5A2B"/>
      </bottom>
    </border>
    <border>
      <left style="medium">
        <color rgb="00C9A227"/>
      </left>
      <top style="medium">
        <color rgb="00C9A227"/>
      </top>
      <bottom style="medium">
        <color rgb="00C9A227"/>
      </bottom>
    </border>
    <border>
      <top style="medium">
        <color rgb="00C9A227"/>
      </top>
      <bottom style="medium">
        <color rgb="00C9A227"/>
      </bottom>
    </border>
    <border>
      <right style="medium">
        <color rgb="00C9A227"/>
      </right>
      <top style="medium">
        <color rgb="00C9A227"/>
      </top>
      <bottom style="medium">
        <color rgb="00C9A227"/>
      </bottom>
    </border>
    <border>
      <left style="thick">
        <color rgb="00FFFFFF"/>
      </left>
      <right style="thick">
        <color rgb="00FFFFFF"/>
      </right>
    </border>
    <border>
      <left style="thick">
        <color rgb="001F9D63"/>
      </left>
      <bottom style="thin">
        <color rgb="00D9DEE3"/>
      </bottom>
    </border>
    <border>
      <left style="thick">
        <color rgb="006B4FD6"/>
      </left>
      <bottom style="thin">
        <color rgb="00D9DEE3"/>
      </bottom>
    </border>
    <border>
      <left style="thick">
        <color rgb="00E04F2C"/>
      </left>
      <bottom style="thin">
        <color rgb="00D9DEE3"/>
      </bottom>
    </border>
    <border>
      <left style="thick">
        <color rgb="00D38B00"/>
      </left>
      <bottom style="thin">
        <color rgb="00D9DEE3"/>
      </bottom>
    </border>
    <border>
      <left style="thick">
        <color rgb="002563D6"/>
      </left>
      <bottom style="thin">
        <color rgb="00D9DEE3"/>
      </bottom>
    </border>
    <border>
      <left style="thick">
        <color rgb="000B97A5"/>
      </left>
      <bottom style="thin">
        <color rgb="00D9DEE3"/>
      </bottom>
    </border>
    <border>
      <left style="thick">
        <color rgb="00C23D7B"/>
      </left>
      <bottom style="thin">
        <color rgb="00D9DEE3"/>
      </bottom>
    </border>
    <border>
      <left style="thick">
        <color rgb="008A5A2B"/>
      </left>
      <bottom style="thin">
        <color rgb="00D9DEE3"/>
      </bottom>
    </border>
    <border>
      <left style="thick">
        <color rgb="0064748B"/>
      </left>
      <bottom style="thin">
        <color rgb="00D9DEE3"/>
      </bottom>
    </border>
    <border>
      <right style="thin">
        <color rgb="00FFFFFF"/>
      </right>
      <bottom style="thin">
        <color rgb="00D9DEE3"/>
      </bottom>
    </border>
  </borders>
  <cellStyleXfs count="1">
    <xf numFmtId="0" fontId="0" fillId="0" borderId="0"/>
  </cellStyleXfs>
  <cellXfs count="259">
    <xf numFmtId="0" fontId="0" fillId="0" borderId="0" pivotButton="0" quotePrefix="0" xfId="0"/>
    <xf numFmtId="0" fontId="0" fillId="2" borderId="0" pivotButton="0" quotePrefix="0" xfId="0"/>
    <xf numFmtId="0" fontId="40" fillId="2" borderId="0" applyAlignment="1" pivotButton="0" quotePrefix="0" xfId="0">
      <alignment vertical="center"/>
    </xf>
    <xf numFmtId="0" fontId="0" fillId="29" borderId="0" pivotButton="0" quotePrefix="0" xfId="0"/>
    <xf numFmtId="0" fontId="41" fillId="29" borderId="0" applyAlignment="1" pivotButton="0" quotePrefix="0" xfId="0">
      <alignment vertical="center"/>
    </xf>
    <xf numFmtId="0" fontId="0" fillId="3" borderId="0" pivotButton="0" quotePrefix="0" xfId="0"/>
    <xf numFmtId="0" fontId="66" fillId="0" borderId="0" applyAlignment="1" pivotButton="0" quotePrefix="0" xfId="0">
      <alignment vertical="center" wrapText="1"/>
    </xf>
    <xf numFmtId="0" fontId="30" fillId="0" borderId="1" applyAlignment="1" pivotButton="0" quotePrefix="0" xfId="0">
      <alignment vertical="bottom"/>
    </xf>
    <xf numFmtId="0" fontId="0" fillId="0" borderId="1" pivotButton="0" quotePrefix="0" xfId="0"/>
    <xf numFmtId="0" fontId="7" fillId="0" borderId="3" applyAlignment="1" pivotButton="0" quotePrefix="0" xfId="0">
      <alignment horizontal="left" vertical="top"/>
    </xf>
    <xf numFmtId="0" fontId="11" fillId="0" borderId="3" applyAlignment="1" pivotButton="0" quotePrefix="0" xfId="0">
      <alignment vertical="top" wrapText="1"/>
    </xf>
    <xf numFmtId="0" fontId="0" fillId="0" borderId="3" pivotButton="0" quotePrefix="0" xfId="0"/>
    <xf numFmtId="0" fontId="67" fillId="0" borderId="3" applyAlignment="1" pivotButton="0" quotePrefix="0" xfId="0">
      <alignment horizontal="center" vertical="top"/>
    </xf>
    <xf numFmtId="0" fontId="5" fillId="0" borderId="3" applyAlignment="1" pivotButton="0" quotePrefix="0" xfId="0">
      <alignment horizontal="center" vertical="top"/>
    </xf>
    <xf numFmtId="0" fontId="60" fillId="37" borderId="3" applyAlignment="1" pivotButton="0" quotePrefix="0" xfId="0">
      <alignment horizontal="center" vertical="top"/>
    </xf>
    <xf numFmtId="0" fontId="61" fillId="38" borderId="3" applyAlignment="1" pivotButton="0" quotePrefix="0" xfId="0">
      <alignment horizontal="center" vertical="top"/>
    </xf>
    <xf numFmtId="0" fontId="62" fillId="39" borderId="3" applyAlignment="1" pivotButton="0" quotePrefix="0" xfId="0">
      <alignment horizontal="center" vertical="top"/>
    </xf>
    <xf numFmtId="0" fontId="63" fillId="40" borderId="3" applyAlignment="1" pivotButton="0" quotePrefix="0" xfId="0">
      <alignment horizontal="center" vertical="top"/>
    </xf>
    <xf numFmtId="0" fontId="64" fillId="41" borderId="3" applyAlignment="1" pivotButton="0" quotePrefix="0" xfId="0">
      <alignment horizontal="center" vertical="top"/>
    </xf>
    <xf numFmtId="0" fontId="4" fillId="33" borderId="3" applyAlignment="1" pivotButton="0" quotePrefix="0" xfId="0">
      <alignment horizontal="center" vertical="top"/>
    </xf>
    <xf numFmtId="0" fontId="4" fillId="42" borderId="3" applyAlignment="1" pivotButton="0" quotePrefix="0" xfId="0">
      <alignment horizontal="center" vertical="top"/>
    </xf>
    <xf numFmtId="0" fontId="4" fillId="43" borderId="3" applyAlignment="1" pivotButton="0" quotePrefix="0" xfId="0">
      <alignment horizontal="center" vertical="top"/>
    </xf>
    <xf numFmtId="0" fontId="9" fillId="44" borderId="3" applyAlignment="1" pivotButton="0" quotePrefix="0" xfId="0">
      <alignment horizontal="center" vertical="top"/>
    </xf>
    <xf numFmtId="0" fontId="9" fillId="45" borderId="3" applyAlignment="1" pivotButton="0" quotePrefix="0" xfId="0">
      <alignment horizontal="center" vertical="top"/>
    </xf>
    <xf numFmtId="0" fontId="9" fillId="46" borderId="3" applyAlignment="1" pivotButton="0" quotePrefix="0" xfId="0">
      <alignment horizontal="center" vertical="top"/>
    </xf>
    <xf numFmtId="0" fontId="68" fillId="14" borderId="3" applyAlignment="1" pivotButton="0" quotePrefix="0" xfId="0">
      <alignment horizontal="left" vertical="top" indent="1"/>
    </xf>
    <xf numFmtId="0" fontId="69" fillId="16" borderId="3" applyAlignment="1" pivotButton="0" quotePrefix="0" xfId="0">
      <alignment horizontal="left" vertical="top" indent="1"/>
    </xf>
    <xf numFmtId="0" fontId="70" fillId="18" borderId="3" applyAlignment="1" pivotButton="0" quotePrefix="0" xfId="0">
      <alignment horizontal="left" vertical="top" indent="1"/>
    </xf>
    <xf numFmtId="0" fontId="71" fillId="20" borderId="3" applyAlignment="1" pivotButton="0" quotePrefix="0" xfId="0">
      <alignment horizontal="left" vertical="top" indent="1"/>
    </xf>
    <xf numFmtId="0" fontId="72" fillId="22" borderId="3" applyAlignment="1" pivotButton="0" quotePrefix="0" xfId="0">
      <alignment horizontal="left" vertical="top" indent="1"/>
    </xf>
    <xf numFmtId="0" fontId="73" fillId="24" borderId="3" applyAlignment="1" pivotButton="0" quotePrefix="0" xfId="0">
      <alignment horizontal="left" vertical="top" indent="1"/>
    </xf>
    <xf numFmtId="0" fontId="74" fillId="26" borderId="3" applyAlignment="1" pivotButton="0" quotePrefix="0" xfId="0">
      <alignment horizontal="left" vertical="top" indent="1"/>
    </xf>
    <xf numFmtId="0" fontId="75" fillId="28" borderId="3" applyAlignment="1" pivotButton="0" quotePrefix="0" xfId="0">
      <alignment horizontal="left" vertical="top" indent="1"/>
    </xf>
    <xf numFmtId="0" fontId="53" fillId="0" borderId="3" applyAlignment="1" pivotButton="0" quotePrefix="0" xfId="0">
      <alignment horizontal="left" vertical="top"/>
    </xf>
    <xf numFmtId="0" fontId="9" fillId="0" borderId="3" applyAlignment="1" pivotButton="0" quotePrefix="0" xfId="0">
      <alignment horizontal="left" vertical="top"/>
    </xf>
    <xf numFmtId="0" fontId="42" fillId="0" borderId="0" applyAlignment="1" pivotButton="0" quotePrefix="0" xfId="0">
      <alignment vertical="bottom"/>
    </xf>
    <xf numFmtId="0" fontId="44" fillId="31" borderId="0" applyAlignment="1" pivotButton="0" quotePrefix="0" xfId="0">
      <alignment vertical="center" wrapText="1" indent="1"/>
    </xf>
    <xf numFmtId="0" fontId="0" fillId="31" borderId="0" pivotButton="0" quotePrefix="0" xfId="0"/>
    <xf numFmtId="0" fontId="43" fillId="30" borderId="11" applyAlignment="1" pivotButton="0" quotePrefix="0" xfId="0">
      <alignment horizontal="left" vertical="center" indent="1"/>
    </xf>
    <xf numFmtId="0" fontId="0" fillId="30" borderId="12" pivotButton="0" quotePrefix="0" xfId="0"/>
    <xf numFmtId="0" fontId="0" fillId="30" borderId="13" pivotButton="0" quotePrefix="0" xfId="0"/>
    <xf numFmtId="0" fontId="3" fillId="0" borderId="0" applyAlignment="1" pivotButton="0" quotePrefix="0" xfId="0">
      <alignment vertical="center"/>
    </xf>
    <xf numFmtId="3" fontId="45" fillId="2" borderId="14" applyAlignment="1" pivotButton="0" quotePrefix="0" xfId="0">
      <alignment horizontal="center" vertical="center"/>
    </xf>
    <xf numFmtId="0" fontId="0" fillId="2" borderId="14" pivotButton="0" quotePrefix="0" xfId="0"/>
    <xf numFmtId="3" fontId="45" fillId="23" borderId="14" applyAlignment="1" pivotButton="0" quotePrefix="0" xfId="0">
      <alignment horizontal="center" vertical="center"/>
    </xf>
    <xf numFmtId="0" fontId="0" fillId="23" borderId="14" pivotButton="0" quotePrefix="0" xfId="0"/>
    <xf numFmtId="3" fontId="45" fillId="33" borderId="14" applyAlignment="1" pivotButton="0" quotePrefix="0" xfId="0">
      <alignment horizontal="center" vertical="center"/>
    </xf>
    <xf numFmtId="0" fontId="0" fillId="33" borderId="14" pivotButton="0" quotePrefix="0" xfId="0"/>
    <xf numFmtId="3" fontId="45" fillId="19" borderId="14" applyAlignment="1" pivotButton="0" quotePrefix="0" xfId="0">
      <alignment horizontal="center" vertical="center"/>
    </xf>
    <xf numFmtId="0" fontId="0" fillId="19" borderId="14" pivotButton="0" quotePrefix="0" xfId="0"/>
    <xf numFmtId="3" fontId="45" fillId="15" borderId="14" applyAlignment="1" pivotButton="0" quotePrefix="0" xfId="0">
      <alignment horizontal="center" vertical="center"/>
    </xf>
    <xf numFmtId="0" fontId="0" fillId="15" borderId="14" pivotButton="0" quotePrefix="0" xfId="0"/>
    <xf numFmtId="3" fontId="45" fillId="21" borderId="14" applyAlignment="1" pivotButton="0" quotePrefix="0" xfId="0">
      <alignment horizontal="center" vertical="center"/>
    </xf>
    <xf numFmtId="0" fontId="0" fillId="21" borderId="14" pivotButton="0" quotePrefix="0" xfId="0"/>
    <xf numFmtId="0" fontId="46" fillId="32" borderId="14" applyAlignment="1" pivotButton="0" quotePrefix="0" xfId="0">
      <alignment horizontal="center" vertical="center"/>
    </xf>
    <xf numFmtId="0" fontId="0" fillId="32" borderId="14" pivotButton="0" quotePrefix="0" xfId="0"/>
    <xf numFmtId="0" fontId="47" fillId="24" borderId="14" applyAlignment="1" pivotButton="0" quotePrefix="0" xfId="0">
      <alignment horizontal="center" vertical="center"/>
    </xf>
    <xf numFmtId="0" fontId="0" fillId="24" borderId="14" pivotButton="0" quotePrefix="0" xfId="0"/>
    <xf numFmtId="0" fontId="48" fillId="34" borderId="14" applyAlignment="1" pivotButton="0" quotePrefix="0" xfId="0">
      <alignment horizontal="center" vertical="center"/>
    </xf>
    <xf numFmtId="0" fontId="0" fillId="34" borderId="14" pivotButton="0" quotePrefix="0" xfId="0"/>
    <xf numFmtId="0" fontId="49" fillId="20" borderId="14" applyAlignment="1" pivotButton="0" quotePrefix="0" xfId="0">
      <alignment horizontal="center" vertical="center"/>
    </xf>
    <xf numFmtId="0" fontId="0" fillId="20" borderId="14" pivotButton="0" quotePrefix="0" xfId="0"/>
    <xf numFmtId="0" fontId="50" fillId="16" borderId="14" applyAlignment="1" pivotButton="0" quotePrefix="0" xfId="0">
      <alignment horizontal="center" vertical="center"/>
    </xf>
    <xf numFmtId="0" fontId="0" fillId="16" borderId="14" pivotButton="0" quotePrefix="0" xfId="0"/>
    <xf numFmtId="0" fontId="51" fillId="22" borderId="14" applyAlignment="1" pivotButton="0" quotePrefix="0" xfId="0">
      <alignment horizontal="center" vertical="center"/>
    </xf>
    <xf numFmtId="0" fontId="0" fillId="22" borderId="14" pivotButton="0" quotePrefix="0" xfId="0"/>
    <xf numFmtId="0" fontId="13" fillId="32" borderId="14" applyAlignment="1" pivotButton="0" quotePrefix="0" xfId="0">
      <alignment horizontal="center" vertical="center"/>
    </xf>
    <xf numFmtId="0" fontId="13" fillId="24" borderId="14" applyAlignment="1" pivotButton="0" quotePrefix="0" xfId="0">
      <alignment horizontal="center" vertical="center"/>
    </xf>
    <xf numFmtId="0" fontId="13" fillId="34" borderId="14" applyAlignment="1" pivotButton="0" quotePrefix="0" xfId="0">
      <alignment horizontal="center" vertical="center"/>
    </xf>
    <xf numFmtId="0" fontId="13" fillId="20" borderId="14" applyAlignment="1" pivotButton="0" quotePrefix="0" xfId="0">
      <alignment horizontal="center" vertical="center"/>
    </xf>
    <xf numFmtId="0" fontId="13" fillId="16" borderId="14" applyAlignment="1" pivotButton="0" quotePrefix="0" xfId="0">
      <alignment horizontal="center" vertical="center"/>
    </xf>
    <xf numFmtId="0" fontId="13" fillId="22" borderId="14" applyAlignment="1" pivotButton="0" quotePrefix="0" xfId="0">
      <alignment horizontal="center" vertical="center"/>
    </xf>
    <xf numFmtId="0" fontId="31" fillId="2" borderId="0" applyAlignment="1" pivotButton="0" quotePrefix="0" xfId="0">
      <alignment horizontal="center" vertical="center" wrapText="1"/>
    </xf>
    <xf numFmtId="0" fontId="31" fillId="2" borderId="0" applyAlignment="1" pivotButton="0" quotePrefix="0" xfId="0">
      <alignment horizontal="left" vertical="center" wrapText="1" indent="1"/>
    </xf>
    <xf numFmtId="0" fontId="52" fillId="35" borderId="3" applyAlignment="1" pivotButton="0" quotePrefix="0" xfId="0">
      <alignment horizontal="center" vertical="center"/>
    </xf>
    <xf numFmtId="0" fontId="53" fillId="35" borderId="3" applyAlignment="1" pivotButton="0" quotePrefix="0" xfId="0">
      <alignment vertical="center" wrapText="1" indent="1"/>
    </xf>
    <xf numFmtId="0" fontId="0" fillId="35" borderId="3" pivotButton="0" quotePrefix="0" xfId="0"/>
    <xf numFmtId="170" fontId="12" fillId="35" borderId="3" applyAlignment="1" pivotButton="0" quotePrefix="0" xfId="0">
      <alignment horizontal="center" vertical="center"/>
    </xf>
    <xf numFmtId="0" fontId="54" fillId="35" borderId="3" applyAlignment="1" pivotButton="0" quotePrefix="0" xfId="0">
      <alignment vertical="center" wrapText="1" indent="1"/>
    </xf>
    <xf numFmtId="164" fontId="9" fillId="35" borderId="3" applyAlignment="1" pivotButton="0" quotePrefix="0" xfId="0">
      <alignment horizontal="center" vertical="center"/>
    </xf>
    <xf numFmtId="0" fontId="12" fillId="35" borderId="3" applyAlignment="1" pivotButton="0" quotePrefix="0" xfId="0">
      <alignment vertical="center" wrapText="1" indent="1"/>
    </xf>
    <xf numFmtId="0" fontId="6" fillId="35" borderId="3" applyAlignment="1" pivotButton="0" quotePrefix="0" xfId="0">
      <alignment horizontal="center" vertical="center"/>
    </xf>
    <xf numFmtId="0" fontId="55" fillId="35" borderId="3" applyAlignment="1" pivotButton="0" quotePrefix="0" xfId="0">
      <alignment horizontal="center" vertical="center"/>
    </xf>
    <xf numFmtId="0" fontId="52" fillId="31" borderId="3" applyAlignment="1" pivotButton="0" quotePrefix="0" xfId="0">
      <alignment horizontal="center" vertical="center"/>
    </xf>
    <xf numFmtId="0" fontId="53" fillId="31" borderId="3" applyAlignment="1" pivotButton="0" quotePrefix="0" xfId="0">
      <alignment vertical="center" wrapText="1" indent="1"/>
    </xf>
    <xf numFmtId="0" fontId="0" fillId="31" borderId="3" pivotButton="0" quotePrefix="0" xfId="0"/>
    <xf numFmtId="170" fontId="12" fillId="31" borderId="3" applyAlignment="1" pivotButton="0" quotePrefix="0" xfId="0">
      <alignment horizontal="center" vertical="center"/>
    </xf>
    <xf numFmtId="0" fontId="54" fillId="31" borderId="3" applyAlignment="1" pivotButton="0" quotePrefix="0" xfId="0">
      <alignment vertical="center" wrapText="1" indent="1"/>
    </xf>
    <xf numFmtId="164" fontId="9" fillId="31" borderId="3" applyAlignment="1" pivotButton="0" quotePrefix="0" xfId="0">
      <alignment horizontal="center" vertical="center"/>
    </xf>
    <xf numFmtId="0" fontId="12" fillId="31" borderId="3" applyAlignment="1" pivotButton="0" quotePrefix="0" xfId="0">
      <alignment vertical="center" wrapText="1" indent="1"/>
    </xf>
    <xf numFmtId="0" fontId="6" fillId="31" borderId="3" applyAlignment="1" pivotButton="0" quotePrefix="0" xfId="0">
      <alignment horizontal="center" vertical="center"/>
    </xf>
    <xf numFmtId="0" fontId="55" fillId="31" borderId="3" applyAlignment="1" pivotButton="0" quotePrefix="0" xfId="0">
      <alignment horizontal="center" vertical="center"/>
    </xf>
    <xf numFmtId="0" fontId="44" fillId="0" borderId="0" applyAlignment="1" pivotButton="0" quotePrefix="0" xfId="0">
      <alignment vertical="center"/>
    </xf>
    <xf numFmtId="0" fontId="25" fillId="14" borderId="15" applyAlignment="1" pivotButton="0" quotePrefix="0" xfId="0">
      <alignment vertical="center" indent="1"/>
    </xf>
    <xf numFmtId="0" fontId="0" fillId="14" borderId="15" pivotButton="0" quotePrefix="0" xfId="0"/>
    <xf numFmtId="0" fontId="9" fillId="0" borderId="3" applyAlignment="1" pivotButton="0" quotePrefix="0" xfId="0">
      <alignment horizontal="center"/>
    </xf>
    <xf numFmtId="0" fontId="11" fillId="0" borderId="3" applyAlignment="1" pivotButton="0" quotePrefix="0" xfId="0">
      <alignment horizontal="center"/>
    </xf>
    <xf numFmtId="9" fontId="6" fillId="0" borderId="3" applyAlignment="1" pivotButton="0" quotePrefix="0" xfId="0">
      <alignment horizontal="center"/>
    </xf>
    <xf numFmtId="0" fontId="26" fillId="16" borderId="16" applyAlignment="1" pivotButton="0" quotePrefix="0" xfId="0">
      <alignment vertical="center" indent="1"/>
    </xf>
    <xf numFmtId="0" fontId="0" fillId="16" borderId="16" pivotButton="0" quotePrefix="0" xfId="0"/>
    <xf numFmtId="0" fontId="22" fillId="18" borderId="17" applyAlignment="1" pivotButton="0" quotePrefix="0" xfId="0">
      <alignment vertical="center" indent="1"/>
    </xf>
    <xf numFmtId="0" fontId="0" fillId="18" borderId="17" pivotButton="0" quotePrefix="0" xfId="0"/>
    <xf numFmtId="0" fontId="29" fillId="20" borderId="18" applyAlignment="1" pivotButton="0" quotePrefix="0" xfId="0">
      <alignment vertical="center" indent="1"/>
    </xf>
    <xf numFmtId="0" fontId="0" fillId="20" borderId="18" pivotButton="0" quotePrefix="0" xfId="0"/>
    <xf numFmtId="0" fontId="24" fillId="22" borderId="19" applyAlignment="1" pivotButton="0" quotePrefix="0" xfId="0">
      <alignment vertical="center" indent="1"/>
    </xf>
    <xf numFmtId="0" fontId="0" fillId="22" borderId="19" pivotButton="0" quotePrefix="0" xfId="0"/>
    <xf numFmtId="0" fontId="23" fillId="24" borderId="20" applyAlignment="1" pivotButton="0" quotePrefix="0" xfId="0">
      <alignment vertical="center" indent="1"/>
    </xf>
    <xf numFmtId="0" fontId="0" fillId="24" borderId="20" pivotButton="0" quotePrefix="0" xfId="0"/>
    <xf numFmtId="0" fontId="28" fillId="26" borderId="21" applyAlignment="1" pivotButton="0" quotePrefix="0" xfId="0">
      <alignment vertical="center" indent="1"/>
    </xf>
    <xf numFmtId="0" fontId="0" fillId="26" borderId="21" pivotButton="0" quotePrefix="0" xfId="0"/>
    <xf numFmtId="0" fontId="27" fillId="28" borderId="22" applyAlignment="1" pivotButton="0" quotePrefix="0" xfId="0">
      <alignment vertical="center" indent="1"/>
    </xf>
    <xf numFmtId="0" fontId="0" fillId="28" borderId="22" pivotButton="0" quotePrefix="0" xfId="0"/>
    <xf numFmtId="0" fontId="56" fillId="36" borderId="23" applyAlignment="1" pivotButton="0" quotePrefix="0" xfId="0">
      <alignment vertical="center" indent="1"/>
    </xf>
    <xf numFmtId="0" fontId="0" fillId="36" borderId="23" pivotButton="0" quotePrefix="0" xfId="0"/>
    <xf numFmtId="0" fontId="29" fillId="0" borderId="3" applyAlignment="1" pivotButton="0" quotePrefix="0" xfId="0">
      <alignment vertical="center" indent="1"/>
    </xf>
    <xf numFmtId="0" fontId="14" fillId="0" borderId="3" applyAlignment="1" pivotButton="0" quotePrefix="0" xfId="0">
      <alignment vertical="center" indent="1"/>
    </xf>
    <xf numFmtId="0" fontId="60" fillId="37" borderId="3" applyAlignment="1" pivotButton="0" quotePrefix="0" xfId="0">
      <alignment vertical="center" indent="1"/>
    </xf>
    <xf numFmtId="0" fontId="0" fillId="37" borderId="3" pivotButton="0" quotePrefix="0" xfId="0"/>
    <xf numFmtId="0" fontId="24" fillId="0" borderId="3" applyAlignment="1" pivotButton="0" quotePrefix="0" xfId="0">
      <alignment vertical="center" indent="1"/>
    </xf>
    <xf numFmtId="0" fontId="58" fillId="0" borderId="3" applyAlignment="1" pivotButton="0" quotePrefix="0" xfId="0">
      <alignment vertical="center" indent="1"/>
    </xf>
    <xf numFmtId="0" fontId="61" fillId="38" borderId="3" applyAlignment="1" pivotButton="0" quotePrefix="0" xfId="0">
      <alignment vertical="center" indent="1"/>
    </xf>
    <xf numFmtId="0" fontId="0" fillId="38" borderId="3" pivotButton="0" quotePrefix="0" xfId="0"/>
    <xf numFmtId="0" fontId="26" fillId="0" borderId="3" applyAlignment="1" pivotButton="0" quotePrefix="0" xfId="0">
      <alignment vertical="center" indent="1"/>
    </xf>
    <xf numFmtId="0" fontId="59" fillId="0" borderId="3" applyAlignment="1" pivotButton="0" quotePrefix="0" xfId="0">
      <alignment vertical="center" indent="1"/>
    </xf>
    <xf numFmtId="0" fontId="62" fillId="39" borderId="3" applyAlignment="1" pivotButton="0" quotePrefix="0" xfId="0">
      <alignment vertical="center" indent="1"/>
    </xf>
    <xf numFmtId="0" fontId="0" fillId="39" borderId="3" pivotButton="0" quotePrefix="0" xfId="0"/>
    <xf numFmtId="0" fontId="25" fillId="0" borderId="3" applyAlignment="1" pivotButton="0" quotePrefix="0" xfId="0">
      <alignment vertical="center" indent="1"/>
    </xf>
    <xf numFmtId="0" fontId="63" fillId="40" borderId="3" applyAlignment="1" pivotButton="0" quotePrefix="0" xfId="0">
      <alignment vertical="center" indent="1"/>
    </xf>
    <xf numFmtId="0" fontId="0" fillId="40" borderId="3" pivotButton="0" quotePrefix="0" xfId="0"/>
    <xf numFmtId="0" fontId="57" fillId="0" borderId="3" applyAlignment="1" pivotButton="0" quotePrefix="0" xfId="0">
      <alignment vertical="center" indent="1"/>
    </xf>
    <xf numFmtId="0" fontId="64" fillId="41" borderId="3" applyAlignment="1" pivotButton="0" quotePrefix="0" xfId="0">
      <alignment vertical="center" indent="1"/>
    </xf>
    <xf numFmtId="0" fontId="0" fillId="41" borderId="3" pivotButton="0" quotePrefix="0" xfId="0"/>
    <xf numFmtId="0" fontId="25" fillId="0" borderId="15" applyAlignment="1" pivotButton="0" quotePrefix="0" xfId="0">
      <alignment vertical="center" indent="1"/>
    </xf>
    <xf numFmtId="0" fontId="0" fillId="0" borderId="15" pivotButton="0" quotePrefix="0" xfId="0"/>
    <xf numFmtId="0" fontId="11" fillId="0" borderId="24" applyAlignment="1" pivotButton="0" quotePrefix="0" xfId="0">
      <alignment horizontal="center"/>
    </xf>
    <xf numFmtId="0" fontId="26" fillId="0" borderId="16" applyAlignment="1" pivotButton="0" quotePrefix="0" xfId="0">
      <alignment vertical="center" indent="1"/>
    </xf>
    <xf numFmtId="0" fontId="0" fillId="0" borderId="16" pivotButton="0" quotePrefix="0" xfId="0"/>
    <xf numFmtId="0" fontId="22" fillId="0" borderId="17" applyAlignment="1" pivotButton="0" quotePrefix="0" xfId="0">
      <alignment vertical="center" indent="1"/>
    </xf>
    <xf numFmtId="0" fontId="0" fillId="0" borderId="17" pivotButton="0" quotePrefix="0" xfId="0"/>
    <xf numFmtId="0" fontId="29" fillId="0" borderId="18" applyAlignment="1" pivotButton="0" quotePrefix="0" xfId="0">
      <alignment vertical="center" indent="1"/>
    </xf>
    <xf numFmtId="0" fontId="0" fillId="0" borderId="18" pivotButton="0" quotePrefix="0" xfId="0"/>
    <xf numFmtId="0" fontId="24" fillId="0" borderId="19" applyAlignment="1" pivotButton="0" quotePrefix="0" xfId="0">
      <alignment vertical="center" indent="1"/>
    </xf>
    <xf numFmtId="0" fontId="0" fillId="0" borderId="19" pivotButton="0" quotePrefix="0" xfId="0"/>
    <xf numFmtId="0" fontId="23" fillId="0" borderId="20" applyAlignment="1" pivotButton="0" quotePrefix="0" xfId="0">
      <alignment vertical="center" indent="1"/>
    </xf>
    <xf numFmtId="0" fontId="0" fillId="0" borderId="20" pivotButton="0" quotePrefix="0" xfId="0"/>
    <xf numFmtId="0" fontId="28" fillId="0" borderId="21" applyAlignment="1" pivotButton="0" quotePrefix="0" xfId="0">
      <alignment vertical="center" indent="1"/>
    </xf>
    <xf numFmtId="0" fontId="0" fillId="0" borderId="21" pivotButton="0" quotePrefix="0" xfId="0"/>
    <xf numFmtId="0" fontId="27" fillId="0" borderId="22" applyAlignment="1" pivotButton="0" quotePrefix="0" xfId="0">
      <alignment vertical="center" indent="1"/>
    </xf>
    <xf numFmtId="0" fontId="0" fillId="0" borderId="22" pivotButton="0" quotePrefix="0" xfId="0"/>
    <xf numFmtId="0" fontId="56" fillId="0" borderId="23" applyAlignment="1" pivotButton="0" quotePrefix="0" xfId="0">
      <alignment vertical="center" indent="1"/>
    </xf>
    <xf numFmtId="0" fontId="0" fillId="0" borderId="23" pivotButton="0" quotePrefix="0" xfId="0"/>
    <xf numFmtId="0" fontId="11" fillId="0" borderId="3" applyAlignment="1" pivotButton="0" quotePrefix="0" xfId="0">
      <alignment vertical="center" indent="1"/>
    </xf>
    <xf numFmtId="0" fontId="65" fillId="0" borderId="3" applyAlignment="1" pivotButton="0" quotePrefix="0" xfId="0">
      <alignment horizontal="center"/>
    </xf>
    <xf numFmtId="0" fontId="1" fillId="0" borderId="0" applyAlignment="1" pivotButton="0" quotePrefix="0" xfId="0">
      <alignment vertical="center"/>
    </xf>
    <xf numFmtId="0" fontId="2" fillId="0" borderId="0" applyAlignment="1" pivotButton="0" quotePrefix="0" xfId="0">
      <alignment horizontal="left" vertical="center"/>
    </xf>
    <xf numFmtId="0" fontId="3" fillId="0" borderId="0" pivotButton="0" quotePrefix="0" xfId="0"/>
    <xf numFmtId="0" fontId="4" fillId="2" borderId="0" applyAlignment="1" pivotButton="0" quotePrefix="0" xfId="0">
      <alignment horizontal="center" vertical="center" wrapText="1"/>
    </xf>
    <xf numFmtId="0" fontId="4" fillId="2" borderId="0" applyAlignment="1" pivotButton="0" quotePrefix="0" xfId="0">
      <alignment horizontal="left" vertical="center" wrapText="1"/>
    </xf>
    <xf numFmtId="0" fontId="5" fillId="3" borderId="0" applyAlignment="1" pivotButton="0" quotePrefix="0" xfId="0">
      <alignment horizontal="left" vertical="center" wrapText="1"/>
    </xf>
    <xf numFmtId="0" fontId="6" fillId="0" borderId="0" applyAlignment="1" pivotButton="0" quotePrefix="0" xfId="0">
      <alignment horizontal="center" vertical="top"/>
    </xf>
    <xf numFmtId="0" fontId="7" fillId="0" borderId="0" applyAlignment="1" pivotButton="0" quotePrefix="0" xfId="0">
      <alignment vertical="top" wrapText="1"/>
    </xf>
    <xf numFmtId="0" fontId="8" fillId="4" borderId="0" applyAlignment="1" pivotButton="0" quotePrefix="0" xfId="0">
      <alignment vertical="top" wrapText="1"/>
    </xf>
    <xf numFmtId="164" fontId="9" fillId="0" borderId="0" applyAlignment="1" pivotButton="0" quotePrefix="0" xfId="0">
      <alignment horizontal="center" vertical="top"/>
    </xf>
    <xf numFmtId="0" fontId="10" fillId="0" borderId="0" applyAlignment="1" pivotButton="0" quotePrefix="0" xfId="0">
      <alignment vertical="top" wrapText="1"/>
    </xf>
    <xf numFmtId="0" fontId="9" fillId="5" borderId="0" applyAlignment="1" pivotButton="0" quotePrefix="0" xfId="0">
      <alignment horizontal="center" vertical="top"/>
    </xf>
    <xf numFmtId="0" fontId="11" fillId="5" borderId="0" applyAlignment="1" pivotButton="0" quotePrefix="0" xfId="0">
      <alignment vertical="top"/>
    </xf>
    <xf numFmtId="0" fontId="11" fillId="5" borderId="0" applyAlignment="1" pivotButton="0" quotePrefix="0" xfId="0">
      <alignment vertical="top" wrapText="1"/>
    </xf>
    <xf numFmtId="0" fontId="11" fillId="0" borderId="0" applyAlignment="1" pivotButton="0" quotePrefix="0" xfId="0">
      <alignment vertical="top" wrapText="1"/>
    </xf>
    <xf numFmtId="166" fontId="11" fillId="0" borderId="0" applyAlignment="1" pivotButton="0" quotePrefix="0" xfId="0">
      <alignment vertical="top"/>
    </xf>
    <xf numFmtId="0" fontId="11" fillId="0" borderId="0" applyAlignment="1" pivotButton="0" quotePrefix="0" xfId="0">
      <alignment vertical="top"/>
    </xf>
    <xf numFmtId="0" fontId="12" fillId="0" borderId="0" applyAlignment="1" pivotButton="0" quotePrefix="0" xfId="0">
      <alignment vertical="top"/>
    </xf>
    <xf numFmtId="0" fontId="6" fillId="0" borderId="0" applyAlignment="1" pivotButton="0" quotePrefix="0" xfId="0">
      <alignment vertical="top" wrapText="1"/>
    </xf>
    <xf numFmtId="0" fontId="13" fillId="0" borderId="0" applyAlignment="1" pivotButton="0" quotePrefix="0" xfId="0">
      <alignment vertical="top"/>
    </xf>
    <xf numFmtId="167" fontId="14" fillId="0" borderId="0" applyAlignment="1" pivotButton="0" quotePrefix="0" xfId="0">
      <alignment horizontal="center" vertical="top"/>
    </xf>
    <xf numFmtId="1" fontId="6" fillId="0" borderId="0" pivotButton="0" quotePrefix="0" xfId="0"/>
    <xf numFmtId="0" fontId="15" fillId="0" borderId="0" applyAlignment="1" pivotButton="0" quotePrefix="0" xfId="0">
      <alignment vertical="top" wrapText="1"/>
    </xf>
    <xf numFmtId="0" fontId="16" fillId="6" borderId="0" applyAlignment="1" pivotButton="0" quotePrefix="0" xfId="0">
      <alignment vertical="top" wrapText="1"/>
    </xf>
    <xf numFmtId="0" fontId="17" fillId="7" borderId="0" applyAlignment="1" pivotButton="0" quotePrefix="0" xfId="0">
      <alignment vertical="top" wrapText="1"/>
    </xf>
    <xf numFmtId="0" fontId="16" fillId="0" borderId="0" applyAlignment="1" pivotButton="0" quotePrefix="0" xfId="0">
      <alignment vertical="top" wrapText="1"/>
    </xf>
    <xf numFmtId="0" fontId="18" fillId="8" borderId="0" applyAlignment="1" pivotButton="0" quotePrefix="0" xfId="0">
      <alignment vertical="top" wrapText="1"/>
    </xf>
    <xf numFmtId="0" fontId="17" fillId="0" borderId="0" applyAlignment="1" pivotButton="0" quotePrefix="0" xfId="0">
      <alignment vertical="top" wrapText="1"/>
    </xf>
    <xf numFmtId="0" fontId="19" fillId="9" borderId="0" applyAlignment="1" pivotButton="0" quotePrefix="0" xfId="0">
      <alignment vertical="top" wrapText="1"/>
    </xf>
    <xf numFmtId="0" fontId="19" fillId="0" borderId="0" applyAlignment="1" pivotButton="0" quotePrefix="0" xfId="0">
      <alignment vertical="top" wrapText="1"/>
    </xf>
    <xf numFmtId="0" fontId="20" fillId="10" borderId="0" applyAlignment="1" pivotButton="0" quotePrefix="0" xfId="0">
      <alignment vertical="top" wrapText="1"/>
    </xf>
    <xf numFmtId="0" fontId="21" fillId="11" borderId="0" applyAlignment="1" pivotButton="0" quotePrefix="0" xfId="0">
      <alignment vertical="top" wrapText="1"/>
    </xf>
    <xf numFmtId="0" fontId="10" fillId="12" borderId="0" applyAlignment="1" pivotButton="0" quotePrefix="0" xfId="0">
      <alignment vertical="top" wrapText="1"/>
    </xf>
    <xf numFmtId="0" fontId="39" fillId="13" borderId="0" applyAlignment="1" pivotButton="0" quotePrefix="0" xfId="0">
      <alignment vertical="center" indent="1"/>
    </xf>
    <xf numFmtId="0" fontId="0" fillId="13" borderId="0" pivotButton="0" quotePrefix="0" xfId="0"/>
    <xf numFmtId="0" fontId="16" fillId="14" borderId="2" applyAlignment="1" pivotButton="0" quotePrefix="0" xfId="0">
      <alignment horizontal="center" vertical="center"/>
    </xf>
    <xf numFmtId="0" fontId="16" fillId="14" borderId="2" applyAlignment="1" pivotButton="0" quotePrefix="0" xfId="0">
      <alignment horizontal="left" vertical="center"/>
    </xf>
    <xf numFmtId="0" fontId="6" fillId="0" borderId="3" applyAlignment="1" pivotButton="0" quotePrefix="0" xfId="0">
      <alignment horizontal="center" vertical="top"/>
    </xf>
    <xf numFmtId="164" fontId="9" fillId="0" borderId="3" applyAlignment="1" pivotButton="0" quotePrefix="0" xfId="0">
      <alignment horizontal="center" vertical="top"/>
    </xf>
    <xf numFmtId="0" fontId="9" fillId="0" borderId="3" applyAlignment="1" pivotButton="0" quotePrefix="0" xfId="0">
      <alignment vertical="top" wrapText="1"/>
    </xf>
    <xf numFmtId="0" fontId="34" fillId="0" borderId="3" applyAlignment="1" pivotButton="0" quotePrefix="0" xfId="0">
      <alignment horizontal="center" vertical="top"/>
    </xf>
    <xf numFmtId="0" fontId="10" fillId="0" borderId="3" applyAlignment="1" pivotButton="0" quotePrefix="0" xfId="0">
      <alignment vertical="top" wrapText="1"/>
    </xf>
    <xf numFmtId="0" fontId="11" fillId="0" borderId="3" applyAlignment="1" pivotButton="0" quotePrefix="0" xfId="0">
      <alignment horizontal="center" vertical="top"/>
    </xf>
    <xf numFmtId="0" fontId="12" fillId="0" borderId="3" applyAlignment="1" pivotButton="0" quotePrefix="0" xfId="0">
      <alignment vertical="top" wrapText="1"/>
    </xf>
    <xf numFmtId="166" fontId="12" fillId="0" borderId="3" applyAlignment="1" pivotButton="0" quotePrefix="0" xfId="0">
      <alignment horizontal="center" vertical="top"/>
    </xf>
    <xf numFmtId="0" fontId="17" fillId="0" borderId="3" applyAlignment="1" pivotButton="0" quotePrefix="0" xfId="0">
      <alignment vertical="top" wrapText="1"/>
    </xf>
    <xf numFmtId="0" fontId="19" fillId="0" borderId="3" applyAlignment="1" pivotButton="0" quotePrefix="0" xfId="0">
      <alignment vertical="top" wrapText="1"/>
    </xf>
    <xf numFmtId="0" fontId="39" fillId="15" borderId="0" applyAlignment="1" pivotButton="0" quotePrefix="0" xfId="0">
      <alignment vertical="center" indent="1"/>
    </xf>
    <xf numFmtId="0" fontId="0" fillId="15" borderId="0" pivotButton="0" quotePrefix="0" xfId="0"/>
    <xf numFmtId="0" fontId="19" fillId="16" borderId="4" applyAlignment="1" pivotButton="0" quotePrefix="0" xfId="0">
      <alignment horizontal="center" vertical="center"/>
    </xf>
    <xf numFmtId="0" fontId="19" fillId="16" borderId="4" applyAlignment="1" pivotButton="0" quotePrefix="0" xfId="0">
      <alignment horizontal="left" vertical="center"/>
    </xf>
    <xf numFmtId="0" fontId="15" fillId="0" borderId="3" applyAlignment="1" pivotButton="0" quotePrefix="0" xfId="0">
      <alignment vertical="top" wrapText="1"/>
    </xf>
    <xf numFmtId="0" fontId="39" fillId="17" borderId="0" applyAlignment="1" pivotButton="0" quotePrefix="0" xfId="0">
      <alignment vertical="center" indent="1"/>
    </xf>
    <xf numFmtId="0" fontId="0" fillId="17" borderId="0" pivotButton="0" quotePrefix="0" xfId="0"/>
    <xf numFmtId="0" fontId="8" fillId="18" borderId="5" applyAlignment="1" pivotButton="0" quotePrefix="0" xfId="0">
      <alignment horizontal="center" vertical="center"/>
    </xf>
    <xf numFmtId="0" fontId="8" fillId="18" borderId="5" applyAlignment="1" pivotButton="0" quotePrefix="0" xfId="0">
      <alignment horizontal="left" vertical="center"/>
    </xf>
    <xf numFmtId="0" fontId="16" fillId="0" borderId="3" applyAlignment="1" pivotButton="0" quotePrefix="0" xfId="0">
      <alignment vertical="top" wrapText="1"/>
    </xf>
    <xf numFmtId="0" fontId="39" fillId="19" borderId="0" applyAlignment="1" pivotButton="0" quotePrefix="0" xfId="0">
      <alignment vertical="center" indent="1"/>
    </xf>
    <xf numFmtId="0" fontId="0" fillId="19" borderId="0" pivotButton="0" quotePrefix="0" xfId="0"/>
    <xf numFmtId="0" fontId="10" fillId="20" borderId="6" applyAlignment="1" pivotButton="0" quotePrefix="0" xfId="0">
      <alignment horizontal="center" vertical="center"/>
    </xf>
    <xf numFmtId="0" fontId="10" fillId="20" borderId="6" applyAlignment="1" pivotButton="0" quotePrefix="0" xfId="0">
      <alignment horizontal="left" vertical="center"/>
    </xf>
    <xf numFmtId="0" fontId="39" fillId="21" borderId="0" applyAlignment="1" pivotButton="0" quotePrefix="0" xfId="0">
      <alignment vertical="center" indent="1"/>
    </xf>
    <xf numFmtId="0" fontId="0" fillId="21" borderId="0" pivotButton="0" quotePrefix="0" xfId="0"/>
    <xf numFmtId="0" fontId="17" fillId="22" borderId="7" applyAlignment="1" pivotButton="0" quotePrefix="0" xfId="0">
      <alignment horizontal="center" vertical="center"/>
    </xf>
    <xf numFmtId="0" fontId="17" fillId="22" borderId="7" applyAlignment="1" pivotButton="0" quotePrefix="0" xfId="0">
      <alignment horizontal="left" vertical="center"/>
    </xf>
    <xf numFmtId="0" fontId="39" fillId="23" borderId="0" applyAlignment="1" pivotButton="0" quotePrefix="0" xfId="0">
      <alignment vertical="center" indent="1"/>
    </xf>
    <xf numFmtId="0" fontId="0" fillId="23" borderId="0" pivotButton="0" quotePrefix="0" xfId="0"/>
    <xf numFmtId="0" fontId="18" fillId="24" borderId="8" applyAlignment="1" pivotButton="0" quotePrefix="0" xfId="0">
      <alignment horizontal="center" vertical="center"/>
    </xf>
    <xf numFmtId="0" fontId="18" fillId="24" borderId="8" applyAlignment="1" pivotButton="0" quotePrefix="0" xfId="0">
      <alignment horizontal="left" vertical="center"/>
    </xf>
    <xf numFmtId="0" fontId="39" fillId="25" borderId="0" applyAlignment="1" pivotButton="0" quotePrefix="0" xfId="0">
      <alignment vertical="center" indent="1"/>
    </xf>
    <xf numFmtId="0" fontId="0" fillId="25" borderId="0" pivotButton="0" quotePrefix="0" xfId="0"/>
    <xf numFmtId="0" fontId="21" fillId="26" borderId="9" applyAlignment="1" pivotButton="0" quotePrefix="0" xfId="0">
      <alignment horizontal="center" vertical="center"/>
    </xf>
    <xf numFmtId="0" fontId="21" fillId="26" borderId="9" applyAlignment="1" pivotButton="0" quotePrefix="0" xfId="0">
      <alignment horizontal="left" vertical="center"/>
    </xf>
    <xf numFmtId="0" fontId="39" fillId="27" borderId="0" applyAlignment="1" pivotButton="0" quotePrefix="0" xfId="0">
      <alignment vertical="center" indent="1"/>
    </xf>
    <xf numFmtId="0" fontId="0" fillId="27" borderId="0" pivotButton="0" quotePrefix="0" xfId="0"/>
    <xf numFmtId="0" fontId="20" fillId="28" borderId="10" applyAlignment="1" pivotButton="0" quotePrefix="0" xfId="0">
      <alignment horizontal="center" vertical="center"/>
    </xf>
    <xf numFmtId="0" fontId="20" fillId="28" borderId="10" applyAlignment="1" pivotButton="0" quotePrefix="0" xfId="0">
      <alignment horizontal="left" vertical="center"/>
    </xf>
    <xf numFmtId="0" fontId="9" fillId="5" borderId="0" applyAlignment="1" pivotButton="0" quotePrefix="0" xfId="0">
      <alignment horizontal="center" vertical="top"/>
    </xf>
    <xf numFmtId="0" fontId="9" fillId="0" borderId="0" applyAlignment="1" pivotButton="0" quotePrefix="0" xfId="0">
      <alignment vertical="top" wrapText="1"/>
    </xf>
    <xf numFmtId="0" fontId="12" fillId="0" borderId="0" applyAlignment="1" pivotButton="0" quotePrefix="0" xfId="0">
      <alignment vertical="top" wrapText="1"/>
    </xf>
    <xf numFmtId="166" fontId="11" fillId="0" borderId="0" applyAlignment="1" pivotButton="0" quotePrefix="0" xfId="0">
      <alignment vertical="top"/>
    </xf>
    <xf numFmtId="0" fontId="13" fillId="0" borderId="0" applyAlignment="1" pivotButton="0" quotePrefix="0" xfId="0">
      <alignment vertical="top"/>
    </xf>
    <xf numFmtId="166" fontId="9" fillId="0" borderId="0" applyAlignment="1" pivotButton="0" quotePrefix="0" xfId="0">
      <alignment vertical="top"/>
    </xf>
    <xf numFmtId="169" fontId="32" fillId="0" borderId="0" applyAlignment="1" pivotButton="0" quotePrefix="0" xfId="0">
      <alignment horizontal="center" vertical="top"/>
    </xf>
    <xf numFmtId="0" fontId="33" fillId="0" borderId="0" applyAlignment="1" pivotButton="0" quotePrefix="0" xfId="0">
      <alignment vertical="top" wrapText="1"/>
    </xf>
    <xf numFmtId="0" fontId="34" fillId="0" borderId="0" applyAlignment="1" pivotButton="0" quotePrefix="0" xfId="0">
      <alignment vertical="top"/>
    </xf>
    <xf numFmtId="0" fontId="35" fillId="0" borderId="0" applyAlignment="1" pivotButton="0" quotePrefix="0" xfId="0">
      <alignment horizontal="center" vertical="top"/>
    </xf>
    <xf numFmtId="0" fontId="36"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vertical="top" wrapText="1"/>
    </xf>
    <xf numFmtId="0" fontId="11" fillId="0" borderId="0" applyAlignment="1" pivotButton="0" quotePrefix="0" xfId="0">
      <alignment horizontal="center" vertical="top"/>
    </xf>
    <xf numFmtId="0" fontId="5" fillId="0" borderId="0" applyAlignment="1" pivotButton="0" quotePrefix="0" xfId="0">
      <alignment horizontal="center" vertical="top"/>
    </xf>
    <xf numFmtId="168" fontId="11" fillId="0" borderId="0" applyAlignment="1" pivotButton="0" quotePrefix="0" xfId="0">
      <alignment horizontal="center" vertical="top"/>
    </xf>
    <xf numFmtId="0" fontId="22" fillId="0" borderId="0" applyAlignment="1" pivotButton="0" quotePrefix="0" xfId="0">
      <alignment vertical="top" wrapText="1"/>
    </xf>
    <xf numFmtId="166" fontId="11" fillId="0" borderId="0" applyAlignment="1" pivotButton="0" quotePrefix="0" xfId="0">
      <alignment horizontal="center" vertical="top"/>
    </xf>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26" fillId="0" borderId="0" applyAlignment="1" pivotButton="0" quotePrefix="0" xfId="0">
      <alignment vertical="top" wrapText="1"/>
    </xf>
    <xf numFmtId="0" fontId="27" fillId="0" borderId="0" applyAlignment="1" pivotButton="0" quotePrefix="0" xfId="0">
      <alignment vertical="top" wrapText="1"/>
    </xf>
    <xf numFmtId="0" fontId="28" fillId="0" borderId="0" applyAlignment="1" pivotButton="0" quotePrefix="0" xfId="0">
      <alignment vertical="top" wrapText="1"/>
    </xf>
    <xf numFmtId="0" fontId="29" fillId="0" borderId="0" applyAlignment="1" pivotButton="0" quotePrefix="0" xfId="0">
      <alignment vertical="top" wrapText="1"/>
    </xf>
    <xf numFmtId="0" fontId="9" fillId="0" borderId="0" pivotButton="0" quotePrefix="0" xfId="0"/>
    <xf numFmtId="0" fontId="11" fillId="0" borderId="0" pivotButton="0" quotePrefix="0" xfId="0"/>
    <xf numFmtId="165" fontId="11" fillId="0" borderId="0" pivotButton="0" quotePrefix="0" xfId="0"/>
    <xf numFmtId="1" fontId="11" fillId="0" borderId="0" pivotButton="0" quotePrefix="0" xfId="0"/>
  </cellXfs>
  <cellStyles count="1">
    <cellStyle name="Normal" xfId="0" builtinId="0" hidden="0"/>
  </cellStyles>
  <dxfs count="21">
    <dxf>
      <font>
        <b val="1"/>
        <color rgb="001F9D63"/>
      </font>
      <fill>
        <patternFill patternType="solid">
          <fgColor rgb="00DDF0E8"/>
          <bgColor rgb="00DDF0E8"/>
        </patternFill>
      </fill>
    </dxf>
    <dxf>
      <font>
        <b val="1"/>
        <color rgb="006B4FD6"/>
      </font>
      <fill>
        <patternFill patternType="solid">
          <fgColor rgb="00E9E5F9"/>
          <bgColor rgb="00E9E5F9"/>
        </patternFill>
      </fill>
    </dxf>
    <dxf>
      <font>
        <b val="1"/>
        <color rgb="00E04F2C"/>
      </font>
      <fill>
        <patternFill patternType="solid">
          <fgColor rgb="00FAE5DF"/>
          <bgColor rgb="00FAE5DF"/>
        </patternFill>
      </fill>
    </dxf>
    <dxf>
      <font>
        <b val="1"/>
        <color rgb="00D38B00"/>
      </font>
      <fill>
        <patternFill patternType="solid">
          <fgColor rgb="00F8EED9"/>
          <bgColor rgb="00F8EED9"/>
        </patternFill>
      </fill>
    </dxf>
    <dxf>
      <font>
        <b val="1"/>
        <color rgb="002563D6"/>
      </font>
      <fill>
        <patternFill patternType="solid">
          <fgColor rgb="00DEE8F9"/>
          <bgColor rgb="00DEE8F9"/>
        </patternFill>
      </fill>
    </dxf>
    <dxf>
      <font>
        <b val="1"/>
        <color rgb="000B97A5"/>
      </font>
      <fill>
        <patternFill patternType="solid">
          <fgColor rgb="00DAEFF2"/>
          <bgColor rgb="00DAEFF2"/>
        </patternFill>
      </fill>
    </dxf>
    <dxf>
      <font>
        <b val="1"/>
        <color rgb="00C23D7B"/>
      </font>
      <fill>
        <patternFill patternType="solid">
          <fgColor rgb="00F6E2EB"/>
          <bgColor rgb="00F6E2EB"/>
        </patternFill>
      </fill>
    </dxf>
    <dxf>
      <font>
        <b val="1"/>
        <color rgb="008A5A2B"/>
      </font>
      <fill>
        <patternFill patternType="solid">
          <fgColor rgb="00EDE6DF"/>
          <bgColor rgb="00EDE6DF"/>
        </patternFill>
      </fill>
    </dxf>
    <dxf>
      <font>
        <b val="1"/>
        <color rgb="0064748B"/>
      </font>
      <fill>
        <patternFill patternType="solid">
          <fgColor rgb="00E8EAEE"/>
          <bgColor rgb="00E8EAEE"/>
        </patternFill>
      </fill>
    </dxf>
    <dxf>
      <font>
        <b val="1"/>
        <color rgb="001D5A8A"/>
        <u val="single"/>
      </font>
    </dxf>
    <dxf>
      <font>
        <b val="1"/>
        <color rgb="00FFFFFF"/>
      </font>
      <fill>
        <patternFill patternType="solid">
          <fgColor rgb="001E7B4F"/>
          <bgColor rgb="001E7B4F"/>
        </patternFill>
      </fill>
    </dxf>
    <dxf>
      <font>
        <b val="1"/>
        <color rgb="00FFFFFF"/>
      </font>
      <fill>
        <patternFill patternType="solid">
          <fgColor rgb="004DA06E"/>
          <bgColor rgb="004DA06E"/>
        </patternFill>
      </fill>
    </dxf>
    <dxf>
      <font>
        <b val="1"/>
        <color rgb="00FFFFFF"/>
      </font>
      <fill>
        <patternFill patternType="solid">
          <fgColor rgb="00D9A21B"/>
          <bgColor rgb="00D9A21B"/>
        </patternFill>
      </fill>
    </dxf>
    <dxf>
      <font>
        <b val="1"/>
        <color rgb="001B2430"/>
      </font>
      <fill>
        <patternFill patternType="solid">
          <fgColor rgb="00A3ADB8"/>
          <bgColor rgb="00A3ADB8"/>
        </patternFill>
      </fill>
    </dxf>
    <dxf>
      <font>
        <b val="1"/>
        <color rgb="001B2430"/>
      </font>
      <fill>
        <patternFill patternType="solid">
          <fgColor rgb="00C9CED6"/>
          <bgColor rgb="00C9CED6"/>
        </patternFill>
      </fill>
    </dxf>
    <dxf>
      <font>
        <color rgb="009AA3AE"/>
      </font>
    </dxf>
    <dxf>
      <font>
        <b val="1"/>
        <color rgb="004A5563"/>
      </font>
      <fill>
        <patternFill patternType="solid">
          <fgColor rgb="00ECEFF3"/>
          <bgColor rgb="00ECEFF3"/>
        </patternFill>
      </fill>
    </dxf>
    <dxf>
      <font>
        <b val="1"/>
        <color rgb="001D4FB8"/>
      </font>
      <fill>
        <patternFill patternType="solid">
          <fgColor rgb="00DCE7FB"/>
          <bgColor rgb="00DCE7FB"/>
        </patternFill>
      </fill>
    </dxf>
    <dxf>
      <font>
        <b val="1"/>
        <color rgb="008A5300"/>
      </font>
      <fill>
        <patternFill patternType="solid">
          <fgColor rgb="00FBE6C2"/>
          <bgColor rgb="00FBE6C2"/>
        </patternFill>
      </fill>
    </dxf>
    <dxf>
      <font>
        <b val="1"/>
        <color rgb="0017663F"/>
      </font>
      <fill>
        <patternFill patternType="solid">
          <fgColor rgb="00D3EDDF"/>
          <bgColor rgb="00D3EDDF"/>
        </patternFill>
      </fill>
    </dxf>
    <dxf>
      <font>
        <b val="1"/>
        <color rgb="007A8491"/>
      </font>
      <fill>
        <patternFill patternType="solid">
          <fgColor rgb="00F1F2F4"/>
          <bgColor rgb="00F1F2F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000" b="1">
                <a:solidFill>
                  <a:srgbClr val="16324F"/>
                </a:solidFill>
                <a:latin typeface="Arial"/>
              </a:defRPr>
            </a:pPr>
            <a:r>
              <a:rPr sz="1000" b="1">
                <a:solidFill>
                  <a:srgbClr val="16324F"/>
                </a:solidFill>
                <a:latin typeface="Arial"/>
              </a:rPr>
              <a:t>Stories by theme (this selection)</a:t>
            </a:r>
          </a:p>
        </rich>
      </tx>
      <overlay val="0"/>
    </title>
    <plotArea>
      <barChart>
        <barDir val="bar"/>
        <grouping val="clustered"/>
        <ser>
          <idx val="0"/>
          <order val="0"/>
          <tx>
            <strRef>
              <f>'Dashboard'!F27</f>
            </strRef>
          </tx>
          <spPr>
            <a:solidFill xmlns:a="http://schemas.openxmlformats.org/drawingml/2006/main">
              <a:srgbClr val="C9A227"/>
            </a:solidFill>
            <a:ln xmlns:a="http://schemas.openxmlformats.org/drawingml/2006/main">
              <a:solidFill>
                <a:srgbClr val="C9A227"/>
              </a:solidFill>
              <a:prstDash val="solid"/>
            </a:ln>
          </spPr>
          <invertIfNegative val="0"/>
          <dPt>
            <idx val="0"/>
            <spPr>
              <a:solidFill xmlns:a="http://schemas.openxmlformats.org/drawingml/2006/main">
                <a:srgbClr val="1F9D63"/>
              </a:solidFill>
              <a:ln xmlns:a="http://schemas.openxmlformats.org/drawingml/2006/main">
                <a:solidFill>
                  <a:srgbClr val="1F9D63"/>
                </a:solidFill>
                <a:prstDash val="solid"/>
              </a:ln>
            </spPr>
          </dPt>
          <dPt>
            <idx val="1"/>
            <spPr>
              <a:solidFill xmlns:a="http://schemas.openxmlformats.org/drawingml/2006/main">
                <a:srgbClr val="6B4FD6"/>
              </a:solidFill>
              <a:ln xmlns:a="http://schemas.openxmlformats.org/drawingml/2006/main">
                <a:solidFill>
                  <a:srgbClr val="6B4FD6"/>
                </a:solidFill>
                <a:prstDash val="solid"/>
              </a:ln>
            </spPr>
          </dPt>
          <dPt>
            <idx val="2"/>
            <spPr>
              <a:solidFill xmlns:a="http://schemas.openxmlformats.org/drawingml/2006/main">
                <a:srgbClr val="E04F2C"/>
              </a:solidFill>
              <a:ln xmlns:a="http://schemas.openxmlformats.org/drawingml/2006/main">
                <a:solidFill>
                  <a:srgbClr val="E04F2C"/>
                </a:solidFill>
                <a:prstDash val="solid"/>
              </a:ln>
            </spPr>
          </dPt>
          <dPt>
            <idx val="3"/>
            <spPr>
              <a:solidFill xmlns:a="http://schemas.openxmlformats.org/drawingml/2006/main">
                <a:srgbClr val="D38B00"/>
              </a:solidFill>
              <a:ln xmlns:a="http://schemas.openxmlformats.org/drawingml/2006/main">
                <a:solidFill>
                  <a:srgbClr val="D38B00"/>
                </a:solidFill>
                <a:prstDash val="solid"/>
              </a:ln>
            </spPr>
          </dPt>
          <dPt>
            <idx val="4"/>
            <spPr>
              <a:solidFill xmlns:a="http://schemas.openxmlformats.org/drawingml/2006/main">
                <a:srgbClr val="2563D6"/>
              </a:solidFill>
              <a:ln xmlns:a="http://schemas.openxmlformats.org/drawingml/2006/main">
                <a:solidFill>
                  <a:srgbClr val="2563D6"/>
                </a:solidFill>
                <a:prstDash val="solid"/>
              </a:ln>
            </spPr>
          </dPt>
          <dPt>
            <idx val="5"/>
            <spPr>
              <a:solidFill xmlns:a="http://schemas.openxmlformats.org/drawingml/2006/main">
                <a:srgbClr val="0B97A5"/>
              </a:solidFill>
              <a:ln xmlns:a="http://schemas.openxmlformats.org/drawingml/2006/main">
                <a:solidFill>
                  <a:srgbClr val="0B97A5"/>
                </a:solidFill>
                <a:prstDash val="solid"/>
              </a:ln>
            </spPr>
          </dPt>
          <dPt>
            <idx val="6"/>
            <spPr>
              <a:solidFill xmlns:a="http://schemas.openxmlformats.org/drawingml/2006/main">
                <a:srgbClr val="C23D7B"/>
              </a:solidFill>
              <a:ln xmlns:a="http://schemas.openxmlformats.org/drawingml/2006/main">
                <a:solidFill>
                  <a:srgbClr val="C23D7B"/>
                </a:solidFill>
                <a:prstDash val="solid"/>
              </a:ln>
            </spPr>
          </dPt>
          <dPt>
            <idx val="7"/>
            <spPr>
              <a:solidFill xmlns:a="http://schemas.openxmlformats.org/drawingml/2006/main">
                <a:srgbClr val="8A5A2B"/>
              </a:solidFill>
              <a:ln xmlns:a="http://schemas.openxmlformats.org/drawingml/2006/main">
                <a:solidFill>
                  <a:srgbClr val="8A5A2B"/>
                </a:solidFill>
                <a:prstDash val="solid"/>
              </a:ln>
            </spPr>
          </dPt>
          <dPt>
            <idx val="8"/>
            <spPr>
              <a:solidFill xmlns:a="http://schemas.openxmlformats.org/drawingml/2006/main">
                <a:srgbClr val="64748B"/>
              </a:solidFill>
              <a:ln xmlns:a="http://schemas.openxmlformats.org/drawingml/2006/main">
                <a:solidFill>
                  <a:srgbClr val="64748B"/>
                </a:solidFill>
                <a:prstDash val="solid"/>
              </a:ln>
            </spPr>
          </dPt>
          <dLbls>
            <numFmt formatCode="#,##0;;;" sourceLinked="0"/>
            <txPr>
              <a:bodyPr xmlns:a="http://schemas.openxmlformats.org/drawingml/2006/main"/>
              <a:p xmlns:a="http://schemas.openxmlformats.org/drawingml/2006/main">
                <a:pPr>
                  <a:defRPr sz="850" b="1">
                    <a:solidFill>
                      <a:srgbClr val="1B2430"/>
                    </a:solidFill>
                    <a:latin typeface="Arial"/>
                  </a:defRPr>
                </a:pPr>
                <a:r>
                  <a:t/>
                </a:r>
                <a:endParaRPr sz="850" b="1">
                  <a:solidFill>
                    <a:srgbClr val="1B2430"/>
                  </a:solidFill>
                  <a:latin typeface="Arial"/>
                </a:endParaRPr>
              </a:p>
            </txPr>
            <dLblPos val="outEnd"/>
            <showLegendKey val="0"/>
            <showVal val="1"/>
            <showCatName val="0"/>
            <showSerName val="0"/>
            <showPercent val="0"/>
            <showLeaderLines val="0"/>
          </dLbls>
          <cat>
            <numRef>
              <f>'Dashboard'!$B$28:$B$36</f>
            </numRef>
          </cat>
          <val>
            <numRef>
              <f>'Dashboard'!$F$28:$F$36</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850" b="0">
                <a:solidFill>
                  <a:srgbClr val="5B6573"/>
                </a:solidFill>
                <a:latin typeface="Arial"/>
              </a:defRPr>
            </a:pPr>
            <a:r>
              <a:t/>
            </a:r>
            <a:endParaRPr sz="850" b="0">
              <a:solidFill>
                <a:srgbClr val="5B6573"/>
              </a:solidFill>
              <a:latin typeface="Arial"/>
            </a:endParaRPr>
          </a:p>
        </txPr>
        <crossAx val="100"/>
        <lblOffset val="100"/>
      </catAx>
      <valAx>
        <axId val="100"/>
        <scaling>
          <orientation val="minMax"/>
          <min val="0"/>
        </scaling>
        <delete val="1"/>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000" b="1">
                <a:solidFill>
                  <a:srgbClr val="16324F"/>
                </a:solidFill>
                <a:latin typeface="Arial"/>
              </a:defRPr>
            </a:pPr>
            <a:r>
              <a:rPr sz="1000" b="1">
                <a:solidFill>
                  <a:srgbClr val="16324F"/>
                </a:solidFill>
                <a:latin typeface="Arial"/>
              </a:rPr>
              <a:t>Suggested editorial use</a:t>
            </a:r>
          </a:p>
        </rich>
      </tx>
      <overlay val="0"/>
    </title>
    <plotArea>
      <barChart>
        <barDir val="bar"/>
        <grouping val="clustered"/>
        <ser>
          <idx val="0"/>
          <order val="0"/>
          <tx>
            <strRef>
              <f>'Dashboard'!E39</f>
            </strRef>
          </tx>
          <spPr>
            <a:solidFill xmlns:a="http://schemas.openxmlformats.org/drawingml/2006/main">
              <a:srgbClr val="C9A227"/>
            </a:solidFill>
            <a:ln xmlns:a="http://schemas.openxmlformats.org/drawingml/2006/main">
              <a:solidFill>
                <a:srgbClr val="C9A227"/>
              </a:solidFill>
              <a:prstDash val="solid"/>
            </a:ln>
          </spPr>
          <invertIfNegative val="0"/>
          <dPt>
            <idx val="0"/>
            <spPr>
              <a:solidFill xmlns:a="http://schemas.openxmlformats.org/drawingml/2006/main">
                <a:srgbClr val="D38B00"/>
              </a:solidFill>
              <a:ln xmlns:a="http://schemas.openxmlformats.org/drawingml/2006/main">
                <a:solidFill>
                  <a:srgbClr val="D38B00"/>
                </a:solidFill>
                <a:prstDash val="solid"/>
              </a:ln>
            </spPr>
          </dPt>
          <dPt>
            <idx val="1"/>
            <spPr>
              <a:solidFill xmlns:a="http://schemas.openxmlformats.org/drawingml/2006/main">
                <a:srgbClr val="2563D6"/>
              </a:solidFill>
              <a:ln xmlns:a="http://schemas.openxmlformats.org/drawingml/2006/main">
                <a:solidFill>
                  <a:srgbClr val="2563D6"/>
                </a:solidFill>
                <a:prstDash val="solid"/>
              </a:ln>
            </spPr>
          </dPt>
          <dPt>
            <idx val="2"/>
            <spPr>
              <a:solidFill xmlns:a="http://schemas.openxmlformats.org/drawingml/2006/main">
                <a:srgbClr val="6B4FD6"/>
              </a:solidFill>
              <a:ln xmlns:a="http://schemas.openxmlformats.org/drawingml/2006/main">
                <a:solidFill>
                  <a:srgbClr val="6B4FD6"/>
                </a:solidFill>
                <a:prstDash val="solid"/>
              </a:ln>
            </spPr>
          </dPt>
          <dPt>
            <idx val="3"/>
            <spPr>
              <a:solidFill xmlns:a="http://schemas.openxmlformats.org/drawingml/2006/main">
                <a:srgbClr val="1F9D63"/>
              </a:solidFill>
              <a:ln xmlns:a="http://schemas.openxmlformats.org/drawingml/2006/main">
                <a:solidFill>
                  <a:srgbClr val="1F9D63"/>
                </a:solidFill>
                <a:prstDash val="solid"/>
              </a:ln>
            </spPr>
          </dPt>
          <dPt>
            <idx val="4"/>
            <spPr>
              <a:solidFill xmlns:a="http://schemas.openxmlformats.org/drawingml/2006/main">
                <a:srgbClr val="8A94A3"/>
              </a:solidFill>
              <a:ln xmlns:a="http://schemas.openxmlformats.org/drawingml/2006/main">
                <a:solidFill>
                  <a:srgbClr val="8A94A3"/>
                </a:solidFill>
                <a:prstDash val="solid"/>
              </a:ln>
            </spPr>
          </dPt>
          <dLbls>
            <numFmt formatCode="#,##0;;;" sourceLinked="0"/>
            <txPr>
              <a:bodyPr xmlns:a="http://schemas.openxmlformats.org/drawingml/2006/main"/>
              <a:p xmlns:a="http://schemas.openxmlformats.org/drawingml/2006/main">
                <a:pPr>
                  <a:defRPr sz="850" b="1">
                    <a:solidFill>
                      <a:srgbClr val="1B2430"/>
                    </a:solidFill>
                    <a:latin typeface="Arial"/>
                  </a:defRPr>
                </a:pPr>
                <a:r>
                  <a:t/>
                </a:r>
                <a:endParaRPr sz="850" b="1">
                  <a:solidFill>
                    <a:srgbClr val="1B2430"/>
                  </a:solidFill>
                  <a:latin typeface="Arial"/>
                </a:endParaRPr>
              </a:p>
            </txPr>
            <dLblPos val="outEnd"/>
            <showLegendKey val="0"/>
            <showVal val="1"/>
            <showCatName val="0"/>
            <showSerName val="0"/>
            <showPercent val="0"/>
            <showLeaderLines val="0"/>
          </dLbls>
          <cat>
            <numRef>
              <f>'Dashboard'!$B$40:$B$44</f>
            </numRef>
          </cat>
          <val>
            <numRef>
              <f>'Dashboard'!$E$40:$E$44</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850" b="0">
                <a:solidFill>
                  <a:srgbClr val="5B6573"/>
                </a:solidFill>
                <a:latin typeface="Arial"/>
              </a:defRPr>
            </a:pPr>
            <a:r>
              <a:t/>
            </a:r>
            <a:endParaRPr sz="850" b="0">
              <a:solidFill>
                <a:srgbClr val="5B6573"/>
              </a:solidFill>
              <a:latin typeface="Arial"/>
            </a:endParaRPr>
          </a:p>
        </txPr>
        <crossAx val="100"/>
        <lblOffset val="100"/>
      </catAx>
      <valAx>
        <axId val="100"/>
        <scaling>
          <orientation val="minMax"/>
          <min val="0"/>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sz="1000" b="1">
                <a:solidFill>
                  <a:srgbClr val="16324F"/>
                </a:solidFill>
                <a:latin typeface="Arial"/>
              </a:defRPr>
            </a:pPr>
            <a:r>
              <a:rPr sz="1000" b="1">
                <a:solidFill>
                  <a:srgbClr val="16324F"/>
                </a:solidFill>
                <a:latin typeface="Arial"/>
              </a:rPr>
              <a:t>Geotechnical relevance</a:t>
            </a:r>
          </a:p>
        </rich>
      </tx>
      <overlay val="0"/>
    </title>
    <plotArea>
      <barChart>
        <barDir val="col"/>
        <grouping val="clustered"/>
        <ser>
          <idx val="0"/>
          <order val="0"/>
          <tx>
            <strRef>
              <f>'Dashboard'!K39</f>
            </strRef>
          </tx>
          <spPr>
            <a:solidFill xmlns:a="http://schemas.openxmlformats.org/drawingml/2006/main">
              <a:srgbClr val="C9A227"/>
            </a:solidFill>
            <a:ln xmlns:a="http://schemas.openxmlformats.org/drawingml/2006/main">
              <a:solidFill>
                <a:srgbClr val="C9A227"/>
              </a:solidFill>
              <a:prstDash val="solid"/>
            </a:ln>
          </spPr>
          <invertIfNegative val="0"/>
          <dPt>
            <idx val="0"/>
            <spPr>
              <a:solidFill xmlns:a="http://schemas.openxmlformats.org/drawingml/2006/main">
                <a:srgbClr val="1E7B4F"/>
              </a:solidFill>
              <a:ln xmlns:a="http://schemas.openxmlformats.org/drawingml/2006/main">
                <a:solidFill>
                  <a:srgbClr val="1E7B4F"/>
                </a:solidFill>
                <a:prstDash val="solid"/>
              </a:ln>
            </spPr>
          </dPt>
          <dPt>
            <idx val="1"/>
            <spPr>
              <a:solidFill xmlns:a="http://schemas.openxmlformats.org/drawingml/2006/main">
                <a:srgbClr val="4DA06E"/>
              </a:solidFill>
              <a:ln xmlns:a="http://schemas.openxmlformats.org/drawingml/2006/main">
                <a:solidFill>
                  <a:srgbClr val="4DA06E"/>
                </a:solidFill>
                <a:prstDash val="solid"/>
              </a:ln>
            </spPr>
          </dPt>
          <dPt>
            <idx val="2"/>
            <spPr>
              <a:solidFill xmlns:a="http://schemas.openxmlformats.org/drawingml/2006/main">
                <a:srgbClr val="D9A21B"/>
              </a:solidFill>
              <a:ln xmlns:a="http://schemas.openxmlformats.org/drawingml/2006/main">
                <a:solidFill>
                  <a:srgbClr val="D9A21B"/>
                </a:solidFill>
                <a:prstDash val="solid"/>
              </a:ln>
            </spPr>
          </dPt>
          <dLbls>
            <numFmt formatCode="#,##0;;;" sourceLinked="0"/>
            <txPr>
              <a:bodyPr xmlns:a="http://schemas.openxmlformats.org/drawingml/2006/main"/>
              <a:p xmlns:a="http://schemas.openxmlformats.org/drawingml/2006/main">
                <a:pPr>
                  <a:defRPr sz="850" b="1">
                    <a:solidFill>
                      <a:srgbClr val="1B2430"/>
                    </a:solidFill>
                    <a:latin typeface="Arial"/>
                  </a:defRPr>
                </a:pPr>
                <a:r>
                  <a:t/>
                </a:r>
                <a:endParaRPr sz="850" b="1">
                  <a:solidFill>
                    <a:srgbClr val="1B2430"/>
                  </a:solidFill>
                  <a:latin typeface="Arial"/>
                </a:endParaRPr>
              </a:p>
            </txPr>
            <dLblPos val="outEnd"/>
            <showLegendKey val="0"/>
            <showVal val="1"/>
            <showCatName val="0"/>
            <showSerName val="0"/>
            <showPercent val="0"/>
            <showLeaderLines val="0"/>
          </dLbls>
          <cat>
            <numRef>
              <f>'Dashboard'!$H$40:$H$42</f>
            </numRef>
          </cat>
          <val>
            <numRef>
              <f>'Dashboard'!$K$40:$K$42</f>
            </numRef>
          </val>
        </ser>
        <gapWidth val="55"/>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850" b="0">
                <a:solidFill>
                  <a:srgbClr val="5B6573"/>
                </a:solidFill>
                <a:latin typeface="Arial"/>
              </a:defRPr>
            </a:pPr>
            <a:r>
              <a:t/>
            </a:r>
            <a:endParaRPr sz="850" b="0">
              <a:solidFill>
                <a:srgbClr val="5B6573"/>
              </a:solidFill>
              <a:latin typeface="Arial"/>
            </a:endParaRPr>
          </a:p>
        </txPr>
        <crossAx val="100"/>
        <lblOffset val="100"/>
      </catAx>
      <valAx>
        <axId val="100"/>
        <scaling>
          <orientation val="minMax"/>
          <min val="0"/>
        </scaling>
        <delete val="1"/>
        <axPos val="l"/>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sz="1000" b="1">
                <a:solidFill>
                  <a:srgbClr val="16324F"/>
                </a:solidFill>
                <a:latin typeface="Arial"/>
              </a:defRPr>
            </a:pPr>
            <a:r>
              <a:rPr sz="1000" b="1">
                <a:solidFill>
                  <a:srgbClr val="16324F"/>
                </a:solidFill>
                <a:latin typeface="Arial"/>
              </a:rPr>
              <a:t>Planning status</a:t>
            </a:r>
          </a:p>
        </rich>
      </tx>
      <overlay val="0"/>
    </title>
    <plotArea>
      <barChart>
        <barDir val="col"/>
        <grouping val="clustered"/>
        <ser>
          <idx val="0"/>
          <order val="0"/>
          <tx>
            <strRef>
              <f>'Dashboard'!Q39</f>
            </strRef>
          </tx>
          <spPr>
            <a:solidFill xmlns:a="http://schemas.openxmlformats.org/drawingml/2006/main">
              <a:srgbClr val="C9A227"/>
            </a:solidFill>
            <a:ln xmlns:a="http://schemas.openxmlformats.org/drawingml/2006/main">
              <a:solidFill>
                <a:srgbClr val="C9A227"/>
              </a:solidFill>
              <a:prstDash val="solid"/>
            </a:ln>
          </spPr>
          <invertIfNegative val="0"/>
          <dPt>
            <idx val="0"/>
            <spPr>
              <a:solidFill xmlns:a="http://schemas.openxmlformats.org/drawingml/2006/main">
                <a:srgbClr val="A3ADB8"/>
              </a:solidFill>
              <a:ln xmlns:a="http://schemas.openxmlformats.org/drawingml/2006/main">
                <a:solidFill>
                  <a:srgbClr val="A3ADB8"/>
                </a:solidFill>
                <a:prstDash val="solid"/>
              </a:ln>
            </spPr>
          </dPt>
          <dPt>
            <idx val="1"/>
            <spPr>
              <a:solidFill xmlns:a="http://schemas.openxmlformats.org/drawingml/2006/main">
                <a:srgbClr val="2563D6"/>
              </a:solidFill>
              <a:ln xmlns:a="http://schemas.openxmlformats.org/drawingml/2006/main">
                <a:solidFill>
                  <a:srgbClr val="2563D6"/>
                </a:solidFill>
                <a:prstDash val="solid"/>
              </a:ln>
            </spPr>
          </dPt>
          <dPt>
            <idx val="2"/>
            <spPr>
              <a:solidFill xmlns:a="http://schemas.openxmlformats.org/drawingml/2006/main">
                <a:srgbClr val="D38B00"/>
              </a:solidFill>
              <a:ln xmlns:a="http://schemas.openxmlformats.org/drawingml/2006/main">
                <a:solidFill>
                  <a:srgbClr val="D38B00"/>
                </a:solidFill>
                <a:prstDash val="solid"/>
              </a:ln>
            </spPr>
          </dPt>
          <dPt>
            <idx val="3"/>
            <spPr>
              <a:solidFill xmlns:a="http://schemas.openxmlformats.org/drawingml/2006/main">
                <a:srgbClr val="1E7B4F"/>
              </a:solidFill>
              <a:ln xmlns:a="http://schemas.openxmlformats.org/drawingml/2006/main">
                <a:solidFill>
                  <a:srgbClr val="1E7B4F"/>
                </a:solidFill>
                <a:prstDash val="solid"/>
              </a:ln>
            </spPr>
          </dPt>
          <dPt>
            <idx val="4"/>
            <spPr>
              <a:solidFill xmlns:a="http://schemas.openxmlformats.org/drawingml/2006/main">
                <a:srgbClr val="D5DAE0"/>
              </a:solidFill>
              <a:ln xmlns:a="http://schemas.openxmlformats.org/drawingml/2006/main">
                <a:solidFill>
                  <a:srgbClr val="D5DAE0"/>
                </a:solidFill>
                <a:prstDash val="solid"/>
              </a:ln>
            </spPr>
          </dPt>
          <dLbls>
            <numFmt formatCode="#,##0;;;" sourceLinked="0"/>
            <txPr>
              <a:bodyPr xmlns:a="http://schemas.openxmlformats.org/drawingml/2006/main"/>
              <a:p xmlns:a="http://schemas.openxmlformats.org/drawingml/2006/main">
                <a:pPr>
                  <a:defRPr sz="850" b="1">
                    <a:solidFill>
                      <a:srgbClr val="1B2430"/>
                    </a:solidFill>
                    <a:latin typeface="Arial"/>
                  </a:defRPr>
                </a:pPr>
                <a:r>
                  <a:t/>
                </a:r>
                <a:endParaRPr sz="850" b="1">
                  <a:solidFill>
                    <a:srgbClr val="1B2430"/>
                  </a:solidFill>
                  <a:latin typeface="Arial"/>
                </a:endParaRPr>
              </a:p>
            </txPr>
            <dLblPos val="outEnd"/>
            <showLegendKey val="0"/>
            <showVal val="1"/>
            <showCatName val="0"/>
            <showSerName val="0"/>
            <showPercent val="0"/>
            <showLeaderLines val="0"/>
          </dLbls>
          <cat>
            <numRef>
              <f>'Dashboard'!$N$40:$N$44</f>
            </numRef>
          </cat>
          <val>
            <numRef>
              <f>'Dashboard'!$Q$40:$Q$44</f>
            </numRef>
          </val>
        </ser>
        <gapWidth val="55"/>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850" b="0">
                <a:solidFill>
                  <a:srgbClr val="5B6573"/>
                </a:solidFill>
                <a:latin typeface="Arial"/>
              </a:defRPr>
            </a:pPr>
            <a:r>
              <a:t/>
            </a:r>
            <a:endParaRPr sz="850" b="0">
              <a:solidFill>
                <a:srgbClr val="5B6573"/>
              </a:solidFill>
              <a:latin typeface="Arial"/>
            </a:endParaRPr>
          </a:p>
        </txPr>
        <crossAx val="100"/>
        <lblOffset val="100"/>
      </catAx>
      <valAx>
        <axId val="100"/>
        <scaling>
          <orientation val="minMax"/>
          <min val="0"/>
        </scaling>
        <delete val="1"/>
        <axPos val="l"/>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sz="1000" b="1">
                <a:solidFill>
                  <a:srgbClr val="16324F"/>
                </a:solidFill>
                <a:latin typeface="Arial"/>
              </a:defRPr>
            </a:pPr>
            <a:r>
              <a:rPr sz="1000" b="1">
                <a:solidFill>
                  <a:srgbClr val="16324F"/>
                </a:solidFill>
                <a:latin typeface="Arial"/>
              </a:rPr>
              <a:t>Stories per daily digest</a:t>
            </a:r>
          </a:p>
        </rich>
      </tx>
      <overlay val="0"/>
    </title>
    <plotArea>
      <barChart>
        <barDir val="col"/>
        <grouping val="clustered"/>
        <ser>
          <idx val="0"/>
          <order val="0"/>
          <tx>
            <strRef>
              <f>'Dashboard'!F73</f>
            </strRef>
          </tx>
          <spPr>
            <a:solidFill xmlns:a="http://schemas.openxmlformats.org/drawingml/2006/main">
              <a:srgbClr val="D9DEE3"/>
            </a:solidFill>
            <a:ln xmlns:a="http://schemas.openxmlformats.org/drawingml/2006/main">
              <a:solidFill>
                <a:srgbClr val="D9DEE3"/>
              </a:solidFill>
              <a:prstDash val="solid"/>
            </a:ln>
          </spPr>
          <invertIfNegative val="0"/>
          <cat>
            <numRef>
              <f>'Dashboard'!$B$74:$B$76</f>
            </numRef>
          </cat>
          <val>
            <numRef>
              <f>'Dashboard'!$F$74:$F$76</f>
            </numRef>
          </val>
        </ser>
        <ser>
          <idx val="1"/>
          <order val="1"/>
          <tx>
            <strRef>
              <f>'Dashboard'!G73</f>
            </strRef>
          </tx>
          <spPr>
            <a:solidFill xmlns:a="http://schemas.openxmlformats.org/drawingml/2006/main">
              <a:srgbClr val="C9A227"/>
            </a:solidFill>
            <a:ln xmlns:a="http://schemas.openxmlformats.org/drawingml/2006/main">
              <a:solidFill>
                <a:srgbClr val="C9A227"/>
              </a:solidFill>
              <a:prstDash val="solid"/>
            </a:ln>
          </spPr>
          <invertIfNegative val="0"/>
          <dLbls>
            <numFmt formatCode="#,##0;;;" sourceLinked="0"/>
            <txPr>
              <a:bodyPr xmlns:a="http://schemas.openxmlformats.org/drawingml/2006/main"/>
              <a:p xmlns:a="http://schemas.openxmlformats.org/drawingml/2006/main">
                <a:pPr>
                  <a:defRPr sz="850" b="1">
                    <a:solidFill>
                      <a:srgbClr val="1B2430"/>
                    </a:solidFill>
                    <a:latin typeface="Arial"/>
                  </a:defRPr>
                </a:pPr>
                <a:r>
                  <a:t/>
                </a:r>
                <a:endParaRPr sz="850" b="1">
                  <a:solidFill>
                    <a:srgbClr val="1B2430"/>
                  </a:solidFill>
                  <a:latin typeface="Arial"/>
                </a:endParaRPr>
              </a:p>
            </txPr>
            <dLblPos val="outEnd"/>
            <showLegendKey val="0"/>
            <showVal val="1"/>
            <showCatName val="0"/>
            <showSerName val="0"/>
            <showPercent val="0"/>
            <showLeaderLines val="0"/>
          </dLbls>
          <cat>
            <numRef>
              <f>'Dashboard'!$B$74:$B$76</f>
            </numRef>
          </cat>
          <val>
            <numRef>
              <f>'Dashboard'!$G$74:$G$76</f>
            </numRef>
          </val>
        </ser>
        <gapWidth val="40"/>
        <overlap val="10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850" b="0">
                <a:solidFill>
                  <a:srgbClr val="5B6573"/>
                </a:solidFill>
                <a:latin typeface="Arial"/>
              </a:defRPr>
            </a:pPr>
            <a:r>
              <a:t/>
            </a:r>
            <a:endParaRPr sz="850" b="0">
              <a:solidFill>
                <a:srgbClr val="5B6573"/>
              </a:solidFill>
              <a:latin typeface="Arial"/>
            </a:endParaRPr>
          </a:p>
        </txPr>
        <crossAx val="100"/>
        <lblOffset val="100"/>
      </catAx>
      <valAx>
        <axId val="100"/>
        <scaling>
          <orientation val="minMax"/>
          <min val="0"/>
        </scaling>
        <delete val="1"/>
        <axPos val="l"/>
        <majorTickMark val="none"/>
        <minorTickMark val="none"/>
        <crossAx val="10"/>
      </valAx>
    </plotArea>
    <legend>
      <legendPos val="t"/>
      <overlay val="0"/>
      <txPr>
        <a:bodyPr xmlns:a="http://schemas.openxmlformats.org/drawingml/2006/main"/>
        <a:p xmlns:a="http://schemas.openxmlformats.org/drawingml/2006/main">
          <a:pPr>
            <a:defRPr sz="850" b="0">
              <a:solidFill>
                <a:srgbClr val="5B6573"/>
              </a:solidFill>
              <a:latin typeface="Arial"/>
            </a:defRPr>
          </a:pPr>
          <a:r>
            <a:t/>
          </a:r>
          <a:endParaRPr sz="850" b="0">
            <a:solidFill>
              <a:srgbClr val="5B6573"/>
            </a:solidFill>
            <a:latin typeface="Arial"/>
          </a:endParaRP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11</col>
      <colOff>0</colOff>
      <row>25</row>
      <rowOff>0</rowOff>
    </from>
    <ext cx="6048000" cy="2692063"/>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45</row>
      <rowOff>0</rowOff>
    </from>
    <ext cx="4031999" cy="2232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45</row>
      <rowOff>0</rowOff>
    </from>
    <ext cx="4031999" cy="2232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13</col>
      <colOff>0</colOff>
      <row>45</row>
      <rowOff>0</rowOff>
    </from>
    <ext cx="4031999" cy="2232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8</col>
      <colOff>0</colOff>
      <row>72</row>
      <rowOff>0</rowOff>
    </from>
    <ext cx="7416000" cy="23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ables/table1.xml><?xml version="1.0" encoding="utf-8"?>
<table xmlns="http://schemas.openxmlformats.org/spreadsheetml/2006/main" id="1" name="StoriesTable" displayName="StoriesTable" ref="A3:X153" headerRowCount="1">
  <autoFilter ref="A3:X153"/>
  <tableColumns count="24">
    <tableColumn id="1" name="No."/>
    <tableColumn id="2" name="Headline (English or Claude's translation)"/>
    <tableColumn id="3" name="Theme"/>
    <tableColumn id="4" name="Relevance"/>
    <tableColumn id="5" name="Suggested use"/>
    <tableColumn id="6" name="Status"/>
    <tableColumn id="7" name="Assigned to"/>
    <tableColumn id="8" name="Editor notes"/>
    <tableColumn id="9" name="Magazine angle"/>
    <tableColumn id="10" name="Source"/>
    <tableColumn id="11" name="Digest date"/>
    <tableColumn id="12" name="Original headline"/>
    <tableColumn id="13" name="Primary source to check"/>
    <tableColumn id="14" name="Country"/>
    <tableColumn id="15" name="Place"/>
    <tableColumn id="16" name="Developing story"/>
    <tableColumn id="17" name="Google News edition"/>
    <tableColumn id="18" name="Published"/>
    <tableColumn id="19" name="Issue window"/>
    <tableColumn id="20" name="Keywords"/>
    <tableColumn id="21" name="Keyword score"/>
    <tableColumn id="22" name="Article URL"/>
    <tableColumn id="23" name="In Dashboard selection"/>
    <tableColumn id="24" name="Top-10 key (helper)"/>
  </tableColumns>
  <tableStyleInfo name="TableStyleLight1" showRowStripes="1"/>
</table>
</file>

<file path=xl/tables/table2.xml><?xml version="1.0" encoding="utf-8"?>
<table xmlns="http://schemas.openxmlformats.org/spreadsheetml/2006/main" id="2" name="ResearchTable" displayName="ResearchTable" ref="A3:M34" headerRowCount="1">
  <autoFilter ref="A3:M34"/>
  <tableColumns count="13">
    <tableColumn id="1" name="No."/>
    <tableColumn id="2" name="Paper"/>
    <tableColumn id="3" name="Theme"/>
    <tableColumn id="4" name="Use in practice"/>
    <tableColumn id="5" name="Status"/>
    <tableColumn id="6" name="Editor notes"/>
    <tableColumn id="7" name="Why it matters in practice"/>
    <tableColumn id="8" name="Journal"/>
    <tableColumn id="9" name="Authors"/>
    <tableColumn id="10" name="Published"/>
    <tableColumn id="11" name="Digest date"/>
    <tableColumn id="12" name="Keywords"/>
    <tableColumn id="13" name="DOI link"/>
  </tableColumns>
  <tableStyleInfo name="TableStyleLight1" showRowStripes="1"/>
</table>
</file>

<file path=xl/tables/table3.xml><?xml version="1.0" encoding="utf-8"?>
<table xmlns="http://schemas.openxmlformats.org/spreadsheetml/2006/main" id="3" name="SourcesTable" displayName="SourcesTable" ref="A3:I111" headerRowCount="1">
  <autoFilter ref="A3:I111"/>
  <tableColumns count="9">
    <tableColumn id="1" name="Source"/>
    <tableColumn id="2" name="Stories"/>
    <tableColumn id="3" name="In current selection"/>
    <tableColumn id="4" name="Average relevance"/>
    <tableColumn id="5" name="Rated 4 or 5"/>
    <tableColumn id="6" name="Most frequent theme"/>
    <tableColumn id="7" name="Themes covered"/>
    <tableColumn id="8" name="Google News editions"/>
    <tableColumn id="9" name="Latest digest"/>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news.google.com/rss/articles/CBMiUEFVX3lxTE9sUlNwdEcwMURBRkNDb3dEd0NfVFIzaG9RTUMtYkQ0dnNpT3ByQjFVWFJPYkhjWDNqOFlXNkVrOFk3VzB6NHB1MGtjU1Bfa0d6?oc=5" TargetMode="External" Id="rId1"/><Relationship Type="http://schemas.openxmlformats.org/officeDocument/2006/relationships/hyperlink" Target="https://news.google.com/rss/articles/CBMiZkFVX3lxTFA3VmNVcVpnS3U1V0ZuanVlb3VQdnhpaDN3NGlETGFPa3h5bURmWGJUUGJsdjh6SENpWGFUUHNGa3pMbUJNd0FndDBkakstVzV2b0U5bjVMOFRFVDFrTS1ob3RwTTZPZw?oc=5" TargetMode="External" Id="rId2"/><Relationship Type="http://schemas.openxmlformats.org/officeDocument/2006/relationships/hyperlink" Target="https://news.google.com/rss/articles/CBMizgFBVV95cUxPeUtDQ05KR3BiV2d5RkNjVUJSb29EZlZaRks5VlJvb1g3STk4dEliaDZ1Smt3Yk53bnFJdndubXJYN0xXZkNGV0ZpT09ZZVdmTWpWUHNpUFo4Z2hiTFFVQkVjaWJ5aEZOYnUzakhPNHVWVmx4U0V0c1ZBU1owYUhRLVNUNy12d1N5U3ZHOVB3bE5kOW5yRndjQXc2am5YUGdMbmJQQ19EVVpGTEJXLUpYTFY0QUpkS0FPZ0wxdDdLejZ1RVBGZkZaOEFQR0lEZw?oc=5" TargetMode="External" Id="rId3"/><Relationship Type="http://schemas.openxmlformats.org/officeDocument/2006/relationships/hyperlink" Target="https://news.google.com/rss/articles/CBMiqwFBVV95cUxQUVljZ2Z4NlVrQkw3RXVnMUxoZ1hCVjRvWjJ4TDlQSVRaaHF3RFRILUxNck1KQXB3RS1wTTlnZEhyMkxlMjBqR25udVNxVXZFLXRhX0IyX2VuUGJDTEl1a1RPUS1tcDRmd3hkWmpEQnQ4UF91dF9MY25OcEZ1czBzaXNlZFVuTjZxVVVCN0JKNVBtSmZtRUlvNV94Q1dzRWxuYlU5UXdGUTdaMzDSAasBQVVfeXFMUFFZY2dmeDZVa0JMN0V1ZzFMaGdYQlY0b1oyeEw5UElUWmhxd0RUSC1MTXJNSkFwd0UtcE05Z2RIcjJMZTIwakdubnVTcVV2RS10YV9CMl9lblBiQ0xJdWtUT1EtbXA0Znd4ZFpqREJ0OFBfdXRfTGNuTnBGdXMwc2lzZWRVbk42cVVVQjdCSjVQbUpmbUVJbzVfeENXc0VsbmJVOVF3RlE3WjMw?oc=5" TargetMode="External" Id="rId4"/><Relationship Type="http://schemas.openxmlformats.org/officeDocument/2006/relationships/hyperlink" Target="https://news.google.com/rss/articles/CBMi2wJBVV95cUxPaUpqb21fRVV2bFlHYU5ud1p3NFVmYVpIMWN4U2Z5S1lOS2lVWGpsb0p4ZnIwZUIxOHQ4OVNXTlhjTWg2Nk9CRTI4cEY1VEJRREV6SmxiQnliUF9pYmh4ekpfQUkwRGxsYW9TOFE1VzdxTDc5bmk2Z2RGbTduX3lIVDVrbFN0eXlualBsSFZ6TzJranBnWi1TSHlKT1FhTDQ5bFpwODI0RVhTVTlOYW9iNjhGc1puZGJkQ1kwUTdZb2IxY1FHTV9DRWFvYnJPd1lWb3ZyOTNxMVNRTGtwd0w0a0RXaFRRMG1WZ1RKUDk0OUJQMHJTN3VjNm5DanhLR3g3eTRmQm8tU1F0bm5EVHJCUkFvR05hejY3NWFPNmhmUkxSZlJFSjFOTVdLRmEyVVY1akMxdWNNSjUzSWhyMmVaTDE5cWhoS2NRWEdrTWVmdE80SUZ6Uldlb0VTZw?oc=5" TargetMode="External" Id="rId5"/><Relationship Type="http://schemas.openxmlformats.org/officeDocument/2006/relationships/hyperlink" Target="https://news.google.com/rss/articles/CBMilgFBVV95cUxNdFl6QWFvMFBRQ3hMOFc2S0hRdkIzNWViQXFZaFB1b2h5eEx5czUwbnhOeFNKX3MybWRfLVhhdlJjb0s0eFUtMDloNFJoUTEtb0dRRElGdllDbFVOejZFS0o4NzUwN2lhNlkyMzdlZzBCR1NpaXhKN1ZSZjZHRG1RV1JFQVpJRFNxQW1xcTBZWUMxWnVxRnc?oc=5" TargetMode="External" Id="rId6"/><Relationship Type="http://schemas.openxmlformats.org/officeDocument/2006/relationships/hyperlink" Target="https://news.google.com/rss/articles/CBMi1gFBVV95cUxNYUVkaGtnY09kNFJzUnNQUmFla3RVLUJyMzRiTy1aWGtEWmVrMWNCeFF0YWJBLTd1dHN2VVd2UlFNZGNTNWlFNUZOdU1RbWl0NWloV1MyUWZoOUkxOUhubWZqbl9IQndyY2VLTUFQZjV4RW55bmdWUHE0YmFXNnZDRHlLS0hiQTllQVJxQ1d2Si1VYjhtcWxmR05hZGJ0MzZONmlaX1VpZm41TWs2QXROM2p6a1U4cnViakV1TWRTNklwakJRdkpVZjBlNDJEVFVwLXRzMFVR0gHWAUFVX3lxTE1hRWRoa2djT2Q0UnNSc1BSYWVrdFUtQnIzNGJPLVpYa0RaZWsxY0J4UXRhYkEtN3V0c3ZVV3ZSUU1kY1M1aUU1Rk51TVFtaXQ1aWhXUzJRZmg5STE5SG5tZmpuX0hCd3JjZUtNQVBmNXhFbnluZ1ZQcTRiYVc2dkNEeUtLSGJBOWVBUnFDV3ZKLVViOG1xbGZHTmFkYnQzNk42aVpfVWlmbjVNazZBdE4zanprVThydWJqRXVNZFM2SXBqQlF2SlVmMGU0MkRUVXAtdHMwVVE?oc=5" TargetMode="External" Id="rId7"/><Relationship Type="http://schemas.openxmlformats.org/officeDocument/2006/relationships/hyperlink" Target="https://news.google.com/rss/articles/CBMi3wJBVV95cUxPSDh4cHZPcTZteEUtQTEtU2lZdGtHRUZiWDQwV192QUxleXF4TVZCTEY4XzR5Vmc3dmd1TEJxUFAxdy0yZjNBUzJ1cEhtTW9HRHhKUlRJdnp6SF9STE1EVnNRMFJYVVVWaDU2c0hCY00yQU9leVA0ZHpXaGMyMER1LVNuZHZybktTU2E0R0dfTkdMNnJMYjhsenNqT3diVGY5MFowZGNHNFIxVEg4S01LclRER0l0QW5BSUFDb1E4WndWcGtwYTZOX3BIZEZIaXNic2cyTjdGV09QNlJfVnJOcTl1WG5kTXEtZm40MXhJLVpQdktQanlCcThBeXl2VHRDSGxQc1FrZ0hYTkpTRUpmbTNneVdxS0tvaGtxNF9PVWRBaHBPUDZBSEVkTk5qOHdtMzV1a0Zncy1HQ19NQTlDSnRLQ2dtU184WC1obWEyQUFaenoxWVFCRnpFazFCTkk?oc=5" TargetMode="External" Id="rId8"/><Relationship Type="http://schemas.openxmlformats.org/officeDocument/2006/relationships/hyperlink" Target="https://news.google.com/rss/articles/CBMi2wJBVV95cUxNSldHQkhacnFXOW9uNFFPVC1kbkdZbW1KcVhfbjZGdGdIZFhBbmd5SjVCeGRtOW5vdllWQmFwZGo2bTdNOThuVmR0dkNDSjNMVHZQYmVSNldnNWhjRlRQR2VCTU0xSmZ4N0hJZ01XUGN0ZGI0dWtTLUpkS0poX3ZxRnVpY3FLLVpYQWZxRVktNFhjeVpwTXU5WWI0RGY3X3NhUG9UVHByNnFLRkpBbmxwYnE2Y3VUaWhZU0duOVlzNDk2YWNrVGsyOXlsREV3V3ZYM0o3ZVZXUk91Z2paQ1hlWE9haGZPemIwbVdvWjZLbTNjNkUzQlJNUmpDeTVQZTQxQzI3enk2UU5RX1lxNmlfa1NudG45WjE5SlotTXlaS3lhdW5MaEtwTDNESnVXajkwak04MUwwYUZiYW5FMHM3S2xSRTZKbGROazZQR0ZzS055aGh1Rl9Nc3pCdw?oc=5" TargetMode="External" Id="rId9"/><Relationship Type="http://schemas.openxmlformats.org/officeDocument/2006/relationships/hyperlink" Target="https://news.google.com/rss/articles/CBMi3gFBVV95cUxQS0l6Zm44UzhLZWp1WEhEeDlhUDQ4YkJaaVMtcTVRdUZqV2N0YU9VWmFRb1Q1Q1dfdW12dFBKUTU4aHViU0NKOENyY0JKM3hQM2pxZng4QzlDMG45WVhydDJybkdZQ2tXY2VxUEdnTjRQSGFNZjdubGQ4UFlrYVhhVFhTMTg4SGszQkFMVDlha1lmdFZyVXBSYTJ3cENnN1RvQmtmeU9KZGlGcHgxeERaNC11MjVLeDV4eC13R090RnhHc0RQWFZBalRYNktRdVRpbHFWN19FR2NYeGx4dUHSAfIBQVVfeXFMTVEwQTl0MUFJZ1VtQXlLalgzS3BXTjFzVmJFeUFmU1BqZVZnY09VQWRCeTZTenNtLVBUT2JPbVFfZ2tGSzJyekF5Y0JWRUF6Sk4tdi1wN1FieTZUNEM2U2hJcGZBTFJNdkY1aDNkckc4Q0hFa2JaRFhDWVBMNnkzS3Nya2QzYVJRanVsVXN1MGUtTjJYTjNVNGVNWHR2bml0Q2tUSFhIMmR5c25XTmdlMGZ6TGVCc2ZHUW5XY1N2VXFUSUtzNUZGdlBpZFVGeDVjUl81QzVBTlhMOWd2eFJUNWdUOHhCZEhqR3pOYWtHRFBKVGc?oc=5" TargetMode="External" Id="rId10"/><Relationship Type="http://schemas.openxmlformats.org/officeDocument/2006/relationships/hyperlink" Target="https://news.google.com/rss/articles/CBMiyAFBVV95cUxQd1RPVUlZbTlJeGVMQi1xZjBBU0RZUVZnMkNFRlAtTzZVUTdXd3RWbTVGTDc1b2lnb2haM1YyM0pQQVF2MHBVMFZvdUpEN2hzQ2prQWhVT0hYNmxwZG9yQVNBWlF2SUlPbFpJN1VrdWNYRGRNdkJJejJReEFwZ080WUs0MTh5NHB1a2hJcWdOdWZpYlJscUg1RUhGX3dnRkJDazhMOUZrQ3BVQk1BNVJLZTNfUndUMXJEU05vd1NYSmkwYVpsdGowVdIByAFBVV95cUxQd1RPVUlZbTlJeGVMQi1xZjBBU0RZUVZnMkNFRlAtTzZVUTdXd3RWbTVGTDc1b2lnb2haM1YyM0pQQVF2MHBVMFZvdUpEN2hzQ2prQWhVT0hYNmxwZG9yQVNBWlF2SUlPbFpJN1VrdWNYRGRNdkJJejJReEFwZ080WUs0MTh5NHB1a2hJcWdOdWZpYlJscUg1RUhGX3dnRkJDazhMOUZrQ3BVQk1BNVJLZTNfUndUMXJEU05vd1NYSmkwYVpsdGowVQ?oc=5" TargetMode="External" Id="rId11"/><Relationship Type="http://schemas.openxmlformats.org/officeDocument/2006/relationships/hyperlink" Target="https://news.google.com/rss/articles/CBMiwgFBVV95cUxQMlJUSUZORHF4STQta0JTUE5jbGhUeEU2WjdzTTNtSTZZZEprbEpLX3lzS3ZEMTd4YWZhekVGaUJsVnJWUml5M3lMTjlNS0Z4UjgyMUUxZlpWMlB1R1FCWGt3MEczZDZ0Y2YwOVRhd01GUk9ORlJZZklUR1I0SnhwbmM3eGdod182eEdWZHM2dkQ2V1hLVTlwaTl1eVJ1dE4ycVlxd0pYWUlab2M4VnBVcG5EU0dRZVBZbmc3UHVkMHRrdw?oc=5" TargetMode="External" Id="rId12"/><Relationship Type="http://schemas.openxmlformats.org/officeDocument/2006/relationships/hyperlink" Target="https://news.google.com/rss/articles/CBMixAFBVV95cUxPYTBqYjFndGYzaFJ2VUxqdjg5SW5FNXZZczhJcmVKSDBHd3pQWThlXzRJc25mQVQzR0ZMdlg0eENhY1NkX3VTZjZJeGxhblFaRVhQWUd3UnEzTEFXVW5OZWM4QVVtR1k3UEk5bjVkUlNfcW1UTThGbTNBSEFCcEZ3S2Y1eG95dndkeHBlUF9TXzd3U1FSTlhreU1ZZGFtOWNUY1lLWnp5OE5wcUp0cGQ0TTdNWUJaOU1WNnU0cWJnMlBTUzVC?oc=5" TargetMode="External" Id="rId13"/><Relationship Type="http://schemas.openxmlformats.org/officeDocument/2006/relationships/hyperlink" Target="https://news.google.com/rss/articles/CBMi0gFBVV95cUxQa2swTlk5dXpVVXAyeTNwM3ZqaExYMnhyTVdFOHA2bFhnaGpsYlAyYVlKdWxndHFvNEdrOEF1cFpSaE1wbm42MHd1UUVVNkdwclBzai1hTnNGV1JsdEttRms5SjdhUWtaZ2Z2REtHb09WUUZWZWFuZ2UyRTFzLWk3YjFFRnlXRGFuaGhGenBMekotdU1UM3NWcW5vYWtvRk9fUUw1cXl0alU1S09FZWhfUjRNV3dTZ3cwMlFOYzlYRnpQcXpseWkxQXo2NmJ0ejBJR3c?oc=5" TargetMode="External" Id="rId14"/><Relationship Type="http://schemas.openxmlformats.org/officeDocument/2006/relationships/hyperlink" Target="https://news.google.com/rss/articles/CBMirwFBVV95cUxOVGZ5TmMxZlZmTTc2cjhZVXVvUlhHbnQ2VFhzbjFUck9PNkVDY01Lc2dYN3lLZVlXcUVkV0hhTmtOSkl4bnlVblNVZ0dlM1h0dVpia1RIcDV6YU5rRW5icDB2Z2RFRGZucFFRZ2J2UUpWSlB4dEFOTEwtaUtyQXhqQkNZeVNGZmtJV3JORy1VN3ZvV1JzSkdXbk9kNVkzb3FLRkVRdEtOdkYxVThCNmtZ?oc=5" TargetMode="External" Id="rId15"/><Relationship Type="http://schemas.openxmlformats.org/officeDocument/2006/relationships/hyperlink" Target="https://news.google.com/rss/articles/CBMirwFBVV95cUxNdUtXS3JxY2xtSXRmMkdCNVY0V1lYazB4VlM5aDV5TGRxUTFuR2RZYVB5Z282YVJVSzZIQ3d0VHhOaDBRVU9WZUY0M2VQWEFRb2lfWmNLcEZRZ2U3RTNVOVVDM0NnWVVxc2NEdEpYRll1TDk5d3FkWXltZXVGa0N6Q1N4bEFVelBqY3BGb0xPSzRNMUJGdVRaR1g0bGJyS0paUElYZjBnanFQeTI2aVZN?oc=5" TargetMode="External" Id="rId16"/><Relationship Type="http://schemas.openxmlformats.org/officeDocument/2006/relationships/hyperlink" Target="https://news.google.com/rss/articles/CBMiywFBVV95cUxPTmRGcEVybWVjSzRpZ1pvMmZqdzBKQnJQVXR5YUpwNmVzclVUaGdnZVVhUXJlcHBVaGFSR1R0TXhKc3BTSXJuS1Ryc2FabjN1UlQyalJ2XzU3cTd4aTUxS0VOVkNfRnlIZXJFMld6UFNwVlVWVUwzWlRfX2trZk51aDNaUGpLeE9Td0xWYVJURTBFaVZlcm05bGxFWjNQZzJtekJNZFhrNmlfZEIxQmtzQjhndTlHclkxNldIbjBMMHhFMmlSOTNSbmlNdw?oc=5" TargetMode="External" Id="rId17"/><Relationship Type="http://schemas.openxmlformats.org/officeDocument/2006/relationships/hyperlink" Target="https://news.google.com/rss/articles/CBMi5gFBVV95cUxPSnh3ZEx6N0ZTcnlzekRyS05rY2djbEVfZGs3cmttMkwxTU56V3pIbjNsanNsQ2FBdGtoMjZPdlRUcjNVZ2FyUVVrWUFsWGctMGVYQzYwTlBkQ0t0dm9UOEdkRkVSeTlkazBkUVdpNnVlbHRVU3hYNkZqdWRMVENoNWx0YXdybnRhWUttam5kX2FRUlJxMlRPS0ZIc09WUnRhSzNseDdSaWJLSEhrYWUtLWczUkNKZXJGQ2xOVE50OHBWVkZpZWZTdHE5QUVQQmpTcnY1OXVEVms4NXhpRjR5aEhRWDdpZw?oc=5" TargetMode="External" Id="rId18"/><Relationship Type="http://schemas.openxmlformats.org/officeDocument/2006/relationships/hyperlink" Target="https://news.google.com/rss/articles/CBMipAFBVV95cUxNUnM2My1keW1jZUFFWldaOGdueXdRemVGa21mVnNQU0w2bzRaalVPSWJVVGtCZms2OGkwcnlYTGR3ZzdaWG5UMjVOaXZhN2FSOVNzSVJKbHFBTU4wTEFSOTE5WVctQUhKdTR5bm1FQTQ3NDBJX2RsRWN5d2REVG9wOFJja0FOWUNGS0tvSjJFLUhwQ1BYR2dfMUQ3dzZMTWREVDZ5etIBqgFBVV95cUxOS2xrRXVVVlhvZUZLZkFpS1lWUTBsOVZHNHpyaUFiU2h6aE9Kdk1xeHUtR1ZRS3M0OFdQYzlWVzJwbjV5QTNydXNxT2xDMERONXBqQnVMZEZpSnVXdkFDcTU3ZVVOdXdKeEJVckFFRDlIT2hDaWdLdnZ0M19nNWdVZzhta3V2Mkt6bmt2RG9jRkwyaGVaMmYwZVVNTzNSR0VVNzZ3RGZ0ckl1UQ?oc=5" TargetMode="External" Id="rId19"/><Relationship Type="http://schemas.openxmlformats.org/officeDocument/2006/relationships/hyperlink" Target="https://news.google.com/rss/articles/CBMi5AFBVV95cUxOb3NDdUN3Y3VHbl9BSE5xZUcwQkduTVRNdFQ0dlM1eUN3V0VyRzNYWDQxa0xaZjNUdkZjTmd4dHVBaTRCOXRCNUU3VTdTSnhGcms0X0dTMkZnMndqOEpWdFVDbXpUZWxGc2tJb0NkQ2JNMWV1dnBxR3BWYm5Ga1pRSGxMUDFuTkp1aEFyM1ozSHRkOVFFNkdGajNOZVJTSlp3OTBCT3d0NTFPMWJyemhtaGc4RmMzYWs3MWNvcHpIVHdsOXRuZF9HWnAyUGVLWGRkUW5jV2pPbVVnMzJ0bVRGY3ZDRljSAfgBQVVfeXFMUGk0TVN2aUMxUUhXYnN2SklCSmRvcm41R0pVSUNUV2s5Tkg4b1FEeldzbk13QVZsX3RjcFFobDlld1VrYzF6MnNJWVV6Y292WDhOSGZuMUdfV2E5OTdMamYwcWJTY0pHb2I4VzdsTWw1anBEWGVJanF1ejBpVHZVQnlBYzZOanhQb1lkTzVNYXJHbGttLVNNcG5oZnpzTFA2U2ZZYkNjNnl4MGxGMi11ZEZRUVNwZUpkTV9raVFVZGFHMWY2amVXd1VXRHB3Q0NIR1BCNmhBYmZ6X1VyVXBuNlhhQUFIR0NLd2dMNU11REotX0o3UWlPTlc?oc=5" TargetMode="External" Id="rId20"/><Relationship Type="http://schemas.openxmlformats.org/officeDocument/2006/relationships/hyperlink" Target="https://news.google.com/rss/articles/CBMixgFBVV95cUxQaVhsb1NSUXVneU1mZ0s1bXFVUHlEWjJrd0ZFa3FCeW1rYjVLeXBWcGxWSUJyM0VBaS00ZU9naFM4RGxYa1N0MUtGRlJMMExzZEJ2MXRoWnZnd3FCWHFwbFFna0xwUmhST3dab0NGNllRZGxyN1lENkJxVnhpa2RUcEdLWndtZmRySGw4RjlmU25ocmQ0aWJkQ1RUU0ZWSjlhZE9KYmpyUWhkOXdEbU9pc2RZc1dIVWxMQUloOGZCb3dWWDAxZnfSAeABQVVfeXFMUHV0bkZyU0hXY0RQTDdYd3g5M1d4QkxUYklYQlgxOFlGVjQyUTJwVVFVQTE3QUh6NzUtbVpfSkhjVW5kQlA5RW9nemlfNDBWQzJCRE9FY2xfZ19velh4a29NdkNlaEJJdGIwOGV3bW1zY1VCenhhd1VRRncybE9UM1YzU1ZrSzdWY0JTM1hVZVRmTDEySFFWWloxUEptSDV3MTVuOUdHTmFGZF9pRzBfM3E5YTNHSVkwNnRCc1NqMUU4LXl2SWlwMjByRWowN2FIc2lIb3ROWmVNZDRBeXpkY0g?oc=5" TargetMode="External" Id="rId21"/><Relationship Type="http://schemas.openxmlformats.org/officeDocument/2006/relationships/hyperlink" Target="https://news.google.com/rss/articles/CBMipwFBVV95cUxPWHFDTVg5S1Z4YURHWFE5YjMycWRyYWNObmRLUVRMV0NsN2NGLU0zeUx6REd2NktKajNUOTdNZGxqcjNWWmE1NGk4WWUwck1DTUNvY0pOa2xGNDBIcWc1SURyXzFQZHpCbVQwY1JyMVpNRmVMdzgwd1VpQU53cm96cUNoM2pEQmJkQ2VBRVBtV1hpZkpDSE12aGNLYndSckl4V1ZTOG8tQdIBrAFBVV95cUxOMk93aGFZX1RCd045SlQ5d0gwOW9vOG1Sem5IYW9URVY3YTdOUnExWU80QlVnYU5wUDdaN1Y3SXlvS3pLT0FDcGxWbVc3N2ZPUXExVTU5LTZBNk01bFltYUVSTFQxSEZYMG9seXV3UUx2cXAyRUlFcHBLZTF6bmtIXzJHckt5Nld3TUJRbmJJTzBiTUMwQ1RabnhzR09hUUt6OXBoR3R5ZHY2MFl5?oc=5" TargetMode="External" Id="rId22"/><Relationship Type="http://schemas.openxmlformats.org/officeDocument/2006/relationships/hyperlink" Target="https://news.google.com/rss/articles/CBMirwFBVV95cUxPVnhmNG5qb2FXNFprTmtzdnowYkYya3RTZ0I5VlZsWVJ3OTdsMWlkZ0hUcWlOQks1YWEycFhLWUlzZmhaREN3VUQ3REhuUklsX3k4M3J3QzFRbl9JaWduTlRqby1Rem4tYzhqUmtxUFVZU1BOQ25NTUxqZ1BOdzJzX3BYaklQaWV3NS1LbkdTY1ZhNGtSbkZrS2FabmpSWEtpY1BSV0t2S0hSZFYxOWVZ?oc=5" TargetMode="External" Id="rId23"/><Relationship Type="http://schemas.openxmlformats.org/officeDocument/2006/relationships/hyperlink" Target="https://news.google.com/rss/articles/CBMi-wFBVV95cUxObzhjLXYxeEhDM0hkcVE1YVNRNzhhVGMtQmpuYlBnV0d2Ykk4XzR6QjJKdFR6Y3lsUjZrSlNYSW5fTnlFdHVtN21PT1NQZW5jS3FLMk9obEZ5cUxOLWlkcjlYTjA1VGo3aW9yY1VVaEdyUFVnNmhhZS1vNVdXLU1neDBzdlZYZGtGb3FnelhGZXVOUk56ZnRCQ2hqdmc5VWV0bUFxb1AwTHVRYWhQZ2hJamN1QTgzZExkdU5VdE0xWHp4OWJwQl91YkNDSlFwQ1hITm4xVl96Wm0yeVVEcHdCRXkxM3dVNEZDd19GRlNyUUxmZ0JZM0JLZE9YY9IBjAFBVV95cUxOck1uV2p6RDJ3VXVOVkI5ZVFtYzVuYkt1Tk1QVklFcHZCY3lDZVJ0cm1OWDh6VlpiMGlTaW53dElkUkNyRnE4VVlMYmRtSGR3YXItSTJ0RmZnWmt6UmR4anN5amw0emlSUU5NdHJoWVc2aHd3SU9kTVdjNGZQN29PanZLTk1GVndudnVqVA?oc=5" TargetMode="External" Id="rId24"/><Relationship Type="http://schemas.openxmlformats.org/officeDocument/2006/relationships/hyperlink" Target="https://news.google.com/rss/articles/CBMiwwFBVV95cUxNWFA0THhERThMM2RnZS1WTWRDUVZOVUxEN254WUFHdEs5a0dfZGtINWtuOHAxM1I3TXRPak1xRDd0ZnZybEVWbF9BVnFaQVltSThXb3NHelk1ZVozMTAwcXJVMXF5cGZEREpPN2c3Z2gwNHNxSHVhZmlLNzluWGk1bERUTGlGVlJGejRLZVVIRDhfZ3VvSm9HaU41U1RZYkFLX2pJUlZoSE0yY0wtQ2FfdzMweXVIb29iWVJFUV9jclpNM3M?oc=5" TargetMode="External" Id="rId25"/><Relationship Type="http://schemas.openxmlformats.org/officeDocument/2006/relationships/hyperlink" Target="https://news.google.com/rss/articles/CBMi9wFBVV95cUxNb2RuOGhRdXFVMFdkZGFBRy0tQVZUWlMtODhEZzJpMzJicUFacnBWTXpkeEZ5YTdTMmxmbFNoUDRaWFdKVmdJZFJtbnJtc2p1ejBxbWR6OUs0ZkNSMlJhX0g4NEplZHdndFFITWVjeEF5bnNpZkNlTlBPWEFRN1FRNktCZXcyU1Fha1l4dXc3VHo0TVBsU3l0R2hob0NNYWtIeVM5YUNhVTNHWnAzUHozc0dsNmxLZUgtYzhpR2VubDdJMnF0aHNwdi0zd3JpXzI1Wk5hbDdyNnVmUERYQkFYSUV4UWRnR01GZXFIRVNENzZYTWpJSkFv?oc=5" TargetMode="External" Id="rId26"/><Relationship Type="http://schemas.openxmlformats.org/officeDocument/2006/relationships/hyperlink" Target="https://news.google.com/rss/articles/CBMi2wFBVV95cUxPMTNJeGdhN2Y2Q0lMTlZlU2UzUHNVTW9udUMwWEZXZEJiYThReDRFODE5NmRlZE1vTXFfOU5zV1FwcFVYVV9pRGFmT29SWDZ0Ulk0R0ZEbWZDdlB5RTBuSXRHSndyMDA3QlliNmNRajRoUjBscGdWVFRRVFdNRFdvTVBvSUZlMjVYSWV4NkhnTFkyeG5wRmdZVmgweGV6LUp3X045OVJsZ3F2ajRRa2ZUeWFMdEFGX0szZlBnel9ZUkNrdkRYcWRzbUZUZ0t4WTZBTUVnLWpBRjVrcG8?oc=5" TargetMode="External" Id="rId27"/><Relationship Type="http://schemas.openxmlformats.org/officeDocument/2006/relationships/hyperlink" Target="https://news.google.com/rss/articles/CBMijwFBVV95cUxOZGhPdS0zY1BmbHVzOUNQZWR0dkZCZ1VuRVh3NV9mbF8wdGY5aVEwTjhNdkIzdTlnM2cyWmZCUDdIdzVab1hFd3ZNZjdsUWlVc0I1Z2xyVHhEbHFGRUtNTWp2dVZIREx6aG5ZaHlXQ3hwdC1lb29YYllJbzNxZ29LX1ppUFN6a2w2WHdZaTlkY9IBlAFBVV95cUxNakMwc3pUZG5mUlZjWVZPa1VyNG5UN3U2NTkzRGRENXZpNUJSZThYZ1lJNGVjUnZvLU90Zm5rdVpEa2tLMmtVUlB1bUhSSjhtalpjZlhXQ0phYnFCdWRLOFo3cmJtZWtKVDRETlhYSWVaRzBRTEZiNHhvNUxVZDUwTGo0MlNvVVlLeW5oY3R6aVF6bldL?oc=5" TargetMode="External" Id="rId28"/><Relationship Type="http://schemas.openxmlformats.org/officeDocument/2006/relationships/hyperlink" Target="https://news.google.com/rss/articles/CBMibkFVX3lxTE5lR29sc1VXZDNMZjlCTmhhNUxXVW95WURmdk9VVVV5WC1xazJDUnl0dzEyRGI4cURWUTVJWnNrZzg4NEQ5NGcyLUMyeHNreU5MdlIybTNjTzRYaHR5SDlaNzdESzVLeXBWeTMwNU9R0gFzQVVfeXFMTkZ6a1ZKdVo4Zkx2Z1kxR2ZpODdUQ0xvWXBUbWZFa0FZMVA5UF8zSUFQM0VKRDE1emx2dWR4TElPNXd5ekhCY3hzdWhnc1l6YWh3cUFZTTA4bklaN2ZPWW1HdXVHZmthS05XUExZdzhNdVR5UQ?oc=5" TargetMode="External" Id="rId29"/><Relationship Type="http://schemas.openxmlformats.org/officeDocument/2006/relationships/hyperlink" Target="https://news.google.com/rss/articles/CBMilAFBVV95cUxNSHZ2QXBIZEZ6bnJfNURvNG8xZ01rMkdnY3UwSGY4cjB4ZXpCcmRBSVZtQUprTExRNVlmdnE4Q0pPcllIZmlhYjN1WV9qejJVYzhIWC10QTFzcjdQc0gwbDJsamIzMVdxZVBiWjhLVDY5X0tOZEFqQnBITF84M2hyNkZmUmY4czZIMDIzRjgyaVBVQXBJ?oc=5" TargetMode="External" Id="rId30"/><Relationship Type="http://schemas.openxmlformats.org/officeDocument/2006/relationships/hyperlink" Target="https://news.google.com/rss/articles/CBMibkFVX3lxTE9QQVZhX29ySmV5Wk9oVElzYXZVaUdkc3NkcERtSm5RZEVEZDNWN0pFUml2aC03WFNHRWJRRUk4YXY3bExHLU5iajZoV1V3Tm1xVVRBVmRWZklRN0thMDNfUUJTaFZLZ2NXWXRwRE9R?oc=5" TargetMode="External" Id="rId31"/><Relationship Type="http://schemas.openxmlformats.org/officeDocument/2006/relationships/hyperlink" Target="https://news.google.com/rss/articles/CBMibkFVX3lxTE1WQ0c3RjRvbm50dlNYYi1UcTNoTDRQbllDZzJ0X0d5NVVkbHdMdmNNeGNxZmJPelQ0T1V0Y291aVF0Tmt2bDFEbDZyeWgtZXEwZ1NRQ0oxVF9pN0tTbnZYWVhDdFVBbE9obFRhSHNn?oc=5" TargetMode="External" Id="rId32"/><Relationship Type="http://schemas.openxmlformats.org/officeDocument/2006/relationships/hyperlink" Target="https://news.google.com/rss/articles/CBMiWEFVX3lxTE40bjhiX3RGaTgxc0h6UU1ENDdRSGFlNkRMOTdvakVpalctY3B2bW4wYjNNcno2UHNrNVItVmJGZHB4aTdOX1ljNjNJUnJVbk5DV1ltRl8tN3o?oc=5" TargetMode="External" Id="rId33"/><Relationship Type="http://schemas.openxmlformats.org/officeDocument/2006/relationships/hyperlink" Target="https://news.google.com/rss/articles/CBMisAFBVV95cUxNc3VaQmhHTlhIY2tzZWlvdlE2ZjhlZjUxSkstajdvbjR1dmh1Y0VKRUZMQlc1M015SlVGSkpmWERfakdzVk1sbjlUc201TVdoMWhxbGM1WmxPZXotRXk5WWpraEJKRUM0a3hlN1hxNnVfcVRYU0tZMFR3RXd0OURHLTBLRGlISmVHUURaZm9TRmlXUzBaRDRDc1BaRnMwSnhlOVM0SEJZckE3T2ZrWGVDZw?oc=5" TargetMode="External" Id="rId34"/><Relationship Type="http://schemas.openxmlformats.org/officeDocument/2006/relationships/hyperlink" Target="https://news.google.com/rss/articles/CBMilAFBVV95cUxPcnRNQzY0bndiRjZuWTR4SzEtdjFNZEtFOGxBVVI0dml6X3NTVE1Fa0xLSTg5X3ZkNUQxQ1lMNjR5cExKcDd3RU51WHFVMGhfNndZZFhLSk5XTjNodVFqYy1Bb2ctXzl6NTV3VDEzSXZ0VnZHWWhnSHNTenRoNEt0TmxtMnZ5bDZnZGJnbXBUbzY0d1pF?oc=5" TargetMode="External" Id="rId35"/><Relationship Type="http://schemas.openxmlformats.org/officeDocument/2006/relationships/hyperlink" Target="https://news.google.com/rss/articles/CBMiqwFBVV95cUxQc0lQODA0QjMzSXAwS2psWC1SN2Nld0pVODkxZzhrcEZHQUU0aTkxd1ljM2p5MVdoUnhMaGY4bzBmVlpZQlNtZlUtelJXb0ZFcmV3ZndyNUEtZUJiMzBqRC04ZjZabThfWVdwd0VfLWFBMjQyZnhkRGlRUEY4OGVPbm9MZGRleFNDcU9xYzVmeEpSZmRJb1FtbDk5TFU0dUN5MWJVTl9vd0wyZTQ?oc=5" TargetMode="External" Id="rId36"/><Relationship Type="http://schemas.openxmlformats.org/officeDocument/2006/relationships/hyperlink" Target="https://news.google.com/rss/articles/CBMilAFBVV95cUxPNEV1bllwT1R4cXk3NlhndEdqZm5YWXAxRXl5LThrb0dzbEdqdTJXRVB4VDMxN2NzSGtzSHR1RmxhYUdsTHVHaEJLNmZ5NTNWajhVT2VabHhRMGNCUTZDZVZRZVNmRThEckdaNVdWbEJPM3FYS0NVVDhKTlhTUE9HODdHWFE0SUpCQnE4d3N4Y0E4cldj?oc=5" TargetMode="External" Id="rId37"/><Relationship Type="http://schemas.openxmlformats.org/officeDocument/2006/relationships/hyperlink" Target="https://news.google.com/rss/articles/CBMiqwFBVV95cUxNNk1QTEtuRDhRclJYR2xZaU9jT0J1VkIzbmhhZlZJS3RzaXBXbTdwS2I5WU1LaTdSSFdUbGZVWUpkRm9vRm9yQ2xIem9kbXExVDRkLVVrZ0J4R1dwaXZScWtpNHJhaU5oTW5iQkFyRmhkd2pmYXdMUHhIUWYwM05YNnRWdS1DZUhlNGJUWWdjN2M3amVXbXQ5VGgxMXczbzhVUFg5YWt1RnAyb3c?oc=5" TargetMode="External" Id="rId38"/><Relationship Type="http://schemas.openxmlformats.org/officeDocument/2006/relationships/hyperlink" Target="https://news.google.com/rss/articles/CBMirwFBVV95cUxQd216OXIzbVp3NEZ5M2ozejBVWktPYmoyd29wVVFEQmRLbUU1RWZ1Yi0zUGR4bUJCZV9xYmxDWTdqemFNcmM3WTdmUlA5M3RHcGtwLUQwYkxDUXNWUFdUbXo1SVZpMDJQTllFYjJBVG0wTF9iTkZrWVFLaXRNdU9qRjBuaWlWYUlBMUhNZ0xtMzlFNURQT2cxblRyRV9HYlBob2JQLWVmbkR1Z2MwSEJj?oc=5" TargetMode="External" Id="rId39"/><Relationship Type="http://schemas.openxmlformats.org/officeDocument/2006/relationships/hyperlink" Target="https://news.google.com/rss/articles/CBMi1gFBVV95cUxNa1J5Qm5WUEhnak5mVkZhS1RabHBudEcyUkE4LUJESjgxRFg0T1U5emFhZVh2LXpZZFQ5eXR5S0Q2TFV5TFpuMWJHNGt6azN1R2plbVkxdTNnbzVRWTdVSDBHNk1La1FweTQ4dkxhb1BjaTllVmRFT0t4dzdEbzZXZjBYWnlJSWQxVXp6ZFhsWmVabk9KZmtlTEtuQmwza3pDQ0tpWTBzVkxKbTNtRWtoMlR4b01VUDVoMDhrNC13RGhqbnRVT3lVekdNV1NpRWk3cDNzSWNB0gHkAUFVX3lxTE40VE5KUjc5OGJtZk42dG1aVzEybU9fZ2N3NFFLTE9ab3pocGdScGh5S1otd1htVUIzaThZODV0Tk1ISHkzaE95T2I0M3lFMDQ5X2Utdnh1YTVYU2phMEhiNmJfZkhMX1dPZVBIRDZwdG5sRG82Sy1KWERDemVVUklWOE1sM3RNQzJoTjlrTW5QQUpDSUxTVmxGcGJtak80NHBFYjhwaF9na0Z6b2dENVdZUGNfc2dkdlBZcVhZZlBQTThlUjI2WlZGcDFOdWtfTGV5SlhJYWo1QndYSnFwLTFqSjYtQQ?oc=5" TargetMode="External" Id="rId40"/><Relationship Type="http://schemas.openxmlformats.org/officeDocument/2006/relationships/hyperlink" Target="https://news.google.com/rss/articles/CBMiuAFBVV95cUxOS3ZyVDhPWjk5Z1J4dkdFbndrWTBBZXd6UUVHM3lxUTVMQkZOSjk0N2VuSlJCZ2hJSWd5cW8wOGN3VWZSTzlqTnBWV0RZbTFSNWNxaWtEUXhhTkZzSGNZcTVSUnNDQ1VGNHRnelFZblZwbTZtSjl2UUhLMEdwN1k5WlZaVWdtcTVkdnpIRE41eTBfZjhqV3d1MTNLeldNZGg5ekxTMjRORGZOajBPRng5cTJ1QUxMSEhB?oc=5" TargetMode="External" Id="rId41"/><Relationship Type="http://schemas.openxmlformats.org/officeDocument/2006/relationships/hyperlink" Target="https://news.google.com/rss/articles/CBMiR0FVX3lxTE94OUJCMW4zNWdhYkRhdHNyanpLUDRXZ0gtZERXYjNCdnM0X3Z0WnV3QlVaX09kem5CMko5Vy0wamJTUnZkWjRB?oc=5" TargetMode="External" Id="rId42"/><Relationship Type="http://schemas.openxmlformats.org/officeDocument/2006/relationships/hyperlink" Target="https://news.google.com/rss/articles/CBMioAFBVV95cUxNcE1vSTkzcnVFZHlScldIbU1rdk51ZlN2WHZhNVRUWjdETmhvYmJyNVdKTjRBdENnNk83d29TZTVEWngweEs5LUlKeFZLRFBrQWFIMWk0MWJtVjdFVkhJX3FfRGdzckVFdnBISVhmb2hiUmFNaDM2WURmUE9tUmNiUFNjM3FhYW9NSmNteTZRUmJMV2VPekk3SFlIaWU3X3JH?oc=5" TargetMode="External" Id="rId43"/><Relationship Type="http://schemas.openxmlformats.org/officeDocument/2006/relationships/hyperlink" Target="https://news.google.com/rss/articles/CBMi2wFBVV95cUxQYlB1TFpreUsyaGpXMjRFOFRPSFBBR1R5QmxiMkxzMS1vbW1vNklPRk1kTUFtekZFOGt0aEdKc1c1ajRDN20yLTl0Ym1JUXBNanctbXF3OVlMUi1iOVo3WDRMeUR6a3RuQnZXNWgxa01JQThSaGZoUlFvZ19fZXM0MEo4ekJMbmpSRlVLZGtmaGczbEFOZ0tYdzNBNDZsUFJZVTFIV2tKY3FUY1pHdXBoRnREeGdZem1qRjNnMkxYZjRvMGtiSmx5ZHp1MGdGTXBRd00wRTFSWVREMUE?oc=5" TargetMode="External" Id="rId44"/><Relationship Type="http://schemas.openxmlformats.org/officeDocument/2006/relationships/hyperlink" Target="https://news.google.com/rss/articles/CBMiZ0FVX3lxTE5leHlqNFI1UXh5aXh5dU5RMVFSUmI5Y2VCOFkzTzhla0Rwa25XbDk5ZlBNblFrdEw2UDc2ZTA4VWtaWmJuN25hLWlBdjNpRDJEU045aldfR3dLbzhzdGZmN3ltV3lxQ3M?oc=5" TargetMode="External" Id="rId45"/><Relationship Type="http://schemas.openxmlformats.org/officeDocument/2006/relationships/hyperlink" Target="https://news.google.com/rss/articles/CBMi2wFBVV95cUxPbEItcVZCOEZqYkozMmZkelZyb2JPaWRsOHl5M0dHNUQyWE1tVnRYbXk4eHZBbWJudE8zUFJGSWNUdlNZZE5pS2FDWDhnY19OM0FGSUVDb1FaN044VHU0X04zUnFhREE0M0kyRW83czIwZVlwZnRnNnBaU2VwUUotZWZXZWl2WHNnV01LaXV5Nzk5dklNSE9zZHlXZG41SGg3WlUwQlk4N1BhX3VlSGNKa2pyX2VBMzBVMWFzdEwtejR2TlNYb29DNmtxYURuaHl2YWlIRzk4dktYMzA?oc=5" TargetMode="External" Id="rId46"/><Relationship Type="http://schemas.openxmlformats.org/officeDocument/2006/relationships/hyperlink" Target="https://news.google.com/rss/articles/CBMixAFBVV95cUxNb1N4SjlJaXNrelJVZzRFNWxVeXJ3T1VBNHVRa25mZzF3amp0Rk4yWG8yZHJYOVpoaFlrWHNuLUlEcVBPUTl5MVpyTVUtemtxSHMzN3NsbDFfZXZkT0x2V1Q4Wm1McXJxRFg3TFZmWTBLbURMM3ZDZ2d6cEJMNzlaUTdFM3k3YWFLLXlkcFo0UERKUWFQalM1X0F0Qk52ckUwbXZRM3VTa1RVMTd4SmlrYzR5LU9iUXdCbk9SQmZaYlViNVBF0gHfAUFVX3lxTE9pU0JMMnVDa2FFQ3RzdEgweE1mYVJIandLaTdZTk5YOVl6Ri1uUnVMS3Jsc25qMDNzVjk0QUhqYzNCMFFWQkFycGRDZklpSmg1ZE00M2V5TDRJRXR1NnhyMWxhb3lVdUoyaEhWVy14Q1FuUmQzc2hHbVBhRXdMQTlKYVdYT25Id1owZ2FiUy1Vczl3WG5sMVhuM1RIS05xekVTOGF5eEJ5TjYwTjdQVTRyWmVnb1QwTm5yOXVfalJfcFNpNERRc3VqYmtCTjVOMnhNV3o4VTdYYy0wQnVXdmM?oc=5" TargetMode="External" Id="rId47"/><Relationship Type="http://schemas.openxmlformats.org/officeDocument/2006/relationships/hyperlink" Target="https://news.google.com/rss/articles/CBMirgFBVV95cUxOMUhXcnpZRTdoS0lYX2pGQ25VSzB1Y3NXNzRVajdqTzVLdWZHcU5MVEpWMHRmTVdIaXJZbGtSNWpCX2tOamV6Qk5HenVWRmxBNXJkbXhLVExlYWIzNHp5T2x4dGJmVElvaTMxU2hDYUpFRkVNS0JUR3dsdG41WnV2UkVqSlBMYWpwbjMxbmc2ejFjM21EQTlnVDk5MmdPZGF4alFpT3ROYTRkWkM5cVE?oc=5" TargetMode="External" Id="rId48"/><Relationship Type="http://schemas.openxmlformats.org/officeDocument/2006/relationships/hyperlink" Target="https://news.google.com/rss/articles/CBMiTkFVX3lxTE1uZEw5RnB3UEJsWjd6MFZFRXhhUkV0d0QwMURpMVNQVjhUR3BIdHNrRWZ4OFFJWS12Z3JIcEthQkFhOU9WeC1fVHdiM3hLQQ?oc=5" TargetMode="External" Id="rId49"/><Relationship Type="http://schemas.openxmlformats.org/officeDocument/2006/relationships/hyperlink" Target="https://news.google.com/rss/articles/CBMilwFBVV95cUxPVWtrMThoQUYxQjFSLS1VQ01fYmEzUW8tamxpSHVxS3hnaWV4YWl2MV9oRUw1ekE0SG01SHJxZTM2c1p6aXMzNWh2Q2M0bXhyYjFjQm9zRGlJUUJ2TWE5VE5TYW41ZTFqSV9vaG9ZRjAyNEJNYkVrU1BrRlN3QTFQZjlUQndtZE94WWpaVXQ4RTRCZmM1enNJ?oc=5" TargetMode="External" Id="rId50"/><Relationship Type="http://schemas.openxmlformats.org/officeDocument/2006/relationships/hyperlink" Target="https://news.google.com/rss/articles/CBMingFBVV95cUxOMW5DMERmVlE2dVl1LU4zMFhMTlpPLVBHblZweXJjYXJIV0ZHVVR6Sk50eW1xVm1MS3VTYTJtUjBoZkVfTm1hWFlmTGlOS0JZX2lOSTJCYkoxbm1TODNFSURESTIxbm5YRjJXcVkxOGp6bmdnMmJmdjBqRnNzXzFDdzdHaXVBYXlaVzFiZW5kSlpJdEIyemJVeDVWZWlsdw?oc=5" TargetMode="External" Id="rId51"/><Relationship Type="http://schemas.openxmlformats.org/officeDocument/2006/relationships/hyperlink" Target="https://news.google.com/rss/articles/CBMiWEFVX3lxTFBTQ25tOTZGZzZsUWdHamNXa3hxMGdGTG8ySno0dWhQSzl1SnVtZHBuSUtrM3d3VTJPekZvbFZXRDY0TWhFZ1NDWDllM3RSeDI5SUZkRWZtQzU?oc=5" TargetMode="External" Id="rId52"/><Relationship Type="http://schemas.openxmlformats.org/officeDocument/2006/relationships/hyperlink" Target="https://news.google.com/rss/articles/CBMipAFBVV95cUxNSjZ6bXhiX2dfbkViZ2dUOVpjOFYyblBpYW81WjVHdkRwYkNGb1hjbF96R1lBaUpxemx0V2FYQVVXM2hiNFF4YzlNSzBOUWtvRldwNjE2VS1wRVpxbzlBdERnUWttZU1abXg1VlNiZER5d3g3V0ZoWTl2dnNNd2Q3RlhHWFM0Q0dranBKbTRUb0w4LWdWWGF6UWhZczREOGQ4WnhfNg?oc=5" TargetMode="External" Id="rId53"/><Relationship Type="http://schemas.openxmlformats.org/officeDocument/2006/relationships/hyperlink" Target="https://news.google.com/rss/articles/CBMisgFBVV95cUxQdURwNUowWTYydWgxelNON0NTNUozZXdjMFUxM3AtSHBQRTBfWWZlT0tWQ0VkaDdNa0lOanpPSk05SVRyZVhOODJteTJzUGo4UWlYUFRBb3dLMnB2R2Z5NjZ0XzRVdHQyS3hYUlRPMl9rZmw4SnZjdXJGT2dhZ18wNzFsOFNvOGg0Tmh4c1ViaDR3Y3lPQUhnMnNkYzNnSkRjOG9xWXpHcFJYYW1rZ01zcGhB?oc=5" TargetMode="External" Id="rId54"/><Relationship Type="http://schemas.openxmlformats.org/officeDocument/2006/relationships/hyperlink" Target="https://news.google.com/rss/articles/CBMibkFVX3lxTFBHcTd0RXlKUzRRSnNZS2RrSFdQSTlnajJrcWxrUWt4S2E5cDNqSkhzRDNiRl84eW1Obll6MDJiLTUxSURzUG5GVWtnOVR3TlhyMUpPMzNHYW1XNlNyRFNweHlQMDA1RjNqQS1KZnRn?oc=5" TargetMode="External" Id="rId55"/><Relationship Type="http://schemas.openxmlformats.org/officeDocument/2006/relationships/hyperlink" Target="https://news.google.com/rss/articles/CBMikgFBVV95cUxOTnI4emxtUmVodDFQV3Z1REstXzUyWWxvdHg5SGoxeXdNUmdPRUppY2hOZ090aElnMGpLWUZ5TEVvUVNJbVVYcDh3VjNEbWNsekVpXzNKNHFEbVRUZTVaazZ3TlpzMGNHU3A3S2g1WkgxWkdEaUo4dE5WRXB6UkQ0QjdneVMyOUZfODViZHBJZlpvQQ?oc=5" TargetMode="External" Id="rId56"/><Relationship Type="http://schemas.openxmlformats.org/officeDocument/2006/relationships/hyperlink" Target="https://news.google.com/rss/articles/CBMilgFBVV95cUxOaWxCcjZNMEJuSVgyc2QwRzY3ZzZMblFuNWxLV0NvSl9yRnFQLWY3NG9pRTRuVU5fdHB0YUVSd0w3V2VDSVdaLXdDYWJOUlVyM0VhWVpLQ0E1SjJxOHVMUG9pTC1JcWpKUGVNZDF6c25nZlRoZ3hwOVZPSEtqbzRIREJpTUR6UjBjbVdPckE3eTBCWU43S0E?oc=5" TargetMode="External" Id="rId57"/><Relationship Type="http://schemas.openxmlformats.org/officeDocument/2006/relationships/hyperlink" Target="https://news.google.com/rss/articles/CBMirwFBVV95cUxOWUlBRk5ZaXZkRzhyQ3BQalNsY2xOM2pzQUNMeVI4UEFXQkdBNTdkd2d4Rno5TWNjb0VEeEFwWkhEb2k4S2J3cEtaTGpDM3NMNkR2WEQ2dGtzdWowQTVwa3ZSTEV6ZVdCRl9fRC1Zanc5VXljcllHTlZJZHRTNllxVElOR2hIUmlqWDF2LUFxTzhYU1UtdU5VWFJlWWYzbS1wRmV6cHluMkdDc1RQUkFv?oc=5" TargetMode="External" Id="rId58"/><Relationship Type="http://schemas.openxmlformats.org/officeDocument/2006/relationships/hyperlink" Target="https://news.google.com/rss/articles/CBMihAFBVV95cUxPVlNqT093MU81eURKNm9vZDdtTTNRdkRYZ0J2SXdSeHZqQXV1QUZCbEtiVVplNy1MTGdxbkk1a2hkN0toZ0NPakFvOENXYkRnT2JWQWczUVVLOGpYZ0dtZ1NweXUzb1NxM29TWmhUcUdOVXZfT1dBV3ZuZU5uVXhvaWpXR3Q?oc=5" TargetMode="External" Id="rId59"/><Relationship Type="http://schemas.openxmlformats.org/officeDocument/2006/relationships/hyperlink" Target="https://news.google.com/rss/articles/CBMiiwFBVV95cUxQTnhUTTY5LUVOY0tLRGhBb1lubjROLVg5c0FETHFDbFdpNFlBNFl6Z1hhTzg2VDZTZVUtdDQxSDdhbENHdnc3bGhBTUVHaHc5R0hEMDdxYlN4QV9vMVBkOTA5czhjYlpsU2gzcEZyTnhPT01pMnVPLTFoSzBJT2E1eHpiamtUSjdhYWxB?oc=5" TargetMode="External" Id="rId60"/><Relationship Type="http://schemas.openxmlformats.org/officeDocument/2006/relationships/hyperlink" Target="https://news.google.com/rss/articles/CBMikwFBVV95cUxQZF9LM09jNm4yMjFEYUYwRWpsb2pDcVdwZ2hGMU45UGdHcUpNamhkRjhnUzEyM3NNck9TeEhjbXhqWDVTOUxWWTRROWVUdlNPRGI3QzZlM3VxeWcxVUMydjMyS3dnSDVEenFoNXpSQklwdmczQURyZXY5U2JPZV9LUzFwcGZWZkF2MnRpTVZkbHpuWUE?oc=5" TargetMode="External" Id="rId61"/><Relationship Type="http://schemas.openxmlformats.org/officeDocument/2006/relationships/hyperlink" Target="https://news.google.com/rss/articles/CBMixAFBVV95cUxQVk9lWVVIM3k4YXMxWFczeW5KbU5lUHZJcGdfVkxTTEVnTXlOTC1OczhZcEdyY1VrZVVtYUhQNVU0VDYtUDlIZGkwelZRdEFCM2pBOEZBS0k1dGtxSVAtTnM3ZGJhczlnTy0xeXp0bjV0dDg0WHBLTUJkOXhic1BiY3BhWHM2R0diUXJ6ZzVfaG5wOUp6SXNkRlloYnZiN1l0LWlxSGp0LVlaZEVtUklVYVFQbUk2UjZ4X2FHT0FUQkFIZWxf0gHSAUFVX3lxTE5yanRPUFRBaFRNUmlMYmhrcHJBUm9FcHRiMVpKZllOUlhaVkR6WXFpRjlqb1FkaDNSMzZ1MlZrOTR3cHJVYURvNVZwX1c1a0Ywai1PaUI4b3NILS1XQk5scWFHMU15QzU5SGpDZjJYdWRTOElwdllxNUpuOVk1NEhNb2NTRVJfUTFCWFpubDVscjdDaHEtcURUOV9Sakw0MFB0RjdCdll6bGxCSllPRFZ4emw1Nno1eEo0dnBzdTFUN0ZNd2hGWS1CZFVqRWd3dlJjZw?oc=5" TargetMode="External" Id="rId62"/><Relationship Type="http://schemas.openxmlformats.org/officeDocument/2006/relationships/hyperlink" Target="https://news.google.com/rss/articles/CBMiiAFBVV95cUxQMGVMSVUxdDNvS2xIRTB5RS0tT1RVUEVZUERpNjZLYkVMellJS1lVbnhGZ0NJLUdHOGk4ek5md29MWVJZSGxMYWp4b0lWTmJjQ0h5cV9vRjVsbkpoZ3NtQUxCOWxacDZhVkdHbDBHdG1TeENnZ09PdnF4cVpZLUplbk4tQlVaYUdY?oc=5" TargetMode="External" Id="rId63"/><Relationship Type="http://schemas.openxmlformats.org/officeDocument/2006/relationships/hyperlink" Target="https://news.google.com/rss/articles/CBMizAFBVV95cUxPYnZBdDEtcFlXaXFFRmhkdEgxWXNNZDRKbi1TYVRoSjJUTTJlZlIzckh1amJDM2FuYVAwaDRGbFNnZk84Mm85TngzVlEydEFaNGhCVGJWVjJ1RnBtdUtXM2ZnRWdvMHZmczBoTGRsN0g3QkpIbTE3c3U1NHc5LWJoX2YzNVc3Si1oeExVQi1jS2NlQXBIUlRUQlRDUEJXVGZIQmFVTWlGcVFtMjQ0LVZsLTFIdEpZQ3NKZXhKWGFYVDZwZVpRWDkwUG0xTEnSAcwBQVVfeXFMT2J2QXQxLXBZV2lxRUZoZHRIMVlzTWQ0Sm4tU2FUaEoyVE0yZWZSM3JIdWpiQzNhbmFQMGg0RmxTZ2ZPODJvOU54M1ZRMnRBWjRoQlRiVlYydUZwbXVLVzNmZ0VnbzB2ZnMwaExkbDdIN0JKSG0xN3N1NTR3OS1iaF9mMzVXN0otaHhMVUItY0tjZUFwSFJUVEJUQ1BCV1RmSEJhVU1pRnFRbTI0NC1WbC0xSHRKWUNzSmV4SlhhWFQ2cGVaUVg5MFBtMUxJ?oc=5" TargetMode="External" Id="rId64"/><Relationship Type="http://schemas.openxmlformats.org/officeDocument/2006/relationships/hyperlink" Target="https://news.google.com/rss/articles/CBMiiwFBVV95cUxQN1M1UUFnNFVScGV6VVBTbjZJSEFHOFpBQzNsNHNJTVhScXFfNGs5dVFkTkRHX2VsN3BtUk5LLWtoeHFGTWRicWtVa2wwOFpnV1o2ZkVqbC03Y09hdWVBdDlrV09PZHRtdG9NdS1DZmp6aWtGaXY1ekxpekVKbzRMa295Q19vSDlCYkk0?oc=5" TargetMode="External" Id="rId65"/><Relationship Type="http://schemas.openxmlformats.org/officeDocument/2006/relationships/hyperlink" Target="https://news.google.com/rss/articles/CBMijgFBVV95cUxPejNsdUVrN2NfZVROYjRBSV9BN0lGMU8tRDdVcHRMV1lkamdqQWU0b3JVb0d2aWJIb0haUWlLMVR5MGoxb1VQdXc3OU5IZG9NdGNRclg3QkZCQ2gtQldzRl9RS0J6R3hZYTFzMWpKQTBzd3RLVWdDWVlWRE5rOGRoQnRUbzFCVlU2anlxSG1B?oc=5" TargetMode="External" Id="rId66"/><Relationship Type="http://schemas.openxmlformats.org/officeDocument/2006/relationships/hyperlink" Target="https://news.google.com/rss/articles/CBMisgFBVV95cUxQN0dPclBLZGZXUXh2c2ZNc1NUTXptSzZPaS15QmlMcFRmcl9BczJRaTItenB2ZW9XM0xUWTBBclBjb1gyWmVJX3BpSlRfZGR6LURsWEZFVTRPVVNTMkJmOGdWS3hPMzN0cUlnMGt1WVB3aERyTWtibHNyV3ZNQmNiY1cyd1pJTXNiX1NrSGdLazMxcTZSaXFZcDEyUVc0MndWYTdmM2VtTUUtdm1BbFAyQVpB?oc=5" TargetMode="External" Id="rId67"/><Relationship Type="http://schemas.openxmlformats.org/officeDocument/2006/relationships/hyperlink" Target="https://news.google.com/rss/articles/CBMi2AFBVV95cUxOaDJwYmR0RlVHc3JzcUNhNTFxNEcyNFNacldnWVhuTUZTcVRVTXdrNFJzNUFqZlRNUXBfaW5YdnFTUTN4cHlUUmdVbGFDT3lBNFRMVUlUYll5QXhHWjd6d0JYUkJKbkstekJpNnhhV1IxMVVxSWQySzNKSFJUZ0RiLThJVmdsY25YTnM3bHFGNG56dG41Wjl4Y2libF9DQkhXNnJCNWtUNWhjRlhtMWF4NHhNWjVrQXVaMmZxd0JqRWNyZGQyT1d6d3VzVEtoS1l4dk1jd3U0VXbSAd4BQVVfeXFMTUxUakFhNFBzWVh5REdLY3A1WlFoS25oTmRoWUtPMWk5YmxfSDAzemx3d0dudllQMFVfYXVFVzlQd2U5MGJLUThRRGlyM2dQYk5kOTBKQXdtTXdMVUhfUDZjZTVOT2ZUX3FYcmRQWDdMNTliMmpQX284c1JVeXBDTHpBQzFubkVRZ1VvVFVIcm9pUGNfYXBUd0NweFllZVJySVpVMWd3Vks4VzJ5aHNLenNGMHplZS1SOVNmVExPR0t4Sk5PdjROV2p2WmhCTE9zOGwxaUFjT2dhTTZBUV93?oc=5" TargetMode="External" Id="rId68"/><Relationship Type="http://schemas.openxmlformats.org/officeDocument/2006/relationships/hyperlink" Target="https://news.google.com/rss/articles/CBMinwFBVV95cUxObGc2ZnNTTDk0cTRlMW5fY24wN3B2TS1SZndJUlMwVWR3d2pKbXVVS055T1B6UWZROXZ6bVNIZmQ5R0haMHhtLU50SlJHUHNhR0FJUm1VVGtSTTVDb19VbE11RG9SMk1UTXlWQ19HT3BRbE5wdmQza3d0NHQzRlRLblFGVXBCdGxlNTZQZ21xRnFJSTRjQk1rUFJyYW1fR0E?oc=5" TargetMode="External" Id="rId69"/><Relationship Type="http://schemas.openxmlformats.org/officeDocument/2006/relationships/hyperlink" Target="https://news.google.com/rss/articles/CBMi3AFBVV95cUxNNnpWbUlLQnpNS3d1NElEaDNGUmdGUmhzN0w4YVMwYTFDZExnbThRQjZaSnU1MTVOR3JwcU9aeFkza2ZJOFBVOTJXVmYzb09NZ3hoTF9PRjM3dWhuaE4tekRTVjBXYklodEVfTFN2YnA2cUhMZXBpLXFBUjI1SmFoRW9JZHpJeGJTOWNfNjdqMk1hcEUtWW9JZnU3dDNBOWFlUTZUUGpaR0lNWkI5WTlPc05DY2owcnl1SlFEaEIwSU55dWdJSHlZcUNCdkcyTS1pd3FHMGxia1V1aE9X0gHcAUFVX3lxTE02elZtSUtCek1Ld3U0SURoM0ZSZ0ZSaHM3TDhhUzBhMUNkTGdtOFFCNlpKdTUxNU5HcnBxT1p4WTNrZkk4UFU5MldWZjNvT01neGhMX09GMzd1aG5oTi16RFNWMFdiSWh0RV9MU3ZicDZxSExlcGktcUFSMjVKYWhFb0lkekl4YlM5Y182N2oyTWFwRS1Zb0lmdTd0M0E5YWVRNlRQalpHSU1aQjlZOU9zTkNjajByeXVKUURoQjBJTnl1Z0lIeVlxQ0J2RzJNLWl3cUcwbGJrVXVoT1c?oc=5" TargetMode="External" Id="rId70"/><Relationship Type="http://schemas.openxmlformats.org/officeDocument/2006/relationships/hyperlink" Target="https://news.google.com/rss/articles/CBMiQEFVX3lxTE5xNDZoRUVLVUFyUVB6d3duejJIdUpLZjlKZ21qRXJtLWsycEZCU2RuWWtvblNOVHFJc1JpSW1HMkk?oc=5" TargetMode="External" Id="rId71"/><Relationship Type="http://schemas.openxmlformats.org/officeDocument/2006/relationships/hyperlink" Target="https://news.google.com/rss/articles/CBMitAFBVV95cUxOelFNVWZTNzk5YWhMZmZQNVBaOUdDcTVPZ2d6QTVxZVl5aUFjSElxNUw4VXI4dzl3NXY2TDhGNTl4MDlpbS0zcWFvOU8wdU9GRF9MbXJiTWg0NUtHZlNpX3NYZEVsd2JZcDVpSldQUkNjMjZsaUNMeGlYSy1fTmUxYS1FOGdVY2NyWWNFYmlQa2w4YmxwNmtpMlloQ0F1Q01nUFFlcUlSdkxMeUpIZjNYb3pmRHM?oc=5" TargetMode="External" Id="rId72"/><Relationship Type="http://schemas.openxmlformats.org/officeDocument/2006/relationships/hyperlink" Target="https://news.google.com/rss/articles/CBMijwFBVV95cUxNVGtiZ0lmT1lzdnltdVZfN1RsaGl0c3g2Sll0bDJUMHd6UDdFQXN3VlJteWJjTTNHZ1R1TXVJcVBZTl94UDFaczBDUjdObXpScmpZeFZPVkpHRjBUSXFteDJ2dlhFeWxPdVgzamFWaFFRQ1lhSG55VFJKQnRWV1pkNE5TcEs1WWlIT25qbUxVbw?oc=5" TargetMode="External" Id="rId73"/><Relationship Type="http://schemas.openxmlformats.org/officeDocument/2006/relationships/hyperlink" Target="https://news.google.com/rss/articles/CBMi5AFBVV95cUxNRTBGLWpXeXZMNjFSNWFJUXlBSkJ5MVpoamwwUDhYSU9BSzY0dHYxbUxONUxfUTBhLVVoSU5jMjgwQTdKSUsycnVKSzNNYkdkdlNpRWlyVWZrWkxIdm1KYUduYl9lRDd4M04xeURNMTBCd3FRaGpwQnR2UXZscTRaYmU2a3huekdQUEJ1SUZEMWkwZlg1TkkyUFFaLUt3bm9GOGxIZFZEMDFKUVNYcWdTNXNmYjVud3R5UHVlOXBBV3c1cUwtV3FZeGY2NFRTX2ZQclNrNmdXeGlPOEFQcFZ5NW42OFg?oc=5" TargetMode="External" Id="rId74"/><Relationship Type="http://schemas.openxmlformats.org/officeDocument/2006/relationships/hyperlink" Target="https://news.google.com/rss/articles/CBMiugFBVV95cUxOT2dPd2U1SUVOOTEyc1laYjlVWl9QOUhsTGNrOTNCSFF3LUozTzhWT1RiZHJoejIwdEo5TzRMd3BXNXVON2Y0NUkyejlWTUZ2d3dvQ204NkczQV8zeVVhTFEtalZzM243V3ZXY1dMcDBlaXdZampuWHJrWjRzTUhLRmZENlFvaS1qT2FWRlFjLThUWl9XZklTWWstaTdhY0pFMzM2SDRNSVc0WU5YMnRwU0pOenhWUE10b2fSAb8BQVVfeXFMUHZ6YndId1lQYkVCa3lVeG9seXo5SS03MjlpUy0zYWxNekh4T0FJb2thc1hwV1BCUGxXeXUtZjU4MHg0OE1KTTJXdWNSY3h6Y2J6d1cyejNHNmpiazVyLTFYNGpRUWNCekxRNkVhaGU0LUJGMDNpVklramRteDRYLU9FbWhscm1yWVBBblpYbXpKdEVzN3pWUFg0Q09kM0NHYW1Cd2lYZFIweElSa2lTMnp4NzJBWWlmNlU1eFRoWmM?oc=5" TargetMode="External" Id="rId75"/><Relationship Type="http://schemas.openxmlformats.org/officeDocument/2006/relationships/hyperlink" Target="https://news.google.com/rss/articles/CBMivwFBVV95cUxPTWZlVmRYaUZXbGhlRkFNMHdvRXRoSzRlMGUwOWZMWVpIN3p5TzdPZC1JbWZnNlN5ZUxjSkdza2hDYUdPWGpBR05qRTV6dkRVWTVXbGdFc1k5bVlUUEhBMTlZdzZXZFFiM3pNbmx1MjgwNjBsTlRJV2dadlQ1RUpPNTVZa2s5cTBhVXI4Rm1ucy12UWVDWlZIRk1oMHZrWmdWRmRhenp4cFlWQmRfVDFaZHd1Y1BQSjBreVNrZ25aNA?oc=5" TargetMode="External" Id="rId76"/><Relationship Type="http://schemas.openxmlformats.org/officeDocument/2006/relationships/hyperlink" Target="https://news.google.com/rss/articles/CBMiqwFBVV95cUxPTC1MZGtiV3l3dXRoeE5NZVBwWjdUY1kxOHRrTVMyYTZ1VzVNVXMtbVktb2JVUEVFdnJseGVDaVVrR2tZWXpoT0tMWEZnY2dnZGptUnhfTHJqT1d1M1hoazVuMFZ3aUxZLVhaT2pHN1NBM19ERnF4Z0ZDYVFNZ1BNVmZweTd5ZjhQbGhIdHhXRkNoOW5ycm1TOVhuUUMyTkdmMEFsNzFhUDVqdlk?oc=5" TargetMode="External" Id="rId77"/><Relationship Type="http://schemas.openxmlformats.org/officeDocument/2006/relationships/hyperlink" Target="https://news.google.com/rss/articles/CBMifkFVX3lxTE1VN2xaNDhXeTdHWkRoTGZuYXhscnI4SnFCeDFqTVdEWHl1anViQ0hlemlUN1FIN1RaSTl0RjRJUlJ2Y2NmWVZuajROZzdULVVZWTRKV2gyeElnWkZ0MUNILXdPeWEwUlNyMldoZkU4MFJEODZSY3dYYnlFOXZ4dw?oc=5" TargetMode="External" Id="rId78"/><Relationship Type="http://schemas.openxmlformats.org/officeDocument/2006/relationships/hyperlink" Target="https://news.google.com/rss/articles/CBMiyAFBVV95cUxQS0RIdEFTRXdlQUh1YkZCTkpIT01XcmNPQ0xlbDl0NjlDYTFqLVItd2J6ZFhqcjBEM2EyOHlodlBuLVU2MkZmcGgxZWN6MzFKN0VPYmc5Z3I1eHJVcS1JbTNtd1h0UGp0YUFHT1dybTdVRVMwQUE4R2htSExDNW9VZmd5SHVZbVFsMHdWNXFrelJ0ZVlLSEgxdlJDN3ZVeTFFcDVqcEVMWkt4czJpUG5jdFJvMTQ3TVcxLUx2Q0cyUlNSWUdKUjVHRtIB4wFBVV95cUxQeGRmeTUwQmI1dzkwNWtLT2p1WDZmSVFXcjJPS3Z5SGVSZVNIaHRxNFJ4RVl4cUJndGRfZDlKaVFkR2lhRHkyQUNMU1hROElpUm1ib241ek1BeWU1OGE2ZWZGUXlhMnQ1UE5uc0ZHTGh3SFNpcUF5dEp4aEVxSkd0MWpid2xQT1JhbkUxZjFIbk5mT0xjQTVRMTd4aTEyUmFiYWhCVlQzVDV6b3Ywb1NyTmtEMGRxUF9TUWhaT1lQWUFMX0pDNVhvbEFpYnBkM1B6OFN2MHg1Vm1kREZFeE9QTFVYWQ?oc=5" TargetMode="External" Id="rId79"/><Relationship Type="http://schemas.openxmlformats.org/officeDocument/2006/relationships/hyperlink" Target="https://news.google.com/rss/articles/CBMiyAFBVV95cUxOMklFazYzYnQwVFVUTnprTDNRMUVqZGFyYTJBUlMzbDl0anAwWFpCY2dob0xPOC1VVjFIRUxxUllFbmdhUE9RWWxheC1ocWlCaDdzdHBXMnNBaXZrRWZNVFJhend0aEYxbTJqTzRnTFV1SldRM0loQm5xVklCc3E3eVZxbVR4YWd3QldWVDdOU3ZJdDZNcWc5SDJLc2o2TTBacW9sOTdLMGpuS3Z6RUlVd2hnVF9YLTVHNUR4Z0VfVG5QNGY0TUgya9IBzgFBVV95cUxOSmZUVEtyNnhYMHJBYU9IbWVRd3o4MGZxN1lCd3FjbF9JaXJlbnJscmtXaXJQMl9HOHJoNG1SY3N0NU94dW05c21ZbVJjcGFrbTlHdldjWURQSG9FcDBwdmU2d2traG9uZVc0UEs1eERrQ1ZnR25xRVIwN3RvM21SU2E5MVRYeUlPYnJIcEE5aEQyZU1GV0xYeXF3SklreExfNVRxVnRSaWN3MTNRYURBOVVFNU45bGhybFJiWDFGYmxWVm5Ub3lHM2h0TUc1Zw?oc=5" TargetMode="External" Id="rId80"/><Relationship Type="http://schemas.openxmlformats.org/officeDocument/2006/relationships/hyperlink" Target="https://news.google.com/rss/articles/CBMiwwFBVV95cUxPNURGNTBXWEl0UmFPYlFOdHJNSUpoZGliNFdlOUdYT1BqUGo3NmNXUXNzNEd1ZGdHdzZNZkFYMGV0S2RETlV0aEFCNzE0cVFDN2cxYTNvMkFzZkJjZWoxSFhVT25USUU4VkJNM0Vma0pXdFRlUzhDUl9nSmNpaFpxTGlMX3ltbU9yQjUtVk1pMmJMUldmN2lmWHRQZW0xa2I3T1JaTVRyd3NHUE9VbUg3UDhkWDZmdUJDS3BiNU5hUHZHSFE?oc=5" TargetMode="External" Id="rId81"/><Relationship Type="http://schemas.openxmlformats.org/officeDocument/2006/relationships/hyperlink" Target="https://news.google.com/rss/articles/CBMiiAFBVV95cUxOM3hmcTdXVUJhd1hTblR3RXJ5ZzRQbm80a1dYa21RTlo0T1VmWVUwN1htemlUYnlUbWlxcFZzbjZsQWo2UzZsbGozVHNXRG1MNndqdkJRb1BSVW1GcWFQd1BNdzF0NWNJZGxpWGF0Q3hGNkl3R3E2QnhidTZ1SElMUDFFMm9Ib1lf?oc=5" TargetMode="External" Id="rId82"/><Relationship Type="http://schemas.openxmlformats.org/officeDocument/2006/relationships/hyperlink" Target="https://news.google.com/rss/articles/CBMiowFBVV95cUxPSW16TFNndGdxVGNIaVpybmFPR0ZITXoybEsyX2hJM0czSzdzZmRhSjJkS0MwQzdpXzhEa0VsT0dGQi1oTGFjZ01BLVBMcHRUeHVybVdyT0phb0hKRUpobGJKZjBOQmpEbW5Wb0hib2RST0gxZDlmSlRlbE5VNlZmYmxFV2FnVXVpaHhyOVJHNUZLX2tnZ2JxcXljNU1iU3FJSlJJ0gGoAUFVX3lxTE1mMVVBRWZBamF4Y2NEQVBJZFNVTUZDcDkwTERtZllWT29ZQm50T3owSHU4U0s3elcwQnVBaFdvTjdnWGV4UmJxSVoxdWU1TnZQUkhoS2pDSnJmUS1wTWFGYUdmRElaQzV5bUltT040dTk5LU8yRTJLdlVIdUg2LVg3eFc4OUFtNXNBUFF3UzYtTmFBalA5QW1MNFdIZnRpSGRIb0s0WGpHag?oc=5" TargetMode="External" Id="rId83"/><Relationship Type="http://schemas.openxmlformats.org/officeDocument/2006/relationships/hyperlink" Target="https://news.google.com/rss/articles/CBMi0wFBVV95cUxOc1QyY1hjNjZvMUFScExlUUNDdjdqVHF1VExXUjlHR3BndTludGR6Y1dPTm9rRkVDdGlsY1hDX0RNYnRNblphYkpFdU5yV2IwMU0yRjhIMUdRMlg5YlRpdE95a08tTDM0aHFVZmtYcFdfbU9ORGc3NnBSWndCTFEtWFVVajlxc0N1ZEpnNDFuMWhwc2dTTEZ6cVI1OFlzOGhBY1hOcUt2Q3BHV1dyLWEtM29TWmRyakRUdVRCUEZzZXNJN0lKZGJ2bmg1amdON1BGdXZn0gHTAUFVX3lxTE5zVDJjWGM2Nm8xQVJwTGVRQ0N2N2pUcXVUTFdSOUdHcGd1OW50ZHpjV09Ob2tGRUN0aWxjWENfRE1idE1uWmFiSkV1TnJXYjAxTTJGOEgxR1EyWDliVGl0T3lrTy1MMzRocVVma1hwV19tT05EZzc2cFJad0JMUS1YVVVqOXFzQ3VkSmc0MW4xaHBzZ1NMRnpxUjU4WXM4aEFjWE5xS3ZDcEdXV3ItYS0zb1NaZHJqRFR1VEJQRnNlc0k3SUpkYnZuaDVqZ043UEZ1dmc?oc=5" TargetMode="External" Id="rId84"/><Relationship Type="http://schemas.openxmlformats.org/officeDocument/2006/relationships/hyperlink" Target="https://news.google.com/rss/articles/CBMiR0FVX3lxTE5mbFg4a3ZhOWpyZElUSEpyVUR4NllITUlLeGFWV1B2V2JUQng0WUltSk9ENGNmQk1EWVdhM0tjejVqWjJvb0tF0gFHQVVfeXFMTmZsWDhrdmE5anJkSVRISnJVRHg2WUhNSUt4YVZXUHZXYlRCeDRZSW1KT0Q0Y2ZCTURZV2EzS2N6NWpaMm9vS0U?oc=5" TargetMode="External" Id="rId85"/><Relationship Type="http://schemas.openxmlformats.org/officeDocument/2006/relationships/hyperlink" Target="https://news.google.com/rss/articles/CBMiugFBVV95cUxORExmLUpkcGVQbHNvYWduSVhobDZrLW9DNlotVWVaUDgtNlRqcnluTmU3eE45QVRyXzhsYU90U1VlbVl2bnBNUVRyb3IwVUJmS0VZcEhjWHdsM183TldTbmZPTDRyVlI0R1kzUW5mNUVxc0M5MzgzaUdpX0g2WEpmNTcyQmh6V1FTbDVLaDNIdTRuUV9lc3VNR0dvbWM3OTRaSlFlc2FYY0ZMSUZnUkhwOEdqa3RkaktlcFE?oc=5" TargetMode="External" Id="rId86"/><Relationship Type="http://schemas.openxmlformats.org/officeDocument/2006/relationships/hyperlink" Target="https://news.google.com/rss/articles/CBMirAJBVV95cUxOMjNzZzJPUUlBTEF6Nmoyakl5Rl9Jc1YwT3h4RW12LVB3cnBYcW1kS2RELXV3MkM4NFctRnBDWjF2WXdOMTVwYUtndVVsRjl0N1BPcEdndkw1dFhFTlZpOWI5MHRsaDZUY25iMkVqLWYwNVpNRzRWenNLeFQ5X2U3QjQweVRpdDlXQlVyZTZicTktQVYwMF92VEI3ZW9PUFZXWEllOVFHa1g2OHhoSzlVdmgtN1Y4dkczVlVnc1FndUpsOG1ybjZpZzlCNkxVNjlUaHdsbVNQMWhVRjhQbFZuRGxkZGZYWGxrX1NYaFVnc1otYVdIaDUxQXlGSEdpMFFWR2JjOFJLZXJsNk9wZDZnekdueFBFSllaWlF6Zy1mVWpONXEyVW1YWjNGZkU?oc=5" TargetMode="External" Id="rId87"/><Relationship Type="http://schemas.openxmlformats.org/officeDocument/2006/relationships/hyperlink" Target="https://news.google.com/rss/articles/CBMijwFBVV95cUxOVjhkZVg1Qms4dWZyT3MxQ2FrSmFPVE1Vak9PNnEwS1RjOTl5dHAxQkZ5WWZkTFlKdHV3U256bU9tZ2syWGFaSnM3YklHNnV2aWVoa1p3SFpnMFBMN1NEVFlVd2laNlhROVh6NFBzX1hxQklRRGk2dGJ3SWhyS2RKYVFOdDRRaHFkR2hueEJqRQ?oc=5" TargetMode="External" Id="rId88"/><Relationship Type="http://schemas.openxmlformats.org/officeDocument/2006/relationships/hyperlink" Target="https://news.google.com/rss/articles/CBMiWEFVX3lxTE43cWdqNnRTM1lrNU1sbElSd09YdDFzdGJhdFBFdldKb3V6R2taUV9IbUtjM3ZUUm5jNkU0QnJvcGdMTUVfR3k4UVNGeTRER2oycE1fZEFGeXE?oc=5" TargetMode="External" Id="rId89"/><Relationship Type="http://schemas.openxmlformats.org/officeDocument/2006/relationships/hyperlink" Target="https://news.google.com/rss/articles/CBMijwFBVV95cUxQbVc4RlhHZWJTeHV3YlBWTjYzSURERHpMLTJuWHUwU3lpdWdvcS04WlZBYUNwY01aNEVkQmJpZzBqYXhQRXlTWEVpMHlPcUhjb3lvM3h1YWhNQXVJSWhqTEFYVmRkMGpmRTlkN0FPRW5SZzM1YW4xVXRmMVFpYzlkMk5YMUhabnk2eURnN0NJNA?oc=5" TargetMode="External" Id="rId90"/><Relationship Type="http://schemas.openxmlformats.org/officeDocument/2006/relationships/hyperlink" Target="https://news.google.com/rss/articles/CBMiowFBVV95cUxNbDZHMUZRd0NyUDliQlNXWEZ4bUdaWFJJbk1NRHZIdUlpRzFObmV2bzBkUVpKbzhuUmkxZHI1U0JENHktOGIxOGlvbEtwS3RScWJ0SWhGR0gtNU9lWWNSc1RoMmtsWjJIT3F2ZzByazhRVUViN2FLa3RqSGt5VkxKZUM3WjdrT2NGc2tYeWJWQmR2RmxEZzlYUmczNFBjMlpXVVNB?oc=5" TargetMode="External" Id="rId91"/><Relationship Type="http://schemas.openxmlformats.org/officeDocument/2006/relationships/hyperlink" Target="https://www.geplus.co.uk/key-topics/sustainability/floating-wind-needs-grounded-solutions-23-10-2026/" TargetMode="External" Id="rId92"/><Relationship Type="http://schemas.openxmlformats.org/officeDocument/2006/relationships/hyperlink" Target="https://news.google.com/rss/articles/CBMibkFVX3lxTE9HOUMyWW5vRXVWOG5ZemlXOFFsQWYwVl9lRW53VTV1MVFFQUF4eGgwWTRKQ0p5RGlWLUgzdUNUSW9aQXRRMkduTGFBVmhOVWluT19OLXU5REgzMVdVOUwtTVRmY3Y5WGdwaE9RcG9B0gFuQVVfeXFMT0c5QzJZbm9FdVY4bll6aVc4UWxBZjBWX2VFbndVNXUxUUVBQXh4aDBZNEpDSnlEaVYtSDN1Q1RJb1pBdFEyR25MYUFWaE5VaW5PX04tdTlESDMxV1U5TC1NVGZjdjlYZ3BoT1Fwb0E?oc=5" TargetMode="External" Id="rId93"/><Relationship Type="http://schemas.openxmlformats.org/officeDocument/2006/relationships/hyperlink" Target="https://news.google.com/rss/articles/CBMiiAJBVV95cUxPQkl0dnN1WVR0endSWTZuYVpjZTBnV2VWTnVTVjdyb1NJTlFKVjJWY21lS0dPZzFrSkdlSlI2VU5Cc1NMQ0VHNTlPWUFkSVRZWEhWbFRxaU91bXRRMTF6LW9kYWVKSHFBOUptTVZuTGdTX1lZYzBDQkZ5QTJGUmVXcVd3c3lmU01zM3Zjd1VmZ183aFkxOERqQWJHbVlqMU5EbzBRSWpHRjNMeFVHRXlVSURpZHFnRXZIX1Q0X3RSMW8zcVZKVFZoOWViVlYzVnNWZloxTW5LNThJTWV2bURLSjJ1eEZiRFhnd2phLVVjUV9mdHVjN0Q0dE93WE9wRVR1ZlFFTE8tNnk?oc=5" TargetMode="External" Id="rId94"/><Relationship Type="http://schemas.openxmlformats.org/officeDocument/2006/relationships/hyperlink" Target="https://news.google.com/rss/articles/CBMic0FVX3lxTE1zSGZTbjJtMlg2SGZxUUtTSjJMZVdlSUkxSjZBeEV1WExBUUh4ZjdOZWIzcGRHczE1dVZiOWgyQUxTdkZWOEJfM0Y1dk1mcGpKekl0dGR4VE1YRVhoYTFjV09IZGQ3dUNQcl9BSlN0QzhUSkE?oc=5" TargetMode="External" Id="rId95"/><Relationship Type="http://schemas.openxmlformats.org/officeDocument/2006/relationships/hyperlink" Target="https://news.google.com/rss/articles/CBMibkFVX3lxTE8wdVhYVXYyQ3RwMHAtOTNnUkh5TnhCcEtVem9XenhDMFo2UVFHbWtIaGIzVHhLb1BFQmd2akRLZkFMd1pQNWJDRElESUY1SUdvLWFfd1ZaUW5tZ0ZFcmIxckZxbXg1Z1RrbXI5V0Zn?oc=5" TargetMode="External" Id="rId96"/><Relationship Type="http://schemas.openxmlformats.org/officeDocument/2006/relationships/hyperlink" Target="https://www.geplus.co.uk/news/project-news/m4-landslip-work-begins-as-part-of-wider-repair-programme-23-10-2026/" TargetMode="External" Id="rId97"/><Relationship Type="http://schemas.openxmlformats.org/officeDocument/2006/relationships/hyperlink" Target="https://news.google.com/rss/articles/CBMia0FVX3lxTE45UVhrbTdIV2NXaVloOTBleGdWeThGbHNoSTJtMTE3cFlfalpoYVBnUEFoUVRJQUp5Z2pVOEZvaGZzRUtjRWtOMzY3Wll0RHJOUTB6c0JYdGEzOXk2VXltZUFkc3RURDBUYUg4?oc=5" TargetMode="External" Id="rId98"/><Relationship Type="http://schemas.openxmlformats.org/officeDocument/2006/relationships/hyperlink" Target="https://news.google.com/rss/articles/CBMi7gFBVV95cUxQTGNab2ZBb3hvUXZRVXBCeDFRX2NqU0ZfeVdFZXgtbm5WZDl4aFd0eUdSYXdjNmotcS1ReUZhM1BBc2hITEpkQlpBTmlabzRycmN1ZkQwLVlDa3NzZWJuZXhnNC1jRXlkV1EybVFoQld3VlRaZ241ZkVMazRlZHB1NWplMjVpaWJtMHA3SHBZaEhhMHU0RE01Mk0taFU1OTBaTmg0U1lFYnI5cjhwaEZPUmd2ZTdTVHpxVjBfNk9mRFREOXNWNXJTM29OTnY3NHd0dGJYNVJoaHc4LWQxaUVOajhsaTdWU3dFbVd0ZUt3?oc=5" TargetMode="External" Id="rId99"/><Relationship Type="http://schemas.openxmlformats.org/officeDocument/2006/relationships/hyperlink" Target="https://news.google.com/rss/articles/CBMiogFBVV95cUxQNGhpZmtjSDF5eDFZZEJXaTdIZWo2QVZTRDVlc3E0T2pvQ2tRaURBcHpRUk5hSmFDNjNuaGV5X1pHeVdqc2RjR1dOQVhPc2tUUVRmb2RiWnB0dWNDcU96QUxGcVg1dmNxRlpfdTNmT0Z5ZG4wSXNTSmR5OUY4ZmRZcW9kNmRHS0ZaVUxyMW9ySU5TSWJlNzJCWWJaZGlrRHd1a2c?oc=5" TargetMode="External" Id="rId100"/><Relationship Type="http://schemas.openxmlformats.org/officeDocument/2006/relationships/hyperlink" Target="https://news.google.com/rss/articles/CBMizAFBVV95cUxOX19SY3ozdEtSRFpyZlE3a3o4LWtuMTdJeXVsZkVtZVJIaXJzbndtWVd2T21uQncydzJ1bmZONW1yVU9DVExhUFI5VmI3RkVHbjJqTjZWSXpjd1NLeDViOHZnLWo5ZV9oYVRNZi1KN3E3OERXVC1pdzlDVlBvY3pHZE1WRm9vR0E5VnNNdXN3SU9xbFVGRzY4UkstZUpkYTlMYjJobWoxTDRDNWVqYWdlR2taRV94RG9yaFJuUExrN1VCT2ZpTkFNQllycXo?oc=5" TargetMode="External" Id="rId101"/><Relationship Type="http://schemas.openxmlformats.org/officeDocument/2006/relationships/hyperlink" Target="https://news.google.com/rss/articles/CBMipwFBVV95cUxQM0JfTHl5bmwxRmJ6Y3lLZ2l6XzB1c0lkclVfRzJ2clZEV29YU25kOWNsX1hXNjFuUnJnVGNjRXBFa0V2RWlYVllQOVEzV1ZCY3VYNENpdk9wSGVNNlUtNGVwdGZhZDY5UUVTYW1OZHQ1TkFoUURUTFMwSWdoLU90QTU2VE5Md1NKOU1Rd041aXFxNUJ1OGc3QTAxLUpGbndSWXh0czMzSQ?oc=5" TargetMode="External" Id="rId102"/><Relationship Type="http://schemas.openxmlformats.org/officeDocument/2006/relationships/hyperlink" Target="https://news.google.com/rss/articles/CBMirwFBVV95cUxPRkxsbl9ZdlM1cmloa1JxT3ZENFdkYUI5U3pIZy1UM005NU9SVVFIVjVmZ1ZvTDNybGJkMHAtc3Ewd3RldnRYWHlrSnQ2R1hXN2xpR1BNREFxTlRlb2tFMnFJZ01VSEZqN0ZheUtlbWJEd3h2SURJb3ppVWl6dTU2Y21zZGJGR1hpMWdNUmNfdWluZDJQYzZkeC1QTHhEUFNmcVhTVWtnWWxiUDczMmtr?oc=5" TargetMode="External" Id="rId103"/><Relationship Type="http://schemas.openxmlformats.org/officeDocument/2006/relationships/hyperlink" Target="https://news.google.com/rss/articles/CBMiogFBVV95cUxOYkthemxCdGdtc1c3TnBBbGY4MVZlMDFvWnZiX3E4UERSQ1lsX2g4R0x5VHVaVndQdnJHQTBZSy02bV8wT1d4RVZ6WHRVN2w0UUx1MFRMbDhINzgtWlJJLXFKOHIzWFRZa1VmZUVFNUNCM3hRdE9GUGZpdVNQQnd3ZmxRTWZFOGU5REFvOTg4cG40YkU1bDhlZ2pQSkR5Ti04Q1E?oc=5" TargetMode="External" Id="rId104"/><Relationship Type="http://schemas.openxmlformats.org/officeDocument/2006/relationships/hyperlink" Target="https://news.google.com/rss/articles/CBMi4wFBVV95cUxOV1p0dUF2OVZleURvUHhJbGxjNFdrR3hCalZqUEZ0SktHbHdzLTZEMmtBT3lWYXVkY0l3SDM0TjNwWTBtM0FjdlRoYzlfQTBQLVNaLUFtWDNrMU9KbXBzLVZWekN4bGFVSzA0R1RLOFBiMlBsSnNILVBuZ1hEemQtZm9FaE1URVdSREVoRzZDM0dPZkNwdzJfQ3pMRjZ0cFJmLXB6a3ZyZ2NjcjNMTllsVmV6X0M0OVhpcHA5a3RiU0lMdnhoeXJwVGp1SDRwYlFkd3M0emJTTEkwQjVmS0VxVDNqUdIB6AFBVV95cUxObTcwd3VqRWxyLWRxRWVkWEJubW50cjBiaFhrWHl0QTQteWxtUzYxZHo5NGgzdmtVdHprVVlPcWhZX25LQXBfbU5ZM3E4UmRMU3ZLYXl1UFNfOTFvSi1mam9sMTE4MVp1aWdTWmptM2ViUThUOFZsSTBFSHZ1azFQOUN4dWtid1RwQlQwRVVRV2p1OUFhaWh2Q3RuWThaNkh4NFhhckhac1ozQzR0bzAtbExmcU5RVm15WGNzd3RTcEY4QkhwTTBvZ1JBbU9zME9qeXRrM0c1OTRKUlBzYy1DUkJ2Y2RBaW9q?oc=5" TargetMode="External" Id="rId105"/><Relationship Type="http://schemas.openxmlformats.org/officeDocument/2006/relationships/hyperlink" Target="https://news.google.com/rss/articles/CBMif0FVX3lxTE4zQm1aVUtwTUM2RWlZZXpKOEdDX0xZYk41cGNLaDNFNDNlQko2SGxxTmVtLVBBQm9VZkFIOFBmUE1PSE1KclNSUHNQMDhUTGRiWnE0R0ZPcDFFV3E4R3U4M19FZzI2akVUNFRvRkgwSkxuMkZpWmU4Tlh5WTNoQ2M?oc=5" TargetMode="External" Id="rId106"/><Relationship Type="http://schemas.openxmlformats.org/officeDocument/2006/relationships/hyperlink" Target="https://news.google.com/rss/articles/CBMimwFBVV95cUxPLTkyck5DaWR1VmtTV3hIeXVJaWNDUnNpR1AzZDlLbVdzdC1kSmJfTjM3T000WGlLSWt5S2hfSzItS3Y5MkFJZWRZaktBTlNVVFFyRjNHRndpczhWYkdvNFBFY1MxbXA4VTRWWlpCeVdqTWFNbG9HTldyRlRwQkdUYVV2SDNBOGFRUU9WM3pIMG16RUZBWGttYTRmVQ?oc=5" TargetMode="External" Id="rId107"/><Relationship Type="http://schemas.openxmlformats.org/officeDocument/2006/relationships/hyperlink" Target="https://news.google.com/rss/articles/CBMingFBVV95cUxQS3doM1BoVjZsRlp4V0theDZtSFZUWEhySWJwSDIzUFpjV09lV201bzV0OFFuYVZrS1lJT3BXd2ZJNVpWbWpJbm5MSlpUb004MnlwRlJYMmV3bnpNWEZSc0pocTBxaWRHcHVYc3lPdmFESG85TUc5UkJ4YVljMWZPbmJzcWlXd25iTTRuQmNjNHg3U3BHalpHTUNTWE9nQQ?oc=5" TargetMode="External" Id="rId108"/><Relationship Type="http://schemas.openxmlformats.org/officeDocument/2006/relationships/hyperlink" Target="https://news.google.com/rss/articles/CBMilwFBVV95cUxNcG13NlMtVlJSQ0ZDYTM0cGN0NmZzaEtGVDFnV2ZGNkIzM1p0MU0wdUFpbnNDdFFDa0l6M1F6NW5hX2pMNFViN2lfWE80dlJFUGpiOWRfSFhBRWN1d1g2b3o5a1kxNUhIVHRNUUJ6TG5EMXdxcnE2bG9TTWxIc2dDUjBLTlpmNjg5WFVtZE15SWhRY0sxSWtv?oc=5" TargetMode="External" Id="rId109"/><Relationship Type="http://schemas.openxmlformats.org/officeDocument/2006/relationships/hyperlink" Target="https://news.google.com/rss/articles/CBMiugFBVV95cUxPTWJZUVVOZ3hOTjliMDhtRWVCaFQyYnB3SzNtaDlrOGg4b1VzVnUzM3Rjc3l3T0ZrUFBXNWRWRnJNdGF4WVpJR29aS1VjSkFIZnFubFVCZnJFS3NQZW93VHlaQ2p6RUcxbFhlOUdzRmZGRDhkVHZFTkkwSk1rZm1vdWFXS0JDdkxsWDg4YzhHWVoyeEVSQnRocXlqcnRab1lSSS1GQXhNT24zSTlCTGhVU2c5NzUwaWctdXc?oc=5" TargetMode="External" Id="rId110"/><Relationship Type="http://schemas.openxmlformats.org/officeDocument/2006/relationships/hyperlink" Target="https://news.google.com/rss/articles/CBMiigFBVV95cUxPZWVidFMzVlYxMDdISl9EQ2U0U3hiaVU2NmFPN09jYzZUem1CaXB3N1I4S1l0VW9Ka1l1LU9kVnY2bDQzUnFKWUFiNnF3azVkeEZoUGpxREdXNExtd2ZwRWVtNmZPTUkxUnA5TmFsczUyX3hkLUpJYmtFVU5yeTRONV9nb2VfNjVPZnc?oc=5" TargetMode="External" Id="rId111"/><Relationship Type="http://schemas.openxmlformats.org/officeDocument/2006/relationships/hyperlink" Target="https://news.google.com/rss/articles/CBMi4wFBVV95cUxQSXAyb195dGp6RURzRWliZzhoYmI2S0RUbUJQZG10eHVNSDVFZDE0bW1naTNubEgxU1k5UWxOTV9QUjJiLXZxWlJjOVV5aTh5V1J3Tm11UFdsZ2dJMnYzWTdvekpSWXhoSG1QZGF2a2o3UXRkWjh6VTNqcS14cXBJSUd4NXplcUg1Ri1EN1IzN1dyblF3clU3ZE42YmNra1hhYVF5c1Azd2I0U3VoaFY0a1pDY1huU3NmUXhOQnAzeHVSY3BQTV9uV3hsckJxaUx1SHhPQ1VUU21kZWFVZGJVRGtzRQ?oc=5" TargetMode="External" Id="rId112"/><Relationship Type="http://schemas.openxmlformats.org/officeDocument/2006/relationships/hyperlink" Target="https://news.google.com/rss/articles/CBMimwFBVV95cUxPMFBaWmJuQ3NGTklKMkNGckRqWFA0WW1sLXlvY1QxanR4YkN6YVVpejBld3ctZVREbkVPWnVab2FBOEZtTXoyeVRmTDE3TXF3ck5IRzNkNFJRZ0lmZmlqLTIwWGZhV0N0RFFiNGVPMnJBcHc4RXBBdjRqdmh5WnZSb1VkZ3B2Q3hva0JybF8tbVI0WjVQVFVsNHUxTQ?oc=5" TargetMode="External" Id="rId113"/><Relationship Type="http://schemas.openxmlformats.org/officeDocument/2006/relationships/hyperlink" Target="https://news.google.com/rss/articles/CBMia0FVX3lxTE5yN3NxbVRJdUpIaWRZaHJQMGx1MktYUTdSRHlXd0xCR0tiSkhtNEotVmltaFRvVzFvY3Qxcm1JOFVCb1RBWXVtMTZRVWRtdC1DMERha1RoblFxTjhBT01GR1hWQ1JLTlRFMW1V?oc=5" TargetMode="External" Id="rId114"/><Relationship Type="http://schemas.openxmlformats.org/officeDocument/2006/relationships/hyperlink" Target="https://news.google.com/rss/articles/CBMikwFBVV95cUxOUmJPNnl3dVdQRml6UUt3S1Joa05VaE9sdjdhNWZZeVN6QUdqdnFIS2NiMWdGMl9KN093Wm1naTRFcDRoek1UTVQxNGJkZ2lkajUyVnhRRFF4ZTV1UlhsS3NodG80YlpGdlpuOHRaaGFnaXJ5cDN4eTd0VFZJdldPMlczVVZ1NmZZdExSemVKM3lXWUk?oc=5" TargetMode="External" Id="rId115"/><Relationship Type="http://schemas.openxmlformats.org/officeDocument/2006/relationships/hyperlink" Target="https://news.google.com/rss/articles/CBMiWEFVX3lxTE1USkR5eG9yOEoxdF9oR1JuMU4tOUdCNkREX0dNUFFvWWd5UXZaT0ZkQk54eUhVbFg4QlI5SF8yTHlGZFZldTBsdnpFRDY5X290bkt0YzBXOTbSAVhBVV95cUxNVEpEeXhvcjhKMXRfaEdSbjFOLTlHQjZERF9HTVBRb1lneVF2Wk9GZEJOeHlIVWxYOEJSOUhfMkx5RmRWZXUwbHZ6RUQ2OV9vdG5LdGMwVzk2?oc=5" TargetMode="External" Id="rId116"/><Relationship Type="http://schemas.openxmlformats.org/officeDocument/2006/relationships/hyperlink" Target="https://news.google.com/rss/articles/CBMikgFBVV95cUxPcTFMNDFOcFc5MjJHLWgxTldJbW9TT3doRG10TDRuSzlYNGNSSU5DOU1Razc0dkRYY0IyeVN1OHoyT3U2WG9wNUh5VW81UEd6anIwMDF1Ym1yQ3VlVk4wZ05saEh2VFFBMnZqOV9nbkFud0NMbWZ6NW9UU0pha0E3enQxdHQtU3JaNktBMlNxWTg2Zw?oc=5" TargetMode="External" Id="rId117"/><Relationship Type="http://schemas.openxmlformats.org/officeDocument/2006/relationships/hyperlink" Target="https://news.google.com/rss/articles/CBMiUkFVX3lxTFBBaDhzbmpCUVV6Y1lGN3hyYllJRGRHNkUta1M3SVpkamJ5MGktVWZHdDJqLWloWW40SmVzTldUSWc0UXliVXJOVWR2VmJoWUtGc0E?oc=5" TargetMode="External" Id="rId118"/><Relationship Type="http://schemas.openxmlformats.org/officeDocument/2006/relationships/hyperlink" Target="https://news.google.com/rss/articles/CBMihgFBVV95cUxNZlBjUzdTUHFfNm9fQnZtclVPRG1ZdWtERFVpMHRYYzRrTGV1alZYeU4yR240ZnM4bFZEMkhFMEtJbk1fakR3dzgyRm12YkZZdkpnTjE4UGNBR2otMlpsbkVpdDdGbXBPbUdYaU5ldjBqUnA1c1hwcFF4Yjl3NXVFcHRacHlTZw?oc=5" TargetMode="External" Id="rId119"/><Relationship Type="http://schemas.openxmlformats.org/officeDocument/2006/relationships/hyperlink" Target="https://news.google.com/rss/articles/CBMibEFVX3lxTE9qd0p2T2p3a1lzbEg5TnFXNDZ2VXRhLWIzbGk1U0pnQlFCUk1RU2tqdFFXeEt4RkM3bThuVUUyelBfNHJMdlFmMThyZG9UakhLLTFqTGJBTDBKVmN1bXlqQmYyX1U3eHIyWTNfTw?oc=5" TargetMode="External" Id="rId120"/><Relationship Type="http://schemas.openxmlformats.org/officeDocument/2006/relationships/hyperlink" Target="https://news.google.com/rss/articles/CBMilgFBVV95cUxPaWJCQW9La1Z3UklqdWVaNWVLV3l0TFplUEg0R3h5ZzBSNlJtZnpNb2FONml5V3FqbnJGTnZvQ2JZSllHZGRoX3NWR0l6Q0oyWE02RXlncnRfREVCa0xBRnVMTDNhcWRxLURrVTNJUEl5UkdlU0RtdU9UcUpVdVFzblQ0UmdOVlR0YTBfTVpDbjZud2p5d1E?oc=5" TargetMode="External" Id="rId121"/><Relationship Type="http://schemas.openxmlformats.org/officeDocument/2006/relationships/hyperlink" Target="https://news.google.com/rss/articles/CBMi4gFBVV95cUxObEFsSlpBN09veGl1WXBBcWNHZFplTFFzQlIzSVZJUFVYdGdwcV9OZVY5TTBSM2JZbTdOd2liZFJyX3lscDU5VU1iVmZwaVU0bnZTSnk3ektFWm9QNEF4Y2ZMRldYdWVabGdKaW5yc21qQWxGNWcxOVZFNkRCLS14ZHpLc29Mel9vZENjazdLRWdMRm5uUEhob0pUS09pSVJEWXNjSlV4SE9ESFZyUVdEaENkUFpRTkt2SUZWb1FDRXAyMEd2LVhHTXhiODEwa3dwV1BvVXpQc2E3aUJXc1ZtQ3d30gHiAUFVX3lxTE5sQWxKWkE3T294aXVZcEFxY0dkWmVMUXNCUjNJVklQVVh0Z3BxX05lVjlNMFIzYlltN053aWJkUnJfeWxwNTlVTWJWZnBpVTRudlNKeTd6S0Vab1A0QXhjZkxGV1h1ZVpsZ0ppbnJzbWpBbEY1ZzE5VkU2REItLXhkektzb0x6X29kQ2NrN0tFZ0xGbm5QSGhvSlRLT2lJUkRZc2NKVXhIT0RIVnJRV0RoQ2RQWlFOS3ZJRlZvUUNFcDIwR3YtWEdNeGI4MTBrd3BXUG9VelBzYTdpQldzVm1Dd3c?oc=5" TargetMode="External" Id="rId122"/><Relationship Type="http://schemas.openxmlformats.org/officeDocument/2006/relationships/hyperlink" Target="https://news.google.com/rss/articles/CBMijgFBVV95cUxORHhvYWNuVVRGRXIybWtsektBWDRYYkhhLWlYd2FwS0pBV2wzWklDdzN3UGxXLWZpa1ZLT0lWM0RZa1RXY0ZDRS1HYUdDV1RJU2dWWFpWalZ3cEhkaGJsYjk2WUZrWXQ3M2hXTWFVSGxSYjFhUzBOVlNnSUYxdVhtMGNBellTcmV4Q295SDJ3?oc=5" TargetMode="External" Id="rId123"/><Relationship Type="http://schemas.openxmlformats.org/officeDocument/2006/relationships/hyperlink" Target="https://news.google.com/rss/articles/CBMizAFBVV95cUxNd2dFendqYTRDcVVfLTVONjFFenlXV3pwTHVkVEJhb2ZfYzdKbF9XTDgxVXJqY1d4QWo3bi1CR250aUV6Y2FmQTktNUtTbU1FRnA2WUVzdFRiU2lRa3M1VzdwRUxzbWF0eUJmMER5Y2Yxb1V2aVdta0M4OGpjWmV6VGFnUVFLNjlQand3S3hSaTBFTUJZQ0JfNVBvZmF6NVpLSkdEMVlBLWt5VW5wYlhSOHBrdHVjU1FVMm41cW4tN0MwbTZ2Z2dULUZJemk?oc=5" TargetMode="External" Id="rId124"/><Relationship Type="http://schemas.openxmlformats.org/officeDocument/2006/relationships/hyperlink" Target="https://news.google.com/rss/articles/CBMi8wFBVV95cUxNNlBCakVVSHBHTXI5UXNfdFF4SmtBTHZaWWhZaF9TYklINTZFZVpuNHlSbE5HNHBIUmJyd1BQSlJtamZ1ZGxBU1lxVmVib2RHRVFPRmszbmFtWVNxenlGeVk2TGRpaXJRNUdPbklLUXRCY1E1ZGhhQVB2Q0pHSU9VMTZJMkVfRnh2ZHJ3V3JJTmtqUDhUX1lMMk1GX3IxVGRDY0VNbHpmY0pWcmJVN1p6eWFzLWQ5ZmdoOEZrRXBNRHNaRDFlYkpXdDZORU5iek80RHBwUzdBb1A3OF9DTExya013WnpwYTRuWjJLeFhXc3ZCUlk?oc=5" TargetMode="External" Id="rId125"/><Relationship Type="http://schemas.openxmlformats.org/officeDocument/2006/relationships/hyperlink" Target="https://news.google.com/rss/articles/CBMi6AJBVV95cUxPTTNxbUF2ODR0d0dfM2ZBb3B0Y0lvRElsVjNPbk1aV0JSMF9SeHFfbGk1cFNVTTZ2TjhlTW5ldEVCcmVmdHNSM0xxN0hIbjFveHdxdVBJSl9FLUNDOUJ6a0tWcy1SQTltUWJuUHl3SDNmbzlEc2NSWW5JemxmOVJidVZBUjhwYUV2NTc1cnBKUkw4Zlg4bzJlbkJaTzA3Y1Rvel9zbVFEZ1lRVUdsaTNRLU9YZG9RbXZLcXZTQ3BaUXJLcV9BMlYxRU9DZl91YVV6OExlSnU4bnh5V0wxVWVvV29jWVdlQ2x5dTVXT202T1JTek5nbEhkdkZlMHFPd3UxZ0hUdXl0cVUxYXBybmNNcmFkS0VmeGhhNDc1V3dMRGpQelpZSDZGaFZIRnpFVGRKZTV3VURCTkNaMW5WZnpGcUd2VjlsZzd0VjJRa1BCUE1IWXNCSHZ5VHNrQlhUZUlFWjYxWHpmbzPSAfwCQVVfeXFMUEN6dkx4WFpjY3ozMFFuZnZiNEc4ZFlsSUNhemhCMXdKQi1DbEhMS1gwdzBwZTBjME9ZdjJaX2FhM0JmcWx5MnNDMHNsZC1iTDBkbmdjZHhLZjZaSVBfWGZZUmVONnpWU0RucGM4a0lKNjVsWVdyd1BJMG1mdm5lRHMyU3lhTW84am52eVJTMjNzZ2duTGpScGN0NlA0QkdBV1hTV3E0WllEc182YXE1Y1lvOUhEWHhNUXpRcHRfbGtXZFFReXZXSnE1Z3MtVWc2YXNfT0JWLW1OSkRaYWJrdWtiRU9JRU1EQjUwcTNSem1obGNocHYyV2pLQVhlbGJBZDM1RGx2UkNJVUY0VV9jR1VBZUtGOEs1OVdOQzVkZU1sYVU4RkpxSkNpdUpyeS10QmZiX0xwSUs2U0FFd0JFckY1SElKZEptMHhwUklKN0YwekFCTkpFLXRuZjBmUFpYc3pGWVQtMG9uajhwOXlUN295QllOaE9tazdSbEc?oc=5" TargetMode="External" Id="rId126"/><Relationship Type="http://schemas.openxmlformats.org/officeDocument/2006/relationships/hyperlink" Target="https://news.google.com/rss/articles/CBMi5AFBVV95cUxQN2dkNUMtV1kwNUFwMFA0VWRsUmN6Q3RhTDhyTWtHODFmSHhEWWdtT0Jwazg3Nk54S0ZnRF82OHpybVI2OVhIbkp0c1dQX3N1Ny1OTkZhR2hHQUMzYXJfT3BzX3I2Y3d6WndQNno2QTloWDFESzVxUTRMZDZOSDNQUzJYVTBsTks2Mll4SjZRYkZxbWxjOHByeGVkUkg5d1d3UWxmQUtBTG1lWDRTMGNOQWZnRGRtR3c4a2xiRUFHY3laMDJzX0VYUk9GZkR2akQ3bkNKeGU1aVYwb1F0WE14WVVVQ0bSAYwBQVVfeXFMT2I5Zk9zQW9sMnMteVFacFllV19JRWVQT0JfUGNTSTJ0R2FLYmpjTEhkQ3EzWTVmRDRWUWxJcTF3WmxDNnJIaUV2amNuNm5sSTJJV08wb184aWR0czBDRm5qdnN5WEM3ak5zQl9mendjUDhHaU0tbzVjQTNwY1dzNUUxT3pVU3kxeVpXa2k?oc=5" TargetMode="External" Id="rId127"/><Relationship Type="http://schemas.openxmlformats.org/officeDocument/2006/relationships/hyperlink" Target="https://news.google.com/rss/articles/CBMi7AFBVV95cUxON0hLN3oxMFdMX0dlRUtVNHhVQ2Y2Nk00NHlEUUVSb1N0bmRXakNHcUNOcFcyVWl1UXp1Wm5ObjE1X0RDdThWSWJZazE2WVA5MTR0ckM0OV9BeHVOUFoySjUyRFdrN1FiVDVzd253R0JKSE9yN3ZzN0NHS1hJSGwxNmVQUzVyZlNsbURWQ3ZBdktrTkdYWElFcVBpVm5FU3pFeGZpNkl4V08zMkpGOTM2R0czXzJVS1NTcXBGcnViOXZmTmJJRFJkNXpSUTNEanFWeWpDdU9xbE9mVXFndU1zNVh2TC0zcHpuWEcwcg?oc=5" TargetMode="External" Id="rId128"/><Relationship Type="http://schemas.openxmlformats.org/officeDocument/2006/relationships/hyperlink" Target="https://news.google.com/rss/articles/CBMijAFBVV95cUxOLWcwOXFBTWY2NnVDYW5EVi1yMldxeWpKd3NNTjB6SjMtS2FFRjBYQUd6ek1FYkVnVndOX0J3YXk1a3dVZW9KRWFCaV9KaHc4a25tdDBTWmFXc2hnU09sWEtNb2gxVjFhQ3RJaEJpVWhURWowRjNwVlV6ZG9RWVRlb1lpYXBrUV9YU0dDOQ?oc=5" TargetMode="External" Id="rId129"/><Relationship Type="http://schemas.openxmlformats.org/officeDocument/2006/relationships/hyperlink" Target="https://news.google.com/rss/articles/CBMibkFVX3lxTE5PclBzMHZTYkNxbkRYVWFacWgzMjRTdE1JdmNYSi1xbTlBaVZLRTVjTHpCTlQ4c2lEQ2xoMk9kcEdROGxBOFI4Zk9YV3JGSXdUZDg1blVlelJzbU54VjkzTkUySEV5Z2x2aHY5R0xB?oc=5" TargetMode="External" Id="rId130"/><Relationship Type="http://schemas.openxmlformats.org/officeDocument/2006/relationships/hyperlink" Target="https://news.google.com/rss/articles/CBMic0FVX3lxTE85MmNnNDd2QkUzaFV4QTZmTmJXNTAzbUZfMjdpdlNaSjEyODN0eW51ZUp0RzE3SHY2NzRuQlZtOHdtcnFQLWlBOGQ5eVQ3QTU1REJMWTRvZm1qTFZHZWZ0ZU9WTGRiYkhJNGVEaEliZW9GZWc?oc=5" TargetMode="External" Id="rId131"/><Relationship Type="http://schemas.openxmlformats.org/officeDocument/2006/relationships/hyperlink" Target="https://news.google.com/rss/articles/CBMivgFBVV95cUxOeUJHRExHRm0xT2ZMLXFqWWFjaXRUWDFrY2FpaDdYc3dlVy1tYy1GQ1hZSDk1OFZFVElOOU5NMVVia21KM2xPSUhWdnk3ZHRkTWV1emJBZkhQclp3aUtiUzRiX0dVZUZhaGRpUWlJUE8tUmhha1ZLUS1TRGM2dGlxRWJ2UWFkNGNsakZ6S1NTMWw0NGp0V0Zlc0xXTzBTRkJKaGZPT2tNcExKRHBaZXN2U3pIMkVKNTRVdy1mUkxB?oc=5" TargetMode="External" Id="rId132"/><Relationship Type="http://schemas.openxmlformats.org/officeDocument/2006/relationships/hyperlink" Target="https://news.google.com/rss/articles/CBMioAFBVV95cUxQdGo5XzZaLXUtaGVxUE5qb0ltRENoMjhVWlN4b0dqZFpPREJTNGw4Rld2bmtEX2VnSlB4TkJYVkxPUjdzZXYxZ2tWOG5kaWpUSFF1UGRjaUNKY3NOTkpVeFZpOFhMOW1QYkZIQXZ0ZTV4NjBseUVBYzdBdDNPTGNtc0pMRXFSWWM0SmVhS05Ld2hVemp5bHdkX290ZFltU3NC?oc=5" TargetMode="External" Id="rId133"/><Relationship Type="http://schemas.openxmlformats.org/officeDocument/2006/relationships/hyperlink" Target="https://www.tunnelsandtunnelling.com/news/snowy-2-0-cost-and-completion-date-revised/" TargetMode="External" Id="rId134"/><Relationship Type="http://schemas.openxmlformats.org/officeDocument/2006/relationships/hyperlink" Target="https://tunnellingjournal.com/mobile-shield-deployed-for-a14-vinci-tunnel-reconstruction/" TargetMode="External" Id="rId135"/><Relationship Type="http://schemas.openxmlformats.org/officeDocument/2006/relationships/hyperlink" Target="https://news.google.com/rss/articles/CBMilgFBVV95cUxPbVV1NmdrOGFidElfXzZzV1ppbDBCOEc5V0luUWxOSTAwMXNGdmhVMkoxMjUwSUpmbU5lQlBuNkFVTXZGMk5IRzd5Y0taREt0ckRUT3VqSjBfbGFPTmRjUTZFS18wLTQ5Wi1ZdnFtYWd1QmN0U0Nsekx4ZzR0YVk0dmhhTXVpTW1rdEpCbGlKLTZNVXVzMEE?oc=5" TargetMode="External" Id="rId136"/><Relationship Type="http://schemas.openxmlformats.org/officeDocument/2006/relationships/hyperlink" Target="https://www.tunnelsandtunnelling.com/news/abergeldie-awarded-patent-for-underground-hydrogen-storage-solution/" TargetMode="External" Id="rId137"/><Relationship Type="http://schemas.openxmlformats.org/officeDocument/2006/relationships/hyperlink" Target="https://tunnellingjournal.com/snowy-2-0-cost-rises-to-a22-2bn-as-tunnelling-reaches-65-completion/" TargetMode="External" Id="rId138"/><Relationship Type="http://schemas.openxmlformats.org/officeDocument/2006/relationships/hyperlink" Target="https://news.google.com/rss/articles/CBMiygFBVV95cUxNYnltUmU0VEdCNDdXUG4xWjNBYXRMUEdlU2dIanhJeHFBalFBOG9DaWx0Tk5KVnZqeGZSMkxZQTNNSkdzWTJHZl9oSDRRWXZOb2YwNFVLNWw5ZjBUY0ZZdTNpOWg5RlQ3M2xDMkt6bkRvMFhXc1k3bTZmVmpVLU9zdTEtQ1R6U1hvWmlPVHA3WjFwc1IwNldOSHV6UGI5VldtdS01bjQ4ZXl4d0N2bjBtWVFqRktLUkZtMFhtVmhrUUVkSEhBbmtJMjJ3?oc=5" TargetMode="External" Id="rId139"/><Relationship Type="http://schemas.openxmlformats.org/officeDocument/2006/relationships/hyperlink" Target="https://news.google.com/rss/articles/CBMixwFBVV95cUxPZGJXSXRVamN6M3Z6Ymc2NnU0ODdaRThOc2tqRWNRQ0VLeklmMTViYzh1RVZESzNZOUlwVkZBUS0zcDB5UFFXdlB1TUM0N0NSU1BJZFNSRERhdnBSeS1jU1B3aVFUQmh6bkxCbUFROEJ1NS0wUDVuMUhFeGNleWtCVUxBendKR0dFekxHQVFNejlTN0hOcGZadDZmWGRiZHdGZ0xNZVRuc21BYnpUWHg3LWx4UzJPbHNxVUJpWWxLdUtWVEhBcnBr?oc=5" TargetMode="External" Id="rId140"/><Relationship Type="http://schemas.openxmlformats.org/officeDocument/2006/relationships/hyperlink" Target="https://news.google.com/rss/articles/CBMi0gFBVV95cUxNcGZlMTE5MjVLdXpRZjFKNzcxQnZ5YmFUQ0xkeGljcmdESFNjZE1xai1JR196X3BEcTl6eWZmWjlPU3ZpQktHM3hWSmJvVEtUaGlSb2hNUWtmcjNpbV9hZXhRdVR1UEdMeC1fMTducHM4bElIOGFLZFhvZnZIMXM5OHRYdEJ4N2NVNGhGa181Qm8zTTd6d2dTQjVkSUZrRHdwcE5LVUxxY3JhSnN2di15NFVXWXJDU011NW5uejZQVmNtcHpvOU9NOXFzbVJNVU9TdnfSAeYBQVVfeXFMTXdwTjRSMVRXVjFOUGJEU1dkVDB2c1dCc0c0MnZIN1hZVHl4Z24taWFocko0SldESnk3LWltclY2TU94d0liMXM3YkxiVndZQVhCWFc5ZEROYjdCNFRCVmlEaTl0X2ZOXzRJQmtKSTFPWTVsNjZncVBudnBmckRjX1M3OEUwSVNYT2RtUF9SYzgxQlJHMWgxYVRkcUYwck9IOXBzeUE2Yi01QXRVeG1IQTFvOUxsaU9TNlVobzJROUhFVmV3bng5NFZnSlV3SFNiQXFkTGFMVFBwZUp2dUhIV1Z1RU5rNFE?oc=5" TargetMode="External" Id="rId141"/><Relationship Type="http://schemas.openxmlformats.org/officeDocument/2006/relationships/hyperlink" Target="https://news.google.com/rss/articles/CBMiREFVX3lxTE9KcGh5bWlxWEhKT3FXdU5qVjNOd3c3clQ1bGw1YWFmaHljV0U3ckZYcndLVTgtakJFSHZZQ3ViYXg2QnV4?oc=5" TargetMode="External" Id="rId142"/><Relationship Type="http://schemas.openxmlformats.org/officeDocument/2006/relationships/hyperlink" Target="https://news.google.com/rss/articles/CBMijAFBVV95cUxQdDFPZ1hLdVRrLUxWRTkyRWtWTjdrMTlTMi1EdW5meVA1dG5ZUWxNZ09MRThFeTk0OThLTDg4QkhBRlQwMzZkTnRBWnh2ZjdTWkhVWTcxX0QxYnNrMW9XOHNyVFZxeHpJMkthZDJRbGtsV0VuTjkwLXFTN0JSS2k2NU85em9uLWgtTjBjUQ?oc=5" TargetMode="External" Id="rId143"/><Relationship Type="http://schemas.openxmlformats.org/officeDocument/2006/relationships/hyperlink" Target="https://news.google.com/rss/articles/CBMic0FVX3lxTE56eFFxMjNpU2dPWkppM1RsMEJJbThwdXcyYk1id0t2V1RCYUFMQTJzVGRGMFBxODZlSi1IVERlM29jWGtJRUtkb1M5em1ISlMwd1hBVnkwNEVOb1hiWlkzNU9JZUJJbWZXNUFZWTh5YkE5SE0?oc=5" TargetMode="External" Id="rId144"/><Relationship Type="http://schemas.openxmlformats.org/officeDocument/2006/relationships/hyperlink" Target="https://news.google.com/rss/articles/CBMi0AFBVV95cUxNZm5rakRuTlVuWjFiMGV5Z2p4SmRJUTlTc3E4S0g0WnVzaEcwRTVTWjdrVVlBRl84ckNvRUpXQjh2bTY2R2RnNFZGOG5uVnpDZnBpSUM1S3JVd05lQUd0cVNNaG4zYUdNSjUyVmZ5TnZfM2RZN0UxUFFMeUJxSEgxSC16bFBlcG52cEN4RVh3dC1EM3g5R1ZTS2tuNVczZEJNRDdfaTZrMXRXb0cwS1NrdS1lb0VITjU5ajZfeXpINS1PVjNNeTNkNkJlX0o3R3NO?oc=5" TargetMode="External" Id="rId145"/><Relationship Type="http://schemas.openxmlformats.org/officeDocument/2006/relationships/hyperlink" Target="https://news.google.com/rss/articles/CBMieEFVX3lxTE5YeFpJbnV5Wkk5VGczTmxUT3Vod1U2UWltZHhMQmtKclRjcURMSGpiSjRHSWNNMjJUWmM2Z1JlUkNHNlgwU09XZXFaNEpKWEoyRG5pdzVvMFQ0aGc4VjdfZG1uWl9FWlVpNnJPTGZRam11WUtBaHdwVNIBfkFVX3lxTFBVV01qejl4ci1ZT3FCdDUtc1ppR3Y3UDM2Y0FjZFpYUEN4UUltSWgwd0Y4Y0lJY1UwTkI0Tm9YeFN2N19qMmhKaGpyQXNKN2hvOFpkZ2VWdno5NmFyOVY3WE9PdXNfTGJpVm9xUThadkdmV0xLNGZhTjFjdkFEQQ?oc=5" TargetMode="External" Id="rId146"/><Relationship Type="http://schemas.openxmlformats.org/officeDocument/2006/relationships/hyperlink" Target="https://news.google.com/rss/articles/CBMijgFBVV95cUxNdzRhVnVlVUVUU1k4S3pUQVo2RFJENXlEM1V6Z2FrVzRMQ2cxb0pZNkJpWUY5UWFHd1ZIUEZmU2x4SGtydEtXN3k2bTBIYWQ3VmZNZkNTRkhfRFctd3JZdThkRW1HTWIxYmVXRDZsazFZVTJsUzVjTWk0R2FIUElZRG5lLUpaeXpHRlZSdFBn?oc=5" TargetMode="External" Id="rId147"/><Relationship Type="http://schemas.openxmlformats.org/officeDocument/2006/relationships/hyperlink" Target="https://news.google.com/rss/articles/CBMilgFBVV95cUxNS29sd2RXaDlmWXJYMzNQSnJKZGpCWmJpOE9kVEdWQ2RFcUd0UHBGdHdRczJLbFRwTHFDb0ZPY1lHOHNsRGtTLXhTb081eGdyWF9YcmcxZkFrc2VNNzBJOUxNU1ppYnZtWlZBTTlZcXNfa2xNVUZWRTUyMkRlTHRUMmJ4Nk95a1kybUNTTmVPaklQSHktWUE?oc=5" TargetMode="External" Id="rId148"/><Relationship Type="http://schemas.openxmlformats.org/officeDocument/2006/relationships/hyperlink" Target="https://news.google.com/rss/articles/CBMizAFBVV95cUxOX3FrTEZHRzR0dFNpaDRjdm9hSlZqREtnQ0Nhak51bmpSbTdqOWtyeDNxV0RmekhHR1JNRjlOSXNzb295b0ZjdVJRb29aaUJLbE9JbDJlLUFkMHg4MnZpVkVnVE9pMW1pM3U5YlBjVmZGTVBxVlBtTkJOeHNleHBoQldIRGdNQXo5UExaQ2tqYmZ5Rnd1aEtuakUxalItUnk3ak83Nm5YNDFVZXo4bFBETEZ6czd4N2I1aE1jZnB3OE80Ym1EM2prQkZXMTc?oc=5" TargetMode="External" Id="rId149"/><Relationship Type="http://schemas.openxmlformats.org/officeDocument/2006/relationships/hyperlink" Target="https://news.google.com/rss/articles/CBMixgFBVV95cUxOVi1Wa2xtWXg5NW1rUUJDa2xWblVjTVpQY3QwdFdWVzJnQzBFcVJKSUtIdFdlMXZmdVhTX2FETTJOREZwVVJ0Yk5TdHVPdjhfX2tvV08yMVhBYVROS0hlalBzMWtuSHBmTWRNcTJhNTN4a0w3b1BIdnVxajVyOER5OGo4dmthTS1nM2ZqOG5Ja1ZkRTR1MFVvWXNhQ3ctX3FfZF9wdjJ6cEppVmc5OXRlWEp6NmRaWllSdGRDQmF6N2RWR3VVZnc?oc=5" TargetMode="External" Id="rId150"/><Relationship Type="http://schemas.openxmlformats.org/officeDocument/2006/relationships/table" Target="/xl/tables/table1.xml" Id="rId151"/></Relationships>
</file>

<file path=xl/worksheets/_rels/sheet4.xml.rels><Relationships xmlns="http://schemas.openxmlformats.org/package/2006/relationships"><Relationship Type="http://schemas.openxmlformats.org/officeDocument/2006/relationships/hyperlink" Target="https://news.google.com/rss/articles/CBMilgFBVV95cUxNdFl6QWFvMFBRQ3hMOFc2S0hRdkIzNWViQXFZaFB1b2h5eEx5czUwbnhOeFNKX3MybWRfLVhhdlJjb0s0eFUtMDloNFJoUTEtb0dRRElGdllDbFVOejZFS0o4NzUwN2lhNlkyMzdlZzBCR1NpaXhKN1ZSZjZHRG1RV1JFQVpJRFNxQW1xcTBZWUMxWnVxRnc?oc=5" TargetMode="External" Id="rId1"/><Relationship Type="http://schemas.openxmlformats.org/officeDocument/2006/relationships/hyperlink" Target="https://www.tunnelsandtunnelling.com/news/snowy-2-0-cost-and-completion-date-revised/" TargetMode="External" Id="rId2"/><Relationship Type="http://schemas.openxmlformats.org/officeDocument/2006/relationships/hyperlink" Target="https://www.tunnelsandtunnelling.com/news/abergeldie-awarded-patent-for-underground-hydrogen-storage-solution/" TargetMode="External" Id="rId3"/><Relationship Type="http://schemas.openxmlformats.org/officeDocument/2006/relationships/hyperlink" Target="https://tunnellingjournal.com/snowy-2-0-cost-rises-to-a22-2bn-as-tunnelling-reaches-65-completion/" TargetMode="External" Id="rId4"/><Relationship Type="http://schemas.openxmlformats.org/officeDocument/2006/relationships/hyperlink" Target="https://news.google.com/rss/articles/CBMibkFVX3lxTE8wdVhYVXYyQ3RwMHAtOTNnUkh5TnhCcEtVem9XenhDMFo2UVFHbWtIaGIzVHhLb1BFQmd2akRLZkFMd1pQNWJDRElESUY1SUdvLWFfd1ZaUW5tZ0ZFcmIxckZxbXg1Z1RrbXI5V0Zn?oc=5" TargetMode="External" Id="rId5"/><Relationship Type="http://schemas.openxmlformats.org/officeDocument/2006/relationships/hyperlink" Target="https://news.google.com/rss/articles/CBMibkFVX3lxTFBHcTd0RXlKUzRRSnNZS2RrSFdQSTlnajJrcWxrUWt4S2E5cDNqSkhzRDNiRl84eW1Obll6MDJiLTUxSURzUG5GVWtnOVR3TlhyMUpPMzNHYW1XNlNyRFNweHlQMDA1RjNqQS1KZnRn?oc=5" TargetMode="External" Id="rId6"/><Relationship Type="http://schemas.openxmlformats.org/officeDocument/2006/relationships/hyperlink" Target="https://news.google.com/rss/articles/CBMi9wFBVV95cUxNb2RuOGhRdXFVMFdkZGFBRy0tQVZUWlMtODhEZzJpMzJicUFacnBWTXpkeEZ5YTdTMmxmbFNoUDRaWFdKVmdJZFJtbnJtc2p1ejBxbWR6OUs0ZkNSMlJhX0g4NEplZHdndFFITWVjeEF5bnNpZkNlTlBPWEFRN1FRNktCZXcyU1Fha1l4dXc3VHo0TVBsU3l0R2hob0NNYWtIeVM5YUNhVTNHWnAzUHozc0dsNmxLZUgtYzhpR2VubDdJMnF0aHNwdi0zd3JpXzI1Wk5hbDdyNnVmUERYQkFYSUV4UWRnR01GZXFIRVNENzZYTWpJSkFv?oc=5" TargetMode="External" Id="rId7"/><Relationship Type="http://schemas.openxmlformats.org/officeDocument/2006/relationships/hyperlink" Target="https://news.google.com/rss/articles/CBMibkFVX3lxTE9QQVZhX29ySmV5Wk9oVElzYXZVaUdkc3NkcERtSm5RZEVEZDNWN0pFUml2aC03WFNHRWJRRUk4YXY3bExHLU5iajZoV1V3Tm1xVVRBVmRWZklRN0thMDNfUUJTaFZLZ2NXWXRwRE9R?oc=5" TargetMode="External" Id="rId8"/><Relationship Type="http://schemas.openxmlformats.org/officeDocument/2006/relationships/hyperlink" Target="https://news.google.com/rss/articles/CBMibkFVX3lxTE1WQ0c3RjRvbm50dlNYYi1UcTNoTDRQbllDZzJ0X0d5NVVkbHdMdmNNeGNxZmJPelQ0T1V0Y291aVF0Tmt2bDFEbDZyeWgtZXEwZ1NRQ0oxVF9pN0tTbnZYWVhDdFVBbE9obFRhSHNn?oc=5" TargetMode="External" Id="rId9"/><Relationship Type="http://schemas.openxmlformats.org/officeDocument/2006/relationships/hyperlink" Target="https://news.google.com/rss/articles/CBMiUEFVX3lxTE9sUlNwdEcwMURBRkNDb3dEd0NfVFIzaG9RTUMtYkQ0dnNpT3ByQjFVWFJPYkhjWDNqOFlXNkVrOFk3VzB6NHB1MGtjU1Bfa0d6?oc=5" TargetMode="External" Id="rId10"/><Relationship Type="http://schemas.openxmlformats.org/officeDocument/2006/relationships/hyperlink" Target="https://news.google.com/rss/articles/CBMiZkFVX3lxTFA3VmNVcVpnS3U1V0ZuanVlb3VQdnhpaDN3NGlETGFPa3h5bURmWGJUUGJsdjh6SENpWGFUUHNGa3pMbUJNd0FndDBkakstVzV2b0U5bjVMOFRFVDFrTS1ob3RwTTZPZw?oc=5" TargetMode="External" Id="rId11"/><Relationship Type="http://schemas.openxmlformats.org/officeDocument/2006/relationships/hyperlink" Target="https://news.google.com/rss/articles/CBMizgFBVV95cUxPeUtDQ05KR3BiV2d5RkNjVUJSb29EZlZaRks5VlJvb1g3STk4dEliaDZ1Smt3Yk53bnFJdndubXJYN0xXZkNGV0ZpT09ZZVdmTWpWUHNpUFo4Z2hiTFFVQkVjaWJ5aEZOYnUzakhPNHVWVmx4U0V0c1ZBU1owYUhRLVNUNy12d1N5U3ZHOVB3bE5kOW5yRndjQXc2am5YUGdMbmJQQ19EVVpGTEJXLUpYTFY0QUpkS0FPZ0wxdDdLejZ1RVBGZkZaOEFQR0lEZw?oc=5" TargetMode="External" Id="rId12"/><Relationship Type="http://schemas.openxmlformats.org/officeDocument/2006/relationships/hyperlink" Target="https://news.google.com/rss/articles/CBMi2wFBVV95cUxQYlB1TFpreUsyaGpXMjRFOFRPSFBBR1R5QmxiMkxzMS1vbW1vNklPRk1kTUFtekZFOGt0aEdKc1c1ajRDN20yLTl0Ym1JUXBNanctbXF3OVlMUi1iOVo3WDRMeUR6a3RuQnZXNWgxa01JQThSaGZoUlFvZ19fZXM0MEo4ekJMbmpSRlVLZGtmaGczbEFOZ0tYdzNBNDZsUFJZVTFIV2tKY3FUY1pHdXBoRnREeGdZem1qRjNnMkxYZjRvMGtiSmx5ZHp1MGdGTXBRd00wRTFSWVREMUE?oc=5" TargetMode="External" Id="rId13"/><Relationship Type="http://schemas.openxmlformats.org/officeDocument/2006/relationships/hyperlink" Target="https://news.google.com/rss/articles/CBMiZ0FVX3lxTE5leHlqNFI1UXh5aXh5dU5RMVFSUmI5Y2VCOFkzTzhla0Rwa25XbDk5ZlBNblFrdEw2UDc2ZTA4VWtaWmJuN25hLWlBdjNpRDJEU045aldfR3dLbzhzdGZmN3ltV3lxQ3M?oc=5" TargetMode="External" Id="rId14"/><Relationship Type="http://schemas.openxmlformats.org/officeDocument/2006/relationships/hyperlink" Target="https://news.google.com/rss/articles/CBMiqwFBVV95cUxQUVljZ2Z4NlVrQkw3RXVnMUxoZ1hCVjRvWjJ4TDlQSVRaaHF3RFRILUxNck1KQXB3RS1wTTlnZEhyMkxlMjBqR25udVNxVXZFLXRhX0IyX2VuUGJDTEl1a1RPUS1tcDRmd3hkWmpEQnQ4UF91dF9MY25OcEZ1czBzaXNlZFVuTjZxVVVCN0JKNVBtSmZtRUlvNV94Q1dzRWxuYlU5UXdGUTdaMzDSAasBQVVfeXFMUFFZY2dmeDZVa0JMN0V1ZzFMaGdYQlY0b1oyeEw5UElUWmhxd0RUSC1MTXJNSkFwd0UtcE05Z2RIcjJMZTIwakdubnVTcVV2RS10YV9CMl9lblBiQ0xJdWtUT1EtbXA0Znd4ZFpqREJ0OFBfdXRfTGNuTnBGdXMwc2lzZWRVbk42cVVVQjdCSjVQbUpmbUVJbzVfeENXc0VsbmJVOVF3RlE3WjMw?oc=5" TargetMode="External" Id="rId15"/><Relationship Type="http://schemas.openxmlformats.org/officeDocument/2006/relationships/hyperlink" Target="https://news.google.com/rss/articles/CBMi2wFBVV95cUxPbEItcVZCOEZqYkozMmZkelZyb2JPaWRsOHl5M0dHNUQyWE1tVnRYbXk4eHZBbWJudE8zUFJGSWNUdlNZZE5pS2FDWDhnY19OM0FGSUVDb1FaN044VHU0X04zUnFhREE0M0kyRW83czIwZVlwZnRnNnBaU2VwUUotZWZXZWl2WHNnV01LaXV5Nzk5dklNSE9zZHlXZG41SGg3WlUwQlk4N1BhX3VlSGNKa2pyX2VBMzBVMWFzdEwtejR2TlNYb29DNmtxYURuaHl2YWlIRzk4dktYMzA?oc=5" TargetMode="External" Id="rId16"/><Relationship Type="http://schemas.openxmlformats.org/officeDocument/2006/relationships/hyperlink" Target="https://news.google.com/rss/articles/CBMixAFBVV95cUxNb1N4SjlJaXNrelJVZzRFNWxVeXJ3T1VBNHVRa25mZzF3amp0Rk4yWG8yZHJYOVpoaFlrWHNuLUlEcVBPUTl5MVpyTVUtemtxSHMzN3NsbDFfZXZkT0x2V1Q4Wm1McXJxRFg3TFZmWTBLbURMM3ZDZ2d6cEJMNzlaUTdFM3k3YWFLLXlkcFo0UERKUWFQalM1X0F0Qk52ckUwbXZRM3VTa1RVMTd4SmlrYzR5LU9iUXdCbk9SQmZaYlViNVBF0gHfAUFVX3lxTE9pU0JMMnVDa2FFQ3RzdEgweE1mYVJIandLaTdZTk5YOVl6Ri1uUnVMS3Jsc25qMDNzVjk0QUhqYzNCMFFWQkFycGRDZklpSmg1ZE00M2V5TDRJRXR1NnhyMWxhb3lVdUoyaEhWVy14Q1FuUmQzc2hHbVBhRXdMQTlKYVdYT25Id1owZ2FiUy1Vczl3WG5sMVhuM1RIS05xekVTOGF5eEJ5TjYwTjdQVTRyWmVnb1QwTm5yOXVfalJfcFNpNERRc3VqYmtCTjVOMnhNV3o4VTdYYy0wQnVXdmM?oc=5" TargetMode="External" Id="rId17"/><Relationship Type="http://schemas.openxmlformats.org/officeDocument/2006/relationships/hyperlink" Target="https://news.google.com/rss/articles/CBMi2wJBVV95cUxPaUpqb21fRVV2bFlHYU5ud1p3NFVmYVpIMWN4U2Z5S1lOS2lVWGpsb0p4ZnIwZUIxOHQ4OVNXTlhjTWg2Nk9CRTI4cEY1VEJRREV6SmxiQnliUF9pYmh4ekpfQUkwRGxsYW9TOFE1VzdxTDc5bmk2Z2RGbTduX3lIVDVrbFN0eXlualBsSFZ6TzJranBnWi1TSHlKT1FhTDQ5bFpwODI0RVhTVTlOYW9iNjhGc1puZGJkQ1kwUTdZb2IxY1FHTV9DRWFvYnJPd1lWb3ZyOTNxMVNRTGtwd0w0a0RXaFRRMG1WZ1RKUDk0OUJQMHJTN3VjNm5DanhLR3g3eTRmQm8tU1F0bm5EVHJCUkFvR05hejY3NWFPNmhmUkxSZlJFSjFOTVdLRmEyVVY1akMxdWNNSjUzSWhyMmVaTDE5cWhoS2NRWEdrTWVmdE80SUZ6Uldlb0VTZw?oc=5" TargetMode="External" Id="rId18"/><Relationship Type="http://schemas.openxmlformats.org/officeDocument/2006/relationships/hyperlink" Target="https://news.google.com/rss/articles/CBMi3wJBVV95cUxPSDh4cHZPcTZteEUtQTEtU2lZdGtHRUZiWDQwV192QUxleXF4TVZCTEY4XzR5Vmc3dmd1TEJxUFAxdy0yZjNBUzJ1cEhtTW9HRHhKUlRJdnp6SF9STE1EVnNRMFJYVVVWaDU2c0hCY00yQU9leVA0ZHpXaGMyMER1LVNuZHZybktTU2E0R0dfTkdMNnJMYjhsenNqT3diVGY5MFowZGNHNFIxVEg4S01LclRER0l0QW5BSUFDb1E4WndWcGtwYTZOX3BIZEZIaXNic2cyTjdGV09QNlJfVnJOcTl1WG5kTXEtZm40MXhJLVpQdktQanlCcThBeXl2VHRDSGxQc1FrZ0hYTkpTRUpmbTNneVdxS0tvaGtxNF9PVWRBaHBPUDZBSEVkTk5qOHdtMzV1a0Zncy1HQ19NQTlDSnRLQ2dtU184WC1obWEyQUFaenoxWVFCRnpFazFCTkk?oc=5" TargetMode="External" Id="rId19"/><Relationship Type="http://schemas.openxmlformats.org/officeDocument/2006/relationships/hyperlink" Target="https://news.google.com/rss/articles/CBMi2wJBVV95cUxNSldHQkhacnFXOW9uNFFPVC1kbkdZbW1KcVhfbjZGdGdIZFhBbmd5SjVCeGRtOW5vdllWQmFwZGo2bTdNOThuVmR0dkNDSjNMVHZQYmVSNldnNWhjRlRQR2VCTU0xSmZ4N0hJZ01XUGN0ZGI0dWtTLUpkS0poX3ZxRnVpY3FLLVpYQWZxRVktNFhjeVpwTXU5WWI0RGY3X3NhUG9UVHByNnFLRkpBbmxwYnE2Y3VUaWhZU0duOVlzNDk2YWNrVGsyOXlsREV3V3ZYM0o3ZVZXUk91Z2paQ1hlWE9haGZPemIwbVdvWjZLbTNjNkUzQlJNUmpDeTVQZTQxQzI3enk2UU5RX1lxNmlfa1NudG45WjE5SlotTXlaS3lhdW5MaEtwTDNESnVXajkwak04MUwwYUZiYW5FMHM3S2xSRTZKbGROazZQR0ZzS055aGh1Rl9Nc3pCdw?oc=5" TargetMode="External" Id="rId20"/><Relationship Type="http://schemas.openxmlformats.org/officeDocument/2006/relationships/hyperlink" Target="https://news.google.com/rss/articles/CBMirgFBVV95cUxOMUhXcnpZRTdoS0lYX2pGQ25VSzB1Y3NXNzRVajdqTzVLdWZHcU5MVEpWMHRmTVdIaXJZbGtSNWpCX2tOamV6Qk5HenVWRmxBNXJkbXhLVExlYWIzNHp5T2x4dGJmVElvaTMxU2hDYUpFRkVNS0JUR3dsdG41WnV2UkVqSlBMYWpwbjMxbmc2ejFjM21EQTlnVDk5MmdPZGF4alFpT3ROYTRkWkM5cVE?oc=5" TargetMode="External" Id="rId21"/><Relationship Type="http://schemas.openxmlformats.org/officeDocument/2006/relationships/hyperlink" Target="https://news.google.com/rss/articles/CBMic0FVX3lxTE1zSGZTbjJtMlg2SGZxUUtTSjJMZVdlSUkxSjZBeEV1WExBUUh4ZjdOZWIzcGRHczE1dVZiOWgyQUxTdkZWOEJfM0Y1dk1mcGpKekl0dGR4VE1YRVhoYTFjV09IZGQ3dUNQcl9BSlN0QzhUSkE?oc=5" TargetMode="External" Id="rId22"/><Relationship Type="http://schemas.openxmlformats.org/officeDocument/2006/relationships/hyperlink" Target="https://www.geplus.co.uk/news/project-news/m4-landslip-work-begins-as-part-of-wider-repair-programme-23-10-2026/" TargetMode="External" Id="rId23"/><Relationship Type="http://schemas.openxmlformats.org/officeDocument/2006/relationships/hyperlink" Target="https://news.google.com/rss/articles/CBMia0FVX3lxTE45UVhrbTdIV2NXaVloOTBleGdWeThGbHNoSTJtMTE3cFlfalpoYVBnUEFoUVRJQUp5Z2pVOEZvaGZzRUtjRWtOMzY3Wll0RHJOUTB6c0JYdGEzOXk2VXltZUFkc3RURDBUYUg4?oc=5" TargetMode="External" Id="rId24"/><Relationship Type="http://schemas.openxmlformats.org/officeDocument/2006/relationships/hyperlink" Target="https://news.google.com/rss/articles/CBMi7gFBVV95cUxQTGNab2ZBb3hvUXZRVXBCeDFRX2NqU0ZfeVdFZXgtbm5WZDl4aFd0eUdSYXdjNmotcS1ReUZhM1BBc2hITEpkQlpBTmlabzRycmN1ZkQwLVlDa3NzZWJuZXhnNC1jRXlkV1EybVFoQld3VlRaZ241ZkVMazRlZHB1NWplMjVpaWJtMHA3SHBZaEhhMHU0RE01Mk0taFU1OTBaTmg0U1lFYnI5cjhwaEZPUmd2ZTdTVHpxVjBfNk9mRFREOXNWNXJTM29OTnY3NHd0dGJYNVJoaHc4LWQxaUVOajhsaTdWU3dFbVd0ZUt3?oc=5" TargetMode="External" Id="rId25"/><Relationship Type="http://schemas.openxmlformats.org/officeDocument/2006/relationships/hyperlink" Target="https://news.google.com/rss/articles/CBMiogFBVV95cUxQNGhpZmtjSDF5eDFZZEJXaTdIZWo2QVZTRDVlc3E0T2pvQ2tRaURBcHpRUk5hSmFDNjNuaGV5X1pHeVdqc2RjR1dOQVhPc2tUUVRmb2RiWnB0dWNDcU96QUxGcVg1dmNxRlpfdTNmT0Z5ZG4wSXNTSmR5OUY4ZmRZcW9kNmRHS0ZaVUxyMW9ySU5TSWJlNzJCWWJaZGlrRHd1a2c?oc=5" TargetMode="External" Id="rId26"/><Relationship Type="http://schemas.openxmlformats.org/officeDocument/2006/relationships/hyperlink" Target="https://news.google.com/rss/articles/CBMizAFBVV95cUxOX19SY3ozdEtSRFpyZlE3a3o4LWtuMTdJeXVsZkVtZVJIaXJzbndtWVd2T21uQncydzJ1bmZONW1yVU9DVExhUFI5VmI3RkVHbjJqTjZWSXpjd1NLeDViOHZnLWo5ZV9oYVRNZi1KN3E3OERXVC1pdzlDVlBvY3pHZE1WRm9vR0E5VnNNdXN3SU9xbFVGRzY4UkstZUpkYTlMYjJobWoxTDRDNWVqYWdlR2taRV94RG9yaFJuUExrN1VCT2ZpTkFNQllycXo?oc=5" TargetMode="External" Id="rId27"/><Relationship Type="http://schemas.openxmlformats.org/officeDocument/2006/relationships/hyperlink" Target="https://news.google.com/rss/articles/CBMipwFBVV95cUxQM0JfTHl5bmwxRmJ6Y3lLZ2l6XzB1c0lkclVfRzJ2clZEV29YU25kOWNsX1hXNjFuUnJnVGNjRXBFa0V2RWlYVllQOVEzV1ZCY3VYNENpdk9wSGVNNlUtNGVwdGZhZDY5UUVTYW1OZHQ1TkFoUURUTFMwSWdoLU90QTU2VE5Md1NKOU1Rd041aXFxNUJ1OGc3QTAxLUpGbndSWXh0czMzSQ?oc=5" TargetMode="External" Id="rId28"/><Relationship Type="http://schemas.openxmlformats.org/officeDocument/2006/relationships/hyperlink" Target="https://news.google.com/rss/articles/CBMirwFBVV95cUxPRkxsbl9ZdlM1cmloa1JxT3ZENFdkYUI5U3pIZy1UM005NU9SVVFIVjVmZ1ZvTDNybGJkMHAtc3Ewd3RldnRYWHlrSnQ2R1hXN2xpR1BNREFxTlRlb2tFMnFJZ01VSEZqN0ZheUtlbWJEd3h2SURJb3ppVWl6dTU2Y21zZGJGR1hpMWdNUmNfdWluZDJQYzZkeC1QTHhEUFNmcVhTVWtnWWxiUDczMmtr?oc=5" TargetMode="External" Id="rId29"/><Relationship Type="http://schemas.openxmlformats.org/officeDocument/2006/relationships/hyperlink" Target="https://news.google.com/rss/articles/CBMiogFBVV95cUxOYkthemxCdGdtc1c3TnBBbGY4MVZlMDFvWnZiX3E4UERSQ1lsX2g4R0x5VHVaVndQdnJHQTBZSy02bV8wT1d4RVZ6WHRVN2w0UUx1MFRMbDhINzgtWlJJLXFKOHIzWFRZa1VmZUVFNUNCM3hRdE9GUGZpdVNQQnd3ZmxRTWZFOGU5REFvOTg4cG40YkU1bDhlZ2pQSkR5Ti04Q1E?oc=5" TargetMode="External" Id="rId30"/><Relationship Type="http://schemas.openxmlformats.org/officeDocument/2006/relationships/hyperlink" Target="https://news.google.com/rss/articles/CBMi3gFBVV95cUxQS0l6Zm44UzhLZWp1WEhEeDlhUDQ4YkJaaVMtcTVRdUZqV2N0YU9VWmFRb1Q1Q1dfdW12dFBKUTU4aHViU0NKOENyY0JKM3hQM2pxZng4QzlDMG45WVhydDJybkdZQ2tXY2VxUEdnTjRQSGFNZjdubGQ4UFlrYVhhVFhTMTg4SGszQkFMVDlha1lmdFZyVXBSYTJ3cENnN1RvQmtmeU9KZGlGcHgxeERaNC11MjVLeDV4eC13R090RnhHc0RQWFZBalRYNktRdVRpbHFWN19FR2NYeGx4dUHSAfIBQVVfeXFMTVEwQTl0MUFJZ1VtQXlLalgzS3BXTjFzVmJFeUFmU1BqZVZnY09VQWRCeTZTenNtLVBUT2JPbVFfZ2tGSzJyekF5Y0JWRUF6Sk4tdi1wN1FieTZUNEM2U2hJcGZBTFJNdkY1aDNkckc4Q0hFa2JaRFhDWVBMNnkzS3Nya2QzYVJRanVsVXN1MGUtTjJYTjNVNGVNWHR2bml0Q2tUSFhIMmR5c25XTmdlMGZ6TGVCc2ZHUW5XY1N2VXFUSUtzNUZGdlBpZFVGeDVjUl81QzVBTlhMOWd2eFJUNWdUOHhCZEhqR3pOYWtHRFBKVGc?oc=5" TargetMode="External" Id="rId31"/><Relationship Type="http://schemas.openxmlformats.org/officeDocument/2006/relationships/hyperlink" Target="https://news.google.com/rss/articles/CBMiyAFBVV95cUxQd1RPVUlZbTlJeGVMQi1xZjBBU0RZUVZnMkNFRlAtTzZVUTdXd3RWbTVGTDc1b2lnb2haM1YyM0pQQVF2MHBVMFZvdUpEN2hzQ2prQWhVT0hYNmxwZG9yQVNBWlF2SUlPbFpJN1VrdWNYRGRNdkJJejJReEFwZ080WUs0MTh5NHB1a2hJcWdOdWZpYlJscUg1RUhGX3dnRkJDazhMOUZrQ3BVQk1BNVJLZTNfUndUMXJEU05vd1NYSmkwYVpsdGowVdIByAFBVV95cUxQd1RPVUlZbTlJeGVMQi1xZjBBU0RZUVZnMkNFRlAtTzZVUTdXd3RWbTVGTDc1b2lnb2haM1YyM0pQQVF2MHBVMFZvdUpEN2hzQ2prQWhVT0hYNmxwZG9yQVNBWlF2SUlPbFpJN1VrdWNYRGRNdkJJejJReEFwZ080WUs0MTh5NHB1a2hJcWdOdWZpYlJscUg1RUhGX3dnRkJDazhMOUZrQ3BVQk1BNVJLZTNfUndUMXJEU05vd1NYSmkwYVpsdGowVQ?oc=5" TargetMode="External" Id="rId32"/><Relationship Type="http://schemas.openxmlformats.org/officeDocument/2006/relationships/hyperlink" Target="https://news.google.com/rss/articles/CBMiTkFVX3lxTE1uZEw5RnB3UEJsWjd6MFZFRXhhUkV0d0QwMURpMVNQVjhUR3BIdHNrRWZ4OFFJWS12Z3JIcEthQkFhOU9WeC1fVHdiM3hLQQ?oc=5" TargetMode="External" Id="rId33"/><Relationship Type="http://schemas.openxmlformats.org/officeDocument/2006/relationships/hyperlink" Target="https://news.google.com/rss/articles/CBMi4wFBVV95cUxOV1p0dUF2OVZleURvUHhJbGxjNFdrR3hCalZqUEZ0SktHbHdzLTZEMmtBT3lWYXVkY0l3SDM0TjNwWTBtM0FjdlRoYzlfQTBQLVNaLUFtWDNrMU9KbXBzLVZWekN4bGFVSzA0R1RLOFBiMlBsSnNILVBuZ1hEemQtZm9FaE1URVdSREVoRzZDM0dPZkNwdzJfQ3pMRjZ0cFJmLXB6a3ZyZ2NjcjNMTllsVmV6X0M0OVhpcHA5a3RiU0lMdnhoeXJwVGp1SDRwYlFkd3M0emJTTEkwQjVmS0VxVDNqUdIB6AFBVV95cUxObTcwd3VqRWxyLWRxRWVkWEJubW50cjBiaFhrWHl0QTQteWxtUzYxZHo5NGgzdmtVdHprVVlPcWhZX25LQXBfbU5ZM3E4UmRMU3ZLYXl1UFNfOTFvSi1mam9sMTE4MVp1aWdTWmptM2ViUThUOFZsSTBFSHZ1azFQOUN4dWtid1RwQlQwRVVRV2p1OUFhaWh2Q3RuWThaNkh4NFhhckhac1ozQzR0bzAtbExmcU5RVm15WGNzd3RTcEY4QkhwTTBvZ1JBbU9zME9qeXRrM0c1OTRKUlBzYy1DUkJ2Y2RBaW9q?oc=5" TargetMode="External" Id="rId34"/><Relationship Type="http://schemas.openxmlformats.org/officeDocument/2006/relationships/hyperlink" Target="https://news.google.com/rss/articles/CBMif0FVX3lxTE4zQm1aVUtwTUM2RWlZZXpKOEdDX0xZYk41cGNLaDNFNDNlQko2SGxxTmVtLVBBQm9VZkFIOFBmUE1PSE1KclNSUHNQMDhUTGRiWnE0R0ZPcDFFV3E4R3U4M19FZzI2akVUNFRvRkgwSkxuMkZpWmU4Tlh5WTNoQ2M?oc=5" TargetMode="External" Id="rId35"/><Relationship Type="http://schemas.openxmlformats.org/officeDocument/2006/relationships/hyperlink" Target="https://news.google.com/rss/articles/CBMimwFBVV95cUxPLTkyck5DaWR1VmtTV3hIeXVJaWNDUnNpR1AzZDlLbVdzdC1kSmJfTjM3T000WGlLSWt5S2hfSzItS3Y5MkFJZWRZaktBTlNVVFFyRjNHRndpczhWYkdvNFBFY1MxbXA4VTRWWlpCeVdqTWFNbG9HTldyRlRwQkdUYVV2SDNBOGFRUU9WM3pIMG16RUZBWGttYTRmVQ?oc=5" TargetMode="External" Id="rId36"/><Relationship Type="http://schemas.openxmlformats.org/officeDocument/2006/relationships/hyperlink" Target="https://news.google.com/rss/articles/CBMiwgFBVV95cUxQMlJUSUZORHF4STQta0JTUE5jbGhUeEU2WjdzTTNtSTZZZEprbEpLX3lzS3ZEMTd4YWZhekVGaUJsVnJWUml5M3lMTjlNS0Z4UjgyMUUxZlpWMlB1R1FCWGt3MEczZDZ0Y2YwOVRhd01GUk9ORlJZZklUR1I0SnhwbmM3eGdod182eEdWZHM2dkQ2V1hLVTlwaTl1eVJ1dE4ycVlxd0pYWUlab2M4VnBVcG5EU0dRZVBZbmc3UHVkMHRrdw?oc=5" TargetMode="External" Id="rId37"/><Relationship Type="http://schemas.openxmlformats.org/officeDocument/2006/relationships/hyperlink" Target="https://news.google.com/rss/articles/CBMiugFBVV95cUxPTWJZUVVOZ3hOTjliMDhtRWVCaFQyYnB3SzNtaDlrOGg4b1VzVnUzM3Rjc3l3T0ZrUFBXNWRWRnJNdGF4WVpJR29aS1VjSkFIZnFubFVCZnJFS3NQZW93VHlaQ2p6RUcxbFhlOUdzRmZGRDhkVHZFTkkwSk1rZm1vdWFXS0JDdkxsWDg4YzhHWVoyeEVSQnRocXlqcnRab1lSSS1GQXhNT24zSTlCTGhVU2c5NzUwaWctdXc?oc=5" TargetMode="External" Id="rId38"/><Relationship Type="http://schemas.openxmlformats.org/officeDocument/2006/relationships/hyperlink" Target="https://news.google.com/rss/articles/CBMiigFBVV95cUxPZWVidFMzVlYxMDdISl9EQ2U0U3hiaVU2NmFPN09jYzZUem1CaXB3N1I4S1l0VW9Ka1l1LU9kVnY2bDQzUnFKWUFiNnF3azVkeEZoUGpxREdXNExtd2ZwRWVtNmZPTUkxUnA5TmFsczUyX3hkLUpJYmtFVU5yeTRONV9nb2VfNjVPZnc?oc=5" TargetMode="External" Id="rId39"/><Relationship Type="http://schemas.openxmlformats.org/officeDocument/2006/relationships/hyperlink" Target="https://news.google.com/rss/articles/CBMi4wFBVV95cUxQSXAyb195dGp6RURzRWliZzhoYmI2S0RUbUJQZG10eHVNSDVFZDE0bW1naTNubEgxU1k5UWxOTV9QUjJiLXZxWlJjOVV5aTh5V1J3Tm11UFdsZ2dJMnYzWTdvekpSWXhoSG1QZGF2a2o3UXRkWjh6VTNqcS14cXBJSUd4NXplcUg1Ri1EN1IzN1dyblF3clU3ZE42YmNra1hhYVF5c1Azd2I0U3VoaFY0a1pDY1huU3NmUXhOQnAzeHVSY3BQTV9uV3hsckJxaUx1SHhPQ1VUU21kZWFVZGJVRGtzRQ?oc=5" TargetMode="External" Id="rId40"/><Relationship Type="http://schemas.openxmlformats.org/officeDocument/2006/relationships/hyperlink" Target="https://news.google.com/rss/articles/CBMimwFBVV95cUxPMFBaWmJuQ3NGTklKMkNGckRqWFA0WW1sLXlvY1QxanR4YkN6YVVpejBld3ctZVREbkVPWnVab2FBOEZtTXoyeVRmTDE3TXF3ck5IRzNkNFJRZ0lmZmlqLTIwWGZhV0N0RFFiNGVPMnJBcHc4RXBBdjRqdmh5WnZSb1VkZ3B2Q3hva0JybF8tbVI0WjVQVFVsNHUxTQ?oc=5" TargetMode="External" Id="rId41"/><Relationship Type="http://schemas.openxmlformats.org/officeDocument/2006/relationships/hyperlink" Target="https://news.google.com/rss/articles/CBMia0FVX3lxTE5yN3NxbVRJdUpIaWRZaHJQMGx1MktYUTdSRHlXd0xCR0tiSkhtNEotVmltaFRvVzFvY3Qxcm1JOFVCb1RBWXVtMTZRVWRtdC1DMERha1RoblFxTjhBT01GR1hWQ1JLTlRFMW1V?oc=5" TargetMode="External" Id="rId42"/><Relationship Type="http://schemas.openxmlformats.org/officeDocument/2006/relationships/hyperlink" Target="https://news.google.com/rss/articles/CBMixAFBVV95cUxPYTBqYjFndGYzaFJ2VUxqdjg5SW5FNXZZczhJcmVKSDBHd3pQWThlXzRJc25mQVQzR0ZMdlg0eENhY1NkX3VTZjZJeGxhblFaRVhQWUd3UnEzTEFXVW5OZWM4QVVtR1k3UEk5bjVkUlNfcW1UTThGbTNBSEFCcEZ3S2Y1eG95dndkeHBlUF9TXzd3U1FSTlhreU1ZZGFtOWNUY1lLWnp5OE5wcUp0cGQ0TTdNWUJaOU1WNnU0cWJnMlBTUzVC?oc=5" TargetMode="External" Id="rId43"/><Relationship Type="http://schemas.openxmlformats.org/officeDocument/2006/relationships/hyperlink" Target="https://news.google.com/rss/articles/CBMi0gFBVV95cUxQa2swTlk5dXpVVXAyeTNwM3ZqaExYMnhyTVdFOHA2bFhnaGpsYlAyYVlKdWxndHFvNEdrOEF1cFpSaE1wbm42MHd1UUVVNkdwclBzai1hTnNGV1JsdEttRms5SjdhUWtaZ2Z2REtHb09WUUZWZWFuZ2UyRTFzLWk3YjFFRnlXRGFuaGhGenBMekotdU1UM3NWcW5vYWtvRk9fUUw1cXl0alU1S09FZWhfUjRNV3dTZ3cwMlFOYzlYRnpQcXpseWkxQXo2NmJ0ejBJR3c?oc=5" TargetMode="External" Id="rId44"/><Relationship Type="http://schemas.openxmlformats.org/officeDocument/2006/relationships/hyperlink" Target="https://news.google.com/rss/articles/CBMirwFBVV95cUxNdUtXS3JxY2xtSXRmMkdCNVY0V1lYazB4VlM5aDV5TGRxUTFuR2RZYVB5Z282YVJVSzZIQ3d0VHhOaDBRVU9WZUY0M2VQWEFRb2lfWmNLcEZRZ2U3RTNVOVVDM0NnWVVxc2NEdEpYRll1TDk5d3FkWXltZXVGa0N6Q1N4bEFVelBqY3BGb0xPSzRNMUJGdVRaR1g0bGJyS0paUElYZjBnanFQeTI2aVZN?oc=5" TargetMode="External" Id="rId45"/><Relationship Type="http://schemas.openxmlformats.org/officeDocument/2006/relationships/hyperlink" Target="https://news.google.com/rss/articles/CBMiWEFVX3lxTFBTQ25tOTZGZzZsUWdHamNXa3hxMGdGTG8ySno0dWhQSzl1SnVtZHBuSUtrM3d3VTJPekZvbFZXRDY0TWhFZ1NDWDllM3RSeDI5SUZkRWZtQzU?oc=5" TargetMode="External" Id="rId46"/><Relationship Type="http://schemas.openxmlformats.org/officeDocument/2006/relationships/hyperlink" Target="https://news.google.com/rss/articles/CBMixgFBVV95cUxQaVhsb1NSUXVneU1mZ0s1bXFVUHlEWjJrd0ZFa3FCeW1rYjVLeXBWcGxWSUJyM0VBaS00ZU9naFM4RGxYa1N0MUtGRlJMMExzZEJ2MXRoWnZnd3FCWHFwbFFna0xwUmhST3dab0NGNllRZGxyN1lENkJxVnhpa2RUcEdLWndtZmRySGw4RjlmU25ocmQ0aWJkQ1RUU0ZWSjlhZE9KYmpyUWhkOXdEbU9pc2RZc1dIVWxMQUloOGZCb3dWWDAxZnfSAeABQVVfeXFMUHV0bkZyU0hXY0RQTDdYd3g5M1d4QkxUYklYQlgxOFlGVjQyUTJwVVFVQTE3QUh6NzUtbVpfSkhjVW5kQlA5RW9nemlfNDBWQzJCRE9FY2xfZ19velh4a29NdkNlaEJJdGIwOGV3bW1zY1VCenhhd1VRRncybE9UM1YzU1ZrSzdWY0JTM1hVZVRmTDEySFFWWloxUEptSDV3MTVuOUdHTmFGZF9pRzBfM3E5YTNHSVkwNnRCc1NqMUU4LXl2SWlwMjByRWowN2FIc2lIb3ROWmVNZDRBeXpkY0g?oc=5" TargetMode="External" Id="rId47"/><Relationship Type="http://schemas.openxmlformats.org/officeDocument/2006/relationships/hyperlink" Target="https://news.google.com/rss/articles/CBMipwFBVV95cUxPWHFDTVg5S1Z4YURHWFE5YjMycWRyYWNObmRLUVRMV0NsN2NGLU0zeUx6REd2NktKajNUOTdNZGxqcjNWWmE1NGk4WWUwck1DTUNvY0pOa2xGNDBIcWc1SURyXzFQZHpCbVQwY1JyMVpNRmVMdzgwd1VpQU53cm96cUNoM2pEQmJkQ2VBRVBtV1hpZkpDSE12aGNLYndSckl4V1ZTOG8tQdIBrAFBVV95cUxOMk93aGFZX1RCd045SlQ5d0gwOW9vOG1Sem5IYW9URVY3YTdOUnExWU80QlVnYU5wUDdaN1Y3SXlvS3pLT0FDcGxWbVc3N2ZPUXExVTU5LTZBNk01bFltYUVSTFQxSEZYMG9seXV3UUx2cXAyRUlFcHBLZTF6bmtIXzJHckt5Nld3TUJRbmJJTzBiTUMwQ1RabnhzR09hUUt6OXBoR3R5ZHY2MFl5?oc=5" TargetMode="External" Id="rId48"/><Relationship Type="http://schemas.openxmlformats.org/officeDocument/2006/relationships/hyperlink" Target="https://news.google.com/rss/articles/CBMirwFBVV95cUxPVnhmNG5qb2FXNFprTmtzdnowYkYya3RTZ0I5VlZsWVJ3OTdsMWlkZ0hUcWlOQks1YWEycFhLWUlzZmhaREN3VUQ3REhuUklsX3k4M3J3QzFRbl9JaWduTlRqby1Rem4tYzhqUmtxUFVZU1BOQ25NTUxqZ1BOdzJzX3BYaklQaWV3NS1LbkdTY1ZhNGtSbkZrS2FabmpSWEtpY1BSV0t2S0hSZFYxOWVZ?oc=5" TargetMode="External" Id="rId49"/><Relationship Type="http://schemas.openxmlformats.org/officeDocument/2006/relationships/hyperlink" Target="https://news.google.com/rss/articles/CBMi-wFBVV95cUxObzhjLXYxeEhDM0hkcVE1YVNRNzhhVGMtQmpuYlBnV0d2Ykk4XzR6QjJKdFR6Y3lsUjZrSlNYSW5fTnlFdHVtN21PT1NQZW5jS3FLMk9obEZ5cUxOLWlkcjlYTjA1VGo3aW9yY1VVaEdyUFVnNmhhZS1vNVdXLU1neDBzdlZYZGtGb3FnelhGZXVOUk56ZnRCQ2hqdmc5VWV0bUFxb1AwTHVRYWhQZ2hJamN1QTgzZExkdU5VdE0xWHp4OWJwQl91YkNDSlFwQ1hITm4xVl96Wm0yeVVEcHdCRXkxM3dVNEZDd19GRlNyUUxmZ0JZM0JLZE9YY9IBjAFBVV95cUxOck1uV2p6RDJ3VXVOVkI5ZVFtYzVuYkt1Tk1QVklFcHZCY3lDZVJ0cm1OWDh6VlpiMGlTaW53dElkUkNyRnE4VVlMYmRtSGR3YXItSTJ0RmZnWmt6UmR4anN5amw0emlSUU5NdHJoWVc2aHd3SU9kTVdjNGZQN29PanZLTk1GVndudnVqVA?oc=5" TargetMode="External" Id="rId50"/><Relationship Type="http://schemas.openxmlformats.org/officeDocument/2006/relationships/hyperlink" Target="https://news.google.com/rss/articles/CBMiwwFBVV95cUxNWFA0THhERThMM2RnZS1WTWRDUVZOVUxEN254WUFHdEs5a0dfZGtINWtuOHAxM1I3TXRPak1xRDd0ZnZybEVWbF9BVnFaQVltSThXb3NHelk1ZVozMTAwcXJVMXF5cGZEREpPN2c3Z2gwNHNxSHVhZmlLNzluWGk1bERUTGlGVlJGejRLZVVIRDhfZ3VvSm9HaU41U1RZYkFLX2pJUlZoSE0yY0wtQ2FfdzMweXVIb29iWVJFUV9jclpNM3M?oc=5" TargetMode="External" Id="rId51"/><Relationship Type="http://schemas.openxmlformats.org/officeDocument/2006/relationships/hyperlink" Target="https://news.google.com/rss/articles/CBMiiwFBVV95cUxQTnhUTTY5LUVOY0tLRGhBb1lubjROLVg5c0FETHFDbFdpNFlBNFl6Z1hhTzg2VDZTZVUtdDQxSDdhbENHdnc3bGhBTUVHaHc5R0hEMDdxYlN4QV9vMVBkOTA5czhjYlpsU2gzcEZyTnhPT01pMnVPLTFoSzBJT2E1eHpiamtUSjdhYWxB?oc=5" TargetMode="External" Id="rId52"/><Relationship Type="http://schemas.openxmlformats.org/officeDocument/2006/relationships/hyperlink" Target="https://news.google.com/rss/articles/CBMikwFBVV95cUxQZF9LM09jNm4yMjFEYUYwRWpsb2pDcVdwZ2hGMU45UGdHcUpNamhkRjhnUzEyM3NNck9TeEhjbXhqWDVTOUxWWTRROWVUdlNPRGI3QzZlM3VxeWcxVUMydjMyS3dnSDVEenFoNXpSQklwdmczQURyZXY5U2JPZV9LUzFwcGZWZkF2MnRpTVZkbHpuWUE?oc=5" TargetMode="External" Id="rId53"/><Relationship Type="http://schemas.openxmlformats.org/officeDocument/2006/relationships/hyperlink" Target="https://news.google.com/rss/articles/CBMixAFBVV95cUxQVk9lWVVIM3k4YXMxWFczeW5KbU5lUHZJcGdfVkxTTEVnTXlOTC1OczhZcEdyY1VrZVVtYUhQNVU0VDYtUDlIZGkwelZRdEFCM2pBOEZBS0k1dGtxSVAtTnM3ZGJhczlnTy0xeXp0bjV0dDg0WHBLTUJkOXhic1BiY3BhWHM2R0diUXJ6ZzVfaG5wOUp6SXNkRlloYnZiN1l0LWlxSGp0LVlaZEVtUklVYVFQbUk2UjZ4X2FHT0FUQkFIZWxf0gHSAUFVX3lxTE5yanRPUFRBaFRNUmlMYmhrcHJBUm9FcHRiMVpKZllOUlhaVkR6WXFpRjlqb1FkaDNSMzZ1MlZrOTR3cHJVYURvNVZwX1c1a0Ywai1PaUI4b3NILS1XQk5scWFHMU15QzU5SGpDZjJYdWRTOElwdllxNUpuOVk1NEhNb2NTRVJfUTFCWFpubDVscjdDaHEtcURUOV9Sakw0MFB0RjdCdll6bGxCSllPRFZ4emw1Nno1eEo0dnBzdTFUN0ZNd2hGWS1CZFVqRWd3dlJjZw?oc=5" TargetMode="External" Id="rId54"/><Relationship Type="http://schemas.openxmlformats.org/officeDocument/2006/relationships/hyperlink" Target="https://news.google.com/rss/articles/CBMiiAFBVV95cUxQMGVMSVUxdDNvS2xIRTB5RS0tT1RVUEVZUERpNjZLYkVMellJS1lVbnhGZ0NJLUdHOGk4ek5md29MWVJZSGxMYWp4b0lWTmJjQ0h5cV9vRjVsbkpoZ3NtQUxCOWxacDZhVkdHbDBHdG1TeENnZ09PdnF4cVpZLUplbk4tQlVaYUdY?oc=5" TargetMode="External" Id="rId55"/><Relationship Type="http://schemas.openxmlformats.org/officeDocument/2006/relationships/hyperlink" Target="https://news.google.com/rss/articles/CBMizAFBVV95cUxPYnZBdDEtcFlXaXFFRmhkdEgxWXNNZDRKbi1TYVRoSjJUTTJlZlIzckh1amJDM2FuYVAwaDRGbFNnZk84Mm85TngzVlEydEFaNGhCVGJWVjJ1RnBtdUtXM2ZnRWdvMHZmczBoTGRsN0g3QkpIbTE3c3U1NHc5LWJoX2YzNVc3Si1oeExVQi1jS2NlQXBIUlRUQlRDUEJXVGZIQmFVTWlGcVFtMjQ0LVZsLTFIdEpZQ3NKZXhKWGFYVDZwZVpRWDkwUG0xTEnSAcwBQVVfeXFMT2J2QXQxLXBZV2lxRUZoZHRIMVlzTWQ0Sm4tU2FUaEoyVE0yZWZSM3JIdWpiQzNhbmFQMGg0RmxTZ2ZPODJvOU54M1ZRMnRBWjRoQlRiVlYydUZwbXVLVzNmZ0VnbzB2ZnMwaExkbDdIN0JKSG0xN3N1NTR3OS1iaF9mMzVXN0otaHhMVUItY0tjZUFwSFJUVEJUQ1BCV1RmSEJhVU1pRnFRbTI0NC1WbC0xSHRKWUNzSmV4SlhhWFQ2cGVaUVg5MFBtMUxJ?oc=5" TargetMode="External" Id="rId56"/><Relationship Type="http://schemas.openxmlformats.org/officeDocument/2006/relationships/hyperlink" Target="https://news.google.com/rss/articles/CBMiiwFBVV95cUxQN1M1UUFnNFVScGV6VVBTbjZJSEFHOFpBQzNsNHNJTVhScXFfNGs5dVFkTkRHX2VsN3BtUk5LLWtoeHFGTWRicWtVa2wwOFpnV1o2ZkVqbC03Y09hdWVBdDlrV09PZHRtdG9NdS1DZmp6aWtGaXY1ekxpekVKbzRMa295Q19vSDlCYkk0?oc=5" TargetMode="External" Id="rId57"/><Relationship Type="http://schemas.openxmlformats.org/officeDocument/2006/relationships/hyperlink" Target="https://news.google.com/rss/articles/CBMijgFBVV95cUxPejNsdUVrN2NfZVROYjRBSV9BN0lGMU8tRDdVcHRMV1lkamdqQWU0b3JVb0d2aWJIb0haUWlLMVR5MGoxb1VQdXc3OU5IZG9NdGNRclg3QkZCQ2gtQldzRl9RS0J6R3hZYTFzMWpKQTBzd3RLVWdDWVlWRE5rOGRoQnRUbzFCVlU2anlxSG1B?oc=5" TargetMode="External" Id="rId58"/><Relationship Type="http://schemas.openxmlformats.org/officeDocument/2006/relationships/hyperlink" Target="https://news.google.com/rss/articles/CBMisgFBVV95cUxQN0dPclBLZGZXUXh2c2ZNc1NUTXptSzZPaS15QmlMcFRmcl9BczJRaTItenB2ZW9XM0xUWTBBclBjb1gyWmVJX3BpSlRfZGR6LURsWEZFVTRPVVNTMkJmOGdWS3hPMzN0cUlnMGt1WVB3aERyTWtibHNyV3ZNQmNiY1cyd1pJTXNiX1NrSGdLazMxcTZSaXFZcDEyUVc0MndWYTdmM2VtTUUtdm1BbFAyQVpB?oc=5" TargetMode="External" Id="rId59"/><Relationship Type="http://schemas.openxmlformats.org/officeDocument/2006/relationships/hyperlink" Target="https://news.google.com/rss/articles/CBMi2AFBVV95cUxOaDJwYmR0RlVHc3JzcUNhNTFxNEcyNFNacldnWVhuTUZTcVRVTXdrNFJzNUFqZlRNUXBfaW5YdnFTUTN4cHlUUmdVbGFDT3lBNFRMVUlUYll5QXhHWjd6d0JYUkJKbkstekJpNnhhV1IxMVVxSWQySzNKSFJUZ0RiLThJVmdsY25YTnM3bHFGNG56dG41Wjl4Y2libF9DQkhXNnJCNWtUNWhjRlhtMWF4NHhNWjVrQXVaMmZxd0JqRWNyZGQyT1d6d3VzVEtoS1l4dk1jd3U0VXbSAd4BQVVfeXFMTUxUakFhNFBzWVh5REdLY3A1WlFoS25oTmRoWUtPMWk5YmxfSDAzemx3d0dudllQMFVfYXVFVzlQd2U5MGJLUThRRGlyM2dQYk5kOTBKQXdtTXdMVUhfUDZjZTVOT2ZUX3FYcmRQWDdMNTliMmpQX284c1JVeXBDTHpBQzFubkVRZ1VvVFVIcm9pUGNfYXBUd0NweFllZVJySVpVMWd3Vks4VzJ5aHNLenNGMHplZS1SOVNmVExPR0t4Sk5PdjROV2p2WmhCTE9zOGwxaUFjT2dhTTZBUV93?oc=5" TargetMode="External" Id="rId60"/><Relationship Type="http://schemas.openxmlformats.org/officeDocument/2006/relationships/hyperlink" Target="https://news.google.com/rss/articles/CBMinwFBVV95cUxObGc2ZnNTTDk0cTRlMW5fY24wN3B2TS1SZndJUlMwVWR3d2pKbXVVS055T1B6UWZROXZ6bVNIZmQ5R0haMHhtLU50SlJHUHNhR0FJUm1VVGtSTTVDb19VbE11RG9SMk1UTXlWQ19HT3BRbE5wdmQza3d0NHQzRlRLblFGVXBCdGxlNTZQZ21xRnFJSTRjQk1rUFJyYW1fR0E?oc=5" TargetMode="External" Id="rId61"/><Relationship Type="http://schemas.openxmlformats.org/officeDocument/2006/relationships/hyperlink" Target="https://news.google.com/rss/articles/CBMi3AFBVV95cUxNNnpWbUlLQnpNS3d1NElEaDNGUmdGUmhzN0w4YVMwYTFDZExnbThRQjZaSnU1MTVOR3JwcU9aeFkza2ZJOFBVOTJXVmYzb09NZ3hoTF9PRjM3dWhuaE4tekRTVjBXYklodEVfTFN2YnA2cUhMZXBpLXFBUjI1SmFoRW9JZHpJeGJTOWNfNjdqMk1hcEUtWW9JZnU3dDNBOWFlUTZUUGpaR0lNWkI5WTlPc05DY2owcnl1SlFEaEIwSU55dWdJSHlZcUNCdkcyTS1pd3FHMGxia1V1aE9X0gHcAUFVX3lxTE02elZtSUtCek1Ld3U0SURoM0ZSZ0ZSaHM3TDhhUzBhMUNkTGdtOFFCNlpKdTUxNU5HcnBxT1p4WTNrZkk4UFU5MldWZjNvT01neGhMX09GMzd1aG5oTi16RFNWMFdiSWh0RV9MU3ZicDZxSExlcGktcUFSMjVKYWhFb0lkekl4YlM5Y182N2oyTWFwRS1Zb0lmdTd0M0E5YWVRNlRQalpHSU1aQjlZOU9zTkNjajByeXVKUURoQjBJTnl1Z0lIeVlxQ0J2RzJNLWl3cUcwbGJrVXVoT1c?oc=5" TargetMode="External" Id="rId62"/><Relationship Type="http://schemas.openxmlformats.org/officeDocument/2006/relationships/hyperlink" Target="https://news.google.com/rss/articles/CBMiowFBVV95cUxNbDZHMUZRd0NyUDliQlNXWEZ4bUdaWFJJbk1NRHZIdUlpRzFObmV2bzBkUVpKbzhuUmkxZHI1U0JENHktOGIxOGlvbEtwS3RScWJ0SWhGR0gtNU9lWWNSc1RoMmtsWjJIT3F2ZzByazhRVUViN2FLa3RqSGt5VkxKZUM3WjdrT2NGc2tYeWJWQmR2RmxEZzlYUmczNFBjMlpXVVNB?oc=5" TargetMode="External" Id="rId63"/><Relationship Type="http://schemas.openxmlformats.org/officeDocument/2006/relationships/hyperlink" Target="https://news.google.com/rss/articles/CBMiiAJBVV95cUxPQkl0dnN1WVR0endSWTZuYVpjZTBnV2VWTnVTVjdyb1NJTlFKVjJWY21lS0dPZzFrSkdlSlI2VU5Cc1NMQ0VHNTlPWUFkSVRZWEhWbFRxaU91bXRRMTF6LW9kYWVKSHFBOUptTVZuTGdTX1lZYzBDQkZ5QTJGUmVXcVd3c3lmU01zM3Zjd1VmZ183aFkxOERqQWJHbVlqMU5EbzBRSWpHRjNMeFVHRXlVSURpZHFnRXZIX1Q0X3RSMW8zcVZKVFZoOWViVlYzVnNWZloxTW5LNThJTWV2bURLSjJ1eEZiRFhnd2phLVVjUV9mdHVjN0Q0dE93WE9wRVR1ZlFFTE8tNnk?oc=5" TargetMode="External" Id="rId64"/><Relationship Type="http://schemas.openxmlformats.org/officeDocument/2006/relationships/hyperlink" Target="https://news.google.com/rss/articles/CBMibkFVX3lxTE9HOUMyWW5vRXVWOG5ZemlXOFFsQWYwVl9lRW53VTV1MVFFQUF4eGgwWTRKQ0p5RGlWLUgzdUNUSW9aQXRRMkduTGFBVmhOVWluT19OLXU5REgzMVdVOUwtTVRmY3Y5WGdwaE9RcG9B0gFuQVVfeXFMT0c5QzJZbm9FdVY4bll6aVc4UWxBZjBWX2VFbndVNXUxUUVBQXh4aDBZNEpDSnlEaVYtSDN1Q1RJb1pBdFEyR25MYUFWaE5VaW5PX04tdTlESDMxV1U5TC1NVGZjdjlYZ3BoT1Fwb0E?oc=5" TargetMode="External" Id="rId65"/><Relationship Type="http://schemas.openxmlformats.org/officeDocument/2006/relationships/hyperlink" Target="https://news.google.com/rss/articles/CBMi1gFBVV95cUxNYUVkaGtnY09kNFJzUnNQUmFla3RVLUJyMzRiTy1aWGtEWmVrMWNCeFF0YWJBLTd1dHN2VVd2UlFNZGNTNWlFNUZOdU1RbWl0NWloV1MyUWZoOUkxOUhubWZqbl9IQndyY2VLTUFQZjV4RW55bmdWUHE0YmFXNnZDRHlLS0hiQTllQVJxQ1d2Si1VYjhtcWxmR05hZGJ0MzZONmlaX1VpZm41TWs2QXROM2p6a1U4cnViakV1TWRTNklwakJRdkpVZjBlNDJEVFVwLXRzMFVR0gHWAUFVX3lxTE1hRWRoa2djT2Q0UnNSc1BSYWVrdFUtQnIzNGJPLVpYa0RaZWsxY0J4UXRhYkEtN3V0c3ZVV3ZSUU1kY1M1aUU1Rk51TVFtaXQ1aWhXUzJRZmg5STE5SG5tZmpuX0hCd3JjZUtNQVBmNXhFbnluZ1ZQcTRiYVc2dkNEeUtLSGJBOWVBUnFDV3ZKLVViOG1xbGZHTmFkYnQzNk42aVpfVWlmbjVNazZBdE4zanprVThydWJqRXVNZFM2SXBqQlF2SlVmMGU0MkRUVXAtdHMwVVE?oc=5" TargetMode="External" Id="rId66"/><Relationship Type="http://schemas.openxmlformats.org/officeDocument/2006/relationships/hyperlink" Target="https://news.google.com/rss/articles/CBMirwFBVV95cUxOVGZ5TmMxZlZmTTc2cjhZVXVvUlhHbnQ2VFhzbjFUck9PNkVDY01Lc2dYN3lLZVlXcUVkV0hhTmtOSkl4bnlVblNVZ0dlM1h0dVpia1RIcDV6YU5rRW5icDB2Z2RFRGZucFFRZ2J2UUpWSlB4dEFOTEwtaUtyQXhqQkNZeVNGZmtJV3JORy1VN3ZvV1JzSkdXbk9kNVkzb3FLRkVRdEtOdkYxVThCNmtZ?oc=5" TargetMode="External" Id="rId67"/><Relationship Type="http://schemas.openxmlformats.org/officeDocument/2006/relationships/hyperlink" Target="https://news.google.com/rss/articles/CBMiWEFVX3lxTE1USkR5eG9yOEoxdF9oR1JuMU4tOUdCNkREX0dNUFFvWWd5UXZaT0ZkQk54eUhVbFg4QlI5SF8yTHlGZFZldTBsdnpFRDY5X290bkt0YzBXOTbSAVhBVV95cUxNVEpEeXhvcjhKMXRfaEdSbjFOLTlHQjZERF9HTVBRb1lneVF2Wk9GZEJOeHlIVWxYOEJSOUhfMkx5RmRWZXUwbHZ6RUQ2OV9vdG5LdGMwVzk2?oc=5" TargetMode="External" Id="rId68"/><Relationship Type="http://schemas.openxmlformats.org/officeDocument/2006/relationships/hyperlink" Target="https://news.google.com/rss/articles/CBMikgFBVV95cUxPcTFMNDFOcFc5MjJHLWgxTldJbW9TT3doRG10TDRuSzlYNGNSSU5DOU1Razc0dkRYY0IyeVN1OHoyT3U2WG9wNUh5VW81UEd6anIwMDF1Ym1yQ3VlVk4wZ05saEh2VFFBMnZqOV9nbkFud0NMbWZ6NW9UU0pha0E3enQxdHQtU3JaNktBMlNxWTg2Zw?oc=5" TargetMode="External" Id="rId69"/><Relationship Type="http://schemas.openxmlformats.org/officeDocument/2006/relationships/hyperlink" Target="https://news.google.com/rss/articles/CBMiUkFVX3lxTFBBaDhzbmpCUVV6Y1lGN3hyYllJRGRHNkUta1M3SVpkamJ5MGktVWZHdDJqLWloWW40SmVzTldUSWc0UXliVXJOVWR2VmJoWUtGc0E?oc=5" TargetMode="External" Id="rId70"/><Relationship Type="http://schemas.openxmlformats.org/officeDocument/2006/relationships/hyperlink" Target="https://news.google.com/rss/articles/CBMibEFVX3lxTE9qd0p2T2p3a1lzbEg5TnFXNDZ2VXRhLWIzbGk1U0pnQlFCUk1RU2tqdFFXeEt4RkM3bThuVUUyelBfNHJMdlFmMThyZG9UakhLLTFqTGJBTDBKVmN1bXlqQmYyX1U3eHIyWTNfTw?oc=5" TargetMode="External" Id="rId71"/><Relationship Type="http://schemas.openxmlformats.org/officeDocument/2006/relationships/hyperlink" Target="https://news.google.com/rss/articles/CBMipAFBVV95cUxNUnM2My1keW1jZUFFWldaOGdueXdRemVGa21mVnNQU0w2bzRaalVPSWJVVGtCZms2OGkwcnlYTGR3ZzdaWG5UMjVOaXZhN2FSOVNzSVJKbHFBTU4wTEFSOTE5WVctQUhKdTR5bm1FQTQ3NDBJX2RsRWN5d2REVG9wOFJja0FOWUNGS0tvSjJFLUhwQ1BYR2dfMUQ3dzZMTWREVDZ5etIBqgFBVV95cUxOS2xrRXVVVlhvZUZLZkFpS1lWUTBsOVZHNHpyaUFiU2h6aE9Kdk1xeHUtR1ZRS3M0OFdQYzlWVzJwbjV5QTNydXNxT2xDMERONXBqQnVMZEZpSnVXdkFDcTU3ZVVOdXdKeEJVckFFRDlIT2hDaWdLdnZ0M19nNWdVZzhta3V2Mkt6bmt2RG9jRkwyaGVaMmYwZVVNTzNSR0VVNzZ3RGZ0ckl1UQ?oc=5" TargetMode="External" Id="rId72"/><Relationship Type="http://schemas.openxmlformats.org/officeDocument/2006/relationships/hyperlink" Target="https://news.google.com/rss/articles/CBMi5AFBVV95cUxOb3NDdUN3Y3VHbl9BSE5xZUcwQkduTVRNdFQ0dlM1eUN3V0VyRzNYWDQxa0xaZjNUdkZjTmd4dHVBaTRCOXRCNUU3VTdTSnhGcms0X0dTMkZnMndqOEpWdFVDbXpUZWxGc2tJb0NkQ2JNMWV1dnBxR3BWYm5Ga1pRSGxMUDFuTkp1aEFyM1ozSHRkOVFFNkdGajNOZVJTSlp3OTBCT3d0NTFPMWJyemhtaGc4RmMzYWs3MWNvcHpIVHdsOXRuZF9HWnAyUGVLWGRkUW5jV2pPbVVnMzJ0bVRGY3ZDRljSAfgBQVVfeXFMUGk0TVN2aUMxUUhXYnN2SklCSmRvcm41R0pVSUNUV2s5Tkg4b1FEeldzbk13QVZsX3RjcFFobDlld1VrYzF6MnNJWVV6Y292WDhOSGZuMUdfV2E5OTdMamYwcWJTY0pHb2I4VzdsTWw1anBEWGVJanF1ejBpVHZVQnlBYzZOanhQb1lkTzVNYXJHbGttLVNNcG5oZnpzTFA2U2ZZYkNjNnl4MGxGMi11ZEZRUVNwZUpkTV9raVFVZGFHMWY2amVXd1VXRHB3Q0NIR1BCNmhBYmZ6X1VyVXBuNlhhQUFIR0NLd2dMNU11REotX0o3UWlPTlc?oc=5" TargetMode="External" Id="rId73"/><Relationship Type="http://schemas.openxmlformats.org/officeDocument/2006/relationships/hyperlink" Target="https://news.google.com/rss/articles/CBMipAFBVV95cUxNSjZ6bXhiX2dfbkViZ2dUOVpjOFYyblBpYW81WjVHdkRwYkNGb1hjbF96R1lBaUpxemx0V2FYQVVXM2hiNFF4YzlNSzBOUWtvRldwNjE2VS1wRVpxbzlBdERnUWttZU1abXg1VlNiZER5d3g3V0ZoWTl2dnNNd2Q3RlhHWFM0Q0dranBKbTRUb0w4LWdWWGF6UWhZczREOGQ4WnhfNg?oc=5" TargetMode="External" Id="rId74"/><Relationship Type="http://schemas.openxmlformats.org/officeDocument/2006/relationships/hyperlink" Target="https://news.google.com/rss/articles/CBMikgFBVV95cUxOTnI4emxtUmVodDFQV3Z1REstXzUyWWxvdHg5SGoxeXdNUmdPRUppY2hOZ090aElnMGpLWUZ5TEVvUVNJbVVYcDh3VjNEbWNsekVpXzNKNHFEbVRUZTVaazZ3TlpzMGNHU3A3S2g1WkgxWkdEaUo4dE5WRXB6UkQ0QjdneVMyOUZfODViZHBJZlpvQQ?oc=5" TargetMode="External" Id="rId75"/><Relationship Type="http://schemas.openxmlformats.org/officeDocument/2006/relationships/hyperlink" Target="https://news.google.com/rss/articles/CBMi8wFBVV95cUxNNlBCakVVSHBHTXI5UXNfdFF4SmtBTHZaWWhZaF9TYklINTZFZVpuNHlSbE5HNHBIUmJyd1BQSlJtamZ1ZGxBU1lxVmVib2RHRVFPRmszbmFtWVNxenlGeVk2TGRpaXJRNUdPbklLUXRCY1E1ZGhhQVB2Q0pHSU9VMTZJMkVfRnh2ZHJ3V3JJTmtqUDhUX1lMMk1GX3IxVGRDY0VNbHpmY0pWcmJVN1p6eWFzLWQ5ZmdoOEZrRXBNRHNaRDFlYkpXdDZORU5iek80RHBwUzdBb1A3OF9DTExya013WnpwYTRuWjJLeFhXc3ZCUlk?oc=5" TargetMode="External" Id="rId76"/><Relationship Type="http://schemas.openxmlformats.org/officeDocument/2006/relationships/hyperlink" Target="https://news.google.com/rss/articles/CBMi6AJBVV95cUxPTTNxbUF2ODR0d0dfM2ZBb3B0Y0lvRElsVjNPbk1aV0JSMF9SeHFfbGk1cFNVTTZ2TjhlTW5ldEVCcmVmdHNSM0xxN0hIbjFveHdxdVBJSl9FLUNDOUJ6a0tWcy1SQTltUWJuUHl3SDNmbzlEc2NSWW5JemxmOVJidVZBUjhwYUV2NTc1cnBKUkw4Zlg4bzJlbkJaTzA3Y1Rvel9zbVFEZ1lRVUdsaTNRLU9YZG9RbXZLcXZTQ3BaUXJLcV9BMlYxRU9DZl91YVV6OExlSnU4bnh5V0wxVWVvV29jWVdlQ2x5dTVXT202T1JTek5nbEhkdkZlMHFPd3UxZ0hUdXl0cVUxYXBybmNNcmFkS0VmeGhhNDc1V3dMRGpQelpZSDZGaFZIRnpFVGRKZTV3VURCTkNaMW5WZnpGcUd2VjlsZzd0VjJRa1BCUE1IWXNCSHZ5VHNrQlhUZUlFWjYxWHpmbzPSAfwCQVVfeXFMUEN6dkx4WFpjY3ozMFFuZnZiNEc4ZFlsSUNhemhCMXdKQi1DbEhMS1gwdzBwZTBjME9ZdjJaX2FhM0JmcWx5MnNDMHNsZC1iTDBkbmdjZHhLZjZaSVBfWGZZUmVONnpWU0RucGM4a0lKNjVsWVdyd1BJMG1mdm5lRHMyU3lhTW84am52eVJTMjNzZ2duTGpScGN0NlA0QkdBV1hTV3E0WllEc182YXE1Y1lvOUhEWHhNUXpRcHRfbGtXZFFReXZXSnE1Z3MtVWc2YXNfT0JWLW1OSkRaYWJrdWtiRU9JRU1EQjUwcTNSem1obGNocHYyV2pLQVhlbGJBZDM1RGx2UkNJVUY0VV9jR1VBZUtGOEs1OVdOQzVkZU1sYVU4RkpxSkNpdUpyeS10QmZiX0xwSUs2U0FFd0JFckY1SElKZEptMHhwUklKN0YwekFCTkpFLXRuZjBmUFpYc3pGWVQtMG9uajhwOXlUN295QllOaE9tazdSbEc?oc=5" TargetMode="External" Id="rId77"/><Relationship Type="http://schemas.openxmlformats.org/officeDocument/2006/relationships/hyperlink" Target="https://news.google.com/rss/articles/CBMi5AFBVV95cUxQN2dkNUMtV1kwNUFwMFA0VWRsUmN6Q3RhTDhyTWtHODFmSHhEWWdtT0Jwazg3Nk54S0ZnRF82OHpybVI2OVhIbkp0c1dQX3N1Ny1OTkZhR2hHQUMzYXJfT3BzX3I2Y3d6WndQNno2QTloWDFESzVxUTRMZDZOSDNQUzJYVTBsTks2Mll4SjZRYkZxbWxjOHByeGVkUkg5d1d3UWxmQUtBTG1lWDRTMGNOQWZnRGRtR3c4a2xiRUFHY3laMDJzX0VYUk9GZkR2akQ3bkNKeGU1aVYwb1F0WE14WVVVQ0bSAYwBQVVfeXFMT2I5Zk9zQW9sMnMteVFacFllV19JRWVQT0JfUGNTSTJ0R2FLYmpjTEhkQ3EzWTVmRDRWUWxJcTF3WmxDNnJIaUV2amNuNm5sSTJJV08wb184aWR0czBDRm5qdnN5WEM3ak5zQl9mendjUDhHaU0tbzVjQTNwY1dzNUUxT3pVU3kxeVpXa2k?oc=5" TargetMode="External" Id="rId78"/><Relationship Type="http://schemas.openxmlformats.org/officeDocument/2006/relationships/hyperlink" Target="https://news.google.com/rss/articles/CBMi7AFBVV95cUxON0hLN3oxMFdMX0dlRUtVNHhVQ2Y2Nk00NHlEUUVSb1N0bmRXakNHcUNOcFcyVWl1UXp1Wm5ObjE1X0RDdThWSWJZazE2WVA5MTR0ckM0OV9BeHVOUFoySjUyRFdrN1FiVDVzd253R0JKSE9yN3ZzN0NHS1hJSGwxNmVQUzVyZlNsbURWQ3ZBdktrTkdYWElFcVBpVm5FU3pFeGZpNkl4V08zMkpGOTM2R0czXzJVS1NTcXBGcnViOXZmTmJJRFJkNXpSUTNEanFWeWpDdU9xbE9mVXFndU1zNVh2TC0zcHpuWEcwcg?oc=5" TargetMode="External" Id="rId79"/><Relationship Type="http://schemas.openxmlformats.org/officeDocument/2006/relationships/hyperlink" Target="https://news.google.com/rss/articles/CBMitAFBVV95cUxOelFNVWZTNzk5YWhMZmZQNVBaOUdDcTVPZ2d6QTVxZVl5aUFjSElxNUw4VXI4dzl3NXY2TDhGNTl4MDlpbS0zcWFvOU8wdU9GRF9MbXJiTWg0NUtHZlNpX3NYZEVsd2JZcDVpSldQUkNjMjZsaUNMeGlYSy1fTmUxYS1FOGdVY2NyWWNFYmlQa2w4YmxwNmtpMlloQ0F1Q01nUFFlcUlSdkxMeUpIZjNYb3pmRHM?oc=5" TargetMode="External" Id="rId80"/><Relationship Type="http://schemas.openxmlformats.org/officeDocument/2006/relationships/hyperlink" Target="https://news.google.com/rss/articles/CBMi2wFBVV95cUxPMTNJeGdhN2Y2Q0lMTlZlU2UzUHNVTW9udUMwWEZXZEJiYThReDRFODE5NmRlZE1vTXFfOU5zV1FwcFVYVV9pRGFmT29SWDZ0Ulk0R0ZEbWZDdlB5RTBuSXRHSndyMDA3QlliNmNRajRoUjBscGdWVFRRVFdNRFdvTVBvSUZlMjVYSWV4NkhnTFkyeG5wRmdZVmgweGV6LUp3X045OVJsZ3F2ajRRa2ZUeWFMdEFGX0szZlBnel9ZUkNrdkRYcWRzbUZUZ0t4WTZBTUVnLWpBRjVrcG8?oc=5" TargetMode="External" Id="rId81"/><Relationship Type="http://schemas.openxmlformats.org/officeDocument/2006/relationships/hyperlink" Target="https://news.google.com/rss/articles/CBMijwFBVV95cUxOZGhPdS0zY1BmbHVzOUNQZWR0dkZCZ1VuRVh3NV9mbF8wdGY5aVEwTjhNdkIzdTlnM2cyWmZCUDdIdzVab1hFd3ZNZjdsUWlVc0I1Z2xyVHhEbHFGRUtNTWp2dVZIREx6aG5ZaHlXQ3hwdC1lb29YYllJbzNxZ29LX1ppUFN6a2w2WHdZaTlkY9IBlAFBVV95cUxNakMwc3pUZG5mUlZjWVZPa1VyNG5UN3U2NTkzRGRENXZpNUJSZThYZ1lJNGVjUnZvLU90Zm5rdVpEa2tLMmtVUlB1bUhSSjhtalpjZlhXQ0phYnFCdWRLOFo3cmJtZWtKVDRETlhYSWVaRzBRTEZiNHhvNUxVZDUwTGo0MlNvVVlLeW5oY3R6aVF6bldL?oc=5" TargetMode="External" Id="rId82"/><Relationship Type="http://schemas.openxmlformats.org/officeDocument/2006/relationships/hyperlink" Target="https://news.google.com/rss/articles/CBMijwFBVV95cUxNVGtiZ0lmT1lzdnltdVZfN1RsaGl0c3g2Sll0bDJUMHd6UDdFQXN3VlJteWJjTTNHZ1R1TXVJcVBZTl94UDFaczBDUjdObXpScmpZeFZPVkpHRjBUSXFteDJ2dlhFeWxPdVgzamFWaFFRQ1lhSG55VFJKQnRWV1pkNE5TcEs1WWlIT25qbUxVbw?oc=5" TargetMode="External" Id="rId83"/><Relationship Type="http://schemas.openxmlformats.org/officeDocument/2006/relationships/hyperlink" Target="https://news.google.com/rss/articles/CBMi5AFBVV95cUxNRTBGLWpXeXZMNjFSNWFJUXlBSkJ5MVpoamwwUDhYSU9BSzY0dHYxbUxONUxfUTBhLVVoSU5jMjgwQTdKSUsycnVKSzNNYkdkdlNpRWlyVWZrWkxIdm1KYUduYl9lRDd4M04xeURNMTBCd3FRaGpwQnR2UXZscTRaYmU2a3huekdQUEJ1SUZEMWkwZlg1TkkyUFFaLUt3bm9GOGxIZFZEMDFKUVNYcWdTNXNmYjVud3R5UHVlOXBBV3c1cUwtV3FZeGY2NFRTX2ZQclNrNmdXeGlPOEFQcFZ5NW42OFg?oc=5" TargetMode="External" Id="rId84"/><Relationship Type="http://schemas.openxmlformats.org/officeDocument/2006/relationships/hyperlink" Target="https://news.google.com/rss/articles/CBMioAFBVV95cUxQdGo5XzZaLXUtaGVxUE5qb0ltRENoMjhVWlN4b0dqZFpPREJTNGw4Rld2bmtEX2VnSlB4TkJYVkxPUjdzZXYxZ2tWOG5kaWpUSFF1UGRjaUNKY3NOTkpVeFZpOFhMOW1QYkZIQXZ0ZTV4NjBseUVBYzdBdDNPTGNtc0pMRXFSWWM0SmVhS05Ld2hVemp5bHdkX290ZFltU3NC?oc=5" TargetMode="External" Id="rId85"/><Relationship Type="http://schemas.openxmlformats.org/officeDocument/2006/relationships/hyperlink" Target="https://tunnellingjournal.com/mobile-shield-deployed-for-a14-vinci-tunnel-reconstruction/" TargetMode="External" Id="rId86"/><Relationship Type="http://schemas.openxmlformats.org/officeDocument/2006/relationships/hyperlink" Target="https://news.google.com/rss/articles/CBMilgFBVV95cUxPbVV1NmdrOGFidElfXzZzV1ppbDBCOEc5V0luUWxOSTAwMXNGdmhVMkoxMjUwSUpmbU5lQlBuNkFVTXZGMk5IRzd5Y0taREt0ckRUT3VqSjBfbGFPTmRjUTZFS18wLTQ5Wi1ZdnFtYWd1QmN0U0Nsekx4ZzR0YVk0dmhhTXVpTW1rdEpCbGlKLTZNVXVzMEE?oc=5" TargetMode="External" Id="rId87"/><Relationship Type="http://schemas.openxmlformats.org/officeDocument/2006/relationships/hyperlink" Target="https://news.google.com/rss/articles/CBMibkFVX3lxTE5lR29sc1VXZDNMZjlCTmhhNUxXVW95WURmdk9VVVV5WC1xazJDUnl0dzEyRGI4cURWUTVJWnNrZzg4NEQ5NGcyLUMyeHNreU5MdlIybTNjTzRYaHR5SDlaNzdESzVLeXBWeTMwNU9R0gFzQVVfeXFMTkZ6a1ZKdVo4Zkx2Z1kxR2ZpODdUQ0xvWXBUbWZFa0FZMVA5UF8zSUFQM0VKRDE1emx2dWR4TElPNXd5ekhCY3hzdWhnc1l6YWh3cUFZTTA4bklaN2ZPWW1HdXVHZmthS05XUExZdzhNdVR5UQ?oc=5" TargetMode="External" Id="rId88"/><Relationship Type="http://schemas.openxmlformats.org/officeDocument/2006/relationships/hyperlink" Target="https://news.google.com/rss/articles/CBMiWEFVX3lxTE40bjhiX3RGaTgxc0h6UU1ENDdRSGFlNkRMOTdvakVpalctY3B2bW4wYjNNcno2UHNrNVItVmJGZHB4aTdOX1ljNjNJUnJVbk5DV1ltRl8tN3o?oc=5" TargetMode="External" Id="rId89"/><Relationship Type="http://schemas.openxmlformats.org/officeDocument/2006/relationships/hyperlink" Target="https://news.google.com/rss/articles/CBMisAFBVV95cUxNc3VaQmhHTlhIY2tzZWlvdlE2ZjhlZjUxSkstajdvbjR1dmh1Y0VKRUZMQlc1M015SlVGSkpmWERfakdzVk1sbjlUc201TVdoMWhxbGM1WmxPZXotRXk5WWpraEJKRUM0a3hlN1hxNnVfcVRYU0tZMFR3RXd0OURHLTBLRGlISmVHUURaZm9TRmlXUzBaRDRDc1BaRnMwSnhlOVM0SEJZckE3T2ZrWGVDZw?oc=5" TargetMode="External" Id="rId90"/><Relationship Type="http://schemas.openxmlformats.org/officeDocument/2006/relationships/hyperlink" Target="https://news.google.com/rss/articles/CBMilAFBVV95cUxPcnRNQzY0bndiRjZuWTR4SzEtdjFNZEtFOGxBVVI0dml6X3NTVE1Fa0xLSTg5X3ZkNUQxQ1lMNjR5cExKcDd3RU51WHFVMGhfNndZZFhLSk5XTjNodVFqYy1Bb2ctXzl6NTV3VDEzSXZ0VnZHWWhnSHNTenRoNEt0TmxtMnZ5bDZnZGJnbXBUbzY0d1pF?oc=5" TargetMode="External" Id="rId91"/><Relationship Type="http://schemas.openxmlformats.org/officeDocument/2006/relationships/hyperlink" Target="https://news.google.com/rss/articles/CBMiqwFBVV95cUxQc0lQODA0QjMzSXAwS2psWC1SN2Nld0pVODkxZzhrcEZHQUU0aTkxd1ljM2p5MVdoUnhMaGY4bzBmVlpZQlNtZlUtelJXb0ZFcmV3ZndyNUEtZUJiMzBqRC04ZjZabThfWVdwd0VfLWFBMjQyZnhkRGlRUEY4OGVPbm9MZGRleFNDcU9xYzVmeEpSZmRJb1FtbDk5TFU0dUN5MWJVTl9vd0wyZTQ?oc=5" TargetMode="External" Id="rId92"/><Relationship Type="http://schemas.openxmlformats.org/officeDocument/2006/relationships/hyperlink" Target="https://news.google.com/rss/articles/CBMilAFBVV95cUxPNEV1bllwT1R4cXk3NlhndEdqZm5YWXAxRXl5LThrb0dzbEdqdTJXRVB4VDMxN2NzSGtzSHR1RmxhYUdsTHVHaEJLNmZ5NTNWajhVT2VabHhRMGNCUTZDZVZRZVNmRThEckdaNVdWbEJPM3FYS0NVVDhKTlhTUE9HODdHWFE0SUpCQnE4d3N4Y0E4cldj?oc=5" TargetMode="External" Id="rId93"/><Relationship Type="http://schemas.openxmlformats.org/officeDocument/2006/relationships/hyperlink" Target="https://news.google.com/rss/articles/CBMiqwFBVV95cUxNNk1QTEtuRDhRclJYR2xZaU9jT0J1VkIzbmhhZlZJS3RzaXBXbTdwS2I5WU1LaTdSSFdUbGZVWUpkRm9vRm9yQ2xIem9kbXExVDRkLVVrZ0J4R1dwaXZScWtpNHJhaU5oTW5iQkFyRmhkd2pmYXdMUHhIUWYwM05YNnRWdS1DZUhlNGJUWWdjN2M3amVXbXQ5VGgxMXczbzhVUFg5YWt1RnAyb3c?oc=5" TargetMode="External" Id="rId94"/><Relationship Type="http://schemas.openxmlformats.org/officeDocument/2006/relationships/hyperlink" Target="https://news.google.com/rss/articles/CBMirwFBVV95cUxQd216OXIzbVp3NEZ5M2ozejBVWktPYmoyd29wVVFEQmRLbUU1RWZ1Yi0zUGR4bUJCZV9xYmxDWTdqemFNcmM3WTdmUlA5M3RHcGtwLUQwYkxDUXNWUFdUbXo1SVZpMDJQTllFYjJBVG0wTF9iTkZrWVFLaXRNdU9qRjBuaWlWYUlBMUhNZ0xtMzlFNURQT2cxblRyRV9HYlBob2JQLWVmbkR1Z2MwSEJj?oc=5" TargetMode="External" Id="rId95"/><Relationship Type="http://schemas.openxmlformats.org/officeDocument/2006/relationships/hyperlink" Target="https://news.google.com/rss/articles/CBMi1gFBVV95cUxNa1J5Qm5WUEhnak5mVkZhS1RabHBudEcyUkE4LUJESjgxRFg0T1U5emFhZVh2LXpZZFQ5eXR5S0Q2TFV5TFpuMWJHNGt6azN1R2plbVkxdTNnbzVRWTdVSDBHNk1La1FweTQ4dkxhb1BjaTllVmRFT0t4dzdEbzZXZjBYWnlJSWQxVXp6ZFhsWmVabk9KZmtlTEtuQmwza3pDQ0tpWTBzVkxKbTNtRWtoMlR4b01VUDVoMDhrNC13RGhqbnRVT3lVekdNV1NpRWk3cDNzSWNB0gHkAUFVX3lxTE40VE5KUjc5OGJtZk42dG1aVzEybU9fZ2N3NFFLTE9ab3pocGdScGh5S1otd1htVUIzaThZODV0Tk1ISHkzaE95T2I0M3lFMDQ5X2Utdnh1YTVYU2phMEhiNmJfZkhMX1dPZVBIRDZwdG5sRG82Sy1KWERDemVVUklWOE1sM3RNQzJoTjlrTW5QQUpDSUxTVmxGcGJtak80NHBFYjhwaF9na0Z6b2dENVdZUGNfc2dkdlBZcVhZZlBQTThlUjI2WlZGcDFOdWtfTGV5SlhJYWo1QndYSnFwLTFqSjYtQQ?oc=5" TargetMode="External" Id="rId96"/><Relationship Type="http://schemas.openxmlformats.org/officeDocument/2006/relationships/hyperlink" Target="https://news.google.com/rss/articles/CBMiuAFBVV95cUxOS3ZyVDhPWjk5Z1J4dkdFbndrWTBBZXd6UUVHM3lxUTVMQkZOSjk0N2VuSlJCZ2hJSWd5cW8wOGN3VWZSTzlqTnBWV0RZbTFSNWNxaWtEUXhhTkZzSGNZcTVSUnNDQ1VGNHRnelFZblZwbTZtSjl2UUhLMEdwN1k5WlZaVWdtcTVkdnpIRE41eTBfZjhqV3d1MTNLeldNZGg5ekxTMjRORGZOajBPRng5cTJ1QUxMSEhB?oc=5" TargetMode="External" Id="rId97"/><Relationship Type="http://schemas.openxmlformats.org/officeDocument/2006/relationships/hyperlink" Target="https://news.google.com/rss/articles/CBMiR0FVX3lxTE94OUJCMW4zNWdhYkRhdHNyanpLUDRXZ0gtZERXYjNCdnM0X3Z0WnV3QlVaX09kem5CMko5Vy0wamJTUnZkWjRB?oc=5" TargetMode="External" Id="rId98"/><Relationship Type="http://schemas.openxmlformats.org/officeDocument/2006/relationships/hyperlink" Target="https://news.google.com/rss/articles/CBMioAFBVV95cUxNcE1vSTkzcnVFZHlScldIbU1rdk51ZlN2WHZhNVRUWjdETmhvYmJyNVdKTjRBdENnNk83d29TZTVEWngweEs5LUlKeFZLRFBrQWFIMWk0MWJtVjdFVkhJX3FfRGdzckVFdnBISVhmb2hiUmFNaDM2WURmUE9tUmNiUFNjM3FhYW9NSmNteTZRUmJMV2VPekk3SFlIaWU3X3JH?oc=5" TargetMode="External" Id="rId99"/><Relationship Type="http://schemas.openxmlformats.org/officeDocument/2006/relationships/hyperlink" Target="https://news.google.com/rss/articles/CBMiyAFBVV95cUxQS0RIdEFTRXdlQUh1YkZCTkpIT01XcmNPQ0xlbDl0NjlDYTFqLVItd2J6ZFhqcjBEM2EyOHlodlBuLVU2MkZmcGgxZWN6MzFKN0VPYmc5Z3I1eHJVcS1JbTNtd1h0UGp0YUFHT1dybTdVRVMwQUE4R2htSExDNW9VZmd5SHVZbVFsMHdWNXFrelJ0ZVlLSEgxdlJDN3ZVeTFFcDVqcEVMWkt4czJpUG5jdFJvMTQ3TVcxLUx2Q0cyUlNSWUdKUjVHRtIB4wFBVV95cUxQeGRmeTUwQmI1dzkwNWtLT2p1WDZmSVFXcjJPS3Z5SGVSZVNIaHRxNFJ4RVl4cUJndGRfZDlKaVFkR2lhRHkyQUNMU1hROElpUm1ib241ek1BeWU1OGE2ZWZGUXlhMnQ1UE5uc0ZHTGh3SFNpcUF5dEp4aEVxSkd0MWpid2xQT1JhbkUxZjFIbk5mT0xjQTVRMTd4aTEyUmFiYWhCVlQzVDV6b3Ywb1NyTmtEMGRxUF9TUWhaT1lQWUFMX0pDNVhvbEFpYnBkM1B6OFN2MHg1Vm1kREZFeE9QTFVYWQ?oc=5" TargetMode="External" Id="rId100"/><Relationship Type="http://schemas.openxmlformats.org/officeDocument/2006/relationships/hyperlink" Target="https://news.google.com/rss/articles/CBMiyAFBVV95cUxOMklFazYzYnQwVFVUTnprTDNRMUVqZGFyYTJBUlMzbDl0anAwWFpCY2dob0xPOC1VVjFIRUxxUllFbmdhUE9RWWxheC1ocWlCaDdzdHBXMnNBaXZrRWZNVFJhend0aEYxbTJqTzRnTFV1SldRM0loQm5xVklCc3E3eVZxbVR4YWd3QldWVDdOU3ZJdDZNcWc5SDJLc2o2TTBacW9sOTdLMGpuS3Z6RUlVd2hnVF9YLTVHNUR4Z0VfVG5QNGY0TUgya9IBzgFBVV95cUxOSmZUVEtyNnhYMHJBYU9IbWVRd3o4MGZxN1lCd3FjbF9JaXJlbnJscmtXaXJQMl9HOHJoNG1SY3N0NU94dW05c21ZbVJjcGFrbTlHdldjWURQSG9FcDBwdmU2d2traG9uZVc0UEs1eERrQ1ZnR25xRVIwN3RvM21SU2E5MVRYeUlPYnJIcEE5aEQyZU1GV0xYeXF3SklreExfNVRxVnRSaWN3MTNRYURBOVVFNU45bGhybFJiWDFGYmxWVm5Ub3lHM2h0TUc1Zw?oc=5" TargetMode="External" Id="rId101"/><Relationship Type="http://schemas.openxmlformats.org/officeDocument/2006/relationships/hyperlink" Target="https://news.google.com/rss/articles/CBMiwwFBVV95cUxPNURGNTBXWEl0UmFPYlFOdHJNSUpoZGliNFdlOUdYT1BqUGo3NmNXUXNzNEd1ZGdHdzZNZkFYMGV0S2RETlV0aEFCNzE0cVFDN2cxYTNvMkFzZkJjZWoxSFhVT25USUU4VkJNM0Vma0pXdFRlUzhDUl9nSmNpaFpxTGlMX3ltbU9yQjUtVk1pMmJMUldmN2lmWHRQZW0xa2I3T1JaTVRyd3NHUE9VbUg3UDhkWDZmdUJDS3BiNU5hUHZHSFE?oc=5" TargetMode="External" Id="rId102"/><Relationship Type="http://schemas.openxmlformats.org/officeDocument/2006/relationships/hyperlink" Target="https://news.google.com/rss/articles/CBMiiAFBVV95cUxOM3hmcTdXVUJhd1hTblR3RXJ5ZzRQbm80a1dYa21RTlo0T1VmWVUwN1htemlUYnlUbWlxcFZzbjZsQWo2UzZsbGozVHNXRG1MNndqdkJRb1BSVW1GcWFQd1BNdzF0NWNJZGxpWGF0Q3hGNkl3R3E2QnhidTZ1SElMUDFFMm9Ib1lf?oc=5" TargetMode="External" Id="rId103"/><Relationship Type="http://schemas.openxmlformats.org/officeDocument/2006/relationships/hyperlink" Target="https://news.google.com/rss/articles/CBMiowFBVV95cUxPSW16TFNndGdxVGNIaVpybmFPR0ZITXoybEsyX2hJM0czSzdzZmRhSjJkS0MwQzdpXzhEa0VsT0dGQi1oTGFjZ01BLVBMcHRUeHVybVdyT0phb0hKRUpobGJKZjBOQmpEbW5Wb0hib2RST0gxZDlmSlRlbE5VNlZmYmxFV2FnVXVpaHhyOVJHNUZLX2tnZ2JxcXljNU1iU3FJSlJJ0gGoAUFVX3lxTE1mMVVBRWZBamF4Y2NEQVBJZFNVTUZDcDkwTERtZllWT29ZQm50T3owSHU4U0s3elcwQnVBaFdvTjdnWGV4UmJxSVoxdWU1TnZQUkhoS2pDSnJmUS1wTWFGYUdmRElaQzV5bUltT040dTk5LU8yRTJLdlVIdUg2LVg3eFc4OUFtNXNBUFF3UzYtTmFBalA5QW1MNFdIZnRpSGRIb0s0WGpHag?oc=5" TargetMode="External" Id="rId104"/><Relationship Type="http://schemas.openxmlformats.org/officeDocument/2006/relationships/hyperlink" Target="https://news.google.com/rss/articles/CBMiREFVX3lxTE9KcGh5bWlxWEhKT3FXdU5qVjNOd3c3clQ1bGw1YWFmaHljV0U3ckZYcndLVTgtakJFSHZZQ3ViYXg2QnV4?oc=5" TargetMode="External" Id="rId105"/><Relationship Type="http://schemas.openxmlformats.org/officeDocument/2006/relationships/hyperlink" Target="https://news.google.com/rss/articles/CBMijAFBVV95cUxQdDFPZ1hLdVRrLUxWRTkyRWtWTjdrMTlTMi1EdW5meVA1dG5ZUWxNZ09MRThFeTk0OThLTDg4QkhBRlQwMzZkTnRBWnh2ZjdTWkhVWTcxX0QxYnNrMW9XOHNyVFZxeHpJMkthZDJRbGtsV0VuTjkwLXFTN0JSS2k2NU85em9uLWgtTjBjUQ?oc=5" TargetMode="External" Id="rId106"/><Relationship Type="http://schemas.openxmlformats.org/officeDocument/2006/relationships/hyperlink" Target="https://news.google.com/rss/articles/CBMic0FVX3lxTE56eFFxMjNpU2dPWkppM1RsMEJJbThwdXcyYk1id0t2V1RCYUFMQTJzVGRGMFBxODZlSi1IVERlM29jWGtJRUtkb1M5em1ISlMwd1hBVnkwNEVOb1hiWlkzNU9JZUJJbWZXNUFZWTh5YkE5SE0?oc=5" TargetMode="External" Id="rId107"/><Relationship Type="http://schemas.openxmlformats.org/officeDocument/2006/relationships/hyperlink" Target="https://news.google.com/rss/articles/CBMi0AFBVV95cUxNZm5rakRuTlVuWjFiMGV5Z2p4SmRJUTlTc3E4S0g0WnVzaEcwRTVTWjdrVVlBRl84ckNvRUpXQjh2bTY2R2RnNFZGOG5uVnpDZnBpSUM1S3JVd05lQUd0cVNNaG4zYUdNSjUyVmZ5TnZfM2RZN0UxUFFMeUJxSEgxSC16bFBlcG52cEN4RVh3dC1EM3g5R1ZTS2tuNVczZEJNRDdfaTZrMXRXb0cwS1NrdS1lb0VITjU5ajZfeXpINS1PVjNNeTNkNkJlX0o3R3NO?oc=5" TargetMode="External" Id="rId108"/><Relationship Type="http://schemas.openxmlformats.org/officeDocument/2006/relationships/hyperlink" Target="https://news.google.com/rss/articles/CBMieEFVX3lxTE5YeFpJbnV5Wkk5VGczTmxUT3Vod1U2UWltZHhMQmtKclRjcURMSGpiSjRHSWNNMjJUWmM2Z1JlUkNHNlgwU09XZXFaNEpKWEoyRG5pdzVvMFQ0aGc4VjdfZG1uWl9FWlVpNnJPTGZRam11WUtBaHdwVNIBfkFVX3lxTFBVV01qejl4ci1ZT3FCdDUtc1ppR3Y3UDM2Y0FjZFpYUEN4UUltSWgwd0Y4Y0lJY1UwTkI0Tm9YeFN2N19qMmhKaGpyQXNKN2hvOFpkZ2VWdno5NmFyOVY3WE9PdXNfTGJpVm9xUThadkdmV0xLNGZhTjFjdkFEQQ?oc=5" TargetMode="External" Id="rId109"/><Relationship Type="http://schemas.openxmlformats.org/officeDocument/2006/relationships/hyperlink" Target="https://news.google.com/rss/articles/CBMi0wFBVV95cUxOc1QyY1hjNjZvMUFScExlUUNDdjdqVHF1VExXUjlHR3BndTludGR6Y1dPTm9rRkVDdGlsY1hDX0RNYnRNblphYkpFdU5yV2IwMU0yRjhIMUdRMlg5YlRpdE95a08tTDM0aHFVZmtYcFdfbU9ORGc3NnBSWndCTFEtWFVVajlxc0N1ZEpnNDFuMWhwc2dTTEZ6cVI1OFlzOGhBY1hOcUt2Q3BHV1dyLWEtM29TWmRyakRUdVRCUEZzZXNJN0lKZGJ2bmg1amdON1BGdXZn0gHTAUFVX3lxTE5zVDJjWGM2Nm8xQVJwTGVRQ0N2N2pUcXVUTFdSOUdHcGd1OW50ZHpjV09Ob2tGRUN0aWxjWENfRE1idE1uWmFiSkV1TnJXYjAxTTJGOEgxR1EyWDliVGl0T3lrTy1MMzRocVVma1hwV19tT05EZzc2cFJad0JMUS1YVVVqOXFzQ3VkSmc0MW4xaHBzZ1NMRnpxUjU4WXM4aEFjWE5xS3ZDcEdXV3ItYS0zb1NaZHJqRFR1VEJQRnNlc0k3SUpkYnZuaDVqZ043UEZ1dmc?oc=5" TargetMode="External" Id="rId110"/><Relationship Type="http://schemas.openxmlformats.org/officeDocument/2006/relationships/hyperlink" Target="https://news.google.com/rss/articles/CBMirAJBVV95cUxOMjNzZzJPUUlBTEF6Nmoyakl5Rl9Jc1YwT3h4RW12LVB3cnBYcW1kS2RELXV3MkM4NFctRnBDWjF2WXdOMTVwYUtndVVsRjl0N1BPcEdndkw1dFhFTlZpOWI5MHRsaDZUY25iMkVqLWYwNVpNRzRWenNLeFQ5X2U3QjQweVRpdDlXQlVyZTZicTktQVYwMF92VEI3ZW9PUFZXWEllOVFHa1g2OHhoSzlVdmgtN1Y4dkczVlVnc1FndUpsOG1ybjZpZzlCNkxVNjlUaHdsbVNQMWhVRjhQbFZuRGxkZGZYWGxrX1NYaFVnc1otYVdIaDUxQXlGSEdpMFFWR2JjOFJLZXJsNk9wZDZnekdueFBFSllaWlF6Zy1mVWpONXEyVW1YWjNGZkU?oc=5" TargetMode="External" Id="rId111"/><Relationship Type="http://schemas.openxmlformats.org/officeDocument/2006/relationships/hyperlink" Target="https://news.google.com/rss/articles/CBMijwFBVV95cUxOVjhkZVg1Qms4dWZyT3MxQ2FrSmFPVE1Vak9PNnEwS1RjOTl5dHAxQkZ5WWZkTFlKdHV3U256bU9tZ2syWGFaSnM3YklHNnV2aWVoa1p3SFpnMFBMN1NEVFlVd2laNlhROVh6NFBzX1hxQklRRGk2dGJ3SWhyS2RKYVFOdDRRaHFkR2hueEJqRQ?oc=5" TargetMode="External" Id="rId112"/><Relationship Type="http://schemas.openxmlformats.org/officeDocument/2006/relationships/hyperlink" Target="https://news.google.com/rss/articles/CBMiWEFVX3lxTE43cWdqNnRTM1lrNU1sbElSd09YdDFzdGJhdFBFdldKb3V6R2taUV9IbUtjM3ZUUm5jNkU0QnJvcGdMTUVfR3k4UVNGeTRER2oycE1fZEFGeXE?oc=5" TargetMode="External" Id="rId113"/><Relationship Type="http://schemas.openxmlformats.org/officeDocument/2006/relationships/hyperlink" Target="https://news.google.com/rss/articles/CBMijwFBVV95cUxQbVc4RlhHZWJTeHV3YlBWTjYzSURERHpMLTJuWHUwU3lpdWdvcS04WlZBYUNwY01aNEVkQmJpZzBqYXhQRXlTWEVpMHlPcUhjb3lvM3h1YWhNQXVJSWhqTEFYVmRkMGpmRTlkN0FPRW5SZzM1YW4xVXRmMVFpYzlkMk5YMUhabnk2eURnN0NJNA?oc=5" TargetMode="External" Id="rId114"/><Relationship Type="http://schemas.openxmlformats.org/officeDocument/2006/relationships/hyperlink" Target="https://www.geplus.co.uk/key-topics/sustainability/floating-wind-needs-grounded-solutions-23-10-2026/" TargetMode="External" Id="rId115"/><Relationship Type="http://schemas.openxmlformats.org/officeDocument/2006/relationships/hyperlink" Target="https://news.google.com/rss/articles/CBMilwFBVV95cUxPVWtrMThoQUYxQjFSLS1VQ01fYmEzUW8tamxpSHVxS3hnaWV4YWl2MV9oRUw1ekE0SG01SHJxZTM2c1p6aXMzNWh2Q2M0bXhyYjFjQm9zRGlJUUJ2TWE5VE5TYW41ZTFqSV9vaG9ZRjAyNEJNYkVrU1BrRlN3QTFQZjlUQndtZE94WWpaVXQ4RTRCZmM1enNJ?oc=5" TargetMode="External" Id="rId116"/><Relationship Type="http://schemas.openxmlformats.org/officeDocument/2006/relationships/hyperlink" Target="https://news.google.com/rss/articles/CBMingFBVV95cUxQS3doM1BoVjZsRlp4V0theDZtSFZUWEhySWJwSDIzUFpjV09lV201bzV0OFFuYVZrS1lJT3BXd2ZJNVpWbWpJbm5MSlpUb004MnlwRlJYMmV3bnpNWEZSc0pocTBxaWRHcHVYc3lPdmFESG85TUc5UkJ4YVljMWZPbmJzcWlXd25iTTRuQmNjNHg3U3BHalpHTUNTWE9nQQ?oc=5" TargetMode="External" Id="rId117"/><Relationship Type="http://schemas.openxmlformats.org/officeDocument/2006/relationships/hyperlink" Target="https://news.google.com/rss/articles/CBMilwFBVV95cUxNcG13NlMtVlJSQ0ZDYTM0cGN0NmZzaEtGVDFnV2ZGNkIzM1p0MU0wdUFpbnNDdFFDa0l6M1F6NW5hX2pMNFViN2lfWE80dlJFUGpiOWRfSFhBRWN1d1g2b3o5a1kxNUhIVHRNUUJ6TG5EMXdxcnE2bG9TTWxIc2dDUjBLTlpmNjg5WFVtZE15SWhRY0sxSWtv?oc=5" TargetMode="External" Id="rId118"/><Relationship Type="http://schemas.openxmlformats.org/officeDocument/2006/relationships/hyperlink" Target="https://news.google.com/rss/articles/CBMikwFBVV95cUxOUmJPNnl3dVdQRml6UUt3S1Joa05VaE9sdjdhNWZZeVN6QUdqdnFIS2NiMWdGMl9KN093Wm1naTRFcDRoek1UTVQxNGJkZ2lkajUyVnhRRFF4ZTV1UlhsS3NodG80YlpGdlpuOHRaaGFnaXJ5cDN4eTd0VFZJdldPMlczVVZ1NmZZdExSemVKM3lXWUk?oc=5" TargetMode="External" Id="rId119"/><Relationship Type="http://schemas.openxmlformats.org/officeDocument/2006/relationships/hyperlink" Target="https://news.google.com/rss/articles/CBMingFBVV95cUxOMW5DMERmVlE2dVl1LU4zMFhMTlpPLVBHblZweXJjYXJIV0ZHVVR6Sk50eW1xVm1MS3VTYTJtUjBoZkVfTm1hWFlmTGlOS0JZX2lOSTJCYkoxbm1TODNFSURESTIxbm5YRjJXcVkxOGp6bmdnMmJmdjBqRnNzXzFDdzdHaXVBYXlaVzFiZW5kSlpJdEIyemJVeDVWZWlsdw?oc=5" TargetMode="External" Id="rId120"/><Relationship Type="http://schemas.openxmlformats.org/officeDocument/2006/relationships/hyperlink" Target="https://news.google.com/rss/articles/CBMihgFBVV95cUxNZlBjUzdTUHFfNm9fQnZtclVPRG1ZdWtERFVpMHRYYzRrTGV1alZYeU4yR240ZnM4bFZEMkhFMEtJbk1fakR3dzgyRm12YkZZdkpnTjE4UGNBR2otMlpsbkVpdDdGbXBPbUdYaU5ldjBqUnA1c1hwcFF4Yjl3NXVFcHRacHlTZw?oc=5" TargetMode="External" Id="rId121"/><Relationship Type="http://schemas.openxmlformats.org/officeDocument/2006/relationships/hyperlink" Target="https://news.google.com/rss/articles/CBMiywFBVV95cUxPTmRGcEVybWVjSzRpZ1pvMmZqdzBKQnJQVXR5YUpwNmVzclVUaGdnZVVhUXJlcHBVaGFSR1R0TXhKc3BTSXJuS1Ryc2FabjN1UlQyalJ2XzU3cTd4aTUxS0VOVkNfRnlIZXJFMld6UFNwVlVWVUwzWlRfX2trZk51aDNaUGpLeE9Td0xWYVJURTBFaVZlcm05bGxFWjNQZzJtekJNZFhrNmlfZEIxQmtzQjhndTlHclkxNldIbjBMMHhFMmlSOTNSbmlNdw?oc=5" TargetMode="External" Id="rId122"/><Relationship Type="http://schemas.openxmlformats.org/officeDocument/2006/relationships/hyperlink" Target="https://news.google.com/rss/articles/CBMi5gFBVV95cUxPSnh3ZEx6N0ZTcnlzekRyS05rY2djbEVfZGs3cmttMkwxTU56V3pIbjNsanNsQ2FBdGtoMjZPdlRUcjNVZ2FyUVVrWUFsWGctMGVYQzYwTlBkQ0t0dm9UOEdkRkVSeTlkazBkUVdpNnVlbHRVU3hYNkZqdWRMVENoNWx0YXdybnRhWUttam5kX2FRUlJxMlRPS0ZIc09WUnRhSzNseDdSaWJLSEhrYWUtLWczUkNKZXJGQ2xOVE50OHBWVkZpZWZTdHE5QUVQQmpTcnY1OXVEVms4NXhpRjR5aEhRWDdpZw?oc=5" TargetMode="External" Id="rId123"/><Relationship Type="http://schemas.openxmlformats.org/officeDocument/2006/relationships/hyperlink" Target="https://news.google.com/rss/articles/CBMirwFBVV95cUxOWUlBRk5ZaXZkRzhyQ3BQalNsY2xOM2pzQUNMeVI4UEFXQkdBNTdkd2d4Rno5TWNjb0VEeEFwWkhEb2k4S2J3cEtaTGpDM3NMNkR2WEQ2dGtzdWowQTVwa3ZSTEV6ZVdCRl9fRC1Zanc5VXljcllHTlZJZHRTNllxVElOR2hIUmlqWDF2LUFxTzhYU1UtdU5VWFJlWWYzbS1wRmV6cHluMkdDc1RQUkFv?oc=5" TargetMode="External" Id="rId124"/><Relationship Type="http://schemas.openxmlformats.org/officeDocument/2006/relationships/hyperlink" Target="https://news.google.com/rss/articles/CBMihAFBVV95cUxPVlNqT093MU81eURKNm9vZDdtTTNRdkRYZ0J2SXdSeHZqQXV1QUZCbEtiVVplNy1MTGdxbkk1a2hkN0toZ0NPakFvOENXYkRnT2JWQWczUVVLOGpYZ0dtZ1NweXUzb1NxM29TWmhUcUdOVXZfT1dBV3ZuZU5uVXhvaWpXR3Q?oc=5" TargetMode="External" Id="rId125"/><Relationship Type="http://schemas.openxmlformats.org/officeDocument/2006/relationships/hyperlink" Target="https://news.google.com/rss/articles/CBMiQEFVX3lxTE5xNDZoRUVLVUFyUVB6d3duejJIdUpLZjlKZ21qRXJtLWsycEZCU2RuWWtvblNOVHFJc1JpSW1HMkk?oc=5" TargetMode="External" Id="rId126"/><Relationship Type="http://schemas.openxmlformats.org/officeDocument/2006/relationships/hyperlink" Target="https://news.google.com/rss/articles/CBMic0FVX3lxTE85MmNnNDd2QkUzaFV4QTZmTmJXNTAzbUZfMjdpdlNaSjEyODN0eW51ZUp0RzE3SHY2NzRuQlZtOHdtcnFQLWlBOGQ5eVQ3QTU1REJMWTRvZm1qTFZHZWZ0ZU9WTGRiYkhJNGVEaEliZW9GZWc?oc=5" TargetMode="External" Id="rId127"/><Relationship Type="http://schemas.openxmlformats.org/officeDocument/2006/relationships/hyperlink" Target="https://news.google.com/rss/articles/CBMivgFBVV95cUxOeUJHRExHRm0xT2ZMLXFqWWFjaXRUWDFrY2FpaDdYc3dlVy1tYy1GQ1hZSDk1OFZFVElOOU5NMVVia21KM2xPSUhWdnk3ZHRkTWV1emJBZkhQclp3aUtiUzRiX0dVZUZhaGRpUWlJUE8tUmhha1ZLUS1TRGM2dGlxRWJ2UWFkNGNsakZ6S1NTMWw0NGp0V0Zlc0xXTzBTRkJKaGZPT2tNcExKRHBaZXN2U3pIMkVKNTRVdy1mUkxB?oc=5" TargetMode="External" Id="rId128"/><Relationship Type="http://schemas.openxmlformats.org/officeDocument/2006/relationships/hyperlink" Target="https://news.google.com/rss/articles/CBMifkFVX3lxTE1VN2xaNDhXeTdHWkRoTGZuYXhscnI4SnFCeDFqTVdEWHl1anViQ0hlemlUN1FIN1RaSTl0RjRJUlJ2Y2NmWVZuajROZzdULVVZWTRKV2gyeElnWkZ0MUNILXdPeWEwUlNyMldoZkU4MFJEODZSY3dYYnlFOXZ4dw?oc=5" TargetMode="External" Id="rId129"/><Relationship Type="http://schemas.openxmlformats.org/officeDocument/2006/relationships/hyperlink" Target="https://news.google.com/rss/articles/CBMi0gFBVV95cUxNcGZlMTE5MjVLdXpRZjFKNzcxQnZ5YmFUQ0xkeGljcmdESFNjZE1xai1JR196X3BEcTl6eWZmWjlPU3ZpQktHM3hWSmJvVEtUaGlSb2hNUWtmcjNpbV9hZXhRdVR1UEdMeC1fMTducHM4bElIOGFLZFhvZnZIMXM5OHRYdEJ4N2NVNGhGa181Qm8zTTd6d2dTQjVkSUZrRHdwcE5LVUxxY3JhSnN2di15NFVXWXJDU011NW5uejZQVmNtcHpvOU9NOXFzbVJNVU9TdnfSAeYBQVVfeXFMTXdwTjRSMVRXVjFOUGJEU1dkVDB2c1dCc0c0MnZIN1hZVHl4Z24taWFocko0SldESnk3LWltclY2TU94d0liMXM3YkxiVndZQVhCWFc5ZEROYjdCNFRCVmlEaTl0X2ZOXzRJQmtKSTFPWTVsNjZncVBudnBmckRjX1M3OEUwSVNYT2RtUF9SYzgxQlJHMWgxYVRkcUYwck9IOXBzeUE2Yi01QXRVeG1IQTFvOUxsaU9TNlVobzJROUhFVmV3bng5NFZnSlV3SFNiQXFkTGFMVFBwZUp2dUhIV1Z1RU5rNFE?oc=5" TargetMode="External" Id="rId130"/><Relationship Type="http://schemas.openxmlformats.org/officeDocument/2006/relationships/hyperlink" Target="https://news.google.com/rss/articles/CBMiR0FVX3lxTE5mbFg4a3ZhOWpyZElUSEpyVUR4NllITUlLeGFWV1B2V2JUQng0WUltSk9ENGNmQk1EWVdhM0tjejVqWjJvb0tF0gFHQVVfeXFMTmZsWDhrdmE5anJkSVRISnJVRHg2WUhNSUt4YVZXUHZXYlRCeDRZSW1KT0Q0Y2ZCTURZV2EzS2N6NWpaMm9vS0U?oc=5" TargetMode="External" Id="rId131"/><Relationship Type="http://schemas.openxmlformats.org/officeDocument/2006/relationships/hyperlink" Target="https://news.google.com/rss/articles/CBMiugFBVV95cUxORExmLUpkcGVQbHNvYWduSVhobDZrLW9DNlotVWVaUDgtNlRqcnluTmU3eE45QVRyXzhsYU90U1VlbVl2bnBNUVRyb3IwVUJmS0VZcEhjWHdsM183TldTbmZPTDRyVlI0R1kzUW5mNUVxc0M5MzgzaUdpX0g2WEpmNTcyQmh6V1FTbDVLaDNIdTRuUV9lc3VNR0dvbWM3OTRaSlFlc2FYY0ZMSUZnUkhwOEdqa3RkaktlcFE?oc=5" TargetMode="External" Id="rId132"/><Relationship Type="http://schemas.openxmlformats.org/officeDocument/2006/relationships/hyperlink" Target="https://news.google.com/rss/articles/CBMizAFBVV95cUxOX3FrTEZHRzR0dFNpaDRjdm9hSlZqREtnQ0Nhak51bmpSbTdqOWtyeDNxV0RmekhHR1JNRjlOSXNzb295b0ZjdVJRb29aaUJLbE9JbDJlLUFkMHg4MnZpVkVnVE9pMW1pM3U5YlBjVmZGTVBxVlBtTkJOeHNleHBoQldIRGdNQXo5UExaQ2tqYmZ5Rnd1aEtuakUxalItUnk3ak83Nm5YNDFVZXo4bFBETEZ6czd4N2I1aE1jZnB3OE80Ym1EM2prQkZXMTc?oc=5" TargetMode="External" Id="rId133"/><Relationship Type="http://schemas.openxmlformats.org/officeDocument/2006/relationships/hyperlink" Target="https://news.google.com/rss/articles/CBMixgFBVV95cUxOVi1Wa2xtWXg5NW1rUUJDa2xWblVjTVpQY3QwdFdWVzJnQzBFcVJKSUtIdFdlMXZmdVhTX2FETTJOREZwVVJ0Yk5TdHVPdjhfX2tvV08yMVhBYVROS0hlalBzMWtuSHBmTWRNcTJhNTN4a0w3b1BIdnVxajVyOER5OGo4dmthTS1nM2ZqOG5Ja1ZkRTR1MFVvWXNhQ3ctX3FfZF9wdjJ6cEppVmc5OXRlWEp6NmRaWllSdGRDQmF6N2RWR3VVZnc?oc=5" TargetMode="External" Id="rId134"/><Relationship Type="http://schemas.openxmlformats.org/officeDocument/2006/relationships/hyperlink" Target="https://news.google.com/rss/articles/CBMisgFBVV95cUxQdURwNUowWTYydWgxelNON0NTNUozZXdjMFUxM3AtSHBQRTBfWWZlT0tWQ0VkaDdNa0lOanpPSk05SVRyZVhOODJteTJzUGo4UWlYUFRBb3dLMnB2R2Z5NjZ0XzRVdHQyS3hYUlRPMl9rZmw4SnZjdXJGT2dhZ18wNzFsOFNvOGg0Tmh4c1ViaDR3Y3lPQUhnMnNkYzNnSkRjOG9xWXpHcFJYYW1rZ01zcGhB?oc=5" TargetMode="External" Id="rId135"/><Relationship Type="http://schemas.openxmlformats.org/officeDocument/2006/relationships/hyperlink" Target="https://news.google.com/rss/articles/CBMilgFBVV95cUxOaWxCcjZNMEJuSVgyc2QwRzY3ZzZMblFuNWxLV0NvSl9yRnFQLWY3NG9pRTRuVU5fdHB0YUVSd0w3V2VDSVdaLXdDYWJOUlVyM0VhWVpLQ0E1SjJxOHVMUG9pTC1JcWpKUGVNZDF6c25nZlRoZ3hwOVZPSEtqbzRIREJpTUR6UjBjbVdPckE3eTBCWU43S0E?oc=5" TargetMode="External" Id="rId136"/><Relationship Type="http://schemas.openxmlformats.org/officeDocument/2006/relationships/hyperlink" Target="https://news.google.com/rss/articles/CBMilgFBVV95cUxPaWJCQW9La1Z3UklqdWVaNWVLV3l0TFplUEg0R3h5ZzBSNlJtZnpNb2FONml5V3FqbnJGTnZvQ2JZSllHZGRoX3NWR0l6Q0oyWE02RXlncnRfREVCa0xBRnVMTDNhcWRxLURrVTNJUEl5UkdlU0RtdU9UcUpVdVFzblQ0UmdOVlR0YTBfTVpDbjZud2p5d1E?oc=5" TargetMode="External" Id="rId137"/><Relationship Type="http://schemas.openxmlformats.org/officeDocument/2006/relationships/hyperlink" Target="https://news.google.com/rss/articles/CBMijgFBVV95cUxORHhvYWNuVVRGRXIybWtsektBWDRYYkhhLWlYd2FwS0pBV2wzWklDdzN3UGxXLWZpa1ZLT0lWM0RZa1RXY0ZDRS1HYUdDV1RJU2dWWFpWalZ3cEhkaGJsYjk2WUZrWXQ3M2hXTWFVSGxSYjFhUzBOVlNnSUYxdVhtMGNBellTcmV4Q295SDJ3?oc=5" TargetMode="External" Id="rId138"/><Relationship Type="http://schemas.openxmlformats.org/officeDocument/2006/relationships/hyperlink" Target="https://news.google.com/rss/articles/CBMizAFBVV95cUxNd2dFendqYTRDcVVfLTVONjFFenlXV3pwTHVkVEJhb2ZfYzdKbF9XTDgxVXJqY1d4QWo3bi1CR250aUV6Y2FmQTktNUtTbU1FRnA2WUVzdFRiU2lRa3M1VzdwRUxzbWF0eUJmMER5Y2Yxb1V2aVdta0M4OGpjWmV6VGFnUVFLNjlQand3S3hSaTBFTUJZQ0JfNVBvZmF6NVpLSkdEMVlBLWt5VW5wYlhSOHBrdHVjU1FVMm41cW4tN0MwbTZ2Z2dULUZJemk?oc=5" TargetMode="External" Id="rId139"/><Relationship Type="http://schemas.openxmlformats.org/officeDocument/2006/relationships/hyperlink" Target="https://news.google.com/rss/articles/CBMijAFBVV95cUxOLWcwOXFBTWY2NnVDYW5EVi1yMldxeWpKd3NNTjB6SjMtS2FFRjBYQUd6ek1FYkVnVndOX0J3YXk1a3dVZW9KRWFCaV9KaHc4a25tdDBTWmFXc2hnU09sWEtNb2gxVjFhQ3RJaEJpVWhURWowRjNwVlV6ZG9RWVRlb1lpYXBrUV9YU0dDOQ?oc=5" TargetMode="External" Id="rId140"/><Relationship Type="http://schemas.openxmlformats.org/officeDocument/2006/relationships/hyperlink" Target="https://news.google.com/rss/articles/CBMibkFVX3lxTE5PclBzMHZTYkNxbkRYVWFacWgzMjRTdE1JdmNYSi1xbTlBaVZLRTVjTHpCTlQ4c2lEQ2xoMk9kcEdROGxBOFI4Zk9YV3JGSXdUZDg1blVlelJzbU54VjkzTkUySEV5Z2x2aHY5R0xB?oc=5" TargetMode="External" Id="rId141"/><Relationship Type="http://schemas.openxmlformats.org/officeDocument/2006/relationships/hyperlink" Target="https://news.google.com/rss/articles/CBMiygFBVV95cUxNYnltUmU0VEdCNDdXUG4xWjNBYXRMUEdlU2dIanhJeHFBalFBOG9DaWx0Tk5KVnZqeGZSMkxZQTNNSkdzWTJHZl9oSDRRWXZOb2YwNFVLNWw5ZjBUY0ZZdTNpOWg5RlQ3M2xDMkt6bkRvMFhXc1k3bTZmVmpVLU9zdTEtQ1R6U1hvWmlPVHA3WjFwc1IwNldOSHV6UGI5VldtdS01bjQ4ZXl4d0N2bjBtWVFqRktLUkZtMFhtVmhrUUVkSEhBbmtJMjJ3?oc=5" TargetMode="External" Id="rId142"/><Relationship Type="http://schemas.openxmlformats.org/officeDocument/2006/relationships/hyperlink" Target="https://news.google.com/rss/articles/CBMiqwFBVV95cUxPTC1MZGtiV3l3dXRoeE5NZVBwWjdUY1kxOHRrTVMyYTZ1VzVNVXMtbVktb2JVUEVFdnJseGVDaVVrR2tZWXpoT0tMWEZnY2dnZGptUnhfTHJqT1d1M1hoazVuMFZ3aUxZLVhaT2pHN1NBM19ERnF4Z0ZDYVFNZ1BNVmZweTd5ZjhQbGhIdHhXRkNoOW5ycm1TOVhuUUMyTkdmMEFsNzFhUDVqdlk?oc=5" TargetMode="External" Id="rId143"/><Relationship Type="http://schemas.openxmlformats.org/officeDocument/2006/relationships/hyperlink" Target="https://news.google.com/rss/articles/CBMi4gFBVV95cUxObEFsSlpBN09veGl1WXBBcWNHZFplTFFzQlIzSVZJUFVYdGdwcV9OZVY5TTBSM2JZbTdOd2liZFJyX3lscDU5VU1iVmZwaVU0bnZTSnk3ektFWm9QNEF4Y2ZMRldYdWVabGdKaW5yc21qQWxGNWcxOVZFNkRCLS14ZHpLc29Mel9vZENjazdLRWdMRm5uUEhob0pUS09pSVJEWXNjSlV4SE9ESFZyUVdEaENkUFpRTkt2SUZWb1FDRXAyMEd2LVhHTXhiODEwa3dwV1BvVXpQc2E3aUJXc1ZtQ3d30gHiAUFVX3lxTE5sQWxKWkE3T294aXVZcEFxY0dkWmVMUXNCUjNJVklQVVh0Z3BxX05lVjlNMFIzYlltN053aWJkUnJfeWxwNTlVTWJWZnBpVTRudlNKeTd6S0Vab1A0QXhjZkxGV1h1ZVpsZ0ppbnJzbWpBbEY1ZzE5VkU2REItLXhkektzb0x6X29kQ2NrN0tFZ0xGbm5QSGhvSlRLT2lJUkRZc2NKVXhIT0RIVnJRV0RoQ2RQWlFOS3ZJRlZvUUNFcDIwR3YtWEdNeGI4MTBrd3BXUG9VelBzYTdpQldzVm1Dd3c?oc=5" TargetMode="External" Id="rId144"/><Relationship Type="http://schemas.openxmlformats.org/officeDocument/2006/relationships/hyperlink" Target="https://news.google.com/rss/articles/CBMilAFBVV95cUxNSHZ2QXBIZEZ6bnJfNURvNG8xZ01rMkdnY3UwSGY4cjB4ZXpCcmRBSVZtQUprTExRNVlmdnE4Q0pPcllIZmlhYjN1WV9qejJVYzhIWC10QTFzcjdQc0gwbDJsamIzMVdxZVBiWjhLVDY5X0tOZEFqQnBITF84M2hyNkZmUmY4czZIMDIzRjgyaVBVQXBJ?oc=5" TargetMode="External" Id="rId145"/><Relationship Type="http://schemas.openxmlformats.org/officeDocument/2006/relationships/hyperlink" Target="https://news.google.com/rss/articles/CBMiugFBVV95cUxOT2dPd2U1SUVOOTEyc1laYjlVWl9QOUhsTGNrOTNCSFF3LUozTzhWT1RiZHJoejIwdEo5TzRMd3BXNXVON2Y0NUkyejlWTUZ2d3dvQ204NkczQV8zeVVhTFEtalZzM243V3ZXY1dMcDBlaXdZampuWHJrWjRzTUhLRmZENlFvaS1qT2FWRlFjLThUWl9XZklTWWstaTdhY0pFMzM2SDRNSVc0WU5YMnRwU0pOenhWUE10b2fSAb8BQVVfeXFMUHZ6YndId1lQYkVCa3lVeG9seXo5SS03MjlpUy0zYWxNekh4T0FJb2thc1hwV1BCUGxXeXUtZjU4MHg0OE1KTTJXdWNSY3h6Y2J6d1cyejNHNmpiazVyLTFYNGpRUWNCekxRNkVhaGU0LUJGMDNpVklramRteDRYLU9FbWhscm1yWVBBblpYbXpKdEVzN3pWUFg0Q09kM0NHYW1Cd2lYZFIweElSa2lTMnp4NzJBWWlmNlU1eFRoWmM?oc=5" TargetMode="External" Id="rId146"/><Relationship Type="http://schemas.openxmlformats.org/officeDocument/2006/relationships/hyperlink" Target="https://news.google.com/rss/articles/CBMivwFBVV95cUxPTWZlVmRYaUZXbGhlRkFNMHdvRXRoSzRlMGUwOWZMWVpIN3p5TzdPZC1JbWZnNlN5ZUxjSkdza2hDYUdPWGpBR05qRTV6dkRVWTVXbGdFc1k5bVlUUEhBMTlZdzZXZFFiM3pNbmx1MjgwNjBsTlRJV2dadlQ1RUpPNTVZa2s5cTBhVXI4Rm1ucy12UWVDWlZIRk1oMHZrWmdWRmRhenp4cFlWQmRfVDFaZHd1Y1BQSjBreVNrZ25aNA?oc=5" TargetMode="External" Id="rId147"/><Relationship Type="http://schemas.openxmlformats.org/officeDocument/2006/relationships/hyperlink" Target="https://news.google.com/rss/articles/CBMixwFBVV95cUxPZGJXSXRVamN6M3Z6Ymc2NnU0ODdaRThOc2tqRWNRQ0VLeklmMTViYzh1RVZESzNZOUlwVkZBUS0zcDB5UFFXdlB1TUM0N0NSU1BJZFNSRERhdnBSeS1jU1B3aVFUQmh6bkxCbUFROEJ1NS0wUDVuMUhFeGNleWtCVUxBendKR0dFekxHQVFNejlTN0hOcGZadDZmWGRiZHdGZ0xNZVRuc21BYnpUWHg3LWx4UzJPbHNxVUJpWWxLdUtWVEhBcnBr?oc=5" TargetMode="External" Id="rId148"/><Relationship Type="http://schemas.openxmlformats.org/officeDocument/2006/relationships/hyperlink" Target="https://news.google.com/rss/articles/CBMijgFBVV95cUxNdzRhVnVlVUVUU1k4S3pUQVo2RFJENXlEM1V6Z2FrVzRMQ2cxb0pZNkJpWUY5UWFHd1ZIUEZmU2x4SGtydEtXN3k2bTBIYWQ3VmZNZkNTRkhfRFctd3JZdThkRW1HTWIxYmVXRDZsazFZVTJsUzVjTWk0R2FIUElZRG5lLUpaeXpHRlZSdFBn?oc=5" TargetMode="External" Id="rId149"/><Relationship Type="http://schemas.openxmlformats.org/officeDocument/2006/relationships/hyperlink" Target="https://news.google.com/rss/articles/CBMilgFBVV95cUxNS29sd2RXaDlmWXJYMzNQSnJKZGpCWmJpOE9kVEdWQ2RFcUd0UHBGdHdRczJLbFRwTHFDb0ZPY1lHOHNsRGtTLXhTb081eGdyWF9YcmcxZkFrc2VNNzBJOUxNU1ppYnZtWlZBTTlZcXNfa2xNVUZWRTUyMkRlTHRUMmJ4Nk95a1kybUNTTmVPaklQSHktWUE?oc=5" TargetMode="External" Id="rId150"/></Relationships>
</file>

<file path=xl/worksheets/_rels/sheet5.xml.rels><Relationships xmlns="http://schemas.openxmlformats.org/package/2006/relationships"><Relationship Type="http://schemas.openxmlformats.org/officeDocument/2006/relationships/hyperlink" Target="https://doi.org/10.1016/j.soildyn.2026.110792" TargetMode="External" Id="rId1"/><Relationship Type="http://schemas.openxmlformats.org/officeDocument/2006/relationships/hyperlink" Target="https://doi.org/10.1007/s11440-026-03248-3" TargetMode="External" Id="rId2"/><Relationship Type="http://schemas.openxmlformats.org/officeDocument/2006/relationships/hyperlink" Target="https://doi.org/10.1007/s11440-026-03237-6" TargetMode="External" Id="rId3"/><Relationship Type="http://schemas.openxmlformats.org/officeDocument/2006/relationships/hyperlink" Target="https://doi.org/10.1061/jggefk.gteng-15394" TargetMode="External" Id="rId4"/><Relationship Type="http://schemas.openxmlformats.org/officeDocument/2006/relationships/hyperlink" Target="https://doi.org/10.1016/j.trgeo.2026.102499" TargetMode="External" Id="rId5"/><Relationship Type="http://schemas.openxmlformats.org/officeDocument/2006/relationships/hyperlink" Target="https://doi.org/10.1016/j.sandf.2026.101892" TargetMode="External" Id="rId6"/><Relationship Type="http://schemas.openxmlformats.org/officeDocument/2006/relationships/hyperlink" Target="https://doi.org/10.1680/jgeen.26.00025" TargetMode="External" Id="rId7"/><Relationship Type="http://schemas.openxmlformats.org/officeDocument/2006/relationships/hyperlink" Target="https://doi.org/10.1016/j.tust.2026.108244" TargetMode="External" Id="rId8"/><Relationship Type="http://schemas.openxmlformats.org/officeDocument/2006/relationships/hyperlink" Target="https://doi.org/10.1061/jggefk.gteng-15418" TargetMode="External" Id="rId9"/><Relationship Type="http://schemas.openxmlformats.org/officeDocument/2006/relationships/hyperlink" Target="https://doi.org/10.1007/s10346-026-02861-3" TargetMode="External" Id="rId10"/><Relationship Type="http://schemas.openxmlformats.org/officeDocument/2006/relationships/hyperlink" Target="https://doi.org/10.1007/s11440-026-03261-6" TargetMode="External" Id="rId11"/><Relationship Type="http://schemas.openxmlformats.org/officeDocument/2006/relationships/hyperlink" Target="https://doi.org/10.1016/j.compgeo.2026.108759" TargetMode="External" Id="rId12"/><Relationship Type="http://schemas.openxmlformats.org/officeDocument/2006/relationships/hyperlink" Target="https://doi.org/10.1016/j.enggeo.2026.109161" TargetMode="External" Id="rId13"/><Relationship Type="http://schemas.openxmlformats.org/officeDocument/2006/relationships/hyperlink" Target="https://doi.org/10.1016/j.enggeo.2026.109162" TargetMode="External" Id="rId14"/><Relationship Type="http://schemas.openxmlformats.org/officeDocument/2006/relationships/hyperlink" Target="https://doi.org/10.1016/j.soildyn.2026.110756" TargetMode="External" Id="rId15"/><Relationship Type="http://schemas.openxmlformats.org/officeDocument/2006/relationships/hyperlink" Target="https://doi.org/10.1007/s10064-026-05359-3" TargetMode="External" Id="rId16"/><Relationship Type="http://schemas.openxmlformats.org/officeDocument/2006/relationships/hyperlink" Target="https://doi.org/10.1061/jggefk.gteng-15318" TargetMode="External" Id="rId17"/><Relationship Type="http://schemas.openxmlformats.org/officeDocument/2006/relationships/hyperlink" Target="https://doi.org/10.1007/s10064-026-05357-5" TargetMode="External" Id="rId18"/><Relationship Type="http://schemas.openxmlformats.org/officeDocument/2006/relationships/hyperlink" Target="https://doi.org/10.1016/j.compgeo.2026.108749" TargetMode="External" Id="rId19"/><Relationship Type="http://schemas.openxmlformats.org/officeDocument/2006/relationships/hyperlink" Target="https://doi.org/10.1007/s11440-026-03269-y" TargetMode="External" Id="rId20"/><Relationship Type="http://schemas.openxmlformats.org/officeDocument/2006/relationships/hyperlink" Target="https://doi.org/10.1016/j.compgeo.2026.108768" TargetMode="External" Id="rId21"/><Relationship Type="http://schemas.openxmlformats.org/officeDocument/2006/relationships/hyperlink" Target="https://doi.org/10.1680/jgeot.25.00605" TargetMode="External" Id="rId22"/><Relationship Type="http://schemas.openxmlformats.org/officeDocument/2006/relationships/hyperlink" Target="https://doi.org/10.1016/j.soildyn.2026.110782" TargetMode="External" Id="rId23"/><Relationship Type="http://schemas.openxmlformats.org/officeDocument/2006/relationships/hyperlink" Target="https://doi.org/10.1061/jggefk.gteng-15142" TargetMode="External" Id="rId24"/><Relationship Type="http://schemas.openxmlformats.org/officeDocument/2006/relationships/hyperlink" Target="https://doi.org/10.1080/17499518.2026.2750358" TargetMode="External" Id="rId25"/><Relationship Type="http://schemas.openxmlformats.org/officeDocument/2006/relationships/hyperlink" Target="https://doi.org/10.1016/j.tust.2026.108241" TargetMode="External" Id="rId26"/><Relationship Type="http://schemas.openxmlformats.org/officeDocument/2006/relationships/hyperlink" Target="https://doi.org/10.1016/j.enggeo.2026.109168" TargetMode="External" Id="rId27"/><Relationship Type="http://schemas.openxmlformats.org/officeDocument/2006/relationships/hyperlink" Target="https://doi.org/10.1016/j.compgeo.2026.108765" TargetMode="External" Id="rId28"/><Relationship Type="http://schemas.openxmlformats.org/officeDocument/2006/relationships/hyperlink" Target="https://doi.org/10.1016/j.trgeo.2026.102482" TargetMode="External" Id="rId29"/><Relationship Type="http://schemas.openxmlformats.org/officeDocument/2006/relationships/hyperlink" Target="https://doi.org/10.1061/jggefk.gteng-15428" TargetMode="External" Id="rId30"/><Relationship Type="http://schemas.openxmlformats.org/officeDocument/2006/relationships/hyperlink" Target="https://doi.org/10.1016/j.undsp.2026.09.005" TargetMode="External" Id="rId31"/><Relationship Type="http://schemas.openxmlformats.org/officeDocument/2006/relationships/table" Target="/xl/tables/table2.xml" Id="rId32"/></Relationships>
</file>

<file path=xl/worksheets/_rels/sheet6.xml.rels><Relationships xmlns="http://schemas.openxmlformats.org/package/2006/relationships"><Relationship Type="http://schemas.openxmlformats.org/officeDocument/2006/relationships/hyperlink" Target="https://www.issmge.org/events/numge2027" TargetMode="External" Id="rId1"/><Relationship Type="http://schemas.openxmlformats.org/officeDocument/2006/relationships/hyperlink" Target="https://www.issmge.org/events/numge2027" TargetMode="External" Id="rId2"/><Relationship Type="http://schemas.openxmlformats.org/officeDocument/2006/relationships/hyperlink" Target="https://www.issmge.org/events/numge2027" TargetMode="External" Id="rId3"/><Relationship Type="http://schemas.openxmlformats.org/officeDocument/2006/relationships/hyperlink" Target="https://isrm.net/conference/show/6392" TargetMode="External" Id="rId4"/><Relationship Type="http://schemas.openxmlformats.org/officeDocument/2006/relationships/hyperlink" Target="https://dfi-events.org/dfi51/" TargetMode="External" Id="rId5"/><Relationship Type="http://schemas.openxmlformats.org/officeDocument/2006/relationships/hyperlink" Target="https://www.britishgeotech.org/event/the-2026-geotechnical-engineering-proceedings-lecture-strains-in-sprayed-concrete-tunnel-linings-at-heathrow-terminal-4-and-back-calculation-of-stress/" TargetMode="External" Id="rId6"/><Relationship Type="http://schemas.openxmlformats.org/officeDocument/2006/relationships/hyperlink" Target="https://www.issmge.org/events/pbd-v-conference-2026" TargetMode="External" Id="rId7"/><Relationship Type="http://schemas.openxmlformats.org/officeDocument/2006/relationships/hyperlink" Target="https://www.britishgeotech.org/event/bga-ecg-advanced-laboratory-testing-dynamic-behaviour-of-soils/" TargetMode="External" Id="rId8"/><Relationship Type="http://schemas.openxmlformats.org/officeDocument/2006/relationships/hyperlink" Target="https://about.ita-aites.org/future-events/2671/itacet-lunchtime-lecture-series-60?tmpl=component" TargetMode="External" Id="rId9"/><Relationship Type="http://schemas.openxmlformats.org/officeDocument/2006/relationships/hyperlink" Target="https://www.issmge.org/news/distinguished-lecture-by-prof-kenichi-soga-co-organised-by-issmge-tc207-10-nov-2026" TargetMode="External" Id="rId10"/><Relationship Type="http://schemas.openxmlformats.org/officeDocument/2006/relationships/hyperlink" Target="https://isrm.net/conference/show/6404" TargetMode="External" Id="rId11"/><Relationship Type="http://schemas.openxmlformats.org/officeDocument/2006/relationships/hyperlink" Target="https://about.ita-aites.org/future-events/2558/tunnel-turkey-2026?tmpl=component" TargetMode="External" Id="rId12"/><Relationship Type="http://schemas.openxmlformats.org/officeDocument/2006/relationships/hyperlink" Target="https://www.britishgeotech.org/event/bga-touring-lecture-beyond-automation-responsible-ai-workflows-in-geotechnical-modelling-and-monitoring/" TargetMode="External" Id="rId13"/><Relationship Type="http://schemas.openxmlformats.org/officeDocument/2006/relationships/hyperlink" Target="https://isrm.net/conference/show/6382" TargetMode="External" Id="rId14"/><Relationship Type="http://schemas.openxmlformats.org/officeDocument/2006/relationships/hyperlink" Target="https://about.ita-aites.org/future-events/2652/italian-underground-conference-congress?tmpl=component" TargetMode="External" Id="rId15"/><Relationship Type="http://schemas.openxmlformats.org/officeDocument/2006/relationships/hyperlink" Target="https://www.issmge.org/events/geotec-hanoi-2026-gh2026" TargetMode="External" Id="rId16"/><Relationship Type="http://schemas.openxmlformats.org/officeDocument/2006/relationships/hyperlink" Target="https://www.britishgeotech.org/event/bga-fleming-award-event-2026/" TargetMode="External" Id="rId17"/><Relationship Type="http://schemas.openxmlformats.org/officeDocument/2006/relationships/hyperlink" Target="https://about.ita-aites.org/future-events/2654/tunnelling-asia-2026-international-conference-exhibition?tmpl=component" TargetMode="External" Id="rId18"/><Relationship Type="http://schemas.openxmlformats.org/officeDocument/2006/relationships/hyperlink" Target="https://about.ita-aites.org/future-events/2658/world-tunnel-day-2026-itaym?tmpl=component" TargetMode="External" Id="rId19"/><Relationship Type="http://schemas.openxmlformats.org/officeDocument/2006/relationships/hyperlink" Target="https://www.issmge.org/events/colloque-national-sur-la-gotechnique" TargetMode="External" Id="rId20"/><Relationship Type="http://schemas.openxmlformats.org/officeDocument/2006/relationships/hyperlink" Target="https://about.ita-aites.org/future-events/2666/nepal-tunnelling-conference-2026?tmpl=component" TargetMode="External" Id="rId21"/><Relationship Type="http://schemas.openxmlformats.org/officeDocument/2006/relationships/hyperlink" Target="https://about.ita-aites.org/future-events/2656/underground-construction-association-uca-2027-george-a-fox-conference?tmpl=component" TargetMode="External" Id="rId22"/><Relationship Type="http://schemas.openxmlformats.org/officeDocument/2006/relationships/hyperlink" Target="https://www.issmge.org/events/the-iii-international-research-and-practical-conference-on-geotechnical-engineering-in-cold-regions-the-basis-of-infrastructure-safety-in-global-changes" TargetMode="External" Id="rId23"/><Relationship Type="http://schemas.openxmlformats.org/officeDocument/2006/relationships/hyperlink" Target="https://geoinstitute.org/news/call-abstract-geo-congress-2027-part-asce2027" TargetMode="External" Id="rId24"/><Relationship Type="http://schemas.openxmlformats.org/officeDocument/2006/relationships/hyperlink" Target="https://dfi-events.org/grout27/" TargetMode="External" Id="rId25"/><Relationship Type="http://schemas.openxmlformats.org/officeDocument/2006/relationships/hyperlink" Target="https://www.issmge.org/events/geomandu-2027-11th-aygec-and-1st-sacg-mountain-geotechnics-for-infrastructure-development" TargetMode="External" Id="rId26"/><Relationship Type="http://schemas.openxmlformats.org/officeDocument/2006/relationships/hyperlink" Target="https://www.issmge.org/news/2nd-is-gi-2027-lyon-call-for-abstracts" TargetMode="External" Id="rId27"/><Relationship Type="http://schemas.openxmlformats.org/officeDocument/2006/relationships/hyperlink" Target="https://about.ita-aites.org/future-events/2665/young-professionals-think-deep-programme-antwerp?tmpl=component" TargetMode="External" Id="rId28"/><Relationship Type="http://schemas.openxmlformats.org/officeDocument/2006/relationships/hyperlink" Target="https://about.ita-aites.org/future-events/2350/world-tunnel-congress-wtc-2027" TargetMode="External" Id="rId29"/><Relationship Type="http://schemas.openxmlformats.org/officeDocument/2006/relationships/hyperlink" Target="https://www.ifcee.com/" TargetMode="External" Id="rId30"/><Relationship Type="http://schemas.openxmlformats.org/officeDocument/2006/relationships/hyperlink" Target="https://about.ita-aites.org/future-events/2549/sdc2027-5th-international-conference-on-shaft-design-construction?tmpl=component" TargetMode="External" Id="rId31"/><Relationship Type="http://schemas.openxmlformats.org/officeDocument/2006/relationships/hyperlink" Target="https://www.issmge.org/events/cpt27-international-symposium-on-cone-penetration-testing" TargetMode="External" Id="rId32"/><Relationship Type="http://schemas.openxmlformats.org/officeDocument/2006/relationships/hyperlink" Target="https://www.issmge.org/events/the-4th-international-conference-on-press-in-engineering-2027-icpe2027" TargetMode="External" Id="rId33"/><Relationship Type="http://schemas.openxmlformats.org/officeDocument/2006/relationships/hyperlink" Target="https://www.issmge.org/events/xviii-danube-european-conference-on-geotechnical-engineering" TargetMode="External" Id="rId34"/><Relationship Type="http://schemas.openxmlformats.org/officeDocument/2006/relationships/hyperlink" Target="https://www.issmge.org/events/9th-international-conference-on-debris-flow-hazard-mitigation-dfhm9" TargetMode="External" Id="rId35"/><Relationship Type="http://schemas.openxmlformats.org/officeDocument/2006/relationships/hyperlink" Target="https://www.issmge.org/news/tc223-june-news-update" TargetMode="External" Id="rId36"/><Relationship Type="http://schemas.openxmlformats.org/officeDocument/2006/relationships/hyperlink" Target="https://dfi-events.org/s3-27/" TargetMode="External" Id="rId37"/><Relationship Type="http://schemas.openxmlformats.org/officeDocument/2006/relationships/hyperlink" Target="https://www.issmge.org/events/30th-european-young-geotechnical-engineers-conference-eygec-2027" TargetMode="External" Id="rId38"/><Relationship Type="http://schemas.openxmlformats.org/officeDocument/2006/relationships/hyperlink" Target="https://www.issmge.org/news/tc223-june-news-update" TargetMode="External" Id="rId39"/><Relationship Type="http://schemas.openxmlformats.org/officeDocument/2006/relationships/hyperlink" Target="https://www.britishgeotech.org/event/energy-geotechnics/" TargetMode="External" Id="rId40"/><Relationship Type="http://schemas.openxmlformats.org/officeDocument/2006/relationships/hyperlink" Target="https://www.issmge.org/events/numge2027" TargetMode="External" Id="rId41"/><Relationship Type="http://schemas.openxmlformats.org/officeDocument/2006/relationships/hyperlink" Target="https://dfi-events.org/dfi52/" TargetMode="External" Id="rId42"/><Relationship Type="http://schemas.openxmlformats.org/officeDocument/2006/relationships/hyperlink" Target="https://www.issmge.org/events/10iceg" TargetMode="External" Id="rId43"/><Relationship Type="http://schemas.openxmlformats.org/officeDocument/2006/relationships/hyperlink" Target="https://www.issmge.org/events/18arc" TargetMode="External" Id="rId44"/><Relationship Type="http://schemas.openxmlformats.org/officeDocument/2006/relationships/hyperlink" Target="https://www.issmge.org/events/the-fourth-vietnam-symposium-on-advances-in-offshore-engineering-vsoe-2027" TargetMode="External" Id="rId45"/><Relationship Type="http://schemas.openxmlformats.org/officeDocument/2006/relationships/hyperlink" Target="https://www.issmge.org/events/xiii-chilean-geotechnical-conference" TargetMode="External" Id="rId46"/><Relationship Type="http://schemas.openxmlformats.org/officeDocument/2006/relationships/hyperlink" Target="https://www.issmge.org/events/ecpmg-2028" TargetMode="External" Id="rId47"/><Relationship Type="http://schemas.openxmlformats.org/officeDocument/2006/relationships/hyperlink" Target="https://www.ecsmge-2028.com/" TargetMode="External" Id="rId48"/></Relationships>
</file>

<file path=xl/worksheets/_rels/sheet7.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00C9A227"/>
    <outlinePr summaryBelow="1" summaryRight="1"/>
    <pageSetUpPr fitToPage="1"/>
  </sheetPr>
  <dimension ref="A1:E58"/>
  <sheetViews>
    <sheetView showGridLines="0" tabSelected="1" workbookViewId="0">
      <selection activeCell="A1" sqref="A1"/>
    </sheetView>
  </sheetViews>
  <sheetFormatPr baseColWidth="8" defaultRowHeight="15"/>
  <cols>
    <col width="2" customWidth="1" min="1" max="1"/>
    <col width="38" customWidth="1" min="2" max="2"/>
    <col width="70" customWidth="1" min="3" max="3"/>
    <col width="24" customWidth="1" min="4" max="4"/>
    <col width="2" customWidth="1" min="5" max="5"/>
  </cols>
  <sheetData>
    <row r="1" ht="34" customHeight="1">
      <c r="A1" s="1" t="n"/>
      <c r="B1" s="2" t="inlineStr">
        <is>
          <t>Geotechnical News · Q4 2026</t>
        </is>
      </c>
      <c r="C1" s="1" t="n"/>
      <c r="D1" s="1" t="n"/>
      <c r="E1" s="1" t="n"/>
    </row>
    <row r="2" ht="20" customHeight="1">
      <c r="A2" s="3" t="n"/>
      <c r="B2" s="4" t="inlineStr">
        <is>
          <t>Issue window Oct – Dec 2026 · generated 26 Oct 2026</t>
        </is>
      </c>
      <c r="C2" s="3" t="n"/>
      <c r="D2" s="3" t="n"/>
      <c r="E2" s="3" t="n"/>
    </row>
    <row r="3" ht="4" customHeight="1">
      <c r="A3" s="5" t="n"/>
      <c r="B3" s="5" t="n"/>
      <c r="C3" s="5" t="n"/>
      <c r="D3" s="5" t="n"/>
      <c r="E3" s="5" t="n"/>
    </row>
    <row r="5" ht="30" customHeight="1">
      <c r="B5" s="6" t="inlineStr">
        <is>
          <t>This workbook holds 150 stories from 3 daily digests, 24 Oct 2026 to 26 Oct 2026, in 8 themes and from 108 sources.</t>
        </is>
      </c>
    </row>
    <row r="7" ht="22" customHeight="1">
      <c r="B7" s="7" t="inlineStr">
        <is>
          <t>What is in this workbook</t>
        </is>
      </c>
      <c r="C7" s="8" t="n"/>
      <c r="D7" s="8" t="n"/>
    </row>
    <row r="8" ht="31" customHeight="1">
      <c r="B8" s="9" t="inlineStr">
        <is>
          <t>Dashboard →</t>
        </is>
      </c>
      <c r="C8" s="10" t="inlineStr">
        <is>
          <t>Key figures, the Top 10 stories, charts by theme, use, relevance and planning status, a theme × use heat map and a timeline. Choose what it shows with the yellow selectors at the top.</t>
        </is>
      </c>
      <c r="D8" s="11" t="n"/>
    </row>
    <row r="9" ht="70" customHeight="1">
      <c r="B9" s="9" t="inlineStr">
        <is>
          <t>Stories →</t>
        </is>
      </c>
      <c r="C9" s="10" t="inlineStr">
        <is>
          <t>Every story as a filterable Excel table, newest digest first; click a headline to open the article. The gold columns – Status, Assigned to and Editor notes – are for you to fill in. Further right: the Primary source to check the facts with, where each story happened (Country, Place) and the Developing story it belongs to. A headline from a non-English source is Claude's English translation; Original headline gives the publisher's own.</t>
        </is>
      </c>
      <c r="D9" s="11" t="n"/>
    </row>
    <row r="10" ht="31" customHeight="1">
      <c r="B10" s="9" t="inlineStr">
        <is>
          <t>By theme →</t>
        </is>
      </c>
      <c r="C10" s="10" t="inlineStr">
        <is>
          <t>A read-only reading view: one section per theme, best stories first. Collapse or expand sections with the − / + buttons in the left margin.</t>
        </is>
      </c>
      <c r="D10" s="11" t="n"/>
    </row>
    <row r="11" ht="31" customHeight="1">
      <c r="B11" s="9" t="inlineStr">
        <is>
          <t>Research →</t>
        </is>
      </c>
      <c r="C11" s="10" t="inlineStr">
        <is>
          <t>31 new papers from geotechnical journals for the Academia-to-Industry pages, best rated for use in practice first, with why each matters and a link to the paper. Status and Editor notes work as in Stories.</t>
        </is>
      </c>
      <c r="D11" s="11" t="n"/>
    </row>
    <row r="12" ht="44" customHeight="1">
      <c r="B12" s="9" t="inlineStr">
        <is>
          <t>Events →</t>
        </is>
      </c>
      <c r="C12" s="10" t="inlineStr">
        <is>
          <t>The events calendar on 26 Oct 2026: 3 open deadlines (calls for papers, registration) with the days left, and 45 upcoming events (ISSMGE conferences, other conferences, courses and webinars), each linked to its website.</t>
        </is>
      </c>
      <c r="D12" s="11" t="n"/>
    </row>
    <row r="13" ht="31" customHeight="1">
      <c r="B13" s="9" t="inlineStr">
        <is>
          <t>Sources →</t>
        </is>
      </c>
      <c r="C13" s="10" t="inlineStr">
        <is>
          <t>The outlets that supplied stories: how many, average relevance, main theme and how many match the current Dashboard selection.</t>
        </is>
      </c>
      <c r="D13" s="11" t="n"/>
    </row>
    <row r="15" ht="22" customHeight="1">
      <c r="B15" s="7" t="inlineStr">
        <is>
          <t>Before you use a story</t>
        </is>
      </c>
      <c r="C15" s="8" t="n"/>
      <c r="D15" s="8" t="n"/>
    </row>
    <row r="16" ht="18" customHeight="1">
      <c r="B16" s="12" t="inlineStr">
        <is>
          <t>1</t>
        </is>
      </c>
      <c r="C16" s="10" t="inlineStr">
        <is>
          <t>Treat the news item as a lead, not as your source.</t>
        </is>
      </c>
      <c r="D16" s="11" t="n"/>
    </row>
    <row r="17" ht="31" customHeight="1">
      <c r="B17" s="12" t="inlineStr">
        <is>
          <t>2</t>
        </is>
      </c>
      <c r="C17" s="10" t="inlineStr">
        <is>
          <t>Check the facts with the primary source: the authority, the project owner, the company's press release or the official report (“Check with”, where the news desk found it).</t>
        </is>
      </c>
      <c r="D17" s="11" t="n"/>
    </row>
    <row r="18" ht="18" customHeight="1">
      <c r="B18" s="12" t="inlineStr">
        <is>
          <t>3</t>
        </is>
      </c>
      <c r="C18" s="10" t="inlineStr">
        <is>
          <t>Write the piece in your own words, with your own angle: the magazine angle is a starting point.</t>
        </is>
      </c>
      <c r="D18" s="11" t="n"/>
    </row>
    <row r="19" ht="18" customHeight="1">
      <c r="B19" s="12" t="inlineStr">
        <is>
          <t>4</t>
        </is>
      </c>
      <c r="C19" s="10" t="inlineStr">
        <is>
          <t>Quote a sentence or two at most, in quotation marks, naming the publication and linking to it.</t>
        </is>
      </c>
      <c r="D19" s="11" t="n"/>
    </row>
    <row r="20" ht="31" customHeight="1">
      <c r="B20" s="12" t="inlineStr">
        <is>
          <t>5</t>
        </is>
      </c>
      <c r="C20" s="10" t="inlineStr">
        <is>
          <t>For images, use your own, the project's press-kit photos released for media use, or ask permission; never reuse a source's photos, figures or drawings.</t>
        </is>
      </c>
      <c r="D20" s="11" t="n"/>
    </row>
    <row r="22" ht="22" customHeight="1">
      <c r="B22" s="7" t="inlineStr">
        <is>
          <t>How to use the Dashboard selectors</t>
        </is>
      </c>
      <c r="C22" s="8" t="n"/>
      <c r="D22" s="8" t="n"/>
    </row>
    <row r="23" ht="31" customHeight="1">
      <c r="B23" s="13" t="inlineStr">
        <is>
          <t>1</t>
        </is>
      </c>
      <c r="C23" s="10" t="inlineStr">
        <is>
          <t>Open the Dashboard. The yellow boxes at the top are selectors: Theme, Suggested use, Minimum relevance and Issue window.</t>
        </is>
      </c>
      <c r="D23" s="11" t="n"/>
    </row>
    <row r="24" ht="31" customHeight="1">
      <c r="B24" s="13" t="inlineStr">
        <is>
          <t>2</t>
        </is>
      </c>
      <c r="C24" s="10" t="inlineStr">
        <is>
          <t>Click a yellow box, then the ▼ arrow that appears beside it, and pick a value. Choose “All …” or “Any” to clear that selector.</t>
        </is>
      </c>
      <c r="D24" s="11" t="n"/>
    </row>
    <row r="25" ht="31" customHeight="1">
      <c r="B25" s="13" t="inlineStr">
        <is>
          <t>3</t>
        </is>
      </c>
      <c r="C25" s="10" t="inlineStr">
        <is>
          <t>The key figures, tables, charts, heat map and the Top 10 list recalculate at once. Headlines in the Top 10 open the article.</t>
        </is>
      </c>
      <c r="D25" s="11" t="n"/>
    </row>
    <row r="26" ht="31" customHeight="1">
      <c r="B26" s="13" t="inlineStr">
        <is>
          <t>4</t>
        </is>
      </c>
      <c r="C26" s="10" t="inlineStr">
        <is>
          <t>In Stories, set each story’s Status as you plan the issue. The Dashboard’s Planning status table and chart, and the PLANNED figure, count them straight away.</t>
        </is>
      </c>
      <c r="D26" s="11" t="n"/>
    </row>
    <row r="27" ht="31" customHeight="1">
      <c r="B27" s="13" t="inlineStr">
        <is>
          <t>5</t>
        </is>
      </c>
      <c r="C27" s="10" t="inlineStr">
        <is>
          <t>Filters in the Stories table (▼ in its header) only hide rows; the Dashboard follows the selectors. To list exactly what the Dashboard shows, filter the ‘In Dashboard selection’ column of Stories to ✓.</t>
        </is>
      </c>
      <c r="D27" s="11" t="n"/>
    </row>
    <row r="29" ht="22" customHeight="1">
      <c r="B29" s="7" t="inlineStr">
        <is>
          <t>Planning status (Stories › Status)</t>
        </is>
      </c>
      <c r="C29" s="8" t="n"/>
      <c r="D29" s="8" t="n"/>
    </row>
    <row r="30" ht="18" customHeight="1">
      <c r="B30" s="14" t="inlineStr">
        <is>
          <t>To review</t>
        </is>
      </c>
      <c r="C30" s="10" t="inlineStr">
        <is>
          <t>New from the scan, not looked at yet (every story starts here)</t>
        </is>
      </c>
      <c r="D30" s="11" t="n"/>
    </row>
    <row r="31" ht="18" customHeight="1">
      <c r="B31" s="15" t="inlineStr">
        <is>
          <t>Shortlisted</t>
        </is>
      </c>
      <c r="C31" s="10" t="inlineStr">
        <is>
          <t>Worth considering for the issue</t>
        </is>
      </c>
      <c r="D31" s="11" t="n"/>
    </row>
    <row r="32" ht="18" customHeight="1">
      <c r="B32" s="16" t="inlineStr">
        <is>
          <t>Commissioned</t>
        </is>
      </c>
      <c r="C32" s="10" t="inlineStr">
        <is>
          <t>A writer or contributor has been asked to cover it</t>
        </is>
      </c>
      <c r="D32" s="11" t="n"/>
    </row>
    <row r="33" ht="18" customHeight="1">
      <c r="B33" s="17" t="inlineStr">
        <is>
          <t>Published</t>
        </is>
      </c>
      <c r="C33" s="10" t="inlineStr">
        <is>
          <t>Used in a published issue or newsletter</t>
        </is>
      </c>
      <c r="D33" s="11" t="n"/>
    </row>
    <row r="34" ht="18" customHeight="1">
      <c r="B34" s="18" t="inlineStr">
        <is>
          <t>Not used</t>
        </is>
      </c>
      <c r="C34" s="10" t="inlineStr">
        <is>
          <t>Reviewed and set aside</t>
        </is>
      </c>
      <c r="D34" s="11" t="n"/>
    </row>
    <row r="36" ht="22" customHeight="1">
      <c r="B36" s="7" t="inlineStr">
        <is>
          <t>Relevance scale (AI triage)</t>
        </is>
      </c>
      <c r="C36" s="8" t="n"/>
      <c r="D36" s="8" t="n"/>
    </row>
    <row r="37" ht="18" customHeight="1">
      <c r="B37" s="19" t="inlineStr">
        <is>
          <t>5 / 5</t>
        </is>
      </c>
      <c r="C37" s="10" t="inlineStr">
        <is>
          <t>Rich geotechnical lesson or a major ground-related event</t>
        </is>
      </c>
      <c r="D37" s="11" t="n"/>
    </row>
    <row r="38" ht="18" customHeight="1">
      <c r="B38" s="20" t="inlineStr">
        <is>
          <t>4 / 5</t>
        </is>
      </c>
      <c r="C38" s="10" t="inlineStr">
        <is>
          <t>Strong ground-engineering content</t>
        </is>
      </c>
      <c r="D38" s="11" t="n"/>
    </row>
    <row r="39" ht="18" customHeight="1">
      <c r="B39" s="21" t="inlineStr">
        <is>
          <t>3 / 5</t>
        </is>
      </c>
      <c r="C39" s="10" t="inlineStr">
        <is>
          <t>Clear ground-engineering element, worth a brief</t>
        </is>
      </c>
      <c r="D39" s="11" t="n"/>
    </row>
    <row r="40" ht="18" customHeight="1">
      <c r="B40" s="22" t="inlineStr">
        <is>
          <t>2 / 5</t>
        </is>
      </c>
      <c r="C40" s="10" t="inlineStr">
        <is>
          <t>Weak link to geotechnics</t>
        </is>
      </c>
      <c r="D40" s="11" t="n"/>
    </row>
    <row r="41" ht="18" customHeight="1">
      <c r="B41" s="23" t="inlineStr">
        <is>
          <t>1 / 5</t>
        </is>
      </c>
      <c r="C41" s="10" t="inlineStr">
        <is>
          <t>Not really geotechnical</t>
        </is>
      </c>
      <c r="D41" s="11" t="n"/>
    </row>
    <row r="42" ht="18" customHeight="1">
      <c r="B42" s="24" t="inlineStr">
        <is>
          <t>–</t>
        </is>
      </c>
      <c r="C42" s="10" t="inlineStr">
        <is>
          <t>Shown as –. Not rated by AI: ranked on keyword matches only</t>
        </is>
      </c>
      <c r="D42" s="11" t="n"/>
    </row>
    <row r="44" ht="22" customHeight="1">
      <c r="B44" s="7" t="inlineStr">
        <is>
          <t>Jump to a theme (opens its section in By theme)</t>
        </is>
      </c>
      <c r="C44" s="8" t="n"/>
      <c r="D44" s="8" t="n"/>
    </row>
    <row r="45" ht="18" customHeight="1">
      <c r="B45" s="25" t="inlineStr">
        <is>
          <t>Sustainability &amp; the Energy Transition</t>
        </is>
      </c>
      <c r="C45" s="10" t="inlineStr">
        <is>
          <t>4 stories · 1 rated 5 / 5 · 1 feature lead</t>
        </is>
      </c>
      <c r="D45" s="11" t="n"/>
    </row>
    <row r="46" ht="18" customHeight="1">
      <c r="B46" s="26" t="inlineStr">
        <is>
          <t>Digital Geotechnics</t>
        </is>
      </c>
      <c r="C46" s="10" t="inlineStr">
        <is>
          <t>5 stories · 1 rated 5 / 5 · 2 feature leads</t>
        </is>
      </c>
      <c r="D46" s="11" t="n"/>
    </row>
    <row r="47" ht="18" customHeight="1">
      <c r="B47" s="27" t="inlineStr">
        <is>
          <t>Hazards &amp; Resilience</t>
        </is>
      </c>
      <c r="C47" s="10" t="inlineStr">
        <is>
          <t>53 stories · 13 rated 5 / 5 · 34 feature leads</t>
        </is>
      </c>
      <c r="D47" s="11" t="n"/>
    </row>
    <row r="48" ht="18" customHeight="1">
      <c r="B48" s="28" t="inlineStr">
        <is>
          <t>Ground Improvement &amp; Innovation</t>
        </is>
      </c>
      <c r="C48" s="10" t="inlineStr">
        <is>
          <t>2 stories · 2 rated 5 / 5 · 1 feature lead</t>
        </is>
      </c>
      <c r="D48" s="11" t="n"/>
    </row>
    <row r="49" ht="18" customHeight="1">
      <c r="B49" s="29" t="inlineStr">
        <is>
          <t>Infrastructure &amp; the Underground City</t>
        </is>
      </c>
      <c r="C49" s="10" t="inlineStr">
        <is>
          <t>50 stories · 2 rated 5 / 5 · 14 feature leads</t>
        </is>
      </c>
      <c r="D49" s="11" t="n"/>
    </row>
    <row r="50" ht="18" customHeight="1">
      <c r="B50" s="30" t="inlineStr">
        <is>
          <t>Offshore, Coasts &amp; Water</t>
        </is>
      </c>
      <c r="C50" s="10" t="inlineStr">
        <is>
          <t>20 stories · 1 rated 5 / 5 · 8 feature leads</t>
        </is>
      </c>
      <c r="D50" s="11" t="n"/>
    </row>
    <row r="51" ht="18" customHeight="1">
      <c r="B51" s="31" t="inlineStr">
        <is>
          <t>Characterisation &amp; Modelling</t>
        </is>
      </c>
      <c r="C51" s="10" t="inlineStr">
        <is>
          <t>9 stories · 0 rated 5 / 5 · 6 feature leads</t>
        </is>
      </c>
      <c r="D51" s="11" t="n"/>
    </row>
    <row r="52" ht="18" customHeight="1">
      <c r="B52" s="32" t="inlineStr">
        <is>
          <t>Geotechnics &amp; Society</t>
        </is>
      </c>
      <c r="C52" s="10" t="inlineStr">
        <is>
          <t>7 stories · 0 rated 5 / 5 · 2 feature leads</t>
        </is>
      </c>
      <c r="D52" s="11" t="n"/>
    </row>
    <row r="53" ht="18" customHeight="1">
      <c r="B53" s="33" t="inlineStr">
        <is>
          <t>No stories yet</t>
        </is>
      </c>
      <c r="C53" s="10" t="inlineStr">
        <is>
          <t>General</t>
        </is>
      </c>
      <c r="D53" s="11" t="n"/>
    </row>
    <row r="55" ht="22" customHeight="1">
      <c r="B55" s="7" t="inlineStr">
        <is>
          <t>Good to know</t>
        </is>
      </c>
      <c r="C55" s="8" t="n"/>
      <c r="D55" s="8" t="n"/>
    </row>
    <row r="56" ht="44" customHeight="1">
      <c r="B56" s="34" t="inlineStr">
        <is>
          <t>Blank figures?</t>
        </is>
      </c>
      <c r="C56" s="10" t="inlineStr">
        <is>
          <t>The Dashboard is calculated when the file opens. If it shows blanks or zeros in Excel, click Enable Editing in the yellow bar at the top (files from the internet open in Protected View); in LibreOffice press Ctrl+Shift+F9.</t>
        </is>
      </c>
      <c r="D56" s="11" t="n"/>
    </row>
    <row r="57" ht="31" customHeight="1">
      <c r="B57" s="34" t="inlineStr">
        <is>
          <t>Your edits</t>
        </is>
      </c>
      <c r="C57" s="10" t="inlineStr">
        <is>
          <t>This file is generated again after every scan. Status, Assigned to and Editor notes are kept only in the copy you save, so keep one working copy per issue.</t>
        </is>
      </c>
      <c r="D57" s="11" t="n"/>
    </row>
    <row r="58" ht="31" customHeight="1">
      <c r="B58" s="34" t="inlineStr">
        <is>
          <t>Lists sheet</t>
        </is>
      </c>
      <c r="C58" s="10" t="inlineStr">
        <is>
          <t>A hidden sheet holds the values offered by the dropdowns and some helper cells. There is no need to change it.</t>
        </is>
      </c>
      <c r="D58" s="11" t="n"/>
    </row>
  </sheetData>
  <mergeCells count="42">
    <mergeCell ref="C34:D34"/>
    <mergeCell ref="C24:D24"/>
    <mergeCell ref="C30:D30"/>
    <mergeCell ref="C33:D33"/>
    <mergeCell ref="B1:D1"/>
    <mergeCell ref="C42:D42"/>
    <mergeCell ref="C58:D58"/>
    <mergeCell ref="C45:D45"/>
    <mergeCell ref="C26:D26"/>
    <mergeCell ref="C20:D20"/>
    <mergeCell ref="C10:D10"/>
    <mergeCell ref="C16:D16"/>
    <mergeCell ref="C47:D47"/>
    <mergeCell ref="C25:D25"/>
    <mergeCell ref="C41:D41"/>
    <mergeCell ref="C50:D50"/>
    <mergeCell ref="C40:D40"/>
    <mergeCell ref="C9:D9"/>
    <mergeCell ref="C31:D31"/>
    <mergeCell ref="C56:D56"/>
    <mergeCell ref="C12:D12"/>
    <mergeCell ref="B5:D5"/>
    <mergeCell ref="C46:D46"/>
    <mergeCell ref="C11:D11"/>
    <mergeCell ref="C51:D51"/>
    <mergeCell ref="C27:D27"/>
    <mergeCell ref="C52:D52"/>
    <mergeCell ref="C48:D48"/>
    <mergeCell ref="C23:D23"/>
    <mergeCell ref="C17:D17"/>
    <mergeCell ref="C39:D39"/>
    <mergeCell ref="C8:D8"/>
    <mergeCell ref="C32:D32"/>
    <mergeCell ref="C38:D38"/>
    <mergeCell ref="C19:D19"/>
    <mergeCell ref="C37:D37"/>
    <mergeCell ref="C57:D57"/>
    <mergeCell ref="C13:D13"/>
    <mergeCell ref="C18:D18"/>
    <mergeCell ref="C53:D53"/>
    <mergeCell ref="B2:D2"/>
    <mergeCell ref="C49:D49"/>
  </mergeCells>
  <hyperlinks>
    <hyperlink ref="B8" location="'Dashboard'!A1" display="Dashboard →"/>
    <hyperlink ref="B9" location="'Stories'!A1" display="Stories →"/>
    <hyperlink ref="B10" location="'By theme'!A1" display="By theme →"/>
    <hyperlink ref="B11" location="'Research'!A1" display="Research →"/>
    <hyperlink ref="B12" location="'Events'!A1" display="Events →"/>
    <hyperlink ref="B13" location="'Sources'!A1" display="Sources →"/>
    <hyperlink ref="B45" location="'By theme'!A4" display="Sustainability &amp; the Energy Transition"/>
    <hyperlink ref="B46" location="'By theme'!A11" display="Digital Geotechnics"/>
    <hyperlink ref="B47" location="'By theme'!A19" display="Hazards &amp; Resilience"/>
    <hyperlink ref="B48" location="'By theme'!A75" display="Ground Improvement &amp; Innovation"/>
    <hyperlink ref="B49" location="'By theme'!A80" display="Infrastructure &amp; the Underground City"/>
    <hyperlink ref="B50" location="'By theme'!A133" display="Offshore, Coasts &amp; Water"/>
    <hyperlink ref="B51" location="'By theme'!A156" display="Characterisation &amp; Modelling"/>
    <hyperlink ref="B52" location="'By theme'!A168" display="Geotechnics &amp; Society"/>
  </hyperlinks>
  <printOptions horizontalCentered="1"/>
  <pageMargins left="0.4" right="0.4" top="0.5" bottom="0.55" header="0.25" footer="0.25"/>
  <pageSetup orientation="landscape" paperSize="9" fitToHeight="0" fitToWidth="1"/>
  <headerFooter>
    <oddHeader/>
    <oddFooter>&amp;L&amp;"Arial"&amp;8 &amp;A&amp;R&amp;"Arial"&amp;8 Page &amp;P of &amp;N</oddFooter>
    <evenHeader/>
    <evenFooter/>
    <firstHeader/>
    <firstFooter/>
  </headerFooter>
</worksheet>
</file>

<file path=xl/worksheets/sheet2.xml><?xml version="1.0" encoding="utf-8"?>
<worksheet xmlns="http://schemas.openxmlformats.org/spreadsheetml/2006/main">
  <sheetPr>
    <tabColor rgb="0016324F"/>
    <outlinePr summaryBelow="1" summaryRight="1"/>
    <pageSetUpPr fitToPage="1"/>
  </sheetPr>
  <dimension ref="A1:T76"/>
  <sheetViews>
    <sheetView showGridLines="0" tabSelected="0" workbookViewId="0">
      <pane ySplit="6" topLeftCell="A7" activePane="bottomLeft" state="frozen"/>
      <selection pane="bottomLeft" activeCell="A1" sqref="A1"/>
    </sheetView>
  </sheetViews>
  <sheetFormatPr baseColWidth="8" defaultRowHeight="15"/>
  <cols>
    <col width="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2" customWidth="1" min="20" max="20"/>
  </cols>
  <sheetData>
    <row r="1" ht="34" customHeight="1">
      <c r="A1" s="1" t="n"/>
      <c r="B1" s="2" t="inlineStr">
        <is>
          <t>Geotechnical News · Q4 2026</t>
        </is>
      </c>
      <c r="C1" s="1" t="n"/>
      <c r="D1" s="1" t="n"/>
      <c r="E1" s="1" t="n"/>
      <c r="F1" s="1" t="n"/>
      <c r="G1" s="1" t="n"/>
      <c r="H1" s="1" t="n"/>
      <c r="I1" s="1" t="n"/>
      <c r="J1" s="1" t="n"/>
      <c r="K1" s="1" t="n"/>
      <c r="L1" s="1" t="n"/>
      <c r="M1" s="1" t="n"/>
      <c r="N1" s="1" t="n"/>
      <c r="O1" s="1" t="n"/>
      <c r="P1" s="1" t="n"/>
      <c r="Q1" s="1" t="n"/>
      <c r="R1" s="1" t="n"/>
      <c r="S1" s="1" t="n"/>
      <c r="T1" s="1" t="n"/>
    </row>
    <row r="2" ht="20" customHeight="1">
      <c r="A2" s="3" t="n"/>
      <c r="B2" s="4" t="inlineStr">
        <is>
          <t>Issue window Oct – Dec 2026 · generated 26 Oct 2026</t>
        </is>
      </c>
      <c r="C2" s="3" t="n"/>
      <c r="D2" s="3" t="n"/>
      <c r="E2" s="3" t="n"/>
      <c r="F2" s="3" t="n"/>
      <c r="G2" s="3" t="n"/>
      <c r="H2" s="3" t="n"/>
      <c r="I2" s="3" t="n"/>
      <c r="J2" s="3" t="n"/>
      <c r="K2" s="3" t="n"/>
      <c r="L2" s="3" t="n"/>
      <c r="M2" s="3" t="n"/>
      <c r="N2" s="3" t="n"/>
      <c r="O2" s="3" t="n"/>
      <c r="P2" s="3" t="n"/>
      <c r="Q2" s="3" t="n"/>
      <c r="R2" s="3" t="n"/>
      <c r="S2" s="3" t="n"/>
      <c r="T2" s="3" t="n"/>
    </row>
    <row r="3" ht="4" customHeight="1">
      <c r="A3" s="5" t="n"/>
      <c r="B3" s="5" t="n"/>
      <c r="C3" s="5" t="n"/>
      <c r="D3" s="5" t="n"/>
      <c r="E3" s="5" t="n"/>
      <c r="F3" s="5" t="n"/>
      <c r="G3" s="5" t="n"/>
      <c r="H3" s="5" t="n"/>
      <c r="I3" s="5" t="n"/>
      <c r="J3" s="5" t="n"/>
      <c r="K3" s="5" t="n"/>
      <c r="L3" s="5" t="n"/>
      <c r="M3" s="5" t="n"/>
      <c r="N3" s="5" t="n"/>
      <c r="O3" s="5" t="n"/>
      <c r="P3" s="5" t="n"/>
      <c r="Q3" s="5" t="n"/>
      <c r="R3" s="5" t="n"/>
      <c r="S3" s="5" t="n"/>
      <c r="T3" s="5" t="n"/>
    </row>
    <row r="4" ht="16" customHeight="1">
      <c r="B4" s="35" t="inlineStr">
        <is>
          <t>THEME</t>
        </is>
      </c>
      <c r="G4" s="35" t="inlineStr">
        <is>
          <t>SUGGESTED USE</t>
        </is>
      </c>
      <c r="K4" s="35" t="inlineStr">
        <is>
          <t>MINIMUM RELEVANCE (OUT OF 5)</t>
        </is>
      </c>
      <c r="N4" s="35" t="inlineStr">
        <is>
          <t>ISSUE WINDOW</t>
        </is>
      </c>
      <c r="Q4" s="36" t="inlineStr">
        <is>
          <t>Tip: click a yellow box, then its ▼ arrow, to choose. Pick “All …” or “Any” to clear it. Everything below updates.</t>
        </is>
      </c>
      <c r="R4" s="37" t="n"/>
      <c r="S4" s="37" t="n"/>
    </row>
    <row r="5" ht="26" customHeight="1">
      <c r="B5" s="38" t="inlineStr">
        <is>
          <t>All themes</t>
        </is>
      </c>
      <c r="C5" s="39" t="n"/>
      <c r="D5" s="39" t="n"/>
      <c r="E5" s="39" t="n"/>
      <c r="F5" s="40" t="n"/>
      <c r="G5" s="38" t="inlineStr">
        <is>
          <t>All uses</t>
        </is>
      </c>
      <c r="H5" s="39" t="n"/>
      <c r="I5" s="39" t="n"/>
      <c r="J5" s="40" t="n"/>
      <c r="K5" s="38" t="inlineStr">
        <is>
          <t>Any</t>
        </is>
      </c>
      <c r="L5" s="39" t="n"/>
      <c r="M5" s="40" t="n"/>
      <c r="N5" s="38" t="inlineStr">
        <is>
          <t>All windows</t>
        </is>
      </c>
      <c r="O5" s="39" t="n"/>
      <c r="P5" s="40" t="n"/>
      <c r="Q5" s="37" t="n"/>
      <c r="R5" s="37" t="n"/>
      <c r="S5" s="37" t="n"/>
    </row>
    <row r="6" ht="18" customHeight="1">
      <c r="B6" s="41">
        <f>"Showing "&amp;Lists!$H$6&amp;" of "&amp;Lists!$H$4&amp;" stories"&amp;IF(Lists!$H$5," – no selector set."," for the selection above. Set every box back to All / Any to see everything.")</f>
        <v/>
      </c>
    </row>
    <row r="7" ht="8" customHeight="1"/>
    <row r="8" ht="36" customHeight="1">
      <c r="B8" s="42">
        <f>Lists!$H$6</f>
        <v/>
      </c>
      <c r="C8" s="43" t="n"/>
      <c r="D8" s="43" t="n"/>
      <c r="E8" s="44">
        <f>IF(Lists!$H$5,Lists!$H$3,COUNTIF(Lists!$K$2:$K$4,"&gt;0"))</f>
        <v/>
      </c>
      <c r="F8" s="45" t="n"/>
      <c r="G8" s="45" t="n"/>
      <c r="H8" s="46">
        <f>COUNTIFS(Stories!$W$4:$W$153,1,Stories!$D$4:$D$153,5)</f>
        <v/>
      </c>
      <c r="I8" s="47" t="n"/>
      <c r="J8" s="47" t="n"/>
      <c r="K8" s="48">
        <f>COUNTIFS(Stories!$W$4:$W$153,1,Stories!$E$4:$E$153,"Feature lead")</f>
        <v/>
      </c>
      <c r="L8" s="49" t="n"/>
      <c r="M8" s="49" t="n"/>
      <c r="N8" s="50">
        <f>COUNTIFS(Stories!$W$4:$W$153,1,Stories!$F$4:$F$153,"Shortlisted")+COUNTIFS(Stories!$W$4:$W$153,1,Stories!$F$4:$F$153,"Commissioned")+COUNTIFS(Stories!$W$4:$W$153,1,Stories!$F$4:$F$153,"Published")</f>
        <v/>
      </c>
      <c r="O8" s="51" t="n"/>
      <c r="P8" s="51" t="n"/>
      <c r="Q8" s="52">
        <f>COUNTIF(Sources!$C$4:$C$111,"&gt;0")</f>
        <v/>
      </c>
      <c r="R8" s="53" t="n"/>
      <c r="S8" s="53" t="n"/>
    </row>
    <row r="9" ht="15" customHeight="1">
      <c r="B9" s="54" t="inlineStr">
        <is>
          <t>STORIES</t>
        </is>
      </c>
      <c r="C9" s="55" t="n"/>
      <c r="D9" s="55" t="n"/>
      <c r="E9" s="56">
        <f>IF(Lists!$H$5,"DAILY DIGESTS","DIGESTS WITH MATCHES")</f>
        <v/>
      </c>
      <c r="F9" s="57" t="n"/>
      <c r="G9" s="57" t="n"/>
      <c r="H9" s="58" t="inlineStr">
        <is>
          <t>RATED 5 / 5</t>
        </is>
      </c>
      <c r="I9" s="59" t="n"/>
      <c r="J9" s="59" t="n"/>
      <c r="K9" s="60" t="inlineStr">
        <is>
          <t>FEATURE LEADS</t>
        </is>
      </c>
      <c r="L9" s="61" t="n"/>
      <c r="M9" s="61" t="n"/>
      <c r="N9" s="62" t="inlineStr">
        <is>
          <t>PLANNED</t>
        </is>
      </c>
      <c r="O9" s="63" t="n"/>
      <c r="P9" s="63" t="n"/>
      <c r="Q9" s="64" t="inlineStr">
        <is>
          <t>SOURCES</t>
        </is>
      </c>
      <c r="R9" s="65" t="n"/>
      <c r="S9" s="65" t="n"/>
    </row>
    <row r="10" ht="15" customHeight="1">
      <c r="B10" s="66">
        <f>"of "&amp;Lists!$H$4&amp;" in this workbook"</f>
        <v/>
      </c>
      <c r="C10" s="55" t="n"/>
      <c r="D10" s="55" t="n"/>
      <c r="E10" s="67">
        <f>IF(Lists!$H$5,"scans in this period","of "&amp;Lists!$H$3&amp;" scans in this period")</f>
        <v/>
      </c>
      <c r="F10" s="57" t="n"/>
      <c r="G10" s="57" t="n"/>
      <c r="H10" s="68">
        <f>"rated 4 / 5: "&amp;COUNTIFS(Stories!$W$4:$W$153,1,Stories!$D$4:$D$153,4)</f>
        <v/>
      </c>
      <c r="I10" s="59" t="n"/>
      <c r="J10" s="59" t="n"/>
      <c r="K10" s="69">
        <f>"news briefs: "&amp;COUNTIFS(Stories!$W$4:$W$153,1,Stories!$E$4:$E$153,"News brief")</f>
        <v/>
      </c>
      <c r="L10" s="61" t="n"/>
      <c r="M10" s="61" t="n"/>
      <c r="N10" s="70">
        <f>"shortlisted or later · to review: "&amp;COUNTIFS(Stories!$W$4:$W$153,1,Stories!$F$4:$F$153,"To review")</f>
        <v/>
      </c>
      <c r="O10" s="63" t="n"/>
      <c r="P10" s="63" t="n"/>
      <c r="Q10" s="71">
        <f>"of 108 outlets in this workbook"</f>
        <v/>
      </c>
      <c r="R10" s="65" t="n"/>
      <c r="S10" s="65" t="n"/>
    </row>
    <row r="11" ht="12" customHeight="1"/>
    <row r="12" ht="22" customHeight="1">
      <c r="B12" s="7" t="inlineStr">
        <is>
          <t>Top 10 stories for this selection</t>
        </is>
      </c>
      <c r="C12" s="8" t="n"/>
      <c r="D12" s="8" t="n"/>
      <c r="E12" s="8" t="n"/>
      <c r="F12" s="8" t="n"/>
      <c r="G12" s="8" t="n"/>
      <c r="H12" s="8" t="n"/>
      <c r="I12" s="8" t="n"/>
      <c r="J12" s="8" t="n"/>
      <c r="K12" s="8" t="n"/>
      <c r="L12" s="8" t="n"/>
      <c r="M12" s="8" t="n"/>
      <c r="N12" s="8" t="n"/>
      <c r="O12" s="8" t="n"/>
      <c r="P12" s="8" t="n"/>
      <c r="Q12" s="8" t="n"/>
      <c r="R12" s="8" t="n"/>
      <c r="S12" s="8" t="n"/>
    </row>
    <row r="13" ht="20" customHeight="1">
      <c r="B13" s="72" t="inlineStr">
        <is>
          <t>#</t>
        </is>
      </c>
      <c r="C13" s="73" t="inlineStr">
        <is>
          <t>Headline (click to open the article)</t>
        </is>
      </c>
      <c r="D13" s="1" t="n"/>
      <c r="E13" s="1" t="n"/>
      <c r="F13" s="1" t="n"/>
      <c r="G13" s="1" t="n"/>
      <c r="H13" s="1" t="n"/>
      <c r="I13" s="72" t="inlineStr">
        <is>
          <t>Digest</t>
        </is>
      </c>
      <c r="J13" s="73" t="inlineStr">
        <is>
          <t>Theme</t>
        </is>
      </c>
      <c r="K13" s="1" t="n"/>
      <c r="L13" s="1" t="n"/>
      <c r="M13" s="72" t="inlineStr">
        <is>
          <t>Relevance</t>
        </is>
      </c>
      <c r="N13" s="73" t="inlineStr">
        <is>
          <t>Suggested use</t>
        </is>
      </c>
      <c r="O13" s="1" t="n"/>
      <c r="P13" s="73" t="inlineStr">
        <is>
          <t>Source</t>
        </is>
      </c>
      <c r="Q13" s="1" t="n"/>
      <c r="R13" s="72" t="inlineStr">
        <is>
          <t>Story No.</t>
        </is>
      </c>
      <c r="S13" s="72" t="inlineStr">
        <is>
          <t>Status</t>
        </is>
      </c>
    </row>
    <row r="14" ht="30" customHeight="1">
      <c r="B14" s="74">
        <f>IF(Lists!$O$2="","",1)</f>
        <v/>
      </c>
      <c r="C14" s="75">
        <f>IF(Lists!$O$2="","No stories match this selection – choose “All …” or “Any” in a box above.",IF(AND(Lists!$P$2&lt;&gt;"",LEN(Lists!$P$2)&lt;=255),HYPERLINK(Lists!$P$2,Lists!$Q$2),HYPERLINK("#'Stories'!B"&amp;(Lists!$O$2+3),Lists!$Q$2)))</f>
        <v/>
      </c>
      <c r="D14" s="76" t="n"/>
      <c r="E14" s="76" t="n"/>
      <c r="F14" s="76" t="n"/>
      <c r="G14" s="76" t="n"/>
      <c r="H14" s="76" t="n"/>
      <c r="I14" s="77">
        <f>IF(Lists!$O$2="","",INDEX(Stories!$K$4:$K$153,Lists!$O$2))</f>
        <v/>
      </c>
      <c r="J14" s="78">
        <f>IF(Lists!$O$2="","",INDEX(Stories!$C$4:$C$153,Lists!$O$2)&amp;"")</f>
        <v/>
      </c>
      <c r="K14" s="76" t="n"/>
      <c r="L14" s="76" t="n"/>
      <c r="M14" s="79">
        <f>IF(Lists!$O$2="","",INDEX(Stories!$D$4:$D$153,Lists!$O$2))</f>
        <v/>
      </c>
      <c r="N14" s="80">
        <f>IF(Lists!$O$2="","",INDEX(Stories!$E$4:$E$153,Lists!$O$2)&amp;"")</f>
        <v/>
      </c>
      <c r="O14" s="76" t="n"/>
      <c r="P14" s="80">
        <f>IF(Lists!$O$2="","",INDEX(Stories!$J$4:$J$153,Lists!$O$2)&amp;"")</f>
        <v/>
      </c>
      <c r="Q14" s="76" t="n"/>
      <c r="R14" s="81">
        <f>IF(Lists!$O$2="","",INDEX(Stories!$A$4:$A$153,Lists!$O$2))</f>
        <v/>
      </c>
      <c r="S14" s="82">
        <f>IF(Lists!$O$2="","",INDEX(Stories!$F$4:$F$153,Lists!$O$2)&amp;"")</f>
        <v/>
      </c>
    </row>
    <row r="15" ht="30" customHeight="1">
      <c r="B15" s="83">
        <f>IF(Lists!$O$3="","",2)</f>
        <v/>
      </c>
      <c r="C15" s="84">
        <f>IF(Lists!$O$3="","",IF(AND(Lists!$P$3&lt;&gt;"",LEN(Lists!$P$3)&lt;=255),HYPERLINK(Lists!$P$3,Lists!$Q$3),HYPERLINK("#'Stories'!B"&amp;(Lists!$O$3+3),Lists!$Q$3)))</f>
        <v/>
      </c>
      <c r="D15" s="85" t="n"/>
      <c r="E15" s="85" t="n"/>
      <c r="F15" s="85" t="n"/>
      <c r="G15" s="85" t="n"/>
      <c r="H15" s="85" t="n"/>
      <c r="I15" s="86">
        <f>IF(Lists!$O$3="","",INDEX(Stories!$K$4:$K$153,Lists!$O$3))</f>
        <v/>
      </c>
      <c r="J15" s="87">
        <f>IF(Lists!$O$3="","",INDEX(Stories!$C$4:$C$153,Lists!$O$3)&amp;"")</f>
        <v/>
      </c>
      <c r="K15" s="85" t="n"/>
      <c r="L15" s="85" t="n"/>
      <c r="M15" s="88">
        <f>IF(Lists!$O$3="","",INDEX(Stories!$D$4:$D$153,Lists!$O$3))</f>
        <v/>
      </c>
      <c r="N15" s="89">
        <f>IF(Lists!$O$3="","",INDEX(Stories!$E$4:$E$153,Lists!$O$3)&amp;"")</f>
        <v/>
      </c>
      <c r="O15" s="85" t="n"/>
      <c r="P15" s="89">
        <f>IF(Lists!$O$3="","",INDEX(Stories!$J$4:$J$153,Lists!$O$3)&amp;"")</f>
        <v/>
      </c>
      <c r="Q15" s="85" t="n"/>
      <c r="R15" s="90">
        <f>IF(Lists!$O$3="","",INDEX(Stories!$A$4:$A$153,Lists!$O$3))</f>
        <v/>
      </c>
      <c r="S15" s="91">
        <f>IF(Lists!$O$3="","",INDEX(Stories!$F$4:$F$153,Lists!$O$3)&amp;"")</f>
        <v/>
      </c>
    </row>
    <row r="16" ht="30" customHeight="1">
      <c r="B16" s="74">
        <f>IF(Lists!$O$4="","",3)</f>
        <v/>
      </c>
      <c r="C16" s="75">
        <f>IF(Lists!$O$4="","",IF(AND(Lists!$P$4&lt;&gt;"",LEN(Lists!$P$4)&lt;=255),HYPERLINK(Lists!$P$4,Lists!$Q$4),HYPERLINK("#'Stories'!B"&amp;(Lists!$O$4+3),Lists!$Q$4)))</f>
        <v/>
      </c>
      <c r="D16" s="76" t="n"/>
      <c r="E16" s="76" t="n"/>
      <c r="F16" s="76" t="n"/>
      <c r="G16" s="76" t="n"/>
      <c r="H16" s="76" t="n"/>
      <c r="I16" s="77">
        <f>IF(Lists!$O$4="","",INDEX(Stories!$K$4:$K$153,Lists!$O$4))</f>
        <v/>
      </c>
      <c r="J16" s="78">
        <f>IF(Lists!$O$4="","",INDEX(Stories!$C$4:$C$153,Lists!$O$4)&amp;"")</f>
        <v/>
      </c>
      <c r="K16" s="76" t="n"/>
      <c r="L16" s="76" t="n"/>
      <c r="M16" s="79">
        <f>IF(Lists!$O$4="","",INDEX(Stories!$D$4:$D$153,Lists!$O$4))</f>
        <v/>
      </c>
      <c r="N16" s="80">
        <f>IF(Lists!$O$4="","",INDEX(Stories!$E$4:$E$153,Lists!$O$4)&amp;"")</f>
        <v/>
      </c>
      <c r="O16" s="76" t="n"/>
      <c r="P16" s="80">
        <f>IF(Lists!$O$4="","",INDEX(Stories!$J$4:$J$153,Lists!$O$4)&amp;"")</f>
        <v/>
      </c>
      <c r="Q16" s="76" t="n"/>
      <c r="R16" s="81">
        <f>IF(Lists!$O$4="","",INDEX(Stories!$A$4:$A$153,Lists!$O$4))</f>
        <v/>
      </c>
      <c r="S16" s="82">
        <f>IF(Lists!$O$4="","",INDEX(Stories!$F$4:$F$153,Lists!$O$4)&amp;"")</f>
        <v/>
      </c>
    </row>
    <row r="17" ht="30" customHeight="1">
      <c r="B17" s="83">
        <f>IF(Lists!$O$5="","",4)</f>
        <v/>
      </c>
      <c r="C17" s="84">
        <f>IF(Lists!$O$5="","",IF(AND(Lists!$P$5&lt;&gt;"",LEN(Lists!$P$5)&lt;=255),HYPERLINK(Lists!$P$5,Lists!$Q$5),HYPERLINK("#'Stories'!B"&amp;(Lists!$O$5+3),Lists!$Q$5)))</f>
        <v/>
      </c>
      <c r="D17" s="85" t="n"/>
      <c r="E17" s="85" t="n"/>
      <c r="F17" s="85" t="n"/>
      <c r="G17" s="85" t="n"/>
      <c r="H17" s="85" t="n"/>
      <c r="I17" s="86">
        <f>IF(Lists!$O$5="","",INDEX(Stories!$K$4:$K$153,Lists!$O$5))</f>
        <v/>
      </c>
      <c r="J17" s="87">
        <f>IF(Lists!$O$5="","",INDEX(Stories!$C$4:$C$153,Lists!$O$5)&amp;"")</f>
        <v/>
      </c>
      <c r="K17" s="85" t="n"/>
      <c r="L17" s="85" t="n"/>
      <c r="M17" s="88">
        <f>IF(Lists!$O$5="","",INDEX(Stories!$D$4:$D$153,Lists!$O$5))</f>
        <v/>
      </c>
      <c r="N17" s="89">
        <f>IF(Lists!$O$5="","",INDEX(Stories!$E$4:$E$153,Lists!$O$5)&amp;"")</f>
        <v/>
      </c>
      <c r="O17" s="85" t="n"/>
      <c r="P17" s="89">
        <f>IF(Lists!$O$5="","",INDEX(Stories!$J$4:$J$153,Lists!$O$5)&amp;"")</f>
        <v/>
      </c>
      <c r="Q17" s="85" t="n"/>
      <c r="R17" s="90">
        <f>IF(Lists!$O$5="","",INDEX(Stories!$A$4:$A$153,Lists!$O$5))</f>
        <v/>
      </c>
      <c r="S17" s="91">
        <f>IF(Lists!$O$5="","",INDEX(Stories!$F$4:$F$153,Lists!$O$5)&amp;"")</f>
        <v/>
      </c>
    </row>
    <row r="18" ht="30" customHeight="1">
      <c r="B18" s="74">
        <f>IF(Lists!$O$6="","",5)</f>
        <v/>
      </c>
      <c r="C18" s="75">
        <f>IF(Lists!$O$6="","",IF(AND(Lists!$P$6&lt;&gt;"",LEN(Lists!$P$6)&lt;=255),HYPERLINK(Lists!$P$6,Lists!$Q$6),HYPERLINK("#'Stories'!B"&amp;(Lists!$O$6+3),Lists!$Q$6)))</f>
        <v/>
      </c>
      <c r="D18" s="76" t="n"/>
      <c r="E18" s="76" t="n"/>
      <c r="F18" s="76" t="n"/>
      <c r="G18" s="76" t="n"/>
      <c r="H18" s="76" t="n"/>
      <c r="I18" s="77">
        <f>IF(Lists!$O$6="","",INDEX(Stories!$K$4:$K$153,Lists!$O$6))</f>
        <v/>
      </c>
      <c r="J18" s="78">
        <f>IF(Lists!$O$6="","",INDEX(Stories!$C$4:$C$153,Lists!$O$6)&amp;"")</f>
        <v/>
      </c>
      <c r="K18" s="76" t="n"/>
      <c r="L18" s="76" t="n"/>
      <c r="M18" s="79">
        <f>IF(Lists!$O$6="","",INDEX(Stories!$D$4:$D$153,Lists!$O$6))</f>
        <v/>
      </c>
      <c r="N18" s="80">
        <f>IF(Lists!$O$6="","",INDEX(Stories!$E$4:$E$153,Lists!$O$6)&amp;"")</f>
        <v/>
      </c>
      <c r="O18" s="76" t="n"/>
      <c r="P18" s="80">
        <f>IF(Lists!$O$6="","",INDEX(Stories!$J$4:$J$153,Lists!$O$6)&amp;"")</f>
        <v/>
      </c>
      <c r="Q18" s="76" t="n"/>
      <c r="R18" s="81">
        <f>IF(Lists!$O$6="","",INDEX(Stories!$A$4:$A$153,Lists!$O$6))</f>
        <v/>
      </c>
      <c r="S18" s="82">
        <f>IF(Lists!$O$6="","",INDEX(Stories!$F$4:$F$153,Lists!$O$6)&amp;"")</f>
        <v/>
      </c>
    </row>
    <row r="19" ht="30" customHeight="1">
      <c r="B19" s="83">
        <f>IF(Lists!$O$7="","",6)</f>
        <v/>
      </c>
      <c r="C19" s="84">
        <f>IF(Lists!$O$7="","",IF(AND(Lists!$P$7&lt;&gt;"",LEN(Lists!$P$7)&lt;=255),HYPERLINK(Lists!$P$7,Lists!$Q$7),HYPERLINK("#'Stories'!B"&amp;(Lists!$O$7+3),Lists!$Q$7)))</f>
        <v/>
      </c>
      <c r="D19" s="85" t="n"/>
      <c r="E19" s="85" t="n"/>
      <c r="F19" s="85" t="n"/>
      <c r="G19" s="85" t="n"/>
      <c r="H19" s="85" t="n"/>
      <c r="I19" s="86">
        <f>IF(Lists!$O$7="","",INDEX(Stories!$K$4:$K$153,Lists!$O$7))</f>
        <v/>
      </c>
      <c r="J19" s="87">
        <f>IF(Lists!$O$7="","",INDEX(Stories!$C$4:$C$153,Lists!$O$7)&amp;"")</f>
        <v/>
      </c>
      <c r="K19" s="85" t="n"/>
      <c r="L19" s="85" t="n"/>
      <c r="M19" s="88">
        <f>IF(Lists!$O$7="","",INDEX(Stories!$D$4:$D$153,Lists!$O$7))</f>
        <v/>
      </c>
      <c r="N19" s="89">
        <f>IF(Lists!$O$7="","",INDEX(Stories!$E$4:$E$153,Lists!$O$7)&amp;"")</f>
        <v/>
      </c>
      <c r="O19" s="85" t="n"/>
      <c r="P19" s="89">
        <f>IF(Lists!$O$7="","",INDEX(Stories!$J$4:$J$153,Lists!$O$7)&amp;"")</f>
        <v/>
      </c>
      <c r="Q19" s="85" t="n"/>
      <c r="R19" s="90">
        <f>IF(Lists!$O$7="","",INDEX(Stories!$A$4:$A$153,Lists!$O$7))</f>
        <v/>
      </c>
      <c r="S19" s="91">
        <f>IF(Lists!$O$7="","",INDEX(Stories!$F$4:$F$153,Lists!$O$7)&amp;"")</f>
        <v/>
      </c>
    </row>
    <row r="20" ht="30" customHeight="1">
      <c r="B20" s="74">
        <f>IF(Lists!$O$8="","",7)</f>
        <v/>
      </c>
      <c r="C20" s="75">
        <f>IF(Lists!$O$8="","",IF(AND(Lists!$P$8&lt;&gt;"",LEN(Lists!$P$8)&lt;=255),HYPERLINK(Lists!$P$8,Lists!$Q$8),HYPERLINK("#'Stories'!B"&amp;(Lists!$O$8+3),Lists!$Q$8)))</f>
        <v/>
      </c>
      <c r="D20" s="76" t="n"/>
      <c r="E20" s="76" t="n"/>
      <c r="F20" s="76" t="n"/>
      <c r="G20" s="76" t="n"/>
      <c r="H20" s="76" t="n"/>
      <c r="I20" s="77">
        <f>IF(Lists!$O$8="","",INDEX(Stories!$K$4:$K$153,Lists!$O$8))</f>
        <v/>
      </c>
      <c r="J20" s="78">
        <f>IF(Lists!$O$8="","",INDEX(Stories!$C$4:$C$153,Lists!$O$8)&amp;"")</f>
        <v/>
      </c>
      <c r="K20" s="76" t="n"/>
      <c r="L20" s="76" t="n"/>
      <c r="M20" s="79">
        <f>IF(Lists!$O$8="","",INDEX(Stories!$D$4:$D$153,Lists!$O$8))</f>
        <v/>
      </c>
      <c r="N20" s="80">
        <f>IF(Lists!$O$8="","",INDEX(Stories!$E$4:$E$153,Lists!$O$8)&amp;"")</f>
        <v/>
      </c>
      <c r="O20" s="76" t="n"/>
      <c r="P20" s="80">
        <f>IF(Lists!$O$8="","",INDEX(Stories!$J$4:$J$153,Lists!$O$8)&amp;"")</f>
        <v/>
      </c>
      <c r="Q20" s="76" t="n"/>
      <c r="R20" s="81">
        <f>IF(Lists!$O$8="","",INDEX(Stories!$A$4:$A$153,Lists!$O$8))</f>
        <v/>
      </c>
      <c r="S20" s="82">
        <f>IF(Lists!$O$8="","",INDEX(Stories!$F$4:$F$153,Lists!$O$8)&amp;"")</f>
        <v/>
      </c>
    </row>
    <row r="21" ht="30" customHeight="1">
      <c r="B21" s="83">
        <f>IF(Lists!$O$9="","",8)</f>
        <v/>
      </c>
      <c r="C21" s="84">
        <f>IF(Lists!$O$9="","",IF(AND(Lists!$P$9&lt;&gt;"",LEN(Lists!$P$9)&lt;=255),HYPERLINK(Lists!$P$9,Lists!$Q$9),HYPERLINK("#'Stories'!B"&amp;(Lists!$O$9+3),Lists!$Q$9)))</f>
        <v/>
      </c>
      <c r="D21" s="85" t="n"/>
      <c r="E21" s="85" t="n"/>
      <c r="F21" s="85" t="n"/>
      <c r="G21" s="85" t="n"/>
      <c r="H21" s="85" t="n"/>
      <c r="I21" s="86">
        <f>IF(Lists!$O$9="","",INDEX(Stories!$K$4:$K$153,Lists!$O$9))</f>
        <v/>
      </c>
      <c r="J21" s="87">
        <f>IF(Lists!$O$9="","",INDEX(Stories!$C$4:$C$153,Lists!$O$9)&amp;"")</f>
        <v/>
      </c>
      <c r="K21" s="85" t="n"/>
      <c r="L21" s="85" t="n"/>
      <c r="M21" s="88">
        <f>IF(Lists!$O$9="","",INDEX(Stories!$D$4:$D$153,Lists!$O$9))</f>
        <v/>
      </c>
      <c r="N21" s="89">
        <f>IF(Lists!$O$9="","",INDEX(Stories!$E$4:$E$153,Lists!$O$9)&amp;"")</f>
        <v/>
      </c>
      <c r="O21" s="85" t="n"/>
      <c r="P21" s="89">
        <f>IF(Lists!$O$9="","",INDEX(Stories!$J$4:$J$153,Lists!$O$9)&amp;"")</f>
        <v/>
      </c>
      <c r="Q21" s="85" t="n"/>
      <c r="R21" s="90">
        <f>IF(Lists!$O$9="","",INDEX(Stories!$A$4:$A$153,Lists!$O$9))</f>
        <v/>
      </c>
      <c r="S21" s="91">
        <f>IF(Lists!$O$9="","",INDEX(Stories!$F$4:$F$153,Lists!$O$9)&amp;"")</f>
        <v/>
      </c>
    </row>
    <row r="22" ht="30" customHeight="1">
      <c r="B22" s="74">
        <f>IF(Lists!$O$10="","",9)</f>
        <v/>
      </c>
      <c r="C22" s="75">
        <f>IF(Lists!$O$10="","",IF(AND(Lists!$P$10&lt;&gt;"",LEN(Lists!$P$10)&lt;=255),HYPERLINK(Lists!$P$10,Lists!$Q$10),HYPERLINK("#'Stories'!B"&amp;(Lists!$O$10+3),Lists!$Q$10)))</f>
        <v/>
      </c>
      <c r="D22" s="76" t="n"/>
      <c r="E22" s="76" t="n"/>
      <c r="F22" s="76" t="n"/>
      <c r="G22" s="76" t="n"/>
      <c r="H22" s="76" t="n"/>
      <c r="I22" s="77">
        <f>IF(Lists!$O$10="","",INDEX(Stories!$K$4:$K$153,Lists!$O$10))</f>
        <v/>
      </c>
      <c r="J22" s="78">
        <f>IF(Lists!$O$10="","",INDEX(Stories!$C$4:$C$153,Lists!$O$10)&amp;"")</f>
        <v/>
      </c>
      <c r="K22" s="76" t="n"/>
      <c r="L22" s="76" t="n"/>
      <c r="M22" s="79">
        <f>IF(Lists!$O$10="","",INDEX(Stories!$D$4:$D$153,Lists!$O$10))</f>
        <v/>
      </c>
      <c r="N22" s="80">
        <f>IF(Lists!$O$10="","",INDEX(Stories!$E$4:$E$153,Lists!$O$10)&amp;"")</f>
        <v/>
      </c>
      <c r="O22" s="76" t="n"/>
      <c r="P22" s="80">
        <f>IF(Lists!$O$10="","",INDEX(Stories!$J$4:$J$153,Lists!$O$10)&amp;"")</f>
        <v/>
      </c>
      <c r="Q22" s="76" t="n"/>
      <c r="R22" s="81">
        <f>IF(Lists!$O$10="","",INDEX(Stories!$A$4:$A$153,Lists!$O$10))</f>
        <v/>
      </c>
      <c r="S22" s="82">
        <f>IF(Lists!$O$10="","",INDEX(Stories!$F$4:$F$153,Lists!$O$10)&amp;"")</f>
        <v/>
      </c>
    </row>
    <row r="23" ht="30" customHeight="1">
      <c r="B23" s="83">
        <f>IF(Lists!$O$11="","",10)</f>
        <v/>
      </c>
      <c r="C23" s="84">
        <f>IF(Lists!$O$11="","",IF(AND(Lists!$P$11&lt;&gt;"",LEN(Lists!$P$11)&lt;=255),HYPERLINK(Lists!$P$11,Lists!$Q$11),HYPERLINK("#'Stories'!B"&amp;(Lists!$O$11+3),Lists!$Q$11)))</f>
        <v/>
      </c>
      <c r="D23" s="85" t="n"/>
      <c r="E23" s="85" t="n"/>
      <c r="F23" s="85" t="n"/>
      <c r="G23" s="85" t="n"/>
      <c r="H23" s="85" t="n"/>
      <c r="I23" s="86">
        <f>IF(Lists!$O$11="","",INDEX(Stories!$K$4:$K$153,Lists!$O$11))</f>
        <v/>
      </c>
      <c r="J23" s="87">
        <f>IF(Lists!$O$11="","",INDEX(Stories!$C$4:$C$153,Lists!$O$11)&amp;"")</f>
        <v/>
      </c>
      <c r="K23" s="85" t="n"/>
      <c r="L23" s="85" t="n"/>
      <c r="M23" s="88">
        <f>IF(Lists!$O$11="","",INDEX(Stories!$D$4:$D$153,Lists!$O$11))</f>
        <v/>
      </c>
      <c r="N23" s="89">
        <f>IF(Lists!$O$11="","",INDEX(Stories!$E$4:$E$153,Lists!$O$11)&amp;"")</f>
        <v/>
      </c>
      <c r="O23" s="85" t="n"/>
      <c r="P23" s="89">
        <f>IF(Lists!$O$11="","",INDEX(Stories!$J$4:$J$153,Lists!$O$11)&amp;"")</f>
        <v/>
      </c>
      <c r="Q23" s="85" t="n"/>
      <c r="R23" s="90">
        <f>IF(Lists!$O$11="","",INDEX(Stories!$A$4:$A$153,Lists!$O$11))</f>
        <v/>
      </c>
      <c r="S23" s="91">
        <f>IF(Lists!$O$11="","",INDEX(Stories!$F$4:$F$153,Lists!$O$11)&amp;"")</f>
        <v/>
      </c>
    </row>
    <row r="24">
      <c r="C24" s="92" t="inlineStr">
        <is>
          <t>Ranked by relevance, then keyword score, then newest digest. Find a story in the Stories sheet by its Story No.</t>
        </is>
      </c>
    </row>
    <row r="25"/>
    <row r="26" ht="22" customHeight="1">
      <c r="B26" s="7" t="inlineStr">
        <is>
          <t>Stories by theme</t>
        </is>
      </c>
      <c r="C26" s="8" t="n"/>
      <c r="D26" s="8" t="n"/>
      <c r="E26" s="8" t="n"/>
      <c r="F26" s="8" t="n"/>
      <c r="G26" s="8" t="n"/>
      <c r="H26" s="8" t="n"/>
      <c r="I26" s="8" t="n"/>
      <c r="J26" s="8" t="n"/>
    </row>
    <row r="27" ht="28" customHeight="1">
      <c r="B27" s="73" t="inlineStr">
        <is>
          <t>Theme</t>
        </is>
      </c>
      <c r="C27" s="1" t="n"/>
      <c r="D27" s="1" t="n"/>
      <c r="E27" s="1" t="n"/>
      <c r="F27" s="72" t="inlineStr">
        <is>
          <t>Stories</t>
        </is>
      </c>
      <c r="G27" s="72" t="inlineStr">
        <is>
          <t>Rated 5</t>
        </is>
      </c>
      <c r="H27" s="72" t="inlineStr">
        <is>
          <t>Rated 4</t>
        </is>
      </c>
      <c r="I27" s="72" t="inlineStr">
        <is>
          <t>Feature leads</t>
        </is>
      </c>
      <c r="J27" s="72" t="inlineStr">
        <is>
          <t>Share</t>
        </is>
      </c>
    </row>
    <row r="28" ht="18" customHeight="1">
      <c r="B28" s="93" t="inlineStr">
        <is>
          <t>Sustainability &amp; the Energy Transition</t>
        </is>
      </c>
      <c r="C28" s="94" t="n"/>
      <c r="D28" s="94" t="n"/>
      <c r="E28" s="94" t="n"/>
      <c r="F28" s="95">
        <f>SUMPRODUCT(Stories!$W$4:$W$153,--(Stories!$C$4:$C$153=$B28))</f>
        <v/>
      </c>
      <c r="G28" s="96">
        <f>SUMPRODUCT(Stories!$W$4:$W$153,--(Stories!$C$4:$C$153=$B28),--(Stories!$D$4:$D$153=5))</f>
        <v/>
      </c>
      <c r="H28" s="96">
        <f>SUMPRODUCT(Stories!$W$4:$W$153,--(Stories!$C$4:$C$153=$B28),--(Stories!$D$4:$D$153=4))</f>
        <v/>
      </c>
      <c r="I28" s="96">
        <f>SUMPRODUCT(Stories!$W$4:$W$153,--(Stories!$C$4:$C$153=$B28),--(Stories!$E$4:$E$153="Feature lead"))</f>
        <v/>
      </c>
      <c r="J28" s="97">
        <f>IF(Lists!$H$6=0,0,F28/Lists!$H$6)</f>
        <v/>
      </c>
    </row>
    <row r="29" ht="18" customHeight="1">
      <c r="B29" s="98" t="inlineStr">
        <is>
          <t>Digital Geotechnics</t>
        </is>
      </c>
      <c r="C29" s="99" t="n"/>
      <c r="D29" s="99" t="n"/>
      <c r="E29" s="99" t="n"/>
      <c r="F29" s="95">
        <f>SUMPRODUCT(Stories!$W$4:$W$153,--(Stories!$C$4:$C$153=$B29))</f>
        <v/>
      </c>
      <c r="G29" s="96">
        <f>SUMPRODUCT(Stories!$W$4:$W$153,--(Stories!$C$4:$C$153=$B29),--(Stories!$D$4:$D$153=5))</f>
        <v/>
      </c>
      <c r="H29" s="96">
        <f>SUMPRODUCT(Stories!$W$4:$W$153,--(Stories!$C$4:$C$153=$B29),--(Stories!$D$4:$D$153=4))</f>
        <v/>
      </c>
      <c r="I29" s="96">
        <f>SUMPRODUCT(Stories!$W$4:$W$153,--(Stories!$C$4:$C$153=$B29),--(Stories!$E$4:$E$153="Feature lead"))</f>
        <v/>
      </c>
      <c r="J29" s="97">
        <f>IF(Lists!$H$6=0,0,F29/Lists!$H$6)</f>
        <v/>
      </c>
    </row>
    <row r="30" ht="18" customHeight="1">
      <c r="B30" s="100" t="inlineStr">
        <is>
          <t>Hazards &amp; Resilience</t>
        </is>
      </c>
      <c r="C30" s="101" t="n"/>
      <c r="D30" s="101" t="n"/>
      <c r="E30" s="101" t="n"/>
      <c r="F30" s="95">
        <f>SUMPRODUCT(Stories!$W$4:$W$153,--(Stories!$C$4:$C$153=$B30))</f>
        <v/>
      </c>
      <c r="G30" s="96">
        <f>SUMPRODUCT(Stories!$W$4:$W$153,--(Stories!$C$4:$C$153=$B30),--(Stories!$D$4:$D$153=5))</f>
        <v/>
      </c>
      <c r="H30" s="96">
        <f>SUMPRODUCT(Stories!$W$4:$W$153,--(Stories!$C$4:$C$153=$B30),--(Stories!$D$4:$D$153=4))</f>
        <v/>
      </c>
      <c r="I30" s="96">
        <f>SUMPRODUCT(Stories!$W$4:$W$153,--(Stories!$C$4:$C$153=$B30),--(Stories!$E$4:$E$153="Feature lead"))</f>
        <v/>
      </c>
      <c r="J30" s="97">
        <f>IF(Lists!$H$6=0,0,F30/Lists!$H$6)</f>
        <v/>
      </c>
    </row>
    <row r="31" ht="18" customHeight="1">
      <c r="B31" s="102" t="inlineStr">
        <is>
          <t>Ground Improvement &amp; Innovation</t>
        </is>
      </c>
      <c r="C31" s="103" t="n"/>
      <c r="D31" s="103" t="n"/>
      <c r="E31" s="103" t="n"/>
      <c r="F31" s="95">
        <f>SUMPRODUCT(Stories!$W$4:$W$153,--(Stories!$C$4:$C$153=$B31))</f>
        <v/>
      </c>
      <c r="G31" s="96">
        <f>SUMPRODUCT(Stories!$W$4:$W$153,--(Stories!$C$4:$C$153=$B31),--(Stories!$D$4:$D$153=5))</f>
        <v/>
      </c>
      <c r="H31" s="96">
        <f>SUMPRODUCT(Stories!$W$4:$W$153,--(Stories!$C$4:$C$153=$B31),--(Stories!$D$4:$D$153=4))</f>
        <v/>
      </c>
      <c r="I31" s="96">
        <f>SUMPRODUCT(Stories!$W$4:$W$153,--(Stories!$C$4:$C$153=$B31),--(Stories!$E$4:$E$153="Feature lead"))</f>
        <v/>
      </c>
      <c r="J31" s="97">
        <f>IF(Lists!$H$6=0,0,F31/Lists!$H$6)</f>
        <v/>
      </c>
    </row>
    <row r="32" ht="18" customHeight="1">
      <c r="B32" s="104" t="inlineStr">
        <is>
          <t>Infrastructure &amp; the Underground City</t>
        </is>
      </c>
      <c r="C32" s="105" t="n"/>
      <c r="D32" s="105" t="n"/>
      <c r="E32" s="105" t="n"/>
      <c r="F32" s="95">
        <f>SUMPRODUCT(Stories!$W$4:$W$153,--(Stories!$C$4:$C$153=$B32))</f>
        <v/>
      </c>
      <c r="G32" s="96">
        <f>SUMPRODUCT(Stories!$W$4:$W$153,--(Stories!$C$4:$C$153=$B32),--(Stories!$D$4:$D$153=5))</f>
        <v/>
      </c>
      <c r="H32" s="96">
        <f>SUMPRODUCT(Stories!$W$4:$W$153,--(Stories!$C$4:$C$153=$B32),--(Stories!$D$4:$D$153=4))</f>
        <v/>
      </c>
      <c r="I32" s="96">
        <f>SUMPRODUCT(Stories!$W$4:$W$153,--(Stories!$C$4:$C$153=$B32),--(Stories!$E$4:$E$153="Feature lead"))</f>
        <v/>
      </c>
      <c r="J32" s="97">
        <f>IF(Lists!$H$6=0,0,F32/Lists!$H$6)</f>
        <v/>
      </c>
    </row>
    <row r="33" ht="18" customHeight="1">
      <c r="B33" s="106" t="inlineStr">
        <is>
          <t>Offshore, Coasts &amp; Water</t>
        </is>
      </c>
      <c r="C33" s="107" t="n"/>
      <c r="D33" s="107" t="n"/>
      <c r="E33" s="107" t="n"/>
      <c r="F33" s="95">
        <f>SUMPRODUCT(Stories!$W$4:$W$153,--(Stories!$C$4:$C$153=$B33))</f>
        <v/>
      </c>
      <c r="G33" s="96">
        <f>SUMPRODUCT(Stories!$W$4:$W$153,--(Stories!$C$4:$C$153=$B33),--(Stories!$D$4:$D$153=5))</f>
        <v/>
      </c>
      <c r="H33" s="96">
        <f>SUMPRODUCT(Stories!$W$4:$W$153,--(Stories!$C$4:$C$153=$B33),--(Stories!$D$4:$D$153=4))</f>
        <v/>
      </c>
      <c r="I33" s="96">
        <f>SUMPRODUCT(Stories!$W$4:$W$153,--(Stories!$C$4:$C$153=$B33),--(Stories!$E$4:$E$153="Feature lead"))</f>
        <v/>
      </c>
      <c r="J33" s="97">
        <f>IF(Lists!$H$6=0,0,F33/Lists!$H$6)</f>
        <v/>
      </c>
    </row>
    <row r="34" ht="18" customHeight="1">
      <c r="B34" s="108" t="inlineStr">
        <is>
          <t>Characterisation &amp; Modelling</t>
        </is>
      </c>
      <c r="C34" s="109" t="n"/>
      <c r="D34" s="109" t="n"/>
      <c r="E34" s="109" t="n"/>
      <c r="F34" s="95">
        <f>SUMPRODUCT(Stories!$W$4:$W$153,--(Stories!$C$4:$C$153=$B34))</f>
        <v/>
      </c>
      <c r="G34" s="96">
        <f>SUMPRODUCT(Stories!$W$4:$W$153,--(Stories!$C$4:$C$153=$B34),--(Stories!$D$4:$D$153=5))</f>
        <v/>
      </c>
      <c r="H34" s="96">
        <f>SUMPRODUCT(Stories!$W$4:$W$153,--(Stories!$C$4:$C$153=$B34),--(Stories!$D$4:$D$153=4))</f>
        <v/>
      </c>
      <c r="I34" s="96">
        <f>SUMPRODUCT(Stories!$W$4:$W$153,--(Stories!$C$4:$C$153=$B34),--(Stories!$E$4:$E$153="Feature lead"))</f>
        <v/>
      </c>
      <c r="J34" s="97">
        <f>IF(Lists!$H$6=0,0,F34/Lists!$H$6)</f>
        <v/>
      </c>
    </row>
    <row r="35" ht="18" customHeight="1">
      <c r="B35" s="110" t="inlineStr">
        <is>
          <t>Geotechnics &amp; Society</t>
        </is>
      </c>
      <c r="C35" s="111" t="n"/>
      <c r="D35" s="111" t="n"/>
      <c r="E35" s="111" t="n"/>
      <c r="F35" s="95">
        <f>SUMPRODUCT(Stories!$W$4:$W$153,--(Stories!$C$4:$C$153=$B35))</f>
        <v/>
      </c>
      <c r="G35" s="96">
        <f>SUMPRODUCT(Stories!$W$4:$W$153,--(Stories!$C$4:$C$153=$B35),--(Stories!$D$4:$D$153=5))</f>
        <v/>
      </c>
      <c r="H35" s="96">
        <f>SUMPRODUCT(Stories!$W$4:$W$153,--(Stories!$C$4:$C$153=$B35),--(Stories!$D$4:$D$153=4))</f>
        <v/>
      </c>
      <c r="I35" s="96">
        <f>SUMPRODUCT(Stories!$W$4:$W$153,--(Stories!$C$4:$C$153=$B35),--(Stories!$E$4:$E$153="Feature lead"))</f>
        <v/>
      </c>
      <c r="J35" s="97">
        <f>IF(Lists!$H$6=0,0,F35/Lists!$H$6)</f>
        <v/>
      </c>
    </row>
    <row r="36" ht="18" customHeight="1">
      <c r="B36" s="112" t="inlineStr">
        <is>
          <t>General</t>
        </is>
      </c>
      <c r="C36" s="113" t="n"/>
      <c r="D36" s="113" t="n"/>
      <c r="E36" s="113" t="n"/>
      <c r="F36" s="95">
        <f>SUMPRODUCT(Stories!$W$4:$W$153,--(Stories!$C$4:$C$153=$B36))</f>
        <v/>
      </c>
      <c r="G36" s="96">
        <f>SUMPRODUCT(Stories!$W$4:$W$153,--(Stories!$C$4:$C$153=$B36),--(Stories!$D$4:$D$153=5))</f>
        <v/>
      </c>
      <c r="H36" s="96">
        <f>SUMPRODUCT(Stories!$W$4:$W$153,--(Stories!$C$4:$C$153=$B36),--(Stories!$D$4:$D$153=4))</f>
        <v/>
      </c>
      <c r="I36" s="96">
        <f>SUMPRODUCT(Stories!$W$4:$W$153,--(Stories!$C$4:$C$153=$B36),--(Stories!$E$4:$E$153="Feature lead"))</f>
        <v/>
      </c>
      <c r="J36" s="97">
        <f>IF(Lists!$H$6=0,0,F36/Lists!$H$6)</f>
        <v/>
      </c>
    </row>
    <row r="37"/>
    <row r="38" ht="22" customHeight="1">
      <c r="B38" s="7" t="inlineStr">
        <is>
          <t>Suggested editorial use</t>
        </is>
      </c>
      <c r="C38" s="8" t="n"/>
      <c r="D38" s="8" t="n"/>
      <c r="E38" s="8" t="n"/>
      <c r="F38" s="8" t="n"/>
      <c r="H38" s="7" t="inlineStr">
        <is>
          <t>Geotechnical relevance</t>
        </is>
      </c>
      <c r="I38" s="8" t="n"/>
      <c r="J38" s="8" t="n"/>
      <c r="K38" s="8" t="n"/>
      <c r="L38" s="8" t="n"/>
      <c r="N38" s="7" t="inlineStr">
        <is>
          <t>Planning status</t>
        </is>
      </c>
      <c r="O38" s="8" t="n"/>
      <c r="P38" s="8" t="n"/>
      <c r="Q38" s="8" t="n"/>
      <c r="R38" s="8" t="n"/>
    </row>
    <row r="39" ht="20" customHeight="1">
      <c r="B39" s="73" t="inlineStr">
        <is>
          <t>Use</t>
        </is>
      </c>
      <c r="C39" s="1" t="n"/>
      <c r="D39" s="1" t="n"/>
      <c r="E39" s="72" t="inlineStr">
        <is>
          <t>Stories</t>
        </is>
      </c>
      <c r="F39" s="72" t="inlineStr">
        <is>
          <t>Share</t>
        </is>
      </c>
      <c r="H39" s="73" t="inlineStr">
        <is>
          <t>Relevance</t>
        </is>
      </c>
      <c r="I39" s="1" t="n"/>
      <c r="J39" s="1" t="n"/>
      <c r="K39" s="72" t="inlineStr">
        <is>
          <t>Stories</t>
        </is>
      </c>
      <c r="L39" s="72" t="inlineStr">
        <is>
          <t>Share</t>
        </is>
      </c>
      <c r="N39" s="73" t="inlineStr">
        <is>
          <t>Status</t>
        </is>
      </c>
      <c r="O39" s="1" t="n"/>
      <c r="P39" s="1" t="n"/>
      <c r="Q39" s="72" t="inlineStr">
        <is>
          <t>Stories</t>
        </is>
      </c>
      <c r="R39" s="72" t="inlineStr">
        <is>
          <t>Share</t>
        </is>
      </c>
    </row>
    <row r="40" ht="18" customHeight="1">
      <c r="B40" s="114" t="inlineStr">
        <is>
          <t>Feature lead</t>
        </is>
      </c>
      <c r="C40" s="11" t="n"/>
      <c r="D40" s="11" t="n"/>
      <c r="E40" s="95">
        <f>SUMPRODUCT(Stories!$W$4:$W$153,--(Stories!$E$4:$E$153=$B40))</f>
        <v/>
      </c>
      <c r="F40" s="97">
        <f>IF(Lists!$H$6=0,0,E40/Lists!$H$6)</f>
        <v/>
      </c>
      <c r="H40" s="115" t="inlineStr">
        <is>
          <t>5 / 5</t>
        </is>
      </c>
      <c r="I40" s="11" t="n"/>
      <c r="J40" s="11" t="n"/>
      <c r="K40" s="95">
        <f>COUNTIFS(Stories!$W$4:$W$153,1,Stories!$D$4:$D$153,5)</f>
        <v/>
      </c>
      <c r="L40" s="97">
        <f>IF(Lists!$H$6=0,0,K40/Lists!$H$6)</f>
        <v/>
      </c>
      <c r="N40" s="116" t="inlineStr">
        <is>
          <t>To review</t>
        </is>
      </c>
      <c r="O40" s="117" t="n"/>
      <c r="P40" s="117" t="n"/>
      <c r="Q40" s="95">
        <f>COUNTIFS(Stories!$W$4:$W$153,1,Stories!$F$4:$F$153,"To review")</f>
        <v/>
      </c>
      <c r="R40" s="97">
        <f>IF(Lists!$H$6=0,0,Q40/Lists!$H$6)</f>
        <v/>
      </c>
    </row>
    <row r="41" ht="18" customHeight="1">
      <c r="B41" s="118" t="inlineStr">
        <is>
          <t>News brief</t>
        </is>
      </c>
      <c r="C41" s="11" t="n"/>
      <c r="D41" s="11" t="n"/>
      <c r="E41" s="95">
        <f>SUMPRODUCT(Stories!$W$4:$W$153,--(Stories!$E$4:$E$153=$B41))</f>
        <v/>
      </c>
      <c r="F41" s="97">
        <f>IF(Lists!$H$6=0,0,E41/Lists!$H$6)</f>
        <v/>
      </c>
      <c r="H41" s="119" t="inlineStr">
        <is>
          <t>4 / 5</t>
        </is>
      </c>
      <c r="I41" s="11" t="n"/>
      <c r="J41" s="11" t="n"/>
      <c r="K41" s="95">
        <f>COUNTIFS(Stories!$W$4:$W$153,1,Stories!$D$4:$D$153,4)</f>
        <v/>
      </c>
      <c r="L41" s="97">
        <f>IF(Lists!$H$6=0,0,K41/Lists!$H$6)</f>
        <v/>
      </c>
      <c r="N41" s="120" t="inlineStr">
        <is>
          <t>Shortlisted</t>
        </is>
      </c>
      <c r="O41" s="121" t="n"/>
      <c r="P41" s="121" t="n"/>
      <c r="Q41" s="95">
        <f>COUNTIFS(Stories!$W$4:$W$153,1,Stories!$F$4:$F$153,"Shortlisted")</f>
        <v/>
      </c>
      <c r="R41" s="97">
        <f>IF(Lists!$H$6=0,0,Q41/Lists!$H$6)</f>
        <v/>
      </c>
    </row>
    <row r="42" ht="18" customHeight="1">
      <c r="B42" s="122" t="inlineStr">
        <is>
          <t>Academia-to-Industry topic</t>
        </is>
      </c>
      <c r="C42" s="11" t="n"/>
      <c r="D42" s="11" t="n"/>
      <c r="E42" s="95">
        <f>SUMPRODUCT(Stories!$W$4:$W$153,--(Stories!$E$4:$E$153=$B42))</f>
        <v/>
      </c>
      <c r="F42" s="97">
        <f>IF(Lists!$H$6=0,0,E42/Lists!$H$6)</f>
        <v/>
      </c>
      <c r="H42" s="123" t="inlineStr">
        <is>
          <t>3 / 5</t>
        </is>
      </c>
      <c r="I42" s="11" t="n"/>
      <c r="J42" s="11" t="n"/>
      <c r="K42" s="95">
        <f>COUNTIFS(Stories!$W$4:$W$153,1,Stories!$D$4:$D$153,3)</f>
        <v/>
      </c>
      <c r="L42" s="97">
        <f>IF(Lists!$H$6=0,0,K42/Lists!$H$6)</f>
        <v/>
      </c>
      <c r="N42" s="124" t="inlineStr">
        <is>
          <t>Commissioned</t>
        </is>
      </c>
      <c r="O42" s="125" t="n"/>
      <c r="P42" s="125" t="n"/>
      <c r="Q42" s="95">
        <f>COUNTIFS(Stories!$W$4:$W$153,1,Stories!$F$4:$F$153,"Commissioned")</f>
        <v/>
      </c>
      <c r="R42" s="97">
        <f>IF(Lists!$H$6=0,0,Q42/Lists!$H$6)</f>
        <v/>
      </c>
    </row>
    <row r="43" ht="18" customHeight="1">
      <c r="B43" s="126" t="inlineStr">
        <is>
          <t>Regional insight</t>
        </is>
      </c>
      <c r="C43" s="11" t="n"/>
      <c r="D43" s="11" t="n"/>
      <c r="E43" s="95">
        <f>SUMPRODUCT(Stories!$W$4:$W$153,--(Stories!$E$4:$E$153=$B43))</f>
        <v/>
      </c>
      <c r="F43" s="97">
        <f>IF(Lists!$H$6=0,0,E43/Lists!$H$6)</f>
        <v/>
      </c>
      <c r="N43" s="127" t="inlineStr">
        <is>
          <t>Published</t>
        </is>
      </c>
      <c r="O43" s="128" t="n"/>
      <c r="P43" s="128" t="n"/>
      <c r="Q43" s="95">
        <f>COUNTIFS(Stories!$W$4:$W$153,1,Stories!$F$4:$F$153,"Published")</f>
        <v/>
      </c>
      <c r="R43" s="97">
        <f>IF(Lists!$H$6=0,0,Q43/Lists!$H$6)</f>
        <v/>
      </c>
    </row>
    <row r="44" ht="18" customHeight="1">
      <c r="B44" s="129" t="inlineStr">
        <is>
          <t>Watch only</t>
        </is>
      </c>
      <c r="C44" s="11" t="n"/>
      <c r="D44" s="11" t="n"/>
      <c r="E44" s="95">
        <f>SUMPRODUCT(Stories!$W$4:$W$153,--(Stories!$E$4:$E$153=$B44))</f>
        <v/>
      </c>
      <c r="F44" s="97">
        <f>IF(Lists!$H$6=0,0,E44/Lists!$H$6)</f>
        <v/>
      </c>
      <c r="N44" s="130" t="inlineStr">
        <is>
          <t>Not used</t>
        </is>
      </c>
      <c r="O44" s="131" t="n"/>
      <c r="P44" s="131" t="n"/>
      <c r="Q44" s="95">
        <f>COUNTIFS(Stories!$W$4:$W$153,1,Stories!$F$4:$F$153,"Not used")</f>
        <v/>
      </c>
      <c r="R44" s="97">
        <f>IF(Lists!$H$6=0,0,Q44/Lists!$H$6)</f>
        <v/>
      </c>
    </row>
    <row r="45"/>
    <row r="46"/>
    <row r="47"/>
    <row r="48"/>
    <row r="49"/>
    <row r="50"/>
    <row r="51"/>
    <row r="52"/>
    <row r="53"/>
    <row r="54"/>
    <row r="55"/>
    <row r="56"/>
    <row r="57"/>
    <row r="58"/>
    <row r="59" ht="22" customHeight="1">
      <c r="B59" s="7" t="inlineStr">
        <is>
          <t>Theme × suggested use (heat map for this selection)</t>
        </is>
      </c>
      <c r="C59" s="8" t="n"/>
      <c r="D59" s="8" t="n"/>
      <c r="E59" s="8" t="n"/>
      <c r="F59" s="8" t="n"/>
      <c r="G59" s="8" t="n"/>
      <c r="H59" s="8" t="n"/>
      <c r="I59" s="8" t="n"/>
      <c r="J59" s="8" t="n"/>
      <c r="K59" s="8" t="n"/>
    </row>
    <row r="60" ht="42" customHeight="1">
      <c r="B60" s="73" t="inlineStr">
        <is>
          <t>Theme</t>
        </is>
      </c>
      <c r="C60" s="1" t="n"/>
      <c r="D60" s="1" t="n"/>
      <c r="E60" s="1" t="n"/>
      <c r="F60" s="72" t="inlineStr">
        <is>
          <t>Feature lead</t>
        </is>
      </c>
      <c r="G60" s="72" t="inlineStr">
        <is>
          <t>News brief</t>
        </is>
      </c>
      <c r="H60" s="72" t="inlineStr">
        <is>
          <t>Academia-to-Industry topic</t>
        </is>
      </c>
      <c r="I60" s="72" t="inlineStr">
        <is>
          <t>Regional insight</t>
        </is>
      </c>
      <c r="J60" s="72" t="inlineStr">
        <is>
          <t>Watch only</t>
        </is>
      </c>
      <c r="K60" s="72" t="inlineStr">
        <is>
          <t>Total</t>
        </is>
      </c>
    </row>
    <row r="61" ht="18" customHeight="1">
      <c r="B61" s="132" t="inlineStr">
        <is>
          <t>Sustainability &amp; the Energy Transition</t>
        </is>
      </c>
      <c r="C61" s="133" t="n"/>
      <c r="D61" s="133" t="n"/>
      <c r="E61" s="133" t="n"/>
      <c r="F61" s="134">
        <f>SUMPRODUCT(Stories!$W$4:$W$153,--(Stories!$C$4:$C$153=$B61),--(Stories!$E$4:$E$153=F$60))</f>
        <v/>
      </c>
      <c r="G61" s="134">
        <f>SUMPRODUCT(Stories!$W$4:$W$153,--(Stories!$C$4:$C$153=$B61),--(Stories!$E$4:$E$153=G$60))</f>
        <v/>
      </c>
      <c r="H61" s="134">
        <f>SUMPRODUCT(Stories!$W$4:$W$153,--(Stories!$C$4:$C$153=$B61),--(Stories!$E$4:$E$153=H$60))</f>
        <v/>
      </c>
      <c r="I61" s="134">
        <f>SUMPRODUCT(Stories!$W$4:$W$153,--(Stories!$C$4:$C$153=$B61),--(Stories!$E$4:$E$153=I$60))</f>
        <v/>
      </c>
      <c r="J61" s="134">
        <f>SUMPRODUCT(Stories!$W$4:$W$153,--(Stories!$C$4:$C$153=$B61),--(Stories!$E$4:$E$153=J$60))</f>
        <v/>
      </c>
      <c r="K61" s="95">
        <f>SUM(F61:J61)</f>
        <v/>
      </c>
    </row>
    <row r="62" ht="18" customHeight="1">
      <c r="B62" s="135" t="inlineStr">
        <is>
          <t>Digital Geotechnics</t>
        </is>
      </c>
      <c r="C62" s="136" t="n"/>
      <c r="D62" s="136" t="n"/>
      <c r="E62" s="136" t="n"/>
      <c r="F62" s="134">
        <f>SUMPRODUCT(Stories!$W$4:$W$153,--(Stories!$C$4:$C$153=$B62),--(Stories!$E$4:$E$153=F$60))</f>
        <v/>
      </c>
      <c r="G62" s="134">
        <f>SUMPRODUCT(Stories!$W$4:$W$153,--(Stories!$C$4:$C$153=$B62),--(Stories!$E$4:$E$153=G$60))</f>
        <v/>
      </c>
      <c r="H62" s="134">
        <f>SUMPRODUCT(Stories!$W$4:$W$153,--(Stories!$C$4:$C$153=$B62),--(Stories!$E$4:$E$153=H$60))</f>
        <v/>
      </c>
      <c r="I62" s="134">
        <f>SUMPRODUCT(Stories!$W$4:$W$153,--(Stories!$C$4:$C$153=$B62),--(Stories!$E$4:$E$153=I$60))</f>
        <v/>
      </c>
      <c r="J62" s="134">
        <f>SUMPRODUCT(Stories!$W$4:$W$153,--(Stories!$C$4:$C$153=$B62),--(Stories!$E$4:$E$153=J$60))</f>
        <v/>
      </c>
      <c r="K62" s="95">
        <f>SUM(F62:J62)</f>
        <v/>
      </c>
    </row>
    <row r="63" ht="18" customHeight="1">
      <c r="B63" s="137" t="inlineStr">
        <is>
          <t>Hazards &amp; Resilience</t>
        </is>
      </c>
      <c r="C63" s="138" t="n"/>
      <c r="D63" s="138" t="n"/>
      <c r="E63" s="138" t="n"/>
      <c r="F63" s="134">
        <f>SUMPRODUCT(Stories!$W$4:$W$153,--(Stories!$C$4:$C$153=$B63),--(Stories!$E$4:$E$153=F$60))</f>
        <v/>
      </c>
      <c r="G63" s="134">
        <f>SUMPRODUCT(Stories!$W$4:$W$153,--(Stories!$C$4:$C$153=$B63),--(Stories!$E$4:$E$153=G$60))</f>
        <v/>
      </c>
      <c r="H63" s="134">
        <f>SUMPRODUCT(Stories!$W$4:$W$153,--(Stories!$C$4:$C$153=$B63),--(Stories!$E$4:$E$153=H$60))</f>
        <v/>
      </c>
      <c r="I63" s="134">
        <f>SUMPRODUCT(Stories!$W$4:$W$153,--(Stories!$C$4:$C$153=$B63),--(Stories!$E$4:$E$153=I$60))</f>
        <v/>
      </c>
      <c r="J63" s="134">
        <f>SUMPRODUCT(Stories!$W$4:$W$153,--(Stories!$C$4:$C$153=$B63),--(Stories!$E$4:$E$153=J$60))</f>
        <v/>
      </c>
      <c r="K63" s="95">
        <f>SUM(F63:J63)</f>
        <v/>
      </c>
    </row>
    <row r="64" ht="18" customHeight="1">
      <c r="B64" s="139" t="inlineStr">
        <is>
          <t>Ground Improvement &amp; Innovation</t>
        </is>
      </c>
      <c r="C64" s="140" t="n"/>
      <c r="D64" s="140" t="n"/>
      <c r="E64" s="140" t="n"/>
      <c r="F64" s="134">
        <f>SUMPRODUCT(Stories!$W$4:$W$153,--(Stories!$C$4:$C$153=$B64),--(Stories!$E$4:$E$153=F$60))</f>
        <v/>
      </c>
      <c r="G64" s="134">
        <f>SUMPRODUCT(Stories!$W$4:$W$153,--(Stories!$C$4:$C$153=$B64),--(Stories!$E$4:$E$153=G$60))</f>
        <v/>
      </c>
      <c r="H64" s="134">
        <f>SUMPRODUCT(Stories!$W$4:$W$153,--(Stories!$C$4:$C$153=$B64),--(Stories!$E$4:$E$153=H$60))</f>
        <v/>
      </c>
      <c r="I64" s="134">
        <f>SUMPRODUCT(Stories!$W$4:$W$153,--(Stories!$C$4:$C$153=$B64),--(Stories!$E$4:$E$153=I$60))</f>
        <v/>
      </c>
      <c r="J64" s="134">
        <f>SUMPRODUCT(Stories!$W$4:$W$153,--(Stories!$C$4:$C$153=$B64),--(Stories!$E$4:$E$153=J$60))</f>
        <v/>
      </c>
      <c r="K64" s="95">
        <f>SUM(F64:J64)</f>
        <v/>
      </c>
    </row>
    <row r="65" ht="18" customHeight="1">
      <c r="B65" s="141" t="inlineStr">
        <is>
          <t>Infrastructure &amp; the Underground City</t>
        </is>
      </c>
      <c r="C65" s="142" t="n"/>
      <c r="D65" s="142" t="n"/>
      <c r="E65" s="142" t="n"/>
      <c r="F65" s="134">
        <f>SUMPRODUCT(Stories!$W$4:$W$153,--(Stories!$C$4:$C$153=$B65),--(Stories!$E$4:$E$153=F$60))</f>
        <v/>
      </c>
      <c r="G65" s="134">
        <f>SUMPRODUCT(Stories!$W$4:$W$153,--(Stories!$C$4:$C$153=$B65),--(Stories!$E$4:$E$153=G$60))</f>
        <v/>
      </c>
      <c r="H65" s="134">
        <f>SUMPRODUCT(Stories!$W$4:$W$153,--(Stories!$C$4:$C$153=$B65),--(Stories!$E$4:$E$153=H$60))</f>
        <v/>
      </c>
      <c r="I65" s="134">
        <f>SUMPRODUCT(Stories!$W$4:$W$153,--(Stories!$C$4:$C$153=$B65),--(Stories!$E$4:$E$153=I$60))</f>
        <v/>
      </c>
      <c r="J65" s="134">
        <f>SUMPRODUCT(Stories!$W$4:$W$153,--(Stories!$C$4:$C$153=$B65),--(Stories!$E$4:$E$153=J$60))</f>
        <v/>
      </c>
      <c r="K65" s="95">
        <f>SUM(F65:J65)</f>
        <v/>
      </c>
    </row>
    <row r="66" ht="18" customHeight="1">
      <c r="B66" s="143" t="inlineStr">
        <is>
          <t>Offshore, Coasts &amp; Water</t>
        </is>
      </c>
      <c r="C66" s="144" t="n"/>
      <c r="D66" s="144" t="n"/>
      <c r="E66" s="144" t="n"/>
      <c r="F66" s="134">
        <f>SUMPRODUCT(Stories!$W$4:$W$153,--(Stories!$C$4:$C$153=$B66),--(Stories!$E$4:$E$153=F$60))</f>
        <v/>
      </c>
      <c r="G66" s="134">
        <f>SUMPRODUCT(Stories!$W$4:$W$153,--(Stories!$C$4:$C$153=$B66),--(Stories!$E$4:$E$153=G$60))</f>
        <v/>
      </c>
      <c r="H66" s="134">
        <f>SUMPRODUCT(Stories!$W$4:$W$153,--(Stories!$C$4:$C$153=$B66),--(Stories!$E$4:$E$153=H$60))</f>
        <v/>
      </c>
      <c r="I66" s="134">
        <f>SUMPRODUCT(Stories!$W$4:$W$153,--(Stories!$C$4:$C$153=$B66),--(Stories!$E$4:$E$153=I$60))</f>
        <v/>
      </c>
      <c r="J66" s="134">
        <f>SUMPRODUCT(Stories!$W$4:$W$153,--(Stories!$C$4:$C$153=$B66),--(Stories!$E$4:$E$153=J$60))</f>
        <v/>
      </c>
      <c r="K66" s="95">
        <f>SUM(F66:J66)</f>
        <v/>
      </c>
    </row>
    <row r="67" ht="18" customHeight="1">
      <c r="B67" s="145" t="inlineStr">
        <is>
          <t>Characterisation &amp; Modelling</t>
        </is>
      </c>
      <c r="C67" s="146" t="n"/>
      <c r="D67" s="146" t="n"/>
      <c r="E67" s="146" t="n"/>
      <c r="F67" s="134">
        <f>SUMPRODUCT(Stories!$W$4:$W$153,--(Stories!$C$4:$C$153=$B67),--(Stories!$E$4:$E$153=F$60))</f>
        <v/>
      </c>
      <c r="G67" s="134">
        <f>SUMPRODUCT(Stories!$W$4:$W$153,--(Stories!$C$4:$C$153=$B67),--(Stories!$E$4:$E$153=G$60))</f>
        <v/>
      </c>
      <c r="H67" s="134">
        <f>SUMPRODUCT(Stories!$W$4:$W$153,--(Stories!$C$4:$C$153=$B67),--(Stories!$E$4:$E$153=H$60))</f>
        <v/>
      </c>
      <c r="I67" s="134">
        <f>SUMPRODUCT(Stories!$W$4:$W$153,--(Stories!$C$4:$C$153=$B67),--(Stories!$E$4:$E$153=I$60))</f>
        <v/>
      </c>
      <c r="J67" s="134">
        <f>SUMPRODUCT(Stories!$W$4:$W$153,--(Stories!$C$4:$C$153=$B67),--(Stories!$E$4:$E$153=J$60))</f>
        <v/>
      </c>
      <c r="K67" s="95">
        <f>SUM(F67:J67)</f>
        <v/>
      </c>
    </row>
    <row r="68" ht="18" customHeight="1">
      <c r="B68" s="147" t="inlineStr">
        <is>
          <t>Geotechnics &amp; Society</t>
        </is>
      </c>
      <c r="C68" s="148" t="n"/>
      <c r="D68" s="148" t="n"/>
      <c r="E68" s="148" t="n"/>
      <c r="F68" s="134">
        <f>SUMPRODUCT(Stories!$W$4:$W$153,--(Stories!$C$4:$C$153=$B68),--(Stories!$E$4:$E$153=F$60))</f>
        <v/>
      </c>
      <c r="G68" s="134">
        <f>SUMPRODUCT(Stories!$W$4:$W$153,--(Stories!$C$4:$C$153=$B68),--(Stories!$E$4:$E$153=G$60))</f>
        <v/>
      </c>
      <c r="H68" s="134">
        <f>SUMPRODUCT(Stories!$W$4:$W$153,--(Stories!$C$4:$C$153=$B68),--(Stories!$E$4:$E$153=H$60))</f>
        <v/>
      </c>
      <c r="I68" s="134">
        <f>SUMPRODUCT(Stories!$W$4:$W$153,--(Stories!$C$4:$C$153=$B68),--(Stories!$E$4:$E$153=I$60))</f>
        <v/>
      </c>
      <c r="J68" s="134">
        <f>SUMPRODUCT(Stories!$W$4:$W$153,--(Stories!$C$4:$C$153=$B68),--(Stories!$E$4:$E$153=J$60))</f>
        <v/>
      </c>
      <c r="K68" s="95">
        <f>SUM(F68:J68)</f>
        <v/>
      </c>
    </row>
    <row r="69" ht="18" customHeight="1">
      <c r="B69" s="149" t="inlineStr">
        <is>
          <t>General</t>
        </is>
      </c>
      <c r="C69" s="150" t="n"/>
      <c r="D69" s="150" t="n"/>
      <c r="E69" s="150" t="n"/>
      <c r="F69" s="134">
        <f>SUMPRODUCT(Stories!$W$4:$W$153,--(Stories!$C$4:$C$153=$B69),--(Stories!$E$4:$E$153=F$60))</f>
        <v/>
      </c>
      <c r="G69" s="134">
        <f>SUMPRODUCT(Stories!$W$4:$W$153,--(Stories!$C$4:$C$153=$B69),--(Stories!$E$4:$E$153=G$60))</f>
        <v/>
      </c>
      <c r="H69" s="134">
        <f>SUMPRODUCT(Stories!$W$4:$W$153,--(Stories!$C$4:$C$153=$B69),--(Stories!$E$4:$E$153=H$60))</f>
        <v/>
      </c>
      <c r="I69" s="134">
        <f>SUMPRODUCT(Stories!$W$4:$W$153,--(Stories!$C$4:$C$153=$B69),--(Stories!$E$4:$E$153=I$60))</f>
        <v/>
      </c>
      <c r="J69" s="134">
        <f>SUMPRODUCT(Stories!$W$4:$W$153,--(Stories!$C$4:$C$153=$B69),--(Stories!$E$4:$E$153=J$60))</f>
        <v/>
      </c>
      <c r="K69" s="95">
        <f>SUM(F69:J69)</f>
        <v/>
      </c>
    </row>
    <row r="70"/>
    <row r="71"/>
    <row r="72" ht="22" customHeight="1">
      <c r="B72" s="7" t="inlineStr">
        <is>
          <t>Stories per daily digest</t>
        </is>
      </c>
      <c r="C72" s="8" t="n"/>
      <c r="D72" s="8" t="n"/>
      <c r="E72" s="8" t="n"/>
      <c r="F72" s="8" t="n"/>
      <c r="G72" s="8" t="n"/>
      <c r="H72" s="8" t="n"/>
      <c r="I72" s="8" t="n"/>
      <c r="J72" s="8" t="n"/>
      <c r="K72" s="8" t="n"/>
      <c r="L72" s="8" t="n"/>
      <c r="M72" s="8" t="n"/>
      <c r="N72" s="8" t="n"/>
      <c r="O72" s="8" t="n"/>
      <c r="P72" s="8" t="n"/>
      <c r="Q72" s="8" t="n"/>
      <c r="R72" s="8" t="n"/>
      <c r="S72" s="8" t="n"/>
    </row>
    <row r="73" ht="28" customHeight="1">
      <c r="B73" s="73" t="inlineStr">
        <is>
          <t>Daily digest</t>
        </is>
      </c>
      <c r="C73" s="1" t="n"/>
      <c r="D73" s="1" t="n"/>
      <c r="E73" s="1" t="n"/>
      <c r="F73" s="72" t="inlineStr">
        <is>
          <t>All stories</t>
        </is>
      </c>
      <c r="G73" s="72" t="inlineStr">
        <is>
          <t>This selection</t>
        </is>
      </c>
    </row>
    <row r="74" ht="18" customHeight="1">
      <c r="B74" s="151" t="inlineStr">
        <is>
          <t>24 Oct 2026</t>
        </is>
      </c>
      <c r="C74" s="11" t="n"/>
      <c r="D74" s="11" t="n"/>
      <c r="E74" s="11" t="n"/>
      <c r="F74" s="152" t="n">
        <v>60</v>
      </c>
      <c r="G74" s="95">
        <f>COUNTIFS(Stories!$W$4:$W$153,1,Stories!$K$4:$K$153,DATE(2026,10,24))</f>
        <v/>
      </c>
    </row>
    <row r="75" ht="18" customHeight="1">
      <c r="B75" s="151" t="inlineStr">
        <is>
          <t>25 Oct 2026</t>
        </is>
      </c>
      <c r="C75" s="11" t="n"/>
      <c r="D75" s="11" t="n"/>
      <c r="E75" s="11" t="n"/>
      <c r="F75" s="152" t="n">
        <v>47</v>
      </c>
      <c r="G75" s="95">
        <f>COUNTIFS(Stories!$W$4:$W$153,1,Stories!$K$4:$K$153,DATE(2026,10,25))</f>
        <v/>
      </c>
    </row>
    <row r="76" ht="18" customHeight="1">
      <c r="B76" s="151" t="inlineStr">
        <is>
          <t>26 Oct 2026</t>
        </is>
      </c>
      <c r="C76" s="11" t="n"/>
      <c r="D76" s="11" t="n"/>
      <c r="E76" s="11" t="n"/>
      <c r="F76" s="152" t="n">
        <v>43</v>
      </c>
      <c r="G76" s="95">
        <f>COUNTIFS(Stories!$W$4:$W$153,1,Stories!$K$4:$K$153,DATE(2026,10,26))</f>
        <v/>
      </c>
    </row>
    <row r="77"/>
    <row r="78"/>
    <row r="79"/>
    <row r="80"/>
    <row r="81"/>
    <row r="82"/>
    <row r="83"/>
    <row r="84"/>
  </sheetData>
  <mergeCells count="114">
    <mergeCell ref="B42:D42"/>
    <mergeCell ref="N20:O20"/>
    <mergeCell ref="B65:E65"/>
    <mergeCell ref="P20:Q20"/>
    <mergeCell ref="N42:P42"/>
    <mergeCell ref="G4:J4"/>
    <mergeCell ref="B74:E74"/>
    <mergeCell ref="B68:E68"/>
    <mergeCell ref="B44:D44"/>
    <mergeCell ref="B1:S1"/>
    <mergeCell ref="N22:O22"/>
    <mergeCell ref="B36:E36"/>
    <mergeCell ref="P22:Q22"/>
    <mergeCell ref="N44:P44"/>
    <mergeCell ref="B76:E76"/>
    <mergeCell ref="N9:P9"/>
    <mergeCell ref="N14:O14"/>
    <mergeCell ref="B31:E31"/>
    <mergeCell ref="K10:M10"/>
    <mergeCell ref="C13:H13"/>
    <mergeCell ref="N4:P4"/>
    <mergeCell ref="P13:Q13"/>
    <mergeCell ref="C15:H15"/>
    <mergeCell ref="N15:O15"/>
    <mergeCell ref="K9:M9"/>
    <mergeCell ref="K5:M5"/>
    <mergeCell ref="J13:L13"/>
    <mergeCell ref="P15:Q15"/>
    <mergeCell ref="B69:E69"/>
    <mergeCell ref="H40:J40"/>
    <mergeCell ref="B43:D43"/>
    <mergeCell ref="J15:L15"/>
    <mergeCell ref="C16:H16"/>
    <mergeCell ref="B8:D8"/>
    <mergeCell ref="N16:O16"/>
    <mergeCell ref="B64:E64"/>
    <mergeCell ref="B33:E33"/>
    <mergeCell ref="N8:P8"/>
    <mergeCell ref="B32:E32"/>
    <mergeCell ref="B10:D10"/>
    <mergeCell ref="B63:E63"/>
    <mergeCell ref="K8:M8"/>
    <mergeCell ref="J16:L16"/>
    <mergeCell ref="B35:E35"/>
    <mergeCell ref="N10:P10"/>
    <mergeCell ref="B9:D9"/>
    <mergeCell ref="B66:E66"/>
    <mergeCell ref="B6:S6"/>
    <mergeCell ref="B27:E27"/>
    <mergeCell ref="C19:H19"/>
    <mergeCell ref="H42:J42"/>
    <mergeCell ref="K4:M4"/>
    <mergeCell ref="N13:O13"/>
    <mergeCell ref="B67:E67"/>
    <mergeCell ref="B61:E61"/>
    <mergeCell ref="J14:L14"/>
    <mergeCell ref="C14:H14"/>
    <mergeCell ref="E8:G8"/>
    <mergeCell ref="B5:F5"/>
    <mergeCell ref="B29:E29"/>
    <mergeCell ref="P14:Q14"/>
    <mergeCell ref="Q8:S8"/>
    <mergeCell ref="B39:D39"/>
    <mergeCell ref="B4:F4"/>
    <mergeCell ref="E10:G10"/>
    <mergeCell ref="B2:S2"/>
    <mergeCell ref="Q10:S10"/>
    <mergeCell ref="E9:G9"/>
    <mergeCell ref="N40:P40"/>
    <mergeCell ref="N18:O18"/>
    <mergeCell ref="C17:H17"/>
    <mergeCell ref="N17:O17"/>
    <mergeCell ref="P17:Q17"/>
    <mergeCell ref="J18:L18"/>
    <mergeCell ref="B41:D41"/>
    <mergeCell ref="H8:J8"/>
    <mergeCell ref="Q4:S5"/>
    <mergeCell ref="N19:O19"/>
    <mergeCell ref="J17:L17"/>
    <mergeCell ref="P19:Q19"/>
    <mergeCell ref="B60:E60"/>
    <mergeCell ref="H10:J10"/>
    <mergeCell ref="J19:L19"/>
    <mergeCell ref="H9:J9"/>
    <mergeCell ref="C20:H20"/>
    <mergeCell ref="B34:E34"/>
    <mergeCell ref="B28:E28"/>
    <mergeCell ref="H39:J39"/>
    <mergeCell ref="C22:H22"/>
    <mergeCell ref="B30:E30"/>
    <mergeCell ref="N5:P5"/>
    <mergeCell ref="N39:P39"/>
    <mergeCell ref="J20:L20"/>
    <mergeCell ref="C21:H21"/>
    <mergeCell ref="N21:O21"/>
    <mergeCell ref="P21:Q21"/>
    <mergeCell ref="B75:E75"/>
    <mergeCell ref="J22:L22"/>
    <mergeCell ref="Q9:S9"/>
    <mergeCell ref="B62:E62"/>
    <mergeCell ref="C23:H23"/>
    <mergeCell ref="B40:D40"/>
    <mergeCell ref="N23:O23"/>
    <mergeCell ref="J21:L21"/>
    <mergeCell ref="P23:Q23"/>
    <mergeCell ref="P16:Q16"/>
    <mergeCell ref="J23:L23"/>
    <mergeCell ref="C18:H18"/>
    <mergeCell ref="P18:Q18"/>
    <mergeCell ref="N41:P41"/>
    <mergeCell ref="B73:E73"/>
    <mergeCell ref="H41:J41"/>
    <mergeCell ref="N43:P43"/>
    <mergeCell ref="G5:J5"/>
  </mergeCells>
  <conditionalFormatting sqref="J14:J23">
    <cfRule type="expression" priority="1" dxfId="0">
      <formula>$J14=Lists!$A$3</formula>
    </cfRule>
    <cfRule type="expression" priority="2" dxfId="1">
      <formula>$J14=Lists!$A$4</formula>
    </cfRule>
    <cfRule type="expression" priority="3" dxfId="2">
      <formula>$J14=Lists!$A$5</formula>
    </cfRule>
    <cfRule type="expression" priority="4" dxfId="3">
      <formula>$J14=Lists!$A$6</formula>
    </cfRule>
    <cfRule type="expression" priority="5" dxfId="4">
      <formula>$J14=Lists!$A$7</formula>
    </cfRule>
    <cfRule type="expression" priority="6" dxfId="5">
      <formula>$J14=Lists!$A$8</formula>
    </cfRule>
    <cfRule type="expression" priority="7" dxfId="6">
      <formula>$J14=Lists!$A$9</formula>
    </cfRule>
    <cfRule type="expression" priority="8" dxfId="7">
      <formula>$J14=Lists!$A$10</formula>
    </cfRule>
    <cfRule type="expression" priority="9" dxfId="8">
      <formula>$J14=Lists!$A$11</formula>
    </cfRule>
  </conditionalFormatting>
  <conditionalFormatting sqref="C14:C23">
    <cfRule type="expression" priority="10" dxfId="9">
      <formula>Lists!$O2&lt;&gt;""</formula>
    </cfRule>
  </conditionalFormatting>
  <conditionalFormatting sqref="M14:M23">
    <cfRule type="cellIs" priority="11" operator="equal" dxfId="10">
      <formula>5</formula>
    </cfRule>
    <cfRule type="cellIs" priority="12" operator="equal" dxfId="11">
      <formula>4</formula>
    </cfRule>
    <cfRule type="cellIs" priority="13" operator="equal" dxfId="12">
      <formula>3</formula>
    </cfRule>
    <cfRule type="cellIs" priority="14" operator="equal" dxfId="13">
      <formula>2</formula>
    </cfRule>
    <cfRule type="cellIs" priority="15" operator="equal" dxfId="14">
      <formula>1</formula>
    </cfRule>
    <cfRule type="cellIs" priority="16" operator="equal" dxfId="15">
      <formula>0</formula>
    </cfRule>
  </conditionalFormatting>
  <conditionalFormatting sqref="S14:S23">
    <cfRule type="cellIs" priority="17" operator="equal" dxfId="16">
      <formula>"To review"</formula>
    </cfRule>
    <cfRule type="cellIs" priority="18" operator="equal" dxfId="17">
      <formula>"Shortlisted"</formula>
    </cfRule>
    <cfRule type="cellIs" priority="19" operator="equal" dxfId="18">
      <formula>"Commissioned"</formula>
    </cfRule>
    <cfRule type="cellIs" priority="20" operator="equal" dxfId="19">
      <formula>"Published"</formula>
    </cfRule>
    <cfRule type="cellIs" priority="21" operator="equal" dxfId="20">
      <formula>"Not used"</formula>
    </cfRule>
  </conditionalFormatting>
  <conditionalFormatting sqref="F61:J69">
    <cfRule type="colorScale" priority="22">
      <colorScale>
        <cfvo type="num" val="0"/>
        <cfvo type="percentile" val="50"/>
        <cfvo type="max"/>
        <color rgb="00FFFFFF"/>
        <color rgb="00F6E3A6"/>
        <color rgb="00D38B00"/>
      </colorScale>
    </cfRule>
  </conditionalFormatting>
  <dataValidations count="4">
    <dataValidation sqref="B5" showDropDown="0" showInputMessage="1" showErrorMessage="1" allowBlank="0" errorTitle="Theme" error="Please pick a value from the list." promptTitle="Theme" prompt="Choose one theme, or All themes." type="list">
      <formula1>Lists!$A$2:$A$11</formula1>
    </dataValidation>
    <dataValidation sqref="G5" showDropDown="0" showInputMessage="1" showErrorMessage="1" allowBlank="0" errorTitle="Suggested use" error="Please pick a value from the list." promptTitle="Suggested use" prompt="Choose an editorial use, or All uses." type="list">
      <formula1>Lists!$B$2:$B$7</formula1>
    </dataValidation>
    <dataValidation sqref="K5" showDropDown="0" showInputMessage="1" showErrorMessage="1" allowBlank="0" errorTitle="Minimum relevance" error="Please pick a value from the list." promptTitle="Minimum relevance" prompt="Show stories rated at least 3, 4 or 5 by the AI triage, or Any." type="list">
      <formula1>Lists!$C$2:$C$5</formula1>
    </dataValidation>
    <dataValidation sqref="N5" showDropDown="0" showInputMessage="1" showErrorMessage="1" allowBlank="0" errorTitle="Issue window" error="Please pick a value from the list." promptTitle="Issue window" prompt="Choose one quarterly issue window, or All windows." type="list">
      <formula1>Lists!$D$2:$D$3</formula1>
    </dataValidation>
  </dataValidations>
  <printOptions horizontalCentered="1"/>
  <pageMargins left="0.4" right="0.4" top="0.5" bottom="0.55" header="0.25" footer="0.25"/>
  <pageSetup orientation="landscape" paperSize="9" fitToHeight="0" fitToWidth="1"/>
  <headerFooter>
    <oddHeader/>
    <oddFooter>&amp;L&amp;"Arial"&amp;8 &amp;A&amp;R&amp;"Arial"&amp;8 Page &amp;P of &amp;N</oddFooter>
    <evenHeader/>
    <evenFooter/>
    <firstHeader/>
    <firstFooter/>
  </headerFooter>
  <rowBreaks count="2" manualBreakCount="2">
    <brk id="25" min="0" max="16383" man="1"/>
    <brk id="58" min="0" max="16383" man="1"/>
  </rowBreaks>
  <drawing xmlns:r="http://schemas.openxmlformats.org/officeDocument/2006/relationships" r:id="rId1"/>
</worksheet>
</file>

<file path=xl/worksheets/sheet3.xml><?xml version="1.0" encoding="utf-8"?>
<worksheet xmlns="http://schemas.openxmlformats.org/spreadsheetml/2006/main">
  <sheetPr>
    <tabColor rgb="002563D6"/>
    <outlinePr summaryBelow="1" summaryRight="1"/>
    <pageSetUpPr fitToPage="1"/>
  </sheetPr>
  <dimension ref="A1:X153"/>
  <sheetViews>
    <sheetView tabSelected="0"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21" customWidth="1" min="3" max="3"/>
    <col width="10" customWidth="1" min="4" max="4"/>
    <col width="16" customWidth="1" min="5" max="5"/>
    <col width="14" customWidth="1" min="6" max="6"/>
    <col width="14" customWidth="1" min="7" max="7"/>
    <col width="28" customWidth="1" min="8" max="8"/>
    <col width="40" customWidth="1" min="9" max="9"/>
    <col width="19" customWidth="1" min="10" max="10"/>
    <col width="12" customWidth="1" min="11" max="11"/>
    <col width="38" customWidth="1" min="12" max="12"/>
    <col width="30" customWidth="1" min="13" max="13"/>
    <col width="16" customWidth="1" min="14" max="14"/>
    <col width="22" customWidth="1" min="15" max="15"/>
    <col width="36" customWidth="1" min="16" max="16"/>
    <col width="15" customWidth="1" min="17" max="17"/>
    <col width="12" customWidth="1" min="18" max="18"/>
    <col width="11" customWidth="1" min="19" max="19"/>
    <col width="26" customWidth="1" min="20" max="20"/>
    <col width="9" customWidth="1" min="21" max="21"/>
    <col width="30" customWidth="1" min="22" max="22"/>
    <col width="12" customWidth="1" min="23" max="23"/>
    <col hidden="1" width="12" customWidth="1" min="24" max="24"/>
  </cols>
  <sheetData>
    <row r="1" ht="26" customHeight="1">
      <c r="A1" s="153" t="inlineStr">
        <is>
          <t>Stories · 150 in this workbook</t>
        </is>
      </c>
      <c r="C1" s="154" t="inlineStr">
        <is>
          <t>← Dashboard</t>
        </is>
      </c>
      <c r="D1" s="154" t="inlineStr">
        <is>
          <t>↑ Start here</t>
        </is>
      </c>
      <c r="E1" s="154" t="inlineStr">
        <is>
          <t>By theme →</t>
        </is>
      </c>
    </row>
    <row r="2" ht="16" customHeight="1">
      <c r="C2" s="155" t="inlineStr">
        <is>
          <t>Gold columns are yours: choose a Status from its dropdown, and fill in Assigned to and Editor notes. Use ▼ in the header to filter or sort. ✓ in ‘In Dashboard selection’ (far right) marks the stories the Dashboard is showing.</t>
        </is>
      </c>
    </row>
    <row r="3" ht="32" customHeight="1">
      <c r="A3" s="156" t="inlineStr">
        <is>
          <t>No.</t>
        </is>
      </c>
      <c r="B3" s="157" t="inlineStr">
        <is>
          <t>Headline (English or Claude's translation)</t>
        </is>
      </c>
      <c r="C3" s="157" t="inlineStr">
        <is>
          <t>Theme</t>
        </is>
      </c>
      <c r="D3" s="156" t="inlineStr">
        <is>
          <t>Relevance</t>
        </is>
      </c>
      <c r="E3" s="157" t="inlineStr">
        <is>
          <t>Suggested use</t>
        </is>
      </c>
      <c r="F3" s="158" t="inlineStr">
        <is>
          <t>Status</t>
        </is>
      </c>
      <c r="G3" s="158" t="inlineStr">
        <is>
          <t>Assigned to</t>
        </is>
      </c>
      <c r="H3" s="158" t="inlineStr">
        <is>
          <t>Editor notes</t>
        </is>
      </c>
      <c r="I3" s="157" t="inlineStr">
        <is>
          <t>Magazine angle</t>
        </is>
      </c>
      <c r="J3" s="157" t="inlineStr">
        <is>
          <t>Source</t>
        </is>
      </c>
      <c r="K3" s="156" t="inlineStr">
        <is>
          <t>Digest date</t>
        </is>
      </c>
      <c r="L3" s="157" t="inlineStr">
        <is>
          <t>Original headline</t>
        </is>
      </c>
      <c r="M3" s="157" t="inlineStr">
        <is>
          <t>Primary source to check</t>
        </is>
      </c>
      <c r="N3" s="157" t="inlineStr">
        <is>
          <t>Country</t>
        </is>
      </c>
      <c r="O3" s="157" t="inlineStr">
        <is>
          <t>Place</t>
        </is>
      </c>
      <c r="P3" s="157" t="inlineStr">
        <is>
          <t>Developing story</t>
        </is>
      </c>
      <c r="Q3" s="157" t="inlineStr">
        <is>
          <t>Google News edition</t>
        </is>
      </c>
      <c r="R3" s="156" t="inlineStr">
        <is>
          <t>Published</t>
        </is>
      </c>
      <c r="S3" s="156" t="inlineStr">
        <is>
          <t>Issue window</t>
        </is>
      </c>
      <c r="T3" s="157" t="inlineStr">
        <is>
          <t>Keywords</t>
        </is>
      </c>
      <c r="U3" s="156" t="inlineStr">
        <is>
          <t>Keyword score</t>
        </is>
      </c>
      <c r="V3" s="157" t="inlineStr">
        <is>
          <t>Article URL</t>
        </is>
      </c>
      <c r="W3" s="156" t="inlineStr">
        <is>
          <t>In Dashboard selection</t>
        </is>
      </c>
      <c r="X3" s="156" t="inlineStr">
        <is>
          <t>Top-10 key (helper)</t>
        </is>
      </c>
    </row>
    <row r="4" ht="53" customHeight="1">
      <c r="A4" s="159" t="n">
        <v>1</v>
      </c>
      <c r="B4" s="160" t="inlineStr">
        <is>
          <t>Kumamoto earthquake: 96% of liquefaction sites reoccurred</t>
        </is>
      </c>
      <c r="C4" s="161" t="inlineStr">
        <is>
          <t>Hazards &amp; Resilience</t>
        </is>
      </c>
      <c r="D4" s="162" t="n">
        <v>5</v>
      </c>
      <c r="E4" s="163" t="inlineStr">
        <is>
          <t>Feature lead</t>
        </is>
      </c>
      <c r="F4" s="164" t="inlineStr">
        <is>
          <t>To review</t>
        </is>
      </c>
      <c r="G4" s="165" t="n"/>
      <c r="H4" s="166" t="n"/>
      <c r="I4" s="167" t="inlineStr">
        <is>
          <t>Why do the same sites re-liquefy in repeated earthquakes, and which ground improvement or site-specific measures actually stop recurrence?</t>
        </is>
      </c>
      <c r="J4" s="167" t="inlineStr">
        <is>
          <t>Yahoo!ニュース</t>
        </is>
      </c>
      <c r="K4" s="168" t="n">
        <v>46321</v>
      </c>
      <c r="L4" s="167" t="inlineStr">
        <is>
          <t>熊本地震 液状化地点の96%で再発</t>
        </is>
      </c>
      <c r="M4" s="167" t="inlineStr">
        <is>
          <t>Kumamoto Prefectural Government and the research team behind the liquefaction survey</t>
        </is>
      </c>
      <c r="N4" s="169" t="inlineStr">
        <is>
          <t>Japan</t>
        </is>
      </c>
      <c r="O4" s="167" t="inlineStr">
        <is>
          <t>Kumamoto Prefecture</t>
        </is>
      </c>
      <c r="P4" s="167" t="n"/>
      <c r="Q4" s="170" t="inlineStr">
        <is>
          <t>Japan</t>
        </is>
      </c>
      <c r="R4" s="168" t="n">
        <v>46321</v>
      </c>
      <c r="S4" s="169" t="inlineStr">
        <is>
          <t>2026-Q4</t>
        </is>
      </c>
      <c r="T4" s="171" t="inlineStr">
        <is>
          <t>liquefaction, earthquake</t>
        </is>
      </c>
      <c r="U4" s="159" t="n">
        <v>7</v>
      </c>
      <c r="V4" s="172" t="inlineStr">
        <is>
          <t>https://news.google.com/rss/articles/CBMiUEFVX3lxTE9sUlNwdEcwMURBRkNDb3dEd0NfVFIzaG9RTUMtYkQ0dnNpT3ByQjFVWFJPYkhjWDNqOFlXNkVrOFk3VzB6NHB1MGtjU1Bfa0d6?oc=5</t>
        </is>
      </c>
      <c r="W4" s="173">
        <f>IF($B4="",0,IF(AND(OR(OR(Dashboard!$B$5="All themes",Dashboard!$B$5=""),$C4=Dashboard!$B$5),OR(OR(Dashboard!$G$5="All uses",Dashboard!$G$5=""),$E4=Dashboard!$G$5),N($D4)&gt;=Lists!$H$2,OR(OR(Dashboard!$N$5="All windows",Dashboard!$N$5=""),$S4=Dashboard!$N$5)),1,0))</f>
        <v/>
      </c>
      <c r="X4" s="174">
        <f>IF($W4=1,N($D4)*1E14+MIN(MAX(N($U4),0),9999)*1E10+MIN(N($K4),99999)*1E5+99999-MIN(ROW(),99999),"")</f>
        <v/>
      </c>
    </row>
    <row r="5" ht="53" customHeight="1">
      <c r="A5" s="159" t="n">
        <v>2</v>
      </c>
      <c r="B5" s="160" t="inlineStr">
        <is>
          <t>96% of sites with upper seismic intensity 6 in the Kumamoto earthquake re-liquefied; experts urge advance countermeasures.</t>
        </is>
      </c>
      <c r="C5" s="161" t="inlineStr">
        <is>
          <t>Hazards &amp; Resilience</t>
        </is>
      </c>
      <c r="D5" s="162" t="n">
        <v>5</v>
      </c>
      <c r="E5" s="175" t="inlineStr">
        <is>
          <t>Watch only</t>
        </is>
      </c>
      <c r="F5" s="164" t="inlineStr">
        <is>
          <t>To review</t>
        </is>
      </c>
      <c r="G5" s="165" t="n"/>
      <c r="H5" s="166" t="n"/>
      <c r="I5" s="167" t="inlineStr">
        <is>
          <t>Why do the same sites re-liquefy in repeated earthquakes, and which ground improvement or site-specific measures actually stop recurrence?</t>
        </is>
      </c>
      <c r="J5" s="167" t="inlineStr">
        <is>
          <t>読売新聞</t>
        </is>
      </c>
      <c r="K5" s="168" t="n">
        <v>46321</v>
      </c>
      <c r="L5" s="167" t="inlineStr">
        <is>
          <t>熊本地震「震度６強」の９６％が再液状化…繰り返される被害、専門家は事前対策訴え</t>
        </is>
      </c>
      <c r="M5" s="167" t="inlineStr">
        <is>
          <t>Kumamoto Prefectural Government and the research team behind the liquefaction survey</t>
        </is>
      </c>
      <c r="N5" s="169" t="inlineStr">
        <is>
          <t>Japan</t>
        </is>
      </c>
      <c r="O5" s="167" t="inlineStr">
        <is>
          <t>Kumamoto Prefecture</t>
        </is>
      </c>
      <c r="P5" s="167" t="n"/>
      <c r="Q5" s="170" t="inlineStr">
        <is>
          <t>Japan</t>
        </is>
      </c>
      <c r="R5" s="168" t="n">
        <v>46320</v>
      </c>
      <c r="S5" s="169" t="inlineStr">
        <is>
          <t>2026-Q4</t>
        </is>
      </c>
      <c r="T5" s="171" t="inlineStr">
        <is>
          <t>liquefaction, earthquake</t>
        </is>
      </c>
      <c r="U5" s="159" t="n">
        <v>7</v>
      </c>
      <c r="V5" s="172" t="inlineStr">
        <is>
          <t>https://news.google.com/rss/articles/CBMiZkFVX3lxTFA3VmNVcVpnS3U1V0ZuanVlb3VQdnhpaDN3NGlETGFPa3h5bURmWGJUUGJsdjh6SENpWGFUUHNGa3pMbUJNd0FndDBkakstVzV2b0U5bjVMOFRFVDFrTS1ob3RwTTZPZw?oc=5</t>
        </is>
      </c>
      <c r="W5" s="173">
        <f>IF($B5="",0,IF(AND(OR(OR(Dashboard!$B$5="All themes",Dashboard!$B$5=""),$C5=Dashboard!$B$5),OR(OR(Dashboard!$G$5="All uses",Dashboard!$G$5=""),$E5=Dashboard!$G$5),N($D5)&gt;=Lists!$H$2,OR(OR(Dashboard!$N$5="All windows",Dashboard!$N$5=""),$S5=Dashboard!$N$5)),1,0))</f>
        <v/>
      </c>
      <c r="X5" s="174">
        <f>IF($W5=1,N($D5)*1E14+MIN(MAX(N($U5),0),9999)*1E10+MIN(N($K5),99999)*1E5+99999-MIN(ROW(),99999),"")</f>
        <v/>
      </c>
    </row>
    <row r="6" ht="53" customHeight="1">
      <c r="A6" s="159" t="n">
        <v>3</v>
      </c>
      <c r="B6" s="160" t="inlineStr">
        <is>
          <t>Ancient Earthquakes Triggered Massive 10,000-Year-Old Landslides In Kashmir Himalaya, New Study Reveals</t>
        </is>
      </c>
      <c r="C6" s="161" t="inlineStr">
        <is>
          <t>Hazards &amp; Resilience</t>
        </is>
      </c>
      <c r="D6" s="162" t="n">
        <v>5</v>
      </c>
      <c r="E6" s="163" t="inlineStr">
        <is>
          <t>Feature lead</t>
        </is>
      </c>
      <c r="F6" s="164" t="inlineStr">
        <is>
          <t>To review</t>
        </is>
      </c>
      <c r="G6" s="165" t="n"/>
      <c r="H6" s="166" t="n"/>
      <c r="I6" s="167" t="inlineStr">
        <is>
          <t>Can dating of ancient landslide deposits be used to infer earthquake recurrence and slope hazard in tectonically active Himalayan terrain?</t>
        </is>
      </c>
      <c r="J6" s="167" t="inlineStr">
        <is>
          <t>Kashmir Life</t>
        </is>
      </c>
      <c r="K6" s="168" t="n">
        <v>46321</v>
      </c>
      <c r="L6" s="167" t="n"/>
      <c r="M6" s="167" t="inlineStr">
        <is>
          <t>the study's lead research institution (check the journal paper)</t>
        </is>
      </c>
      <c r="N6" s="169" t="inlineStr">
        <is>
          <t>India</t>
        </is>
      </c>
      <c r="O6" s="167" t="inlineStr">
        <is>
          <t>Kashmir Himalaya</t>
        </is>
      </c>
      <c r="P6" s="167" t="n"/>
      <c r="Q6" s="170" t="inlineStr">
        <is>
          <t>United Kingdom</t>
        </is>
      </c>
      <c r="R6" s="168" t="n">
        <v>46321</v>
      </c>
      <c r="S6" s="169" t="inlineStr">
        <is>
          <t>2026-Q4</t>
        </is>
      </c>
      <c r="T6" s="171" t="inlineStr">
        <is>
          <t>landslide, earthquake</t>
        </is>
      </c>
      <c r="U6" s="159" t="n">
        <v>6</v>
      </c>
      <c r="V6" s="172" t="inlineStr">
        <is>
          <t>https://news.google.com/rss/articles/CBMizgFBVV95cUxPeUtDQ05KR3BiV2d5RkNjVUJSb29EZlZaRks5VlJvb1g3STk4dEliaDZ1Smt3Yk53bnFJdndubXJYN0xXZkNGV0ZpT09ZZVdmTWpWUHNpUFo4Z2hiTFFVQkVjaWJ5aEZOYnUzakhPNHVWVmx4U0V0c1ZBU1owYUhRLVNUNy12d1N5U3ZHOVB3bE5kOW5yRndjQXc2am5YUGdMbmJQQ19EVVpGTEJXLUpYTFY0QUpkS0FPZ0wxdDdLejZ1RVBGZkZaOEFQR0lEZw?oc=5</t>
        </is>
      </c>
      <c r="W6" s="173">
        <f>IF($B6="",0,IF(AND(OR(OR(Dashboard!$B$5="All themes",Dashboard!$B$5=""),$C6=Dashboard!$B$5),OR(OR(Dashboard!$G$5="All uses",Dashboard!$G$5=""),$E6=Dashboard!$G$5),N($D6)&gt;=Lists!$H$2,OR(OR(Dashboard!$N$5="All windows",Dashboard!$N$5=""),$S6=Dashboard!$N$5)),1,0))</f>
        <v/>
      </c>
      <c r="X6" s="174">
        <f>IF($W6=1,N($D6)*1E14+MIN(MAX(N($U6),0),9999)*1E10+MIN(N($K6),99999)*1E5+99999-MIN(ROW(),99999),"")</f>
        <v/>
      </c>
    </row>
    <row r="7" ht="65.5" customHeight="1">
      <c r="A7" s="159" t="n">
        <v>4</v>
      </c>
      <c r="B7" s="160" t="inlineStr">
        <is>
          <t>Niscemi, nine months after the landslide: the town hanging over the void and thirty years of broken promises.</t>
        </is>
      </c>
      <c r="C7" s="161" t="inlineStr">
        <is>
          <t>Hazards &amp; Resilience</t>
        </is>
      </c>
      <c r="D7" s="162" t="n">
        <v>5</v>
      </c>
      <c r="E7" s="163" t="inlineStr">
        <is>
          <t>Feature lead</t>
        </is>
      </c>
      <c r="F7" s="164" t="inlineStr">
        <is>
          <t>To review</t>
        </is>
      </c>
      <c r="G7" s="165" t="n"/>
      <c r="H7" s="166" t="n"/>
      <c r="I7" s="167" t="inlineStr">
        <is>
          <t>Why does a large landslide keep a hilltop town in limbo months later, and what geotechnical monitoring and stabilisation strategy could justify either remaining or relocating residents?</t>
        </is>
      </c>
      <c r="J7" s="167" t="inlineStr">
        <is>
          <t>la Repubblica</t>
        </is>
      </c>
      <c r="K7" s="168" t="n">
        <v>46321</v>
      </c>
      <c r="L7" s="167" t="inlineStr">
        <is>
          <t>Niscemi, nove mesi dopo la frana: la città sospesa sul vuoto e trent'anni di promesse tradite</t>
        </is>
      </c>
      <c r="M7" s="167" t="inlineStr">
        <is>
          <t>Italian Civil Protection Department and Comune di Niscemi</t>
        </is>
      </c>
      <c r="N7" s="169" t="inlineStr">
        <is>
          <t>Italy</t>
        </is>
      </c>
      <c r="O7" s="167" t="inlineStr">
        <is>
          <t>Niscemi, Sicily</t>
        </is>
      </c>
      <c r="P7" s="167" t="inlineStr">
        <is>
          <t>Niscemi landslide, Sicily (Jan 2026) · Update · 2 reports</t>
        </is>
      </c>
      <c r="Q7" s="170" t="inlineStr">
        <is>
          <t>Italy</t>
        </is>
      </c>
      <c r="R7" s="168" t="n">
        <v>46321</v>
      </c>
      <c r="S7" s="169" t="inlineStr">
        <is>
          <t>2026-Q4</t>
        </is>
      </c>
      <c r="T7" s="171" t="inlineStr">
        <is>
          <t>landslide</t>
        </is>
      </c>
      <c r="U7" s="159" t="n">
        <v>4</v>
      </c>
      <c r="V7" s="172" t="inlineStr">
        <is>
          <t>https://news.google.com/rss/articles/CBMiqwFBVV95cUxQUVljZ2Z4NlVrQkw3RXVnMUxoZ1hCVjRvWjJ4TDlQSVRaaHF3RFRILUxNck1KQXB3RS1wTTlnZEhyMkxlMjBqR25udVNxVXZFLXRhX0IyX2VuUGJDTEl1a1RPUS1tcDRmd3hkWmpEQnQ4UF91dF9MY25OcEZ1czBzaXNlZFVuTjZxVVVCN0JKNVBtSmZtRUlvNV94Q1dzRWxuYlU5UXdGUTdaMzDSAasBQVVfeXFMUFFZY2dmeDZVa0JMN0V1ZzFMaGdYQlY0b1oyeEw5UElUWmhxd0RUSC1MTXJNSkFwd0UtcE05Z2RIcjJMZTIwakdubnVTcVV2RS10YV9CMl9lblBiQ0xJdWtUT1EtbXA0Znd4ZFpqREJ0OFBfdXRfTGNuTnBGdXMwc2lzZWRVbk42cVVVQjdCSjVQbUpmbUVJbzVfeENXc0VsbmJVOVF3RlE3WjMw?oc=5</t>
        </is>
      </c>
      <c r="W7" s="173">
        <f>IF($B7="",0,IF(AND(OR(OR(Dashboard!$B$5="All themes",Dashboard!$B$5=""),$C7=Dashboard!$B$5),OR(OR(Dashboard!$G$5="All uses",Dashboard!$G$5=""),$E7=Dashboard!$G$5),N($D7)&gt;=Lists!$H$2,OR(OR(Dashboard!$N$5="All windows",Dashboard!$N$5=""),$S7=Dashboard!$N$5)),1,0))</f>
        <v/>
      </c>
      <c r="X7" s="174">
        <f>IF($W7=1,N($D7)*1E14+MIN(MAX(N($U7),0),9999)*1E10+MIN(N($K7),99999)*1E5+99999-MIN(ROW(),99999),"")</f>
        <v/>
      </c>
    </row>
    <row r="8" ht="65.5" customHeight="1">
      <c r="A8" s="159" t="n">
        <v>5</v>
      </c>
      <c r="B8" s="160" t="inlineStr">
        <is>
          <t>Liu Yushui garden earth collapse kills; SAM says it warned repeatedly about hillside development risks</t>
        </is>
      </c>
      <c r="C8" s="161" t="inlineStr">
        <is>
          <t>Hazards &amp; Resilience</t>
        </is>
      </c>
      <c r="D8" s="162" t="n">
        <v>5</v>
      </c>
      <c r="E8" s="163" t="inlineStr">
        <is>
          <t>Feature lead</t>
        </is>
      </c>
      <c r="F8" s="164" t="inlineStr">
        <is>
          <t>To review</t>
        </is>
      </c>
      <c r="G8" s="165" t="n"/>
      <c r="H8" s="166" t="n"/>
      <c r="I8" s="167" t="inlineStr">
        <is>
          <t>How do hillside development practices and repeated unheeded warnings contribute to fatal slope failures, and what geotechnical due diligence should apply to hillside housing?</t>
        </is>
      </c>
      <c r="J8" s="167" t="inlineStr">
        <is>
          <t>China Press</t>
        </is>
      </c>
      <c r="K8" s="168" t="n">
        <v>46321</v>
      </c>
      <c r="L8" s="167" t="inlineStr">
        <is>
          <t>刘玉水花园土崩夺命 SAM：已多次警告 山坡发展风险</t>
        </is>
      </c>
      <c r="M8" s="167" t="inlineStr">
        <is>
          <t>Penang state government and the police</t>
        </is>
      </c>
      <c r="N8" s="169" t="inlineStr">
        <is>
          <t>Malaysia</t>
        </is>
      </c>
      <c r="O8" s="167" t="n"/>
      <c r="P8" s="167" t="inlineStr">
        <is>
          <t>Paya Terubong landslide, Penang, Malaysia (Oct 2026) · Investigation &amp; inquiry · 7 reports</t>
        </is>
      </c>
      <c r="Q8" s="170" t="inlineStr">
        <is>
          <t>China</t>
        </is>
      </c>
      <c r="R8" s="168" t="n">
        <v>46320</v>
      </c>
      <c r="S8" s="169" t="inlineStr">
        <is>
          <t>2026-Q4</t>
        </is>
      </c>
      <c r="T8" s="171" t="inlineStr">
        <is>
          <t>slope</t>
        </is>
      </c>
      <c r="U8" s="159" t="n">
        <v>2</v>
      </c>
      <c r="V8" s="172" t="inlineStr">
        <is>
          <t>https://news.google.com/rss/articles/CBMi2wJBVV95cUxPaUpqb21fRVV2bFlHYU5ud1p3NFVmYVpIMWN4U2Z5S1lOS2lVWGpsb0p4ZnIwZUIxOHQ4OVNXTlhjTWg2Nk9CRTI4cEY1VEJRREV6SmxiQnliUF9pYmh4ekpfQUkwRGxsYW9TOFE1VzdxTDc5bmk2Z2RGbTduX3lIVDVrbFN0eXlualBsSFZ6TzJranBnWi1TSHlKT1FhTDQ5bFpwODI0RVhTVTlOYW9iNjhGc1puZGJkQ1kwUTdZb2IxY1FHTV9DRWFvYnJPd1lWb3ZyOTNxMVNRTGtwd0w0a0RXaFRRMG1WZ1RKUDk0OUJQMHJTN3VjNm5DanhLR3g3eTRmQm8tU1F0bm5EVHJCUkFvR05hejY3NWFPNmhmUkxSZlJFSjFOTVdLRmEyVVY1akMxdWNNSjUzSWhyMmVaTDE5cWhoS2NRWEdrTWVmdE80SUZ6Uldlb0VTZw?oc=5</t>
        </is>
      </c>
      <c r="W8" s="173">
        <f>IF($B8="",0,IF(AND(OR(OR(Dashboard!$B$5="All themes",Dashboard!$B$5=""),$C8=Dashboard!$B$5),OR(OR(Dashboard!$G$5="All uses",Dashboard!$G$5=""),$E8=Dashboard!$G$5),N($D8)&gt;=Lists!$H$2,OR(OR(Dashboard!$N$5="All windows",Dashboard!$N$5=""),$S8=Dashboard!$N$5)),1,0))</f>
        <v/>
      </c>
      <c r="X8" s="174">
        <f>IF($W8=1,N($D8)*1E14+MIN(MAX(N($U8),0),9999)*1E10+MIN(N($K8),99999)*1E5+99999-MIN(ROW(),99999),"")</f>
        <v/>
      </c>
    </row>
    <row r="9" ht="65.5" customHeight="1">
      <c r="A9" s="159" t="n">
        <v>6</v>
      </c>
      <c r="B9" s="160" t="inlineStr">
        <is>
          <t>Ground crumbles and gas escapes: thousands of dangerous sites identified in Yamal</t>
        </is>
      </c>
      <c r="C9" s="176" t="inlineStr">
        <is>
          <t>Sustainability &amp; the Energy Transition</t>
        </is>
      </c>
      <c r="D9" s="162" t="n">
        <v>5</v>
      </c>
      <c r="E9" s="163" t="inlineStr">
        <is>
          <t>Feature lead</t>
        </is>
      </c>
      <c r="F9" s="164" t="inlineStr">
        <is>
          <t>To review</t>
        </is>
      </c>
      <c r="G9" s="165" t="n"/>
      <c r="H9" s="166" t="n"/>
      <c r="I9" s="167" t="inlineStr">
        <is>
          <t>How is permafrost thaw and gas migration causing ground collapse and craters across Yamal, and what monitoring and foundation strategies can manage thousands of hazardous sites?</t>
        </is>
      </c>
      <c r="J9" s="167" t="inlineStr">
        <is>
          <t>Life.ru</t>
        </is>
      </c>
      <c r="K9" s="168" t="n">
        <v>46321</v>
      </c>
      <c r="L9" s="167" t="inlineStr">
        <is>
          <t>Грунт рушится, а газ рвётся наружу: На Ямале выявили тысячи опасных участков</t>
        </is>
      </c>
      <c r="M9" s="167" t="inlineStr">
        <is>
          <t>Yamal regional authorities and the gas operators</t>
        </is>
      </c>
      <c r="N9" s="169" t="inlineStr">
        <is>
          <t>Russia</t>
        </is>
      </c>
      <c r="O9" s="167" t="inlineStr">
        <is>
          <t>Yamal</t>
        </is>
      </c>
      <c r="P9" s="167" t="n"/>
      <c r="Q9" s="170" t="inlineStr">
        <is>
          <t>Russia</t>
        </is>
      </c>
      <c r="R9" s="168" t="n">
        <v>46320</v>
      </c>
      <c r="S9" s="169" t="inlineStr">
        <is>
          <t>2026-Q4</t>
        </is>
      </c>
      <c r="T9" s="171" t="inlineStr">
        <is>
          <t>soil</t>
        </is>
      </c>
      <c r="U9" s="159" t="n">
        <v>1</v>
      </c>
      <c r="V9" s="172" t="inlineStr">
        <is>
          <t>https://news.google.com/rss/articles/CBMilgFBVV95cUxNdFl6QWFvMFBRQ3hMOFc2S0hRdkIzNWViQXFZaFB1b2h5eEx5czUwbnhOeFNKX3MybWRfLVhhdlJjb0s0eFUtMDloNFJoUTEtb0dRRElGdllDbFVOejZFS0o4NzUwN2lhNlkyMzdlZzBCR1NpaXhKN1ZSZjZHRG1RV1JFQVpJRFNxQW1xcTBZWUMxWnVxRnc?oc=5</t>
        </is>
      </c>
      <c r="W9" s="173">
        <f>IF($B9="",0,IF(AND(OR(OR(Dashboard!$B$5="All themes",Dashboard!$B$5=""),$C9=Dashboard!$B$5),OR(OR(Dashboard!$G$5="All uses",Dashboard!$G$5=""),$E9=Dashboard!$G$5),N($D9)&gt;=Lists!$H$2,OR(OR(Dashboard!$N$5="All windows",Dashboard!$N$5=""),$S9=Dashboard!$N$5)),1,0))</f>
        <v/>
      </c>
      <c r="X9" s="174">
        <f>IF($W9=1,N($D9)*1E14+MIN(MAX(N($U9),0),9999)*1E10+MIN(N($K9),99999)*1E5+99999-MIN(ROW(),99999),"")</f>
        <v/>
      </c>
    </row>
    <row r="10" ht="53" customHeight="1">
      <c r="A10" s="159" t="n">
        <v>7</v>
      </c>
      <c r="B10" s="160" t="inlineStr">
        <is>
          <t>Silkyara tunnel may open before the upcoming Char Dham yatra, company claims; Yamunotri distance to shrink by 26 km</t>
        </is>
      </c>
      <c r="C10" s="177" t="inlineStr">
        <is>
          <t>Infrastructure &amp; the Underground City</t>
        </is>
      </c>
      <c r="D10" s="162" t="n">
        <v>5</v>
      </c>
      <c r="E10" s="163" t="inlineStr">
        <is>
          <t>Feature lead</t>
        </is>
      </c>
      <c r="F10" s="164" t="inlineStr">
        <is>
          <t>To review</t>
        </is>
      </c>
      <c r="G10" s="165" t="n"/>
      <c r="H10" s="166" t="n"/>
      <c r="I10" s="167" t="inlineStr">
        <is>
          <t>What ground stabilisation and rock mass conditions must be verified before a collapsed Himalayan tunnel can safely reopen, and how credible is the proposed schedule?</t>
        </is>
      </c>
      <c r="J10" s="167" t="inlineStr">
        <is>
          <t>Dainik Bhaskar</t>
        </is>
      </c>
      <c r="K10" s="168" t="n">
        <v>46321</v>
      </c>
      <c r="L10" s="167" t="inlineStr">
        <is>
          <t>सिलक्यारा टनल आगामी चारधाम यात्रा तक खुल सकती है: कंपनी का दावा; यमुनोत्री धाम की 26 किमी दूरी घटेगी, समय औ...</t>
        </is>
      </c>
      <c r="M10" s="167" t="inlineStr">
        <is>
          <t>NHIDCL (the project owner) and the contractor</t>
        </is>
      </c>
      <c r="N10" s="169" t="inlineStr">
        <is>
          <t>India</t>
        </is>
      </c>
      <c r="O10" s="167" t="inlineStr">
        <is>
          <t>Silkyara tunnel, Uttarkashi</t>
        </is>
      </c>
      <c r="P10" s="167" t="n"/>
      <c r="Q10" s="170" t="inlineStr">
        <is>
          <t>India</t>
        </is>
      </c>
      <c r="R10" s="168" t="n">
        <v>46320</v>
      </c>
      <c r="S10" s="169" t="inlineStr">
        <is>
          <t>2026-Q4</t>
        </is>
      </c>
      <c r="T10" s="171" t="n"/>
      <c r="U10" s="159" t="n">
        <v>0</v>
      </c>
      <c r="V10" s="172" t="inlineStr">
        <is>
          <t>https://news.google.com/rss/articles/CBMi1gFBVV95cUxNYUVkaGtnY09kNFJzUnNQUmFla3RVLUJyMzRiTy1aWGtEWmVrMWNCeFF0YWJBLTd1dHN2VVd2UlFNZGNTNWlFNUZOdU1RbWl0NWloV1MyUWZoOUkxOUhubWZqbl9IQndyY2VLTUFQZjV4RW55bmdWUHE0YmFXNnZDRHlLS0hiQTllQVJxQ1d2Si1VYjhtcWxmR05hZGJ0MzZONmlaX1VpZm41TWs2QXROM2p6a1U4cnViakV1TWRTNklwakJRdkpVZjBlNDJEVFVwLXRzMFVR0gHWAUFVX3lxTE1hRWRoa2djT2Q0UnNSc1BSYWVrdFUtQnIzNGJPLVpYa0RaZWsxY0J4UXRhYkEtN3V0c3ZVV3ZSUU1kY1M1aUU1Rk51TVFtaXQ1aWhXUzJRZmg5STE5SG5tZmpuX0hCd3JjZUtNQVBmNXhFbnluZ1ZQcTRiYVc2dkNEeUtLSGJBOWVBUnFDV3ZKLVViOG1xbGZHTmFkYnQzNk42aVpfVWlmbjVNazZBdE4zanprVThydWJqRXVNZFM2SXBqQlF2SlVmMGU0MkRUVXAtdHMwVVE?oc=5</t>
        </is>
      </c>
      <c r="W10" s="173">
        <f>IF($B10="",0,IF(AND(OR(OR(Dashboard!$B$5="All themes",Dashboard!$B$5=""),$C10=Dashboard!$B$5),OR(OR(Dashboard!$G$5="All uses",Dashboard!$G$5=""),$E10=Dashboard!$G$5),N($D10)&gt;=Lists!$H$2,OR(OR(Dashboard!$N$5="All windows",Dashboard!$N$5=""),$S10=Dashboard!$N$5)),1,0))</f>
        <v/>
      </c>
      <c r="X10" s="174">
        <f>IF($W10=1,N($D10)*1E14+MIN(MAX(N($U10),0),9999)*1E10+MIN(N($K10),99999)*1E5+99999-MIN(ROW(),99999),"")</f>
        <v/>
      </c>
    </row>
    <row r="11" ht="53" customHeight="1">
      <c r="A11" s="159" t="n">
        <v>8</v>
      </c>
      <c r="B11" s="160" t="inlineStr">
        <is>
          <t>Rock blocks over 500 tonnes threaten Turkey–Georgia road; experts demand inspection of 50 km</t>
        </is>
      </c>
      <c r="C11" s="161" t="inlineStr">
        <is>
          <t>Hazards &amp; Resilience</t>
        </is>
      </c>
      <c r="D11" s="162" t="n">
        <v>5</v>
      </c>
      <c r="E11" s="163" t="inlineStr">
        <is>
          <t>Feature lead</t>
        </is>
      </c>
      <c r="F11" s="164" t="inlineStr">
        <is>
          <t>To review</t>
        </is>
      </c>
      <c r="G11" s="165" t="n"/>
      <c r="H11" s="166" t="n"/>
      <c r="I11" s="167" t="inlineStr">
        <is>
          <t>How can rockfall hazard along a mountain highway be assessed for very large blocks, and what slope-scaling and stabilisation approach suits a 50 km stretch?</t>
        </is>
      </c>
      <c r="J11" s="167" t="inlineStr">
        <is>
          <t>تركيا عاجل</t>
        </is>
      </c>
      <c r="K11" s="168" t="n">
        <v>46321</v>
      </c>
      <c r="L11" s="167" t="inlineStr">
        <is>
          <t>كتل صخرية تتجاوز 500 طن تهدد طريق تركيا-جورجيا.. خبراء يطالبون بفحص 50 كيلومترًا</t>
        </is>
      </c>
      <c r="M11" s="167" t="inlineStr">
        <is>
          <t>the General Directorate of Highways (KGM)</t>
        </is>
      </c>
      <c r="N11" s="169" t="inlineStr">
        <is>
          <t>Türkiye</t>
        </is>
      </c>
      <c r="O11" s="167" t="inlineStr">
        <is>
          <t>Turkey–Georgia road</t>
        </is>
      </c>
      <c r="P11" s="167" t="n"/>
      <c r="Q11" s="170" t="inlineStr">
        <is>
          <t>Egypt</t>
        </is>
      </c>
      <c r="R11" s="168" t="n">
        <v>46320</v>
      </c>
      <c r="S11" s="169" t="inlineStr">
        <is>
          <t>2026-Q4</t>
        </is>
      </c>
      <c r="T11" s="171" t="n"/>
      <c r="U11" s="159" t="n">
        <v>0</v>
      </c>
      <c r="V11" s="172" t="inlineStr">
        <is>
          <t>https://news.google.com/rss/articles/CBMi3wJBVV95cUxPSDh4cHZPcTZteEUtQTEtU2lZdGtHRUZiWDQwV192QUxleXF4TVZCTEY4XzR5Vmc3dmd1TEJxUFAxdy0yZjNBUzJ1cEhtTW9HRHhKUlRJdnp6SF9STE1EVnNRMFJYVVVWaDU2c0hCY00yQU9leVA0ZHpXaGMyMER1LVNuZHZybktTU2E0R0dfTkdMNnJMYjhsenNqT3diVGY5MFowZGNHNFIxVEg4S01LclRER0l0QW5BSUFDb1E4WndWcGtwYTZOX3BIZEZIaXNic2cyTjdGV09QNlJfVnJOcTl1WG5kTXEtZm40MXhJLVpQdktQanlCcThBeXl2VHRDSGxQc1FrZ0hYTkpTRUpmbTNneVdxS0tvaGtxNF9PVWRBaHBPUDZBSEVkTk5qOHdtMzV1a0Zncy1HQ19NQTlDSnRLQ2dtU184WC1obWEyQUFaenoxWVFCRnpFazFCTkk?oc=5</t>
        </is>
      </c>
      <c r="W11" s="173">
        <f>IF($B11="",0,IF(AND(OR(OR(Dashboard!$B$5="All themes",Dashboard!$B$5=""),$C11=Dashboard!$B$5),OR(OR(Dashboard!$G$5="All uses",Dashboard!$G$5=""),$E11=Dashboard!$G$5),N($D11)&gt;=Lists!$H$2,OR(OR(Dashboard!$N$5="All windows",Dashboard!$N$5=""),$S11=Dashboard!$N$5)),1,0))</f>
        <v/>
      </c>
      <c r="X11" s="174">
        <f>IF($W11=1,N($D11)*1E14+MIN(MAX(N($U11),0),9999)*1E10+MIN(N($K11),99999)*1E5+99999-MIN(ROW(),99999),"")</f>
        <v/>
      </c>
    </row>
    <row r="12" ht="53" customHeight="1">
      <c r="A12" s="159" t="n">
        <v>9</v>
      </c>
      <c r="B12" s="160" t="inlineStr">
        <is>
          <t>Longwei earth collapse death: autopsy report released, cause is traumatic asphyxia</t>
        </is>
      </c>
      <c r="C12" s="161" t="inlineStr">
        <is>
          <t>Hazards &amp; Resilience</t>
        </is>
      </c>
      <c r="D12" s="162" t="n">
        <v>5</v>
      </c>
      <c r="E12" s="163" t="inlineStr">
        <is>
          <t>Feature lead</t>
        </is>
      </c>
      <c r="F12" s="164" t="inlineStr">
        <is>
          <t>To review</t>
        </is>
      </c>
      <c r="G12" s="165" t="n"/>
      <c r="H12" s="166" t="n"/>
      <c r="I12" s="167" t="inlineStr">
        <is>
          <t>What does the post-mortem finding of a traumatic death reveal about the safety of hillside collapse rescue and the failure of earlier slope warnings?</t>
        </is>
      </c>
      <c r="J12" s="167" t="inlineStr">
        <is>
          <t>China Press</t>
        </is>
      </c>
      <c r="K12" s="168" t="n">
        <v>46321</v>
      </c>
      <c r="L12" s="167" t="inlineStr">
        <is>
          <t>垄尾土崩酿一死｜死者解剖报告出炉 死因是创伤性窒息</t>
        </is>
      </c>
      <c r="M12" s="167" t="inlineStr">
        <is>
          <t>Penang state government and the police</t>
        </is>
      </c>
      <c r="N12" s="169" t="inlineStr">
        <is>
          <t>Malaysia</t>
        </is>
      </c>
      <c r="O12" s="167" t="n"/>
      <c r="P12" s="167" t="n"/>
      <c r="Q12" s="170" t="inlineStr">
        <is>
          <t>China</t>
        </is>
      </c>
      <c r="R12" s="168" t="n">
        <v>46321</v>
      </c>
      <c r="S12" s="169" t="inlineStr">
        <is>
          <t>2026-Q4</t>
        </is>
      </c>
      <c r="T12" s="171" t="n"/>
      <c r="U12" s="159" t="n">
        <v>0</v>
      </c>
      <c r="V12" s="172" t="inlineStr">
        <is>
          <t>https://news.google.com/rss/articles/CBMi2wJBVV95cUxNSldHQkhacnFXOW9uNFFPVC1kbkdZbW1KcVhfbjZGdGdIZFhBbmd5SjVCeGRtOW5vdllWQmFwZGo2bTdNOThuVmR0dkNDSjNMVHZQYmVSNldnNWhjRlRQR2VCTU0xSmZ4N0hJZ01XUGN0ZGI0dWtTLUpkS0poX3ZxRnVpY3FLLVpYQWZxRVktNFhjeVpwTXU5WWI0RGY3X3NhUG9UVHByNnFLRkpBbmxwYnE2Y3VUaWhZU0duOVlzNDk2YWNrVGsyOXlsREV3V3ZYM0o3ZVZXUk91Z2paQ1hlWE9haGZPemIwbVdvWjZLbTNjNkUzQlJNUmpDeTVQZTQxQzI3enk2UU5RX1lxNmlfa1NudG45WjE5SlotTXlaS3lhdW5MaEtwTDNESnVXajkwak04MUwwYUZiYW5FMHM3S2xSRTZKbGROazZQR0ZzS055aGh1Rl9Nc3pCdw?oc=5</t>
        </is>
      </c>
      <c r="W12" s="173">
        <f>IF($B12="",0,IF(AND(OR(OR(Dashboard!$B$5="All themes",Dashboard!$B$5=""),$C12=Dashboard!$B$5),OR(OR(Dashboard!$G$5="All uses",Dashboard!$G$5=""),$E12=Dashboard!$G$5),N($D12)&gt;=Lists!$H$2,OR(OR(Dashboard!$N$5="All windows",Dashboard!$N$5=""),$S12=Dashboard!$N$5)),1,0))</f>
        <v/>
      </c>
      <c r="X12" s="174">
        <f>IF($W12=1,N($D12)*1E14+MIN(MAX(N($U12),0),9999)*1E10+MIN(N($K12),99999)*1E5+99999-MIN(ROW(),99999),"")</f>
        <v/>
      </c>
    </row>
    <row r="13" ht="53" customHeight="1">
      <c r="A13" s="159" t="n">
        <v>10</v>
      </c>
      <c r="B13" s="160" t="inlineStr">
        <is>
          <t>Deslizamiento de talud afecta sótanos y locales de plaza comercial en Cuajimalpa</t>
        </is>
      </c>
      <c r="C13" s="161" t="inlineStr">
        <is>
          <t>Hazards &amp; Resilience</t>
        </is>
      </c>
      <c r="D13" s="162" t="n">
        <v>4</v>
      </c>
      <c r="E13" s="163" t="inlineStr">
        <is>
          <t>Feature lead</t>
        </is>
      </c>
      <c r="F13" s="164" t="inlineStr">
        <is>
          <t>To review</t>
        </is>
      </c>
      <c r="G13" s="165" t="n"/>
      <c r="H13" s="166" t="n"/>
      <c r="I13" s="167" t="inlineStr">
        <is>
          <t>How should basements and retail excavations beside unstable natural slopes be designed and monitored so that slope movement does not reach occupied spaces?</t>
        </is>
      </c>
      <c r="J13" s="167" t="inlineStr">
        <is>
          <t>El Universal</t>
        </is>
      </c>
      <c r="K13" s="168" t="n">
        <v>46321</v>
      </c>
      <c r="L13" s="167" t="n"/>
      <c r="M13" s="167" t="inlineStr">
        <is>
          <t>Mexico City Protección Civil and the borough's building authority</t>
        </is>
      </c>
      <c r="N13" s="169" t="inlineStr">
        <is>
          <t>Mexico</t>
        </is>
      </c>
      <c r="O13" s="167" t="inlineStr">
        <is>
          <t>Cuajimalpa, Mexico City</t>
        </is>
      </c>
      <c r="P13" s="167" t="n"/>
      <c r="Q13" s="170" t="inlineStr">
        <is>
          <t>Spain</t>
        </is>
      </c>
      <c r="R13" s="168" t="n">
        <v>46321</v>
      </c>
      <c r="S13" s="169" t="inlineStr">
        <is>
          <t>2026-Q4</t>
        </is>
      </c>
      <c r="T13" s="171" t="inlineStr">
        <is>
          <t>landslide, retaining wall</t>
        </is>
      </c>
      <c r="U13" s="159" t="n">
        <v>8</v>
      </c>
      <c r="V13" s="172" t="inlineStr">
        <is>
          <t>https://news.google.com/rss/articles/CBMi3gFBVV95cUxQS0l6Zm44UzhLZWp1WEhEeDlhUDQ4YkJaaVMtcTVRdUZqV2N0YU9VWmFRb1Q1Q1dfdW12dFBKUTU4aHViU0NKOENyY0JKM3hQM2pxZng4QzlDMG45WVhydDJybkdZQ2tXY2VxUEdnTjRQSGFNZjdubGQ4UFlrYVhhVFhTMTg4SGszQkFMVDlha1lmdFZyVXBSYTJ3cENnN1RvQmtmeU9KZGlGcHgxeERaNC11MjVLeDV4eC13R090RnhHc0RQWFZBalRYNktRdVRpbHFWN19FR2NYeGx4dUHSAfIBQVVfeXFMTVEwQTl0MUFJZ1VtQXlLalgzS3BXTjFzVmJFeUFmU1BqZVZnY09VQWRCeTZTenNtLVBUT2JPbVFfZ2tGSzJyekF5Y0JWRUF6Sk4tdi1wN1FieTZUNEM2U2hJcGZBTFJNdkY1aDNkckc4Q0hFa2JaRFhDWVBMNnkzS3Nya2QzYVJRanVsVXN1MGUtTjJYTjNVNGVNWHR2bml0Q2tUSFhIMmR5c25XTmdlMGZ6TGVCc2ZHUW5XY1N2VXFUSUtzNUZGdlBpZFVGeDVjUl81QzVBTlhMOWd2eFJUNWdUOHhCZEhqR3pOYWtHRFBKVGc?oc=5</t>
        </is>
      </c>
      <c r="W13" s="173">
        <f>IF($B13="",0,IF(AND(OR(OR(Dashboard!$B$5="All themes",Dashboard!$B$5=""),$C13=Dashboard!$B$5),OR(OR(Dashboard!$G$5="All uses",Dashboard!$G$5=""),$E13=Dashboard!$G$5),N($D13)&gt;=Lists!$H$2,OR(OR(Dashboard!$N$5="All windows",Dashboard!$N$5=""),$S13=Dashboard!$N$5)),1,0))</f>
        <v/>
      </c>
      <c r="X13" s="174">
        <f>IF($W13=1,N($D13)*1E14+MIN(MAX(N($U13),0),9999)*1E10+MIN(N($K13),99999)*1E5+99999-MIN(ROW(),99999),"")</f>
        <v/>
      </c>
    </row>
    <row r="14" ht="53" customHeight="1">
      <c r="A14" s="159" t="n">
        <v>11</v>
      </c>
      <c r="B14" s="160" t="inlineStr">
        <is>
          <t>Fuerte deslave en Centro Santa Fe: colapsa talud de 30 metros y afecta locales</t>
        </is>
      </c>
      <c r="C14" s="161" t="inlineStr">
        <is>
          <t>Hazards &amp; Resilience</t>
        </is>
      </c>
      <c r="D14" s="162" t="n">
        <v>4</v>
      </c>
      <c r="E14" s="163" t="inlineStr">
        <is>
          <t>Feature lead</t>
        </is>
      </c>
      <c r="F14" s="164" t="inlineStr">
        <is>
          <t>To review</t>
        </is>
      </c>
      <c r="G14" s="165" t="n"/>
      <c r="H14" s="166" t="n"/>
      <c r="I14" s="167" t="inlineStr">
        <is>
          <t>What failure mechanisms could bring down a 30 m cut slope in a dense urban business district, and what monitoring would have given early warning?</t>
        </is>
      </c>
      <c r="J14" s="167" t="inlineStr">
        <is>
          <t>PostaMx</t>
        </is>
      </c>
      <c r="K14" s="168" t="n">
        <v>46321</v>
      </c>
      <c r="L14" s="167" t="n"/>
      <c r="M14" s="167" t="inlineStr">
        <is>
          <t>Mexico City Protección Civil and the developer's geotechnical consultant</t>
        </is>
      </c>
      <c r="N14" s="169" t="inlineStr">
        <is>
          <t>Mexico</t>
        </is>
      </c>
      <c r="O14" s="167" t="inlineStr">
        <is>
          <t>Centro Santa Fe, Mexico City</t>
        </is>
      </c>
      <c r="P14" s="167" t="n"/>
      <c r="Q14" s="170" t="inlineStr">
        <is>
          <t>Spain</t>
        </is>
      </c>
      <c r="R14" s="168" t="n">
        <v>46321</v>
      </c>
      <c r="S14" s="169" t="inlineStr">
        <is>
          <t>2026-Q4</t>
        </is>
      </c>
      <c r="T14" s="171" t="inlineStr">
        <is>
          <t>landslide, retaining wall</t>
        </is>
      </c>
      <c r="U14" s="159" t="n">
        <v>8</v>
      </c>
      <c r="V14" s="172" t="inlineStr">
        <is>
          <t>https://news.google.com/rss/articles/CBMiyAFBVV95cUxQd1RPVUlZbTlJeGVMQi1xZjBBU0RZUVZnMkNFRlAtTzZVUTdXd3RWbTVGTDc1b2lnb2haM1YyM0pQQVF2MHBVMFZvdUpEN2hzQ2prQWhVT0hYNmxwZG9yQVNBWlF2SUlPbFpJN1VrdWNYRGRNdkJJejJReEFwZ080WUs0MTh5NHB1a2hJcWdOdWZpYlJscUg1RUhGX3dnRkJDazhMOUZrQ3BVQk1BNVJLZTNfUndUMXJEU05vd1NYSmkwYVpsdGowVdIByAFBVV95cUxQd1RPVUlZbTlJeGVMQi1xZjBBU0RZUVZnMkNFRlAtTzZVUTdXd3RWbTVGTDc1b2lnb2haM1YyM0pQQVF2MHBVMFZvdUpEN2hzQ2prQWhVT0hYNmxwZG9yQVNBWlF2SUlPbFpJN1VrdWNYRGRNdkJJejJReEFwZ080WUs0MTh5NHB1a2hJcWdOdWZpYlJscUg1RUhGX3dnRkJDazhMOUZrQ3BVQk1BNVJLZTNfUndUMXJEU05vd1NYSmkwYVpsdGowVQ?oc=5</t>
        </is>
      </c>
      <c r="W14" s="173">
        <f>IF($B14="",0,IF(AND(OR(OR(Dashboard!$B$5="All themes",Dashboard!$B$5=""),$C14=Dashboard!$B$5),OR(OR(Dashboard!$G$5="All uses",Dashboard!$G$5=""),$E14=Dashboard!$G$5),N($D14)&gt;=Lists!$H$2,OR(OR(Dashboard!$N$5="All windows",Dashboard!$N$5=""),$S14=Dashboard!$N$5)),1,0))</f>
        <v/>
      </c>
      <c r="X14" s="174">
        <f>IF($W14=1,N($D14)*1E14+MIN(MAX(N($U14),0),9999)*1E10+MIN(N($K14),99999)*1E5+99999-MIN(ROW(),99999),"")</f>
        <v/>
      </c>
    </row>
    <row r="15" ht="53" customHeight="1">
      <c r="A15" s="159" t="n">
        <v>12</v>
      </c>
      <c r="B15" s="160" t="inlineStr">
        <is>
          <t>Progress review of dyke and retaining wall packages to prevent landslides along the Tien River.</t>
        </is>
      </c>
      <c r="C15" s="161" t="inlineStr">
        <is>
          <t>Hazards &amp; Resilience</t>
        </is>
      </c>
      <c r="D15" s="162" t="n">
        <v>4</v>
      </c>
      <c r="E15" s="178" t="inlineStr">
        <is>
          <t>Regional insight</t>
        </is>
      </c>
      <c r="F15" s="164" t="inlineStr">
        <is>
          <t>To review</t>
        </is>
      </c>
      <c r="G15" s="165" t="n"/>
      <c r="H15" s="166" t="n"/>
      <c r="I15" s="167" t="inlineStr">
        <is>
          <t>What design and construction sequencing issues arise when riverbank dykes and retaining walls are upgraded in stages along an active erosion-prone river?</t>
        </is>
      </c>
      <c r="J15" s="167" t="inlineStr">
        <is>
          <t>Vietnam.vn</t>
        </is>
      </c>
      <c r="K15" s="168" t="n">
        <v>46321</v>
      </c>
      <c r="L15" s="167" t="inlineStr">
        <is>
          <t>Meninjau kemajuan paket konstruksi dalam Proyek peningkatan tanggul dan dinding penahan untuk mencegah tanah longsor di sepanjang Sungai Tien.</t>
        </is>
      </c>
      <c r="M15" s="167" t="inlineStr">
        <is>
          <t>the provincial project management board for the Tien River dyke works</t>
        </is>
      </c>
      <c r="N15" s="169" t="inlineStr">
        <is>
          <t>Vietnam</t>
        </is>
      </c>
      <c r="O15" s="167" t="inlineStr">
        <is>
          <t>Tien River, Vietnam</t>
        </is>
      </c>
      <c r="P15" s="167" t="n"/>
      <c r="Q15" s="170" t="inlineStr">
        <is>
          <t>Indonesia</t>
        </is>
      </c>
      <c r="R15" s="168" t="n">
        <v>46319</v>
      </c>
      <c r="S15" s="169" t="inlineStr">
        <is>
          <t>2026-Q4</t>
        </is>
      </c>
      <c r="T15" s="171" t="inlineStr">
        <is>
          <t>landslide, embankment</t>
        </is>
      </c>
      <c r="U15" s="159" t="n">
        <v>7</v>
      </c>
      <c r="V15" s="172" t="inlineStr">
        <is>
          <t>https://news.google.com/rss/articles/CBMiwgFBVV95cUxQMlJUSUZORHF4STQta0JTUE5jbGhUeEU2WjdzTTNtSTZZZEprbEpLX3lzS3ZEMTd4YWZhekVGaUJsVnJWUml5M3lMTjlNS0Z4UjgyMUUxZlpWMlB1R1FCWGt3MEczZDZ0Y2YwOVRhd01GUk9ORlJZZklUR1I0SnhwbmM3eGdod182eEdWZHM2dkQ2V1hLVTlwaTl1eVJ1dE4ycVlxd0pYWUlab2M4VnBVcG5EU0dRZVBZbmc3UHVkMHRrdw?oc=5</t>
        </is>
      </c>
      <c r="W15" s="173">
        <f>IF($B15="",0,IF(AND(OR(OR(Dashboard!$B$5="All themes",Dashboard!$B$5=""),$C15=Dashboard!$B$5),OR(OR(Dashboard!$G$5="All uses",Dashboard!$G$5=""),$E15=Dashboard!$G$5),N($D15)&gt;=Lists!$H$2,OR(OR(Dashboard!$N$5="All windows",Dashboard!$N$5=""),$S15=Dashboard!$N$5)),1,0))</f>
        <v/>
      </c>
      <c r="X15" s="174">
        <f>IF($W15=1,N($D15)*1E14+MIN(MAX(N($U15),0),9999)*1E10+MIN(N($K15),99999)*1E5+99999-MIN(ROW(),99999),"")</f>
        <v/>
      </c>
    </row>
    <row r="16" ht="53" customHeight="1">
      <c r="A16" s="159" t="n">
        <v>13</v>
      </c>
      <c r="B16" s="160" t="inlineStr">
        <is>
          <t>No signs of further slope movement at Paya Terubong landslide site, says MBPP</t>
        </is>
      </c>
      <c r="C16" s="161" t="inlineStr">
        <is>
          <t>Hazards &amp; Resilience</t>
        </is>
      </c>
      <c r="D16" s="162" t="n">
        <v>4</v>
      </c>
      <c r="E16" s="163" t="inlineStr">
        <is>
          <t>Feature lead</t>
        </is>
      </c>
      <c r="F16" s="164" t="inlineStr">
        <is>
          <t>To review</t>
        </is>
      </c>
      <c r="G16" s="165" t="n"/>
      <c r="H16" s="166" t="n"/>
      <c r="I16" s="167" t="inlineStr">
        <is>
          <t>How should a landslide site be judged stable again after movement stops, and what monitoring period is needed before reoccupation?</t>
        </is>
      </c>
      <c r="J16" s="167" t="inlineStr">
        <is>
          <t>The Star</t>
        </is>
      </c>
      <c r="K16" s="168" t="n">
        <v>46321</v>
      </c>
      <c r="L16" s="167" t="n"/>
      <c r="M16" s="167" t="inlineStr">
        <is>
          <t>Penang Municipal Council (MBPP)</t>
        </is>
      </c>
      <c r="N16" s="169" t="inlineStr">
        <is>
          <t>Malaysia</t>
        </is>
      </c>
      <c r="O16" s="167" t="inlineStr">
        <is>
          <t>Paya Terubong, Penang</t>
        </is>
      </c>
      <c r="P16" s="167" t="inlineStr">
        <is>
          <t>Paya Terubong landslide, Penang, Malaysia (Oct 2026) · Response &amp; recovery · 7 reports</t>
        </is>
      </c>
      <c r="Q16" s="170" t="inlineStr">
        <is>
          <t>United Kingdom</t>
        </is>
      </c>
      <c r="R16" s="168" t="n">
        <v>46321</v>
      </c>
      <c r="S16" s="169" t="inlineStr">
        <is>
          <t>2026-Q4</t>
        </is>
      </c>
      <c r="T16" s="171" t="inlineStr">
        <is>
          <t>landslide, slope</t>
        </is>
      </c>
      <c r="U16" s="159" t="n">
        <v>6</v>
      </c>
      <c r="V16" s="172" t="inlineStr">
        <is>
          <t>https://news.google.com/rss/articles/CBMixAFBVV95cUxPYTBqYjFndGYzaFJ2VUxqdjg5SW5FNXZZczhJcmVKSDBHd3pQWThlXzRJc25mQVQzR0ZMdlg0eENhY1NkX3VTZjZJeGxhblFaRVhQWUd3UnEzTEFXVW5OZWM4QVVtR1k3UEk5bjVkUlNfcW1UTThGbTNBSEFCcEZ3S2Y1eG95dndkeHBlUF9TXzd3U1FSTlhreU1ZZGFtOWNUY1lLWnp5OE5wcUp0cGQ0TTdNWUJaOU1WNnU0cWJnMlBTUzVC?oc=5</t>
        </is>
      </c>
      <c r="W16" s="173">
        <f>IF($B16="",0,IF(AND(OR(OR(Dashboard!$B$5="All themes",Dashboard!$B$5=""),$C16=Dashboard!$B$5),OR(OR(Dashboard!$G$5="All uses",Dashboard!$G$5=""),$E16=Dashboard!$G$5),N($D16)&gt;=Lists!$H$2,OR(OR(Dashboard!$N$5="All windows",Dashboard!$N$5=""),$S16=Dashboard!$N$5)),1,0))</f>
        <v/>
      </c>
      <c r="X16" s="174">
        <f>IF($W16=1,N($D16)*1E14+MIN(MAX(N($U16),0),9999)*1E10+MIN(N($K16),99999)*1E5+99999-MIN(ROW(),99999),"")</f>
        <v/>
      </c>
    </row>
    <row r="17" ht="53" customHeight="1">
      <c r="A17" s="159" t="n">
        <v>14</v>
      </c>
      <c r="B17" s="160" t="inlineStr">
        <is>
          <t>State Govt urged to act on slope safety after landslide kills 73-year-old doctor</t>
        </is>
      </c>
      <c r="C17" s="161" t="inlineStr">
        <is>
          <t>Hazards &amp; Resilience</t>
        </is>
      </c>
      <c r="D17" s="162" t="n">
        <v>4</v>
      </c>
      <c r="E17" s="163" t="inlineStr">
        <is>
          <t>Feature lead</t>
        </is>
      </c>
      <c r="F17" s="164" t="inlineStr">
        <is>
          <t>To review</t>
        </is>
      </c>
      <c r="G17" s="165" t="n"/>
      <c r="H17" s="166" t="n"/>
      <c r="I17" s="167" t="inlineStr">
        <is>
          <t>What would a credible state-wide slope inventory and maintenance regime look like for hill-slope housing in tropical, rain-driven terrain?</t>
        </is>
      </c>
      <c r="J17" s="167" t="inlineStr">
        <is>
          <t>The Vibes</t>
        </is>
      </c>
      <c r="K17" s="168" t="n">
        <v>46321</v>
      </c>
      <c r="L17" s="167" t="n"/>
      <c r="M17" s="167" t="inlineStr">
        <is>
          <t>Penang state government and its slope safety authority</t>
        </is>
      </c>
      <c r="N17" s="169" t="inlineStr">
        <is>
          <t>Malaysia</t>
        </is>
      </c>
      <c r="O17" s="167" t="inlineStr">
        <is>
          <t>Penang</t>
        </is>
      </c>
      <c r="P17" s="167" t="inlineStr">
        <is>
          <t>Paya Terubong landslide, Penang, Malaysia (Oct 2026) · Legal &amp; policy · 7 reports</t>
        </is>
      </c>
      <c r="Q17" s="170" t="inlineStr">
        <is>
          <t>Australia</t>
        </is>
      </c>
      <c r="R17" s="168" t="n">
        <v>46320</v>
      </c>
      <c r="S17" s="169" t="inlineStr">
        <is>
          <t>2026-Q4</t>
        </is>
      </c>
      <c r="T17" s="171" t="inlineStr">
        <is>
          <t>landslide, slope</t>
        </is>
      </c>
      <c r="U17" s="159" t="n">
        <v>6</v>
      </c>
      <c r="V17" s="172" t="inlineStr">
        <is>
          <t>https://news.google.com/rss/articles/CBMi0gFBVV95cUxQa2swTlk5dXpVVXAyeTNwM3ZqaExYMnhyTVdFOHA2bFhnaGpsYlAyYVlKdWxndHFvNEdrOEF1cFpSaE1wbm42MHd1UUVVNkdwclBzai1hTnNGV1JsdEttRms5SjdhUWtaZ2Z2REtHb09WUUZWZWFuZ2UyRTFzLWk3YjFFRnlXRGFuaGhGenBMekotdU1UM3NWcW5vYWtvRk9fUUw1cXl0alU1S09FZWhfUjRNV3dTZ3cwMlFOYzlYRnpQcXpseWkxQXo2NmJ0ejBJR3c?oc=5</t>
        </is>
      </c>
      <c r="W17" s="173">
        <f>IF($B17="",0,IF(AND(OR(OR(Dashboard!$B$5="All themes",Dashboard!$B$5=""),$C17=Dashboard!$B$5),OR(OR(Dashboard!$G$5="All uses",Dashboard!$G$5=""),$E17=Dashboard!$G$5),N($D17)&gt;=Lists!$H$2,OR(OR(Dashboard!$N$5="All windows",Dashboard!$N$5=""),$S17=Dashboard!$N$5)),1,0))</f>
        <v/>
      </c>
      <c r="X17" s="174">
        <f>IF($W17=1,N($D17)*1E14+MIN(MAX(N($U17),0),9999)*1E10+MIN(N($K17),99999)*1E5+99999-MIN(ROW(),99999),"")</f>
        <v/>
      </c>
    </row>
    <row r="18" ht="53" customHeight="1">
      <c r="A18" s="159" t="n">
        <v>15</v>
      </c>
      <c r="B18" s="160" t="inlineStr">
        <is>
          <t>Four Tourists Injured After Poolside Patio Collapses Into Sinkhole At Cozumel Resort</t>
        </is>
      </c>
      <c r="C18" s="177" t="inlineStr">
        <is>
          <t>Infrastructure &amp; the Underground City</t>
        </is>
      </c>
      <c r="D18" s="162" t="n">
        <v>4</v>
      </c>
      <c r="E18" s="163" t="inlineStr">
        <is>
          <t>Feature lead</t>
        </is>
      </c>
      <c r="F18" s="164" t="inlineStr">
        <is>
          <t>To review</t>
        </is>
      </c>
      <c r="G18" s="165" t="n"/>
      <c r="H18" s="166" t="n"/>
      <c r="I18" s="167" t="inlineStr">
        <is>
          <t>How can shallow cavities in karst limestone be detected under resort paving and foundations before a patio collapses into a sinkhole?</t>
        </is>
      </c>
      <c r="J18" s="167" t="inlineStr">
        <is>
          <t>Cancun Sun</t>
        </is>
      </c>
      <c r="K18" s="168" t="n">
        <v>46321</v>
      </c>
      <c r="L18" s="167" t="n"/>
      <c r="M18" s="167" t="inlineStr">
        <is>
          <t>Quintana Roo state civil protection and the resort's engineering consultant</t>
        </is>
      </c>
      <c r="N18" s="169" t="inlineStr">
        <is>
          <t>Mexico</t>
        </is>
      </c>
      <c r="O18" s="167" t="inlineStr">
        <is>
          <t>Cozumel, Quintana Roo</t>
        </is>
      </c>
      <c r="P18" s="167" t="inlineStr">
        <is>
          <t>Occidental Cozumel hotel sinkhole, Mexico (Oct 2026) · Event · 3 reports</t>
        </is>
      </c>
      <c r="Q18" s="170" t="inlineStr">
        <is>
          <t>United Kingdom</t>
        </is>
      </c>
      <c r="R18" s="168" t="n">
        <v>46320</v>
      </c>
      <c r="S18" s="169" t="inlineStr">
        <is>
          <t>2026-Q4</t>
        </is>
      </c>
      <c r="T18" s="171" t="inlineStr">
        <is>
          <t>sinkhole, collapse</t>
        </is>
      </c>
      <c r="U18" s="159" t="n">
        <v>5</v>
      </c>
      <c r="V18" s="172" t="inlineStr">
        <is>
          <t>https://news.google.com/rss/articles/CBMirwFBVV95cUxOVGZ5TmMxZlZmTTc2cjhZVXVvUlhHbnQ2VFhzbjFUck9PNkVDY01Lc2dYN3lLZVlXcUVkV0hhTmtOSkl4bnlVblNVZ0dlM1h0dVpia1RIcDV6YU5rRW5icDB2Z2RFRGZucFFRZ2J2UUpWSlB4dEFOTEwtaUtyQXhqQkNZeVNGZmtJV3JORy1VN3ZvV1JzSkdXbk9kNVkzb3FLRkVRdEtOdkYxVThCNmtZ?oc=5</t>
        </is>
      </c>
      <c r="W18" s="173">
        <f>IF($B18="",0,IF(AND(OR(OR(Dashboard!$B$5="All themes",Dashboard!$B$5=""),$C18=Dashboard!$B$5),OR(OR(Dashboard!$G$5="All uses",Dashboard!$G$5=""),$E18=Dashboard!$G$5),N($D18)&gt;=Lists!$H$2,OR(OR(Dashboard!$N$5="All windows",Dashboard!$N$5=""),$S18=Dashboard!$N$5)),1,0))</f>
        <v/>
      </c>
      <c r="X18" s="174">
        <f>IF($W18=1,N($D18)*1E14+MIN(MAX(N($U18),0),9999)*1E10+MIN(N($K18),99999)*1E5+99999-MIN(ROW(),99999),"")</f>
        <v/>
      </c>
    </row>
    <row r="19" ht="40.5" customHeight="1">
      <c r="A19" s="159" t="n">
        <v>16</v>
      </c>
      <c r="B19" s="160" t="inlineStr">
        <is>
          <t>В Пенанге оползень обрушился на дом, погиб 73-летний мужчина — Channel NewsAsia</t>
        </is>
      </c>
      <c r="C19" s="161" t="inlineStr">
        <is>
          <t>Hazards &amp; Resilience</t>
        </is>
      </c>
      <c r="D19" s="162" t="n">
        <v>4</v>
      </c>
      <c r="E19" s="175" t="inlineStr">
        <is>
          <t>Watch only</t>
        </is>
      </c>
      <c r="F19" s="164" t="inlineStr">
        <is>
          <t>To review</t>
        </is>
      </c>
      <c r="G19" s="165" t="n"/>
      <c r="H19" s="166" t="n"/>
      <c r="I19" s="167" t="inlineStr">
        <is>
          <t>What slope failure mechanisms and early warning gaps are behind landslides that reach occupied homes on hillside sites?</t>
        </is>
      </c>
      <c r="J19" s="167" t="inlineStr">
        <is>
          <t>UA.NEWS</t>
        </is>
      </c>
      <c r="K19" s="168" t="n">
        <v>46321</v>
      </c>
      <c r="L19" s="167" t="n"/>
      <c r="M19" s="167" t="inlineStr">
        <is>
          <t>Penang state authorities and Penang Municipal Council (MBPP)</t>
        </is>
      </c>
      <c r="N19" s="169" t="inlineStr">
        <is>
          <t>Malaysia</t>
        </is>
      </c>
      <c r="O19" s="167" t="inlineStr">
        <is>
          <t>Penang</t>
        </is>
      </c>
      <c r="P19" s="167" t="inlineStr">
        <is>
          <t>Paya Terubong landslide, Penang, Malaysia (Oct 2026) · Event · 7 reports</t>
        </is>
      </c>
      <c r="Q19" s="170" t="inlineStr">
        <is>
          <t>Russia</t>
        </is>
      </c>
      <c r="R19" s="168" t="n">
        <v>46321</v>
      </c>
      <c r="S19" s="169" t="inlineStr">
        <is>
          <t>2026-Q4</t>
        </is>
      </c>
      <c r="T19" s="171" t="inlineStr">
        <is>
          <t>landslide, collapse</t>
        </is>
      </c>
      <c r="U19" s="159" t="n">
        <v>5</v>
      </c>
      <c r="V19" s="172" t="inlineStr">
        <is>
          <t>https://news.google.com/rss/articles/CBMirwFBVV95cUxNdUtXS3JxY2xtSXRmMkdCNVY0V1lYazB4VlM5aDV5TGRxUTFuR2RZYVB5Z282YVJVSzZIQ3d0VHhOaDBRVU9WZUY0M2VQWEFRb2lfWmNLcEZRZ2U3RTNVOVVDM0NnWVVxc2NEdEpYRll1TDk5d3FkWXltZXVGa0N6Q1N4bEFVelBqY3BGb0xPSzRNMUJGdVRaR1g0bGJyS0paUElYZjBnanFQeTI2aVZN?oc=5</t>
        </is>
      </c>
      <c r="W19" s="173">
        <f>IF($B19="",0,IF(AND(OR(OR(Dashboard!$B$5="All themes",Dashboard!$B$5=""),$C19=Dashboard!$B$5),OR(OR(Dashboard!$G$5="All uses",Dashboard!$G$5=""),$E19=Dashboard!$G$5),N($D19)&gt;=Lists!$H$2,OR(OR(Dashboard!$N$5="All windows",Dashboard!$N$5=""),$S19=Dashboard!$N$5)),1,0))</f>
        <v/>
      </c>
      <c r="X19" s="174">
        <f>IF($W19=1,N($D19)*1E14+MIN(MAX(N($U19),0),9999)*1E10+MIN(N($K19),99999)*1E5+99999-MIN(ROW(),99999),"")</f>
        <v/>
      </c>
    </row>
    <row r="20" ht="65.5" customHeight="1">
      <c r="A20" s="159" t="n">
        <v>17</v>
      </c>
      <c r="B20" s="160" t="inlineStr">
        <is>
          <t>Fuerte oleaje provoca un socavón y daños en un malecón emblemático de México</t>
        </is>
      </c>
      <c r="C20" s="179" t="inlineStr">
        <is>
          <t>Offshore, Coasts &amp; Water</t>
        </is>
      </c>
      <c r="D20" s="162" t="n">
        <v>4</v>
      </c>
      <c r="E20" s="163" t="inlineStr">
        <is>
          <t>Feature lead</t>
        </is>
      </c>
      <c r="F20" s="164" t="inlineStr">
        <is>
          <t>To review</t>
        </is>
      </c>
      <c r="G20" s="165" t="n"/>
      <c r="H20" s="166" t="n"/>
      <c r="I20" s="167" t="inlineStr">
        <is>
          <t>How do storm waves undermine the backfill behind a seafront promenade wall to create sinkholes, and what coastal protection and geotechnical checks should follow such damage?</t>
        </is>
      </c>
      <c r="J20" s="167" t="inlineStr">
        <is>
          <t>TV Azteca Jalisco</t>
        </is>
      </c>
      <c r="K20" s="168" t="n">
        <v>46321</v>
      </c>
      <c r="L20" s="167" t="n"/>
      <c r="M20" s="167" t="inlineStr">
        <is>
          <t>Mazatlán municipal government and Sinaloa civil protection</t>
        </is>
      </c>
      <c r="N20" s="169" t="inlineStr">
        <is>
          <t>Mexico</t>
        </is>
      </c>
      <c r="O20" s="167" t="inlineStr">
        <is>
          <t>Mazatlán malecón, Sinaloa</t>
        </is>
      </c>
      <c r="P20" s="167" t="inlineStr">
        <is>
          <t>Mazatlán malecón wave sinkhole, Mexico (Oct 2026) · Event · 3 reports</t>
        </is>
      </c>
      <c r="Q20" s="170" t="inlineStr">
        <is>
          <t>Colombia</t>
        </is>
      </c>
      <c r="R20" s="168" t="n">
        <v>46319</v>
      </c>
      <c r="S20" s="169" t="inlineStr">
        <is>
          <t>2026-Q4</t>
        </is>
      </c>
      <c r="T20" s="171" t="inlineStr">
        <is>
          <t>sinkhole</t>
        </is>
      </c>
      <c r="U20" s="159" t="n">
        <v>4</v>
      </c>
      <c r="V20" s="172" t="inlineStr">
        <is>
          <t>https://news.google.com/rss/articles/CBMiywFBVV95cUxPTmRGcEVybWVjSzRpZ1pvMmZqdzBKQnJQVXR5YUpwNmVzclVUaGdnZVVhUXJlcHBVaGFSR1R0TXhKc3BTSXJuS1Ryc2FabjN1UlQyalJ2XzU3cTd4aTUxS0VOVkNfRnlIZXJFMld6UFNwVlVWVUwzWlRfX2trZk51aDNaUGpLeE9Td0xWYVJURTBFaVZlcm05bGxFWjNQZzJtekJNZFhrNmlfZEIxQmtzQjhndTlHclkxNldIbjBMMHhFMmlSOTNSbmlNdw?oc=5</t>
        </is>
      </c>
      <c r="W20" s="173">
        <f>IF($B20="",0,IF(AND(OR(OR(Dashboard!$B$5="All themes",Dashboard!$B$5=""),$C20=Dashboard!$B$5),OR(OR(Dashboard!$G$5="All uses",Dashboard!$G$5=""),$E20=Dashboard!$G$5),N($D20)&gt;=Lists!$H$2,OR(OR(Dashboard!$N$5="All windows",Dashboard!$N$5=""),$S20=Dashboard!$N$5)),1,0))</f>
        <v/>
      </c>
      <c r="X20" s="174">
        <f>IF($W20=1,N($D20)*1E14+MIN(MAX(N($U20),0),9999)*1E10+MIN(N($K20),99999)*1E5+99999-MIN(ROW(),99999),"")</f>
        <v/>
      </c>
    </row>
    <row r="21" ht="65.5" customHeight="1">
      <c r="A21" s="159" t="n">
        <v>18</v>
      </c>
      <c r="B21" s="160" t="inlineStr">
        <is>
          <t>Inician reparación de socavón provocado por fuerte oleaje junto al Monumento a la Mujer Mazatleca</t>
        </is>
      </c>
      <c r="C21" s="179" t="inlineStr">
        <is>
          <t>Offshore, Coasts &amp; Water</t>
        </is>
      </c>
      <c r="D21" s="162" t="n">
        <v>4</v>
      </c>
      <c r="E21" s="178" t="inlineStr">
        <is>
          <t>Regional insight</t>
        </is>
      </c>
      <c r="F21" s="164" t="inlineStr">
        <is>
          <t>To review</t>
        </is>
      </c>
      <c r="G21" s="165" t="n"/>
      <c r="H21" s="166" t="n"/>
      <c r="I21" s="167" t="inlineStr">
        <is>
          <t>What repair approach suits a wave-undermined seafront structure, and how should designers balance scour protection, backfill compaction and monument stability at the shoreline?</t>
        </is>
      </c>
      <c r="J21" s="167" t="inlineStr">
        <is>
          <t>Los Noticieristas</t>
        </is>
      </c>
      <c r="K21" s="168" t="n">
        <v>46321</v>
      </c>
      <c r="L21" s="167" t="n"/>
      <c r="M21" s="167" t="inlineStr">
        <is>
          <t>Mazatlán municipal government</t>
        </is>
      </c>
      <c r="N21" s="169" t="inlineStr">
        <is>
          <t>Mexico</t>
        </is>
      </c>
      <c r="O21" s="167" t="inlineStr">
        <is>
          <t>Monumento a la Mujer Mazatleca, Mazatlán</t>
        </is>
      </c>
      <c r="P21" s="167" t="inlineStr">
        <is>
          <t>Mazatlán malecón wave sinkhole, Mexico (Oct 2026) · Repair &amp; reconstruction · 3 reports</t>
        </is>
      </c>
      <c r="Q21" s="170" t="inlineStr">
        <is>
          <t>Colombia</t>
        </is>
      </c>
      <c r="R21" s="168" t="n">
        <v>46318</v>
      </c>
      <c r="S21" s="169" t="inlineStr">
        <is>
          <t>2026-Q4</t>
        </is>
      </c>
      <c r="T21" s="171" t="inlineStr">
        <is>
          <t>sinkhole</t>
        </is>
      </c>
      <c r="U21" s="159" t="n">
        <v>4</v>
      </c>
      <c r="V21" s="172" t="inlineStr">
        <is>
          <t>https://news.google.com/rss/articles/CBMi5gFBVV95cUxPSnh3ZEx6N0ZTcnlzekRyS05rY2djbEVfZGs3cmttMkwxTU56V3pIbjNsanNsQ2FBdGtoMjZPdlRUcjNVZ2FyUVVrWUFsWGctMGVYQzYwTlBkQ0t0dm9UOEdkRkVSeTlkazBkUVdpNnVlbHRVU3hYNkZqdWRMVENoNWx0YXdybnRhWUttam5kX2FRUlJxMlRPS0ZIc09WUnRhSzNseDdSaWJLSEhrYWUtLWczUkNKZXJGQ2xOVE50OHBWVkZpZWZTdHE5QUVQQmpTcnY1OXVEVms4NXhpRjR5aEhRWDdpZw?oc=5</t>
        </is>
      </c>
      <c r="W21" s="173">
        <f>IF($B21="",0,IF(AND(OR(OR(Dashboard!$B$5="All themes",Dashboard!$B$5=""),$C21=Dashboard!$B$5),OR(OR(Dashboard!$G$5="All uses",Dashboard!$G$5=""),$E21=Dashboard!$G$5),N($D21)&gt;=Lists!$H$2,OR(OR(Dashboard!$N$5="All windows",Dashboard!$N$5=""),$S21=Dashboard!$N$5)),1,0))</f>
        <v/>
      </c>
      <c r="X21" s="174">
        <f>IF($W21=1,N($D21)*1E14+MIN(MAX(N($U21),0),9999)*1E10+MIN(N($K21),99999)*1E5+99999-MIN(ROW(),99999),"")</f>
        <v/>
      </c>
    </row>
    <row r="22" ht="65.5" customHeight="1">
      <c r="A22" s="159" t="n">
        <v>19</v>
      </c>
      <c r="B22" s="160" t="inlineStr">
        <is>
          <t>Ayuntamiento atiende más de 50 socavones su reparación cuesta hasta 700 mil pesos por punto</t>
        </is>
      </c>
      <c r="C22" s="177" t="inlineStr">
        <is>
          <t>Infrastructure &amp; the Underground City</t>
        </is>
      </c>
      <c r="D22" s="162" t="n">
        <v>4</v>
      </c>
      <c r="E22" s="163" t="inlineStr">
        <is>
          <t>Feature lead</t>
        </is>
      </c>
      <c r="F22" s="164" t="inlineStr">
        <is>
          <t>To review</t>
        </is>
      </c>
      <c r="G22" s="165" t="n"/>
      <c r="H22" s="166" t="n"/>
      <c r="I22" s="167" t="inlineStr">
        <is>
          <t>Why do dozens of urban sinkholes appear in one city, and what are the economics and engineering options for locating leaking buried pipes and rehabilitating ground before repairs become recurrent?</t>
        </is>
      </c>
      <c r="J22" s="167" t="inlineStr">
        <is>
          <t>Pulso Diario San Luis</t>
        </is>
      </c>
      <c r="K22" s="168" t="n">
        <v>46321</v>
      </c>
      <c r="L22" s="167" t="n"/>
      <c r="M22" s="167" t="inlineStr">
        <is>
          <t>San Luis Potosí municipal government</t>
        </is>
      </c>
      <c r="N22" s="169" t="inlineStr">
        <is>
          <t>Mexico</t>
        </is>
      </c>
      <c r="O22" s="167" t="inlineStr">
        <is>
          <t>San Luis Potosí city</t>
        </is>
      </c>
      <c r="P22" s="167" t="n"/>
      <c r="Q22" s="170" t="inlineStr">
        <is>
          <t>Colombia</t>
        </is>
      </c>
      <c r="R22" s="168" t="n">
        <v>46320</v>
      </c>
      <c r="S22" s="169" t="inlineStr">
        <is>
          <t>2026-Q4</t>
        </is>
      </c>
      <c r="T22" s="171" t="inlineStr">
        <is>
          <t>sinkhole</t>
        </is>
      </c>
      <c r="U22" s="159" t="n">
        <v>4</v>
      </c>
      <c r="V22" s="172" t="inlineStr">
        <is>
          <t>https://news.google.com/rss/articles/CBMipAFBVV95cUxNUnM2My1keW1jZUFFWldaOGdueXdRemVGa21mVnNQU0w2bzRaalVPSWJVVGtCZms2OGkwcnlYTGR3ZzdaWG5UMjVOaXZhN2FSOVNzSVJKbHFBTU4wTEFSOTE5WVctQUhKdTR5bm1FQTQ3NDBJX2RsRWN5d2REVG9wOFJja0FOWUNGS0tvSjJFLUhwQ1BYR2dfMUQ3dzZMTWREVDZ5etIBqgFBVV95cUxOS2xrRXVVVlhvZUZLZkFpS1lWUTBsOVZHNHpyaUFiU2h6aE9Kdk1xeHUtR1ZRS3M0OFdQYzlWVzJwbjV5QTNydXNxT2xDMERONXBqQnVMZEZpSnVXdkFDcTU3ZVVOdXdKeEJVckFFRDlIT2hDaWdLdnZ0M19nNWdVZzhta3V2Mkt6bmt2RG9jRkwyaGVaMmYwZVVNTzNSR0VVNzZ3RGZ0ckl1UQ?oc=5</t>
        </is>
      </c>
      <c r="W22" s="173">
        <f>IF($B22="",0,IF(AND(OR(OR(Dashboard!$B$5="All themes",Dashboard!$B$5=""),$C22=Dashboard!$B$5),OR(OR(Dashboard!$G$5="All uses",Dashboard!$G$5=""),$E22=Dashboard!$G$5),N($D22)&gt;=Lists!$H$2,OR(OR(Dashboard!$N$5="All windows",Dashboard!$N$5=""),$S22=Dashboard!$N$5)),1,0))</f>
        <v/>
      </c>
      <c r="X22" s="174">
        <f>IF($W22=1,N($D22)*1E14+MIN(MAX(N($U22),0),9999)*1E10+MIN(N($K22),99999)*1E5+99999-MIN(ROW(),99999),"")</f>
        <v/>
      </c>
    </row>
    <row r="23" ht="65.5" customHeight="1">
      <c r="A23" s="159" t="n">
        <v>20</v>
      </c>
      <c r="B23" s="160" t="inlineStr">
        <is>
          <t>Ica: nuevo huaico podría repetir el bloqueo de la Panamericana Sur por falta de puente en Ocucaje</t>
        </is>
      </c>
      <c r="C23" s="177" t="inlineStr">
        <is>
          <t>Infrastructure &amp; the Underground City</t>
        </is>
      </c>
      <c r="D23" s="162" t="n">
        <v>4</v>
      </c>
      <c r="E23" s="163" t="inlineStr">
        <is>
          <t>Feature lead</t>
        </is>
      </c>
      <c r="F23" s="164" t="inlineStr">
        <is>
          <t>To review</t>
        </is>
      </c>
      <c r="G23" s="165" t="n"/>
      <c r="H23" s="166" t="n"/>
      <c r="I23" s="167" t="inlineStr">
        <is>
          <t>How do debris flows crossing desert valleys threaten highway embankments and crossings, and what design choices should guide replacement of a missing bridge on this corridor?</t>
        </is>
      </c>
      <c r="J23" s="167" t="inlineStr">
        <is>
          <t>Diario Correo</t>
        </is>
      </c>
      <c r="K23" s="168" t="n">
        <v>46321</v>
      </c>
      <c r="L23" s="167" t="n"/>
      <c r="M23" s="167" t="inlineStr">
        <is>
          <t>Provías Nacional (MTC)</t>
        </is>
      </c>
      <c r="N23" s="169" t="inlineStr">
        <is>
          <t>Peru</t>
        </is>
      </c>
      <c r="O23" s="167" t="inlineStr">
        <is>
          <t>Ocucaje, Ica</t>
        </is>
      </c>
      <c r="P23" s="167" t="n"/>
      <c r="Q23" s="170" t="inlineStr">
        <is>
          <t>Peru</t>
        </is>
      </c>
      <c r="R23" s="168" t="n">
        <v>46320</v>
      </c>
      <c r="S23" s="169" t="inlineStr">
        <is>
          <t>2026-Q4</t>
        </is>
      </c>
      <c r="T23" s="171" t="inlineStr">
        <is>
          <t>debris flow</t>
        </is>
      </c>
      <c r="U23" s="159" t="n">
        <v>4</v>
      </c>
      <c r="V23" s="172" t="inlineStr">
        <is>
          <t>https://news.google.com/rss/articles/CBMi5AFBVV95cUxOb3NDdUN3Y3VHbl9BSE5xZUcwQkduTVRNdFQ0dlM1eUN3V0VyRzNYWDQxa0xaZjNUdkZjTmd4dHVBaTRCOXRCNUU3VTdTSnhGcms0X0dTMkZnMndqOEpWdFVDbXpUZWxGc2tJb0NkQ2JNMWV1dnBxR3BWYm5Ga1pRSGxMUDFuTkp1aEFyM1ozSHRkOVFFNkdGajNOZVJTSlp3OTBCT3d0NTFPMWJyemhtaGc4RmMzYWs3MWNvcHpIVHdsOXRuZF9HWnAyUGVLWGRkUW5jV2pPbVVnMzJ0bVRGY3ZDRljSAfgBQVVfeXFMUGk0TVN2aUMxUUhXYnN2SklCSmRvcm41R0pVSUNUV2s5Tkg4b1FEeldzbk13QVZsX3RjcFFobDlld1VrYzF6MnNJWVV6Y292WDhOSGZuMUdfV2E5OTdMamYwcWJTY0pHb2I4VzdsTWw1anBEWGVJanF1ejBpVHZVQnlBYzZOanhQb1lkTzVNYXJHbGttLVNNcG5oZnpzTFA2U2ZZYkNjNnl4MGxGMi11ZEZRUVNwZUpkTV9raVFVZGFHMWY2amVXd1VXRHB3Q0NIR1BCNmhBYmZ6X1VyVXBuNlhhQUFIR0NLd2dMNU11REotX0o3UWlPTlc?oc=5</t>
        </is>
      </c>
      <c r="W23" s="173">
        <f>IF($B23="",0,IF(AND(OR(OR(Dashboard!$B$5="All themes",Dashboard!$B$5=""),$C23=Dashboard!$B$5),OR(OR(Dashboard!$G$5="All uses",Dashboard!$G$5=""),$E23=Dashboard!$G$5),N($D23)&gt;=Lists!$H$2,OR(OR(Dashboard!$N$5="All windows",Dashboard!$N$5=""),$S23=Dashboard!$N$5)),1,0))</f>
        <v/>
      </c>
      <c r="X23" s="174">
        <f>IF($W23=1,N($D23)*1E14+MIN(MAX(N($U23),0),9999)*1E10+MIN(N($K23),99999)*1E5+99999-MIN(ROW(),99999),"")</f>
        <v/>
      </c>
    </row>
    <row r="24" ht="53" customHeight="1">
      <c r="A24" s="159" t="n">
        <v>21</v>
      </c>
      <c r="B24" s="160" t="inlineStr">
        <is>
          <t>Panamá interviene antigua mina de oro tras deslizamiento que amenaza fuentes de agua</t>
        </is>
      </c>
      <c r="C24" s="161" t="inlineStr">
        <is>
          <t>Hazards &amp; Resilience</t>
        </is>
      </c>
      <c r="D24" s="162" t="n">
        <v>4</v>
      </c>
      <c r="E24" s="163" t="inlineStr">
        <is>
          <t>Feature lead</t>
        </is>
      </c>
      <c r="F24" s="164" t="inlineStr">
        <is>
          <t>To review</t>
        </is>
      </c>
      <c r="G24" s="165" t="n"/>
      <c r="H24" s="166" t="n"/>
      <c r="I24" s="167" t="inlineStr">
        <is>
          <t>How should slope and waste-material stability in an abandoned mine be assessed where failure threatens downstream water supplies?</t>
        </is>
      </c>
      <c r="J24" s="167" t="inlineStr">
        <is>
          <t>Infobae</t>
        </is>
      </c>
      <c r="K24" s="168" t="n">
        <v>46321</v>
      </c>
      <c r="L24" s="167" t="n"/>
      <c r="M24" s="167" t="inlineStr">
        <is>
          <t>Panama's environment ministry (MiAmbiente)</t>
        </is>
      </c>
      <c r="N24" s="169" t="inlineStr">
        <is>
          <t>Panama</t>
        </is>
      </c>
      <c r="O24" s="167" t="inlineStr">
        <is>
          <t>former gold mine, Panama</t>
        </is>
      </c>
      <c r="P24" s="167" t="n"/>
      <c r="Q24" s="170" t="inlineStr">
        <is>
          <t>Spain</t>
        </is>
      </c>
      <c r="R24" s="168" t="n">
        <v>46320</v>
      </c>
      <c r="S24" s="169" t="inlineStr">
        <is>
          <t>2026-Q4</t>
        </is>
      </c>
      <c r="T24" s="171" t="inlineStr">
        <is>
          <t>landslide</t>
        </is>
      </c>
      <c r="U24" s="159" t="n">
        <v>4</v>
      </c>
      <c r="V24" s="172" t="inlineStr">
        <is>
          <t>https://news.google.com/rss/articles/CBMixgFBVV95cUxQaVhsb1NSUXVneU1mZ0s1bXFVUHlEWjJrd0ZFa3FCeW1rYjVLeXBWcGxWSUJyM0VBaS00ZU9naFM4RGxYa1N0MUtGRlJMMExzZEJ2MXRoWnZnd3FCWHFwbFFna0xwUmhST3dab0NGNllRZGxyN1lENkJxVnhpa2RUcEdLWndtZmRySGw4RjlmU25ocmQ0aWJkQ1RUU0ZWSjlhZE9KYmpyUWhkOXdEbU9pc2RZc1dIVWxMQUloOGZCb3dWWDAxZnfSAeABQVVfeXFMUHV0bkZyU0hXY0RQTDdYd3g5M1d4QkxUYklYQlgxOFlGVjQyUTJwVVFVQTE3QUh6NzUtbVpfSkhjVW5kQlA5RW9nemlfNDBWQzJCRE9FY2xfZ19velh4a29NdkNlaEJJdGIwOGV3bW1zY1VCenhhd1VRRncybE9UM1YzU1ZrSzdWY0JTM1hVZVRmTDEySFFWWloxUEptSDV3MTVuOUdHTmFGZF9pRzBfM3E5YTNHSVkwNnRCc1NqMUU4LXl2SWlwMjByRWowN2FIc2lIb3ROWmVNZDRBeXpkY0g?oc=5</t>
        </is>
      </c>
      <c r="W24" s="173">
        <f>IF($B24="",0,IF(AND(OR(OR(Dashboard!$B$5="All themes",Dashboard!$B$5=""),$C24=Dashboard!$B$5),OR(OR(Dashboard!$G$5="All uses",Dashboard!$G$5=""),$E24=Dashboard!$G$5),N($D24)&gt;=Lists!$H$2,OR(OR(Dashboard!$N$5="All windows",Dashboard!$N$5=""),$S24=Dashboard!$N$5)),1,0))</f>
        <v/>
      </c>
      <c r="X24" s="174">
        <f>IF($W24=1,N($D24)*1E14+MIN(MAX(N($U24),0),9999)*1E10+MIN(N($K24),99999)*1E5+99999-MIN(ROW(),99999),"")</f>
        <v/>
      </c>
    </row>
    <row r="25" ht="65.5" customHeight="1">
      <c r="A25" s="159" t="n">
        <v>22</v>
      </c>
      <c r="B25" s="160" t="inlineStr">
        <is>
          <t>Socavón amenaza con dejar incomunicadas a dos barriadas en Arraiján</t>
        </is>
      </c>
      <c r="C25" s="161" t="inlineStr">
        <is>
          <t>Hazards &amp; Resilience</t>
        </is>
      </c>
      <c r="D25" s="162" t="n">
        <v>4</v>
      </c>
      <c r="E25" s="163" t="inlineStr">
        <is>
          <t>Feature lead</t>
        </is>
      </c>
      <c r="F25" s="164" t="inlineStr">
        <is>
          <t>To review</t>
        </is>
      </c>
      <c r="G25" s="165" t="n"/>
      <c r="H25" s="166" t="n"/>
      <c r="I25" s="167" t="inlineStr">
        <is>
          <t>What causes a sinkhole to threaten access roads serving residential areas, and how should geotechnical investigation and emergency stabilisation be prioritised to keep communities connected?</t>
        </is>
      </c>
      <c r="J25" s="167" t="inlineStr">
        <is>
          <t>Telemetro</t>
        </is>
      </c>
      <c r="K25" s="168" t="n">
        <v>46321</v>
      </c>
      <c r="L25" s="167" t="n"/>
      <c r="M25" s="167" t="inlineStr">
        <is>
          <t>Arraiján municipality and Panama's public works ministry (MOP)</t>
        </is>
      </c>
      <c r="N25" s="169" t="inlineStr">
        <is>
          <t>Panama</t>
        </is>
      </c>
      <c r="O25" s="167" t="inlineStr">
        <is>
          <t>Arraiján, Panamá Oeste</t>
        </is>
      </c>
      <c r="P25" s="167" t="n"/>
      <c r="Q25" s="170" t="inlineStr">
        <is>
          <t>Colombia</t>
        </is>
      </c>
      <c r="R25" s="168" t="n">
        <v>46320</v>
      </c>
      <c r="S25" s="169" t="inlineStr">
        <is>
          <t>2026-Q4</t>
        </is>
      </c>
      <c r="T25" s="171" t="inlineStr">
        <is>
          <t>sinkhole</t>
        </is>
      </c>
      <c r="U25" s="159" t="n">
        <v>4</v>
      </c>
      <c r="V25" s="172" t="inlineStr">
        <is>
          <t>https://news.google.com/rss/articles/CBMipwFBVV95cUxPWHFDTVg5S1Z4YURHWFE5YjMycWRyYWNObmRLUVRMV0NsN2NGLU0zeUx6REd2NktKajNUOTdNZGxqcjNWWmE1NGk4WWUwck1DTUNvY0pOa2xGNDBIcWc1SURyXzFQZHpCbVQwY1JyMVpNRmVMdzgwd1VpQU53cm96cUNoM2pEQmJkQ2VBRVBtV1hpZkpDSE12aGNLYndSckl4V1ZTOG8tQdIBrAFBVV95cUxOMk93aGFZX1RCd045SlQ5d0gwOW9vOG1Sem5IYW9URVY3YTdOUnExWU80QlVnYU5wUDdaN1Y3SXlvS3pLT0FDcGxWbVc3N2ZPUXExVTU5LTZBNk01bFltYUVSTFQxSEZYMG9seXV3UUx2cXAyRUlFcHBLZTF6bmtIXzJHckt5Nld3TUJRbmJJTzBiTUMwQ1RabnhzR09hUUt6OXBoR3R5ZHY2MFl5?oc=5</t>
        </is>
      </c>
      <c r="W25" s="173">
        <f>IF($B25="",0,IF(AND(OR(OR(Dashboard!$B$5="All themes",Dashboard!$B$5=""),$C25=Dashboard!$B$5),OR(OR(Dashboard!$G$5="All uses",Dashboard!$G$5=""),$E25=Dashboard!$G$5),N($D25)&gt;=Lists!$H$2,OR(OR(Dashboard!$N$5="All windows",Dashboard!$N$5=""),$S25=Dashboard!$N$5)),1,0))</f>
        <v/>
      </c>
      <c r="X25" s="174">
        <f>IF($W25=1,N($D25)*1E14+MIN(MAX(N($U25),0),9999)*1E10+MIN(N($K25),99999)*1E5+99999-MIN(ROW(),99999),"")</f>
        <v/>
      </c>
    </row>
    <row r="26" ht="65.5" customHeight="1">
      <c r="A26" s="159" t="n">
        <v>23</v>
      </c>
      <c r="B26" s="160" t="inlineStr">
        <is>
          <t>Reportan caída de cuatro huéspedes en socavón de hotel Occidental de Cozumel</t>
        </is>
      </c>
      <c r="C26" s="161" t="inlineStr">
        <is>
          <t>Hazards &amp; Resilience</t>
        </is>
      </c>
      <c r="D26" s="162" t="n">
        <v>4</v>
      </c>
      <c r="E26" s="180" t="inlineStr">
        <is>
          <t>News brief</t>
        </is>
      </c>
      <c r="F26" s="164" t="inlineStr">
        <is>
          <t>To review</t>
        </is>
      </c>
      <c r="G26" s="165" t="n"/>
      <c r="H26" s="166" t="n"/>
      <c r="I26" s="167" t="inlineStr">
        <is>
          <t>What subsurface conditions in coastal limestone, such as cenotes and dissolution cavities, lead to sudden ground collapse beneath resort buildings, and how should such sites be surveyed?</t>
        </is>
      </c>
      <c r="J26" s="167" t="inlineStr">
        <is>
          <t>Quinta Fuerza</t>
        </is>
      </c>
      <c r="K26" s="168" t="n">
        <v>46321</v>
      </c>
      <c r="L26" s="167" t="n"/>
      <c r="M26" s="167" t="inlineStr">
        <is>
          <t>Hotel Occidental Cozumel management and Quintana Roo civil protection</t>
        </is>
      </c>
      <c r="N26" s="169" t="inlineStr">
        <is>
          <t>Mexico</t>
        </is>
      </c>
      <c r="O26" s="167" t="inlineStr">
        <is>
          <t>Cozumel, Quintana Roo</t>
        </is>
      </c>
      <c r="P26" s="167" t="inlineStr">
        <is>
          <t>Occidental Cozumel hotel sinkhole, Mexico (Oct 2026) · Event · 3 reports</t>
        </is>
      </c>
      <c r="Q26" s="170" t="inlineStr">
        <is>
          <t>Colombia</t>
        </is>
      </c>
      <c r="R26" s="168" t="n">
        <v>46320</v>
      </c>
      <c r="S26" s="169" t="inlineStr">
        <is>
          <t>2026-Q4</t>
        </is>
      </c>
      <c r="T26" s="171" t="inlineStr">
        <is>
          <t>sinkhole</t>
        </is>
      </c>
      <c r="U26" s="159" t="n">
        <v>4</v>
      </c>
      <c r="V26" s="172" t="inlineStr">
        <is>
          <t>https://news.google.com/rss/articles/CBMirwFBVV95cUxPVnhmNG5qb2FXNFprTmtzdnowYkYya3RTZ0I5VlZsWVJ3OTdsMWlkZ0hUcWlOQks1YWEycFhLWUlzZmhaREN3VUQ3REhuUklsX3k4M3J3QzFRbl9JaWduTlRqby1Rem4tYzhqUmtxUFVZU1BOQ25NTUxqZ1BOdzJzX3BYaklQaWV3NS1LbkdTY1ZhNGtSbkZrS2FabmpSWEtpY1BSV0t2S0hSZFYxOWVZ?oc=5</t>
        </is>
      </c>
      <c r="W26" s="173">
        <f>IF($B26="",0,IF(AND(OR(OR(Dashboard!$B$5="All themes",Dashboard!$B$5=""),$C26=Dashboard!$B$5),OR(OR(Dashboard!$G$5="All uses",Dashboard!$G$5=""),$E26=Dashboard!$G$5),N($D26)&gt;=Lists!$H$2,OR(OR(Dashboard!$N$5="All windows",Dashboard!$N$5=""),$S26=Dashboard!$N$5)),1,0))</f>
        <v/>
      </c>
      <c r="X26" s="174">
        <f>IF($W26=1,N($D26)*1E14+MIN(MAX(N($U26),0),9999)*1E10+MIN(N($K26),99999)*1E5+99999-MIN(ROW(),99999),"")</f>
        <v/>
      </c>
    </row>
    <row r="27" ht="65.5" customHeight="1">
      <c r="A27" s="159" t="n">
        <v>24</v>
      </c>
      <c r="B27" s="160" t="inlineStr">
        <is>
          <t>Alertas SMS, señaléticas y rutas de evacuación: el plan de La Reina ante futuros aluviones</t>
        </is>
      </c>
      <c r="C27" s="161" t="inlineStr">
        <is>
          <t>Hazards &amp; Resilience</t>
        </is>
      </c>
      <c r="D27" s="162" t="n">
        <v>4</v>
      </c>
      <c r="E27" s="163" t="inlineStr">
        <is>
          <t>Feature lead</t>
        </is>
      </c>
      <c r="F27" s="164" t="inlineStr">
        <is>
          <t>To review</t>
        </is>
      </c>
      <c r="G27" s="165" t="n"/>
      <c r="H27" s="166" t="n"/>
      <c r="I27" s="167" t="inlineStr">
        <is>
          <t>Beyond warning systems, what ground-based hazard mapping and debris-flow control measures should a municipality in an Andean foothill commune use to plan evacuation and reduce aluvión exposure?</t>
        </is>
      </c>
      <c r="J27" s="167" t="inlineStr">
        <is>
          <t>Cooperativa</t>
        </is>
      </c>
      <c r="K27" s="168" t="n">
        <v>46321</v>
      </c>
      <c r="L27" s="167" t="n"/>
      <c r="M27" s="167" t="inlineStr">
        <is>
          <t>La Reina municipality and Senapred</t>
        </is>
      </c>
      <c r="N27" s="169" t="inlineStr">
        <is>
          <t>Chile</t>
        </is>
      </c>
      <c r="O27" s="167" t="inlineStr">
        <is>
          <t>La Reina, Santiago</t>
        </is>
      </c>
      <c r="P27" s="167" t="n"/>
      <c r="Q27" s="170" t="inlineStr">
        <is>
          <t>Chile</t>
        </is>
      </c>
      <c r="R27" s="168" t="n">
        <v>46319</v>
      </c>
      <c r="S27" s="169" t="inlineStr">
        <is>
          <t>2026-Q4</t>
        </is>
      </c>
      <c r="T27" s="171" t="inlineStr">
        <is>
          <t>debris flow</t>
        </is>
      </c>
      <c r="U27" s="159" t="n">
        <v>4</v>
      </c>
      <c r="V27" s="172" t="inlineStr">
        <is>
          <t>https://news.google.com/rss/articles/CBMi-wFBVV95cUxObzhjLXYxeEhDM0hkcVE1YVNRNzhhVGMtQmpuYlBnV0d2Ykk4XzR6QjJKdFR6Y3lsUjZrSlNYSW5fTnlFdHVtN21PT1NQZW5jS3FLMk9obEZ5cUxOLWlkcjlYTjA1VGo3aW9yY1VVaEdyUFVnNmhhZS1vNVdXLU1neDBzdlZYZGtGb3FnelhGZXVOUk56ZnRCQ2hqdmc5VWV0bUFxb1AwTHVRYWhQZ2hJamN1QTgzZExkdU5VdE0xWHp4OWJwQl91YkNDSlFwQ1hITm4xVl96Wm0yeVVEcHdCRXkxM3dVNEZDd19GRlNyUUxmZ0JZM0JLZE9YY9IBjAFBVV95cUxOck1uV2p6RDJ3VXVOVkI5ZVFtYzVuYkt1Tk1QVklFcHZCY3lDZVJ0cm1OWDh6VlpiMGlTaW53dElkUkNyRnE4VVlMYmRtSGR3YXItSTJ0RmZnWmt6UmR4anN5amw0emlSUU5NdHJoWVc2aHd3SU9kTVdjNGZQN29PanZLTk1GVndudnVqVA?oc=5</t>
        </is>
      </c>
      <c r="W27" s="173">
        <f>IF($B27="",0,IF(AND(OR(OR(Dashboard!$B$5="All themes",Dashboard!$B$5=""),$C27=Dashboard!$B$5),OR(OR(Dashboard!$G$5="All uses",Dashboard!$G$5=""),$E27=Dashboard!$G$5),N($D27)&gt;=Lists!$H$2,OR(OR(Dashboard!$N$5="All windows",Dashboard!$N$5=""),$S27=Dashboard!$N$5)),1,0))</f>
        <v/>
      </c>
      <c r="X27" s="174">
        <f>IF($W27=1,N($D27)*1E14+MIN(MAX(N($U27),0),9999)*1E10+MIN(N($K27),99999)*1E5+99999-MIN(ROW(),99999),"")</f>
        <v/>
      </c>
    </row>
    <row r="28" ht="53" customHeight="1">
      <c r="A28" s="159" t="n">
        <v>25</v>
      </c>
      <c r="B28" s="160" t="inlineStr">
        <is>
          <t>ANA instala 12 barreras para reducir el impacto de huaicos en Lima y Huarochirí</t>
        </is>
      </c>
      <c r="C28" s="161" t="inlineStr">
        <is>
          <t>Hazards &amp; Resilience</t>
        </is>
      </c>
      <c r="D28" s="162" t="n">
        <v>4</v>
      </c>
      <c r="E28" s="163" t="inlineStr">
        <is>
          <t>Feature lead</t>
        </is>
      </c>
      <c r="F28" s="164" t="inlineStr">
        <is>
          <t>To review</t>
        </is>
      </c>
      <c r="G28" s="165" t="n"/>
      <c r="H28" s="166" t="n"/>
      <c r="I28" s="167" t="inlineStr">
        <is>
          <t>Can check dams and barrier structures in steep Andean gullies meaningfully reduce debris-flow impacts, and how should their design and maintenance be evaluated?</t>
        </is>
      </c>
      <c r="J28" s="167" t="inlineStr">
        <is>
          <t>TVPerú</t>
        </is>
      </c>
      <c r="K28" s="168" t="n">
        <v>46321</v>
      </c>
      <c r="L28" s="167" t="n"/>
      <c r="M28" s="167" t="inlineStr">
        <is>
          <t>Autoridad Nacional del Agua (ANA)</t>
        </is>
      </c>
      <c r="N28" s="169" t="inlineStr">
        <is>
          <t>Peru</t>
        </is>
      </c>
      <c r="O28" s="167" t="inlineStr">
        <is>
          <t>Lima and Huarochirí</t>
        </is>
      </c>
      <c r="P28" s="167" t="n"/>
      <c r="Q28" s="170" t="inlineStr">
        <is>
          <t>Peru</t>
        </is>
      </c>
      <c r="R28" s="168" t="n">
        <v>46320</v>
      </c>
      <c r="S28" s="169" t="inlineStr">
        <is>
          <t>2026-Q4</t>
        </is>
      </c>
      <c r="T28" s="171" t="inlineStr">
        <is>
          <t>debris flow</t>
        </is>
      </c>
      <c r="U28" s="159" t="n">
        <v>4</v>
      </c>
      <c r="V28" s="172" t="inlineStr">
        <is>
          <t>https://news.google.com/rss/articles/CBMiwwFBVV95cUxNWFA0THhERThMM2RnZS1WTWRDUVZOVUxEN254WUFHdEs5a0dfZGtINWtuOHAxM1I3TXRPak1xRDd0ZnZybEVWbF9BVnFaQVltSThXb3NHelk1ZVozMTAwcXJVMXF5cGZEREpPN2c3Z2gwNHNxSHVhZmlLNzluWGk1bERUTGlGVlJGejRLZVVIRDhfZ3VvSm9HaU41U1RZYkFLX2pJUlZoSE0yY0wtQ2FfdzMweXVIb29iWVJFUV9jclpNM3M?oc=5</t>
        </is>
      </c>
      <c r="W28" s="173">
        <f>IF($B28="",0,IF(AND(OR(OR(Dashboard!$B$5="All themes",Dashboard!$B$5=""),$C28=Dashboard!$B$5),OR(OR(Dashboard!$G$5="All uses",Dashboard!$G$5=""),$E28=Dashboard!$G$5),N($D28)&gt;=Lists!$H$2,OR(OR(Dashboard!$N$5="All windows",Dashboard!$N$5=""),$S28=Dashboard!$N$5)),1,0))</f>
        <v/>
      </c>
      <c r="X28" s="174">
        <f>IF($W28=1,N($D28)*1E14+MIN(MAX(N($U28),0),9999)*1E10+MIN(N($K28),99999)*1E5+99999-MIN(ROW(),99999),"")</f>
        <v/>
      </c>
    </row>
    <row r="29" ht="65.5" customHeight="1">
      <c r="A29" s="159" t="n">
        <v>26</v>
      </c>
      <c r="B29" s="160" t="inlineStr">
        <is>
          <t>Zero cycle: how Setl Group creates 3D excavation models for residential buildings using nanoCAD GeoniCS</t>
        </is>
      </c>
      <c r="C29" s="181" t="inlineStr">
        <is>
          <t>Digital Geotechnics</t>
        </is>
      </c>
      <c r="D29" s="162" t="n">
        <v>4</v>
      </c>
      <c r="E29" s="163" t="inlineStr">
        <is>
          <t>Feature lead</t>
        </is>
      </c>
      <c r="F29" s="164" t="inlineStr">
        <is>
          <t>To review</t>
        </is>
      </c>
      <c r="G29" s="165" t="n"/>
      <c r="H29" s="166" t="n"/>
      <c r="I29" s="167" t="inlineStr">
        <is>
          <t>How reliable are 3D excavation models built from site investigation data for deep pits in dense urban sites, and how should their accuracy be verified before construction?</t>
        </is>
      </c>
      <c r="J29" s="167" t="inlineStr">
        <is>
          <t>ComNews.ru</t>
        </is>
      </c>
      <c r="K29" s="168" t="n">
        <v>46321</v>
      </c>
      <c r="L29" s="167" t="inlineStr">
        <is>
          <t>Нулевой цикл: как в Setl Group создают 3D модели котлованов жилых зданий при помощи nanoCAD GeoniCS</t>
        </is>
      </c>
      <c r="M29" s="167" t="inlineStr">
        <is>
          <t>Setl Group (developer) and the nanoCAD GeoniCS software vendor</t>
        </is>
      </c>
      <c r="N29" s="169" t="inlineStr">
        <is>
          <t>Russia</t>
        </is>
      </c>
      <c r="O29" s="167" t="n"/>
      <c r="P29" s="167" t="n"/>
      <c r="Q29" s="170" t="inlineStr">
        <is>
          <t>Russia</t>
        </is>
      </c>
      <c r="R29" s="168" t="n">
        <v>46320</v>
      </c>
      <c r="S29" s="169" t="inlineStr">
        <is>
          <t>2026-Q4</t>
        </is>
      </c>
      <c r="T29" s="171" t="inlineStr">
        <is>
          <t>excavation</t>
        </is>
      </c>
      <c r="U29" s="159" t="n">
        <v>2</v>
      </c>
      <c r="V29" s="172" t="inlineStr">
        <is>
          <t>https://news.google.com/rss/articles/CBMi9wFBVV95cUxNb2RuOGhRdXFVMFdkZGFBRy0tQVZUWlMtODhEZzJpMzJicUFacnBWTXpkeEZ5YTdTMmxmbFNoUDRaWFdKVmdJZFJtbnJtc2p1ejBxbWR6OUs0ZkNSMlJhX0g4NEplZHdndFFITWVjeEF5bnNpZkNlTlBPWEFRN1FRNktCZXcyU1Fha1l4dXc3VHo0TVBsU3l0R2hob0NNYWtIeVM5YUNhVTNHWnAzUHozc0dsNmxLZUgtYzhpR2VubDdJMnF0aHNwdi0zd3JpXzI1Wk5hbDdyNnVmUERYQkFYSUV4UWRnR01GZXFIRVNENzZYTWpJSkFv?oc=5</t>
        </is>
      </c>
      <c r="W29" s="173">
        <f>IF($B29="",0,IF(AND(OR(OR(Dashboard!$B$5="All themes",Dashboard!$B$5=""),$C29=Dashboard!$B$5),OR(OR(Dashboard!$G$5="All uses",Dashboard!$G$5=""),$E29=Dashboard!$G$5),N($D29)&gt;=Lists!$H$2,OR(OR(Dashboard!$N$5="All windows",Dashboard!$N$5=""),$S29=Dashboard!$N$5)),1,0))</f>
        <v/>
      </c>
      <c r="X29" s="174">
        <f>IF($W29=1,N($D29)*1E14+MIN(MAX(N($U29),0),9999)*1E10+MIN(N($K29),99999)*1E5+99999-MIN(ROW(),99999),"")</f>
        <v/>
      </c>
    </row>
    <row r="30" ht="53" customHeight="1">
      <c r="A30" s="159" t="n">
        <v>27</v>
      </c>
      <c r="B30" s="160" t="inlineStr">
        <is>
          <t>Anuncia Ayuntamiento de Cuernavaca cierre temporal de Avenida Universidad por revisión de hundimiento</t>
        </is>
      </c>
      <c r="C30" s="177" t="inlineStr">
        <is>
          <t>Infrastructure &amp; the Underground City</t>
        </is>
      </c>
      <c r="D30" s="162" t="n">
        <v>4</v>
      </c>
      <c r="E30" s="180" t="inlineStr">
        <is>
          <t>News brief</t>
        </is>
      </c>
      <c r="F30" s="164" t="inlineStr">
        <is>
          <t>To review</t>
        </is>
      </c>
      <c r="G30" s="165" t="n"/>
      <c r="H30" s="166" t="n"/>
      <c r="I30" s="167" t="inlineStr">
        <is>
          <t>What ground or utility causes are behind the subsidence on Avenida Universidad, and what investigation should determine whether the road can safely reopen?</t>
        </is>
      </c>
      <c r="J30" s="167" t="inlineStr">
        <is>
          <t>La Jornada Morelos</t>
        </is>
      </c>
      <c r="K30" s="168" t="n">
        <v>46321</v>
      </c>
      <c r="L30" s="167" t="n"/>
      <c r="M30" s="167" t="inlineStr">
        <is>
          <t>the Cuernavaca city council</t>
        </is>
      </c>
      <c r="N30" s="169" t="inlineStr">
        <is>
          <t>Mexico</t>
        </is>
      </c>
      <c r="O30" s="167" t="inlineStr">
        <is>
          <t>Avenida Universidad, Cuernavaca</t>
        </is>
      </c>
      <c r="P30" s="167" t="n"/>
      <c r="Q30" s="170" t="inlineStr">
        <is>
          <t>Argentina</t>
        </is>
      </c>
      <c r="R30" s="168" t="n">
        <v>46319</v>
      </c>
      <c r="S30" s="169" t="inlineStr">
        <is>
          <t>2026-Q4</t>
        </is>
      </c>
      <c r="T30" s="171" t="n"/>
      <c r="U30" s="159" t="n">
        <v>0</v>
      </c>
      <c r="V30" s="172" t="inlineStr">
        <is>
          <t>https://news.google.com/rss/articles/CBMi2wFBVV95cUxPMTNJeGdhN2Y2Q0lMTlZlU2UzUHNVTW9udUMwWEZXZEJiYThReDRFODE5NmRlZE1vTXFfOU5zV1FwcFVYVV9pRGFmT29SWDZ0Ulk0R0ZEbWZDdlB5RTBuSXRHSndyMDA3QlliNmNRajRoUjBscGdWVFRRVFdNRFdvTVBvSUZlMjVYSWV4NkhnTFkyeG5wRmdZVmgweGV6LUp3X045OVJsZ3F2ajRRa2ZUeWFMdEFGX0szZlBnel9ZUkNrdkRYcWRzbUZUZ0t4WTZBTUVnLWpBRjVrcG8?oc=5</t>
        </is>
      </c>
      <c r="W30" s="173">
        <f>IF($B30="",0,IF(AND(OR(OR(Dashboard!$B$5="All themes",Dashboard!$B$5=""),$C30=Dashboard!$B$5),OR(OR(Dashboard!$G$5="All uses",Dashboard!$G$5=""),$E30=Dashboard!$G$5),N($D30)&gt;=Lists!$H$2,OR(OR(Dashboard!$N$5="All windows",Dashboard!$N$5=""),$S30=Dashboard!$N$5)),1,0))</f>
        <v/>
      </c>
      <c r="X30" s="174">
        <f>IF($W30=1,N($D30)*1E14+MIN(MAX(N($U30),0),9999)*1E10+MIN(N($K30),99999)*1E5+99999-MIN(ROW(),99999),"")</f>
        <v/>
      </c>
    </row>
    <row r="31" ht="53" customHeight="1">
      <c r="A31" s="159" t="n">
        <v>28</v>
      </c>
      <c r="B31" s="160" t="inlineStr">
        <is>
          <t>India's first bullet train: station to be built 100 feet underground, high-speed train to pass beneath the sea</t>
        </is>
      </c>
      <c r="C31" s="177" t="inlineStr">
        <is>
          <t>Infrastructure &amp; the Underground City</t>
        </is>
      </c>
      <c r="D31" s="162" t="n">
        <v>4</v>
      </c>
      <c r="E31" s="163" t="inlineStr">
        <is>
          <t>Feature lead</t>
        </is>
      </c>
      <c r="F31" s="164" t="inlineStr">
        <is>
          <t>To review</t>
        </is>
      </c>
      <c r="G31" s="165" t="n"/>
      <c r="H31" s="166" t="n"/>
      <c r="I31" s="167" t="inlineStr">
        <is>
          <t>What ground conditions and deep excavation methods are needed for a 30 m deep station and an undersea tunnel on India's first bullet train route?</t>
        </is>
      </c>
      <c r="J31" s="167" t="inlineStr">
        <is>
          <t>Inh News</t>
        </is>
      </c>
      <c r="K31" s="168" t="n">
        <v>46321</v>
      </c>
      <c r="L31" s="167" t="inlineStr">
        <is>
          <t>भारत की पहली बुलेट ट्रेन: 100 फीट नीचे बनेगा स्टेशन, समुद्र के नीचे से गुजरेगी हाई-स्पीड ट्रेन</t>
        </is>
      </c>
      <c r="M31" s="167" t="inlineStr">
        <is>
          <t>NHSRCL (National High Speed Rail Corporation)</t>
        </is>
      </c>
      <c r="N31" s="169" t="inlineStr">
        <is>
          <t>India</t>
        </is>
      </c>
      <c r="O31" s="167" t="inlineStr">
        <is>
          <t>Mumbai–Ahmedabad bullet train corridor</t>
        </is>
      </c>
      <c r="P31" s="167" t="n"/>
      <c r="Q31" s="170" t="inlineStr">
        <is>
          <t>India</t>
        </is>
      </c>
      <c r="R31" s="168" t="n">
        <v>46320</v>
      </c>
      <c r="S31" s="169" t="inlineStr">
        <is>
          <t>2026-Q4</t>
        </is>
      </c>
      <c r="T31" s="171" t="n"/>
      <c r="U31" s="159" t="n">
        <v>0</v>
      </c>
      <c r="V31" s="172" t="inlineStr">
        <is>
          <t>https://news.google.com/rss/articles/CBMijwFBVV95cUxOZGhPdS0zY1BmbHVzOUNQZWR0dkZCZ1VuRVh3NV9mbF8wdGY5aVEwTjhNdkIzdTlnM2cyWmZCUDdIdzVab1hFd3ZNZjdsUWlVc0I1Z2xyVHhEbHFGRUtNTWp2dVZIREx6aG5ZaHlXQ3hwdC1lb29YYllJbzNxZ29LX1ppUFN6a2w2WHdZaTlkY9IBlAFBVV95cUxNakMwc3pUZG5mUlZjWVZPa1VyNG5UN3U2NTkzRGRENXZpNUJSZThYZ1lJNGVjUnZvLU90Zm5rdVpEa2tLMmtVUlB1bUhSSjhtalpjZlhXQ0phYnFCdWRLOFo3cmJtZWtKVDRETlhYSWVaRzBRTEZiNHhvNUxVZDUwTGo0MlNvVVlLeW5oY3R6aVF6bldL?oc=5</t>
        </is>
      </c>
      <c r="W31" s="173">
        <f>IF($B31="",0,IF(AND(OR(OR(Dashboard!$B$5="All themes",Dashboard!$B$5=""),$C31=Dashboard!$B$5),OR(OR(Dashboard!$G$5="All uses",Dashboard!$G$5=""),$E31=Dashboard!$G$5),N($D31)&gt;=Lists!$H$2,OR(OR(Dashboard!$N$5="All windows",Dashboard!$N$5=""),$S31=Dashboard!$N$5)),1,0))</f>
        <v/>
      </c>
      <c r="X31" s="174">
        <f>IF($W31=1,N($D31)*1E14+MIN(MAX(N($U31),0),9999)*1E10+MIN(N($K31),99999)*1E5+99999-MIN(ROW(),99999),"")</f>
        <v/>
      </c>
    </row>
    <row r="32" ht="53" customHeight="1">
      <c r="A32" s="159" t="n">
        <v>29</v>
      </c>
      <c r="B32" s="160" t="inlineStr">
        <is>
          <t>Disaster R&amp;D to prevent sinkhole and ageing elevated structure collapses using veteran field technology.</t>
        </is>
      </c>
      <c r="C32" s="177" t="inlineStr">
        <is>
          <t>Infrastructure &amp; the Underground City</t>
        </is>
      </c>
      <c r="D32" s="162" t="n">
        <v>3</v>
      </c>
      <c r="E32" s="182" t="inlineStr">
        <is>
          <t>Academia-to-Industry topic</t>
        </is>
      </c>
      <c r="F32" s="164" t="inlineStr">
        <is>
          <t>To review</t>
        </is>
      </c>
      <c r="G32" s="165" t="n"/>
      <c r="H32" s="166" t="n"/>
      <c r="I32" s="167" t="inlineStr">
        <is>
          <t>Which field-proven ground investigation techniques could detect cavities and deteriorating foundations before sinkholes or elevated structure collapses occur?</t>
        </is>
      </c>
      <c r="J32" s="167" t="inlineStr">
        <is>
          <t>한국일보</t>
        </is>
      </c>
      <c r="K32" s="168" t="n">
        <v>46321</v>
      </c>
      <c r="L32" s="167" t="inlineStr">
        <is>
          <t>싱크홀·노후 고가 붕괴 사고 막는다... 현장 베테랑 기술력 접목해 재난재해 해결 R&amp;D</t>
        </is>
      </c>
      <c r="M32" s="167" t="inlineStr">
        <is>
          <t>the government ministry funding the disaster R&amp;D programme</t>
        </is>
      </c>
      <c r="N32" s="169" t="inlineStr">
        <is>
          <t>South Korea</t>
        </is>
      </c>
      <c r="O32" s="167" t="n"/>
      <c r="P32" s="167" t="n"/>
      <c r="Q32" s="170" t="inlineStr">
        <is>
          <t>South Korea</t>
        </is>
      </c>
      <c r="R32" s="168" t="n">
        <v>46321</v>
      </c>
      <c r="S32" s="169" t="inlineStr">
        <is>
          <t>2026-Q4</t>
        </is>
      </c>
      <c r="T32" s="171" t="inlineStr">
        <is>
          <t>sinkhole, collapse</t>
        </is>
      </c>
      <c r="U32" s="159" t="n">
        <v>5</v>
      </c>
      <c r="V32" s="172" t="inlineStr">
        <is>
          <t>https://news.google.com/rss/articles/CBMibkFVX3lxTE5lR29sc1VXZDNMZjlCTmhhNUxXVW95WURmdk9VVVV5WC1xazJDUnl0dzEyRGI4cURWUTVJWnNrZzg4NEQ5NGcyLUMyeHNreU5MdlIybTNjTzRYaHR5SDlaNzdESzVLeXBWeTMwNU9R0gFzQVVfeXFMTkZ6a1ZKdVo4Zkx2Z1kxR2ZpODdUQ0xvWXBUbWZFa0FZMVA5UF8zSUFQM0VKRDE1emx2dWR4TElPNXd5ekhCY3hzdWhnc1l6YWh3cUFZTTA4bklaN2ZPWW1HdXVHZmthS05XUExZdzhNdVR5UQ?oc=5</t>
        </is>
      </c>
      <c r="W32" s="173">
        <f>IF($B32="",0,IF(AND(OR(OR(Dashboard!$B$5="All themes",Dashboard!$B$5=""),$C32=Dashboard!$B$5),OR(OR(Dashboard!$G$5="All uses",Dashboard!$G$5=""),$E32=Dashboard!$G$5),N($D32)&gt;=Lists!$H$2,OR(OR(Dashboard!$N$5="All windows",Dashboard!$N$5=""),$S32=Dashboard!$N$5)),1,0))</f>
        <v/>
      </c>
      <c r="X32" s="174">
        <f>IF($W32=1,N($D32)*1E14+MIN(MAX(N($U32),0),9999)*1E10+MIN(N($K32),99999)*1E5+99999-MIN(ROW(),99999),"")</f>
        <v/>
      </c>
    </row>
    <row r="33" ht="40.5" customHeight="1">
      <c r="A33" s="159" t="n">
        <v>30</v>
      </c>
      <c r="B33" s="160" t="inlineStr">
        <is>
          <t>Concentrer les ressources sur le relogement des personnes vivant dans les zones à risque de glissements de terrain.</t>
        </is>
      </c>
      <c r="C33" s="183" t="inlineStr">
        <is>
          <t>Geotechnics &amp; Society</t>
        </is>
      </c>
      <c r="D33" s="162" t="n">
        <v>3</v>
      </c>
      <c r="E33" s="163" t="inlineStr">
        <is>
          <t>Feature lead</t>
        </is>
      </c>
      <c r="F33" s="164" t="inlineStr">
        <is>
          <t>To review</t>
        </is>
      </c>
      <c r="G33" s="165" t="n"/>
      <c r="H33" s="166" t="n"/>
      <c r="I33" s="167" t="inlineStr">
        <is>
          <t>How should relocation programmes for households in landslide-prone zones be prioritised using ground hazard evidence?</t>
        </is>
      </c>
      <c r="J33" s="167" t="inlineStr">
        <is>
          <t>Vietnam.vn</t>
        </is>
      </c>
      <c r="K33" s="168" t="n">
        <v>46321</v>
      </c>
      <c r="L33" s="167" t="n"/>
      <c r="M33" s="167" t="inlineStr">
        <is>
          <t>Vietnam's ministry responsible for disaster prevention</t>
        </is>
      </c>
      <c r="N33" s="169" t="inlineStr">
        <is>
          <t>Vietnam</t>
        </is>
      </c>
      <c r="O33" s="167" t="n"/>
      <c r="P33" s="167" t="n"/>
      <c r="Q33" s="170" t="inlineStr">
        <is>
          <t>France</t>
        </is>
      </c>
      <c r="R33" s="168" t="n">
        <v>46321</v>
      </c>
      <c r="S33" s="169" t="inlineStr">
        <is>
          <t>2026-Q4</t>
        </is>
      </c>
      <c r="T33" s="171" t="inlineStr">
        <is>
          <t>landslide</t>
        </is>
      </c>
      <c r="U33" s="159" t="n">
        <v>4</v>
      </c>
      <c r="V33" s="172" t="inlineStr">
        <is>
          <t>https://news.google.com/rss/articles/CBMilAFBVV95cUxNSHZ2QXBIZEZ6bnJfNURvNG8xZ01rMkdnY3UwSGY4cjB4ZXpCcmRBSVZtQUprTExRNVlmdnE4Q0pPcllIZmlhYjN1WV9qejJVYzhIWC10QTFzcjdQc0gwbDJsamIzMVdxZVBiWjhLVDY5X0tOZEFqQnBITF84M2hyNkZmUmY4czZIMDIzRjgyaVBVQXBJ?oc=5</t>
        </is>
      </c>
      <c r="W33" s="173">
        <f>IF($B33="",0,IF(AND(OR(OR(Dashboard!$B$5="All themes",Dashboard!$B$5=""),$C33=Dashboard!$B$5),OR(OR(Dashboard!$G$5="All uses",Dashboard!$G$5=""),$E33=Dashboard!$G$5),N($D33)&gt;=Lists!$H$2,OR(OR(Dashboard!$N$5="All windows",Dashboard!$N$5=""),$S33=Dashboard!$N$5)),1,0))</f>
        <v/>
      </c>
      <c r="X33" s="174">
        <f>IF($W33=1,N($D33)*1E14+MIN(MAX(N($U33),0),9999)*1E10+MIN(N($K33),99999)*1E5+99999-MIN(ROW(),99999),"")</f>
        <v/>
      </c>
    </row>
    <row r="34" ht="53" customHeight="1">
      <c r="A34" s="159" t="n">
        <v>31</v>
      </c>
      <c r="B34" s="160" t="inlineStr">
        <is>
          <t>Using AI to detect landslide risks early.</t>
        </is>
      </c>
      <c r="C34" s="181" t="inlineStr">
        <is>
          <t>Digital Geotechnics</t>
        </is>
      </c>
      <c r="D34" s="162" t="n">
        <v>3</v>
      </c>
      <c r="E34" s="182" t="inlineStr">
        <is>
          <t>Academia-to-Industry topic</t>
        </is>
      </c>
      <c r="F34" s="164" t="inlineStr">
        <is>
          <t>To review</t>
        </is>
      </c>
      <c r="G34" s="165" t="n"/>
      <c r="H34" s="166" t="n"/>
      <c r="I34" s="167" t="inlineStr">
        <is>
          <t>Can machine learning on rainfall and monitoring data reliably predict landslide initiation, and what validation would engineers need?</t>
        </is>
      </c>
      <c r="J34" s="167" t="inlineStr">
        <is>
          <t>Vietnam.vn</t>
        </is>
      </c>
      <c r="K34" s="168" t="n">
        <v>46321</v>
      </c>
      <c r="L34" s="167" t="inlineStr">
        <is>
          <t>Utiliser l'IA pour détecter précocement les risques de glissements de terrain.</t>
        </is>
      </c>
      <c r="M34" s="167" t="n"/>
      <c r="N34" s="169" t="inlineStr">
        <is>
          <t>Vietnam</t>
        </is>
      </c>
      <c r="O34" s="167" t="n"/>
      <c r="P34" s="167" t="inlineStr">
        <is>
          <t>AI landslide early warning, Vietnam · Update · 3 reports</t>
        </is>
      </c>
      <c r="Q34" s="170" t="inlineStr">
        <is>
          <t>France</t>
        </is>
      </c>
      <c r="R34" s="168" t="n">
        <v>46319</v>
      </c>
      <c r="S34" s="169" t="inlineStr">
        <is>
          <t>2026-Q4</t>
        </is>
      </c>
      <c r="T34" s="171" t="inlineStr">
        <is>
          <t>landslide</t>
        </is>
      </c>
      <c r="U34" s="159" t="n">
        <v>4</v>
      </c>
      <c r="V34" s="172" t="inlineStr">
        <is>
          <t>https://news.google.com/rss/articles/CBMibkFVX3lxTE9QQVZhX29ySmV5Wk9oVElzYXZVaUdkc3NkcERtSm5RZEVEZDNWN0pFUml2aC03WFNHRWJRRUk4YXY3bExHLU5iajZoV1V3Tm1xVVRBVmRWZklRN0thMDNfUUJTaFZLZ2NXWXRwRE9R?oc=5</t>
        </is>
      </c>
      <c r="W34" s="173">
        <f>IF($B34="",0,IF(AND(OR(OR(Dashboard!$B$5="All themes",Dashboard!$B$5=""),$C34=Dashboard!$B$5),OR(OR(Dashboard!$G$5="All uses",Dashboard!$G$5=""),$E34=Dashboard!$G$5),N($D34)&gt;=Lists!$H$2,OR(OR(Dashboard!$N$5="All windows",Dashboard!$N$5=""),$S34=Dashboard!$N$5)),1,0))</f>
        <v/>
      </c>
      <c r="X34" s="174">
        <f>IF($W34=1,N($D34)*1E14+MIN(MAX(N($U34),0),9999)*1E10+MIN(N($K34),99999)*1E5+99999-MIN(ROW(),99999),"")</f>
        <v/>
      </c>
    </row>
    <row r="35" ht="53" customHeight="1">
      <c r="A35" s="159" t="n">
        <v>32</v>
      </c>
      <c r="B35" s="160" t="inlineStr">
        <is>
          <t>Using artificial intelligence to provide early warnings of landslide risk.</t>
        </is>
      </c>
      <c r="C35" s="181" t="inlineStr">
        <is>
          <t>Digital Geotechnics</t>
        </is>
      </c>
      <c r="D35" s="162" t="n">
        <v>3</v>
      </c>
      <c r="E35" s="175" t="inlineStr">
        <is>
          <t>Watch only</t>
        </is>
      </c>
      <c r="F35" s="164" t="inlineStr">
        <is>
          <t>To review</t>
        </is>
      </c>
      <c r="G35" s="165" t="n"/>
      <c r="H35" s="166" t="n"/>
      <c r="I35" s="167" t="inlineStr">
        <is>
          <t>Can machine learning on rainfall and monitoring data reliably predict landslide initiation, and what validation would engineers need?</t>
        </is>
      </c>
      <c r="J35" s="167" t="inlineStr">
        <is>
          <t>Vietnam.vn</t>
        </is>
      </c>
      <c r="K35" s="168" t="n">
        <v>46321</v>
      </c>
      <c r="L35" s="167" t="inlineStr">
        <is>
          <t>Utilizar la inteligencia artificial para proporcionar alertas tempranas sobre riesgos de deslizamientos de tierra.</t>
        </is>
      </c>
      <c r="M35" s="167" t="n"/>
      <c r="N35" s="169" t="inlineStr">
        <is>
          <t>Vietnam</t>
        </is>
      </c>
      <c r="O35" s="167" t="n"/>
      <c r="P35" s="167" t="inlineStr">
        <is>
          <t>AI landslide early warning, Vietnam · Update · 3 reports</t>
        </is>
      </c>
      <c r="Q35" s="170" t="inlineStr">
        <is>
          <t>Spain</t>
        </is>
      </c>
      <c r="R35" s="168" t="n">
        <v>46319</v>
      </c>
      <c r="S35" s="169" t="inlineStr">
        <is>
          <t>2026-Q4</t>
        </is>
      </c>
      <c r="T35" s="171" t="inlineStr">
        <is>
          <t>landslide</t>
        </is>
      </c>
      <c r="U35" s="159" t="n">
        <v>4</v>
      </c>
      <c r="V35" s="172" t="inlineStr">
        <is>
          <t>https://news.google.com/rss/articles/CBMibkFVX3lxTE1WQ0c3RjRvbm50dlNYYi1UcTNoTDRQbllDZzJ0X0d5NVVkbHdMdmNNeGNxZmJPelQ0T1V0Y291aVF0Tmt2bDFEbDZyeWgtZXEwZ1NRQ0oxVF9pN0tTbnZYWVhDdFVBbE9obFRhSHNn?oc=5</t>
        </is>
      </c>
      <c r="W35" s="173">
        <f>IF($B35="",0,IF(AND(OR(OR(Dashboard!$B$5="All themes",Dashboard!$B$5=""),$C35=Dashboard!$B$5),OR(OR(Dashboard!$G$5="All uses",Dashboard!$G$5=""),$E35=Dashboard!$G$5),N($D35)&gt;=Lists!$H$2,OR(OR(Dashboard!$N$5="All windows",Dashboard!$N$5=""),$S35=Dashboard!$N$5)),1,0))</f>
        <v/>
      </c>
      <c r="X35" s="174">
        <f>IF($W35=1,N($D35)*1E14+MIN(MAX(N($U35),0),9999)*1E10+MIN(N($K35),99999)*1E5+99999-MIN(ROW(),99999),"")</f>
        <v/>
      </c>
    </row>
    <row r="36" ht="40.5" customHeight="1">
      <c r="A36" s="159" t="n">
        <v>33</v>
      </c>
      <c r="B36" s="160" t="inlineStr">
        <is>
          <t>Earthworks begin on second section of damaged collector in Voronezh</t>
        </is>
      </c>
      <c r="C36" s="177" t="inlineStr">
        <is>
          <t>Infrastructure &amp; the Underground City</t>
        </is>
      </c>
      <c r="D36" s="162" t="n">
        <v>3</v>
      </c>
      <c r="E36" s="180" t="inlineStr">
        <is>
          <t>News brief</t>
        </is>
      </c>
      <c r="F36" s="164" t="inlineStr">
        <is>
          <t>To review</t>
        </is>
      </c>
      <c r="G36" s="165" t="n"/>
      <c r="H36" s="166" t="n"/>
      <c r="I36" s="167" t="inlineStr">
        <is>
          <t>What ground conditions and excavation support measures govern safe repair of a buried collector in soft urban soils?</t>
        </is>
      </c>
      <c r="J36" s="167" t="inlineStr">
        <is>
          <t>Новости Воронежа интернет-газета</t>
        </is>
      </c>
      <c r="K36" s="168" t="n">
        <v>46321</v>
      </c>
      <c r="L36" s="167" t="inlineStr">
        <is>
          <t>В Воронеже начали земляные работы на втором участке поврежденного коллектора</t>
        </is>
      </c>
      <c r="M36" s="167" t="inlineStr">
        <is>
          <t>Voronezh city water utility (Voronezhvodokanal)</t>
        </is>
      </c>
      <c r="N36" s="169" t="inlineStr">
        <is>
          <t>Russia</t>
        </is>
      </c>
      <c r="O36" s="167" t="inlineStr">
        <is>
          <t>Voronezh</t>
        </is>
      </c>
      <c r="P36" s="167" t="inlineStr">
        <is>
          <t>Voronezh Moskovsky Avenue collector repair, Russia · Repair &amp; reconstruction · 2 reports</t>
        </is>
      </c>
      <c r="Q36" s="170" t="inlineStr">
        <is>
          <t>Russia</t>
        </is>
      </c>
      <c r="R36" s="168" t="n">
        <v>46320</v>
      </c>
      <c r="S36" s="169" t="inlineStr">
        <is>
          <t>2026-Q4</t>
        </is>
      </c>
      <c r="T36" s="171" t="inlineStr">
        <is>
          <t>earthworks</t>
        </is>
      </c>
      <c r="U36" s="159" t="n">
        <v>4</v>
      </c>
      <c r="V36" s="172" t="inlineStr">
        <is>
          <t>https://news.google.com/rss/articles/CBMiWEFVX3lxTE40bjhiX3RGaTgxc0h6UU1ENDdRSGFlNkRMOTdvakVpalctY3B2bW4wYjNNcno2UHNrNVItVmJGZHB4aTdOX1ljNjNJUnJVbk5DV1ltRl8tN3o?oc=5</t>
        </is>
      </c>
      <c r="W36" s="173">
        <f>IF($B36="",0,IF(AND(OR(OR(Dashboard!$B$5="All themes",Dashboard!$B$5=""),$C36=Dashboard!$B$5),OR(OR(Dashboard!$G$5="All uses",Dashboard!$G$5=""),$E36=Dashboard!$G$5),N($D36)&gt;=Lists!$H$2,OR(OR(Dashboard!$N$5="All windows",Dashboard!$N$5=""),$S36=Dashboard!$N$5)),1,0))</f>
        <v/>
      </c>
      <c r="X36" s="174">
        <f>IF($W36=1,N($D36)*1E14+MIN(MAX(N($U36),0),9999)*1E10+MIN(N($K36),99999)*1E5+99999-MIN(ROW(),99999),"")</f>
        <v/>
      </c>
    </row>
    <row r="37" ht="40.5" customHeight="1">
      <c r="A37" s="159" t="n">
        <v>34</v>
      </c>
      <c r="B37" s="160" t="inlineStr">
        <is>
          <t>Vía Alóag-Santo Domingo tiene paso controlado tras deslizamiento en el km 35</t>
        </is>
      </c>
      <c r="C37" s="177" t="inlineStr">
        <is>
          <t>Infrastructure &amp; the Underground City</t>
        </is>
      </c>
      <c r="D37" s="162" t="n">
        <v>3</v>
      </c>
      <c r="E37" s="180" t="inlineStr">
        <is>
          <t>News brief</t>
        </is>
      </c>
      <c r="F37" s="164" t="inlineStr">
        <is>
          <t>To review</t>
        </is>
      </c>
      <c r="G37" s="165" t="n"/>
      <c r="H37" s="166" t="n"/>
      <c r="I37" s="167" t="inlineStr">
        <is>
          <t>What slope monitoring and remediation are needed on a major highway section where slides repeatedly force controlled traffic?</t>
        </is>
      </c>
      <c r="J37" s="167" t="inlineStr">
        <is>
          <t>El Comercio</t>
        </is>
      </c>
      <c r="K37" s="168" t="n">
        <v>46321</v>
      </c>
      <c r="L37" s="167" t="n"/>
      <c r="M37" s="167" t="inlineStr">
        <is>
          <t>Ecuador's transport ministry (MTOP)</t>
        </is>
      </c>
      <c r="N37" s="169" t="inlineStr">
        <is>
          <t>Ecuador</t>
        </is>
      </c>
      <c r="O37" s="167" t="inlineStr">
        <is>
          <t>Alóag-Santo Domingo road, km 35</t>
        </is>
      </c>
      <c r="P37" s="167" t="n"/>
      <c r="Q37" s="170" t="inlineStr">
        <is>
          <t>Spain</t>
        </is>
      </c>
      <c r="R37" s="168" t="n">
        <v>46321</v>
      </c>
      <c r="S37" s="169" t="inlineStr">
        <is>
          <t>2026-Q4</t>
        </is>
      </c>
      <c r="T37" s="171" t="inlineStr">
        <is>
          <t>landslide</t>
        </is>
      </c>
      <c r="U37" s="159" t="n">
        <v>4</v>
      </c>
      <c r="V37" s="172" t="inlineStr">
        <is>
          <t>https://news.google.com/rss/articles/CBMisAFBVV95cUxNc3VaQmhHTlhIY2tzZWlvdlE2ZjhlZjUxSkstajdvbjR1dmh1Y0VKRUZMQlc1M015SlVGSkpmWERfakdzVk1sbjlUc201TVdoMWhxbGM1WmxPZXotRXk5WWpraEJKRUM0a3hlN1hxNnVfcVRYU0tZMFR3RXd0OURHLTBLRGlISmVHUURaZm9TRmlXUzBaRDRDc1BaRnMwSnhlOVM0SEJZckE3T2ZrWGVDZw?oc=5</t>
        </is>
      </c>
      <c r="W37" s="173">
        <f>IF($B37="",0,IF(AND(OR(OR(Dashboard!$B$5="All themes",Dashboard!$B$5=""),$C37=Dashboard!$B$5),OR(OR(Dashboard!$G$5="All uses",Dashboard!$G$5=""),$E37=Dashboard!$G$5),N($D37)&gt;=Lists!$H$2,OR(OR(Dashboard!$N$5="All windows",Dashboard!$N$5=""),$S37=Dashboard!$N$5)),1,0))</f>
        <v/>
      </c>
      <c r="X37" s="174">
        <f>IF($W37=1,N($D37)*1E14+MIN(MAX(N($U37),0),9999)*1E10+MIN(N($K37),99999)*1E5+99999-MIN(ROW(),99999),"")</f>
        <v/>
      </c>
    </row>
    <row r="38" ht="40.5" customHeight="1">
      <c r="A38" s="159" t="n">
        <v>35</v>
      </c>
      <c r="B38" s="160" t="inlineStr">
        <is>
          <t>Vía Riobamba–Penipe–Baños fue habilitada tras deslizamiento</t>
        </is>
      </c>
      <c r="C38" s="177" t="inlineStr">
        <is>
          <t>Infrastructure &amp; the Underground City</t>
        </is>
      </c>
      <c r="D38" s="162" t="n">
        <v>3</v>
      </c>
      <c r="E38" s="180" t="inlineStr">
        <is>
          <t>News brief</t>
        </is>
      </c>
      <c r="F38" s="164" t="inlineStr">
        <is>
          <t>To review</t>
        </is>
      </c>
      <c r="G38" s="165" t="n"/>
      <c r="H38" s="166" t="n"/>
      <c r="I38" s="167" t="inlineStr">
        <is>
          <t>How should a mountain road reopened after a slide be assessed for residual hazard and re-failure risk?</t>
        </is>
      </c>
      <c r="J38" s="167" t="inlineStr">
        <is>
          <t>diariolosandes.com.ec</t>
        </is>
      </c>
      <c r="K38" s="168" t="n">
        <v>46321</v>
      </c>
      <c r="L38" s="167" t="n"/>
      <c r="M38" s="167" t="inlineStr">
        <is>
          <t>Chimborazo provincial road authority (MTOP)</t>
        </is>
      </c>
      <c r="N38" s="169" t="inlineStr">
        <is>
          <t>Ecuador</t>
        </is>
      </c>
      <c r="O38" s="167" t="inlineStr">
        <is>
          <t>Riobamba–Penipe–Baños road</t>
        </is>
      </c>
      <c r="P38" s="167" t="n"/>
      <c r="Q38" s="170" t="inlineStr">
        <is>
          <t>Spain</t>
        </is>
      </c>
      <c r="R38" s="168" t="n">
        <v>46320</v>
      </c>
      <c r="S38" s="169" t="inlineStr">
        <is>
          <t>2026-Q4</t>
        </is>
      </c>
      <c r="T38" s="171" t="inlineStr">
        <is>
          <t>landslide</t>
        </is>
      </c>
      <c r="U38" s="159" t="n">
        <v>4</v>
      </c>
      <c r="V38" s="172" t="inlineStr">
        <is>
          <t>https://news.google.com/rss/articles/CBMilAFBVV95cUxPcnRNQzY0bndiRjZuWTR4SzEtdjFNZEtFOGxBVVI0dml6X3NTVE1Fa0xLSTg5X3ZkNUQxQ1lMNjR5cExKcDd3RU51WHFVMGhfNndZZFhLSk5XTjNodVFqYy1Bb2ctXzl6NTV3VDEzSXZ0VnZHWWhnSHNTenRoNEt0TmxtMnZ5bDZnZGJnbXBUbzY0d1pF?oc=5</t>
        </is>
      </c>
      <c r="W38" s="173">
        <f>IF($B38="",0,IF(AND(OR(OR(Dashboard!$B$5="All themes",Dashboard!$B$5=""),$C38=Dashboard!$B$5),OR(OR(Dashboard!$G$5="All uses",Dashboard!$G$5=""),$E38=Dashboard!$G$5),N($D38)&gt;=Lists!$H$2,OR(OR(Dashboard!$N$5="All windows",Dashboard!$N$5=""),$S38=Dashboard!$N$5)),1,0))</f>
        <v/>
      </c>
      <c r="X38" s="174">
        <f>IF($W38=1,N($D38)*1E14+MIN(MAX(N($U38),0),9999)*1E10+MIN(N($K38),99999)*1E5+99999-MIN(ROW(),99999),"")</f>
        <v/>
      </c>
    </row>
    <row r="39" ht="40.5" customHeight="1">
      <c r="A39" s="159" t="n">
        <v>36</v>
      </c>
      <c r="B39" s="160" t="inlineStr">
        <is>
          <t>Áncash: deslizamiento de tierra dañó 15 metros de vía vecinal en Shupluy -</t>
        </is>
      </c>
      <c r="C39" s="177" t="inlineStr">
        <is>
          <t>Infrastructure &amp; the Underground City</t>
        </is>
      </c>
      <c r="D39" s="162" t="n">
        <v>3</v>
      </c>
      <c r="E39" s="180" t="inlineStr">
        <is>
          <t>News brief</t>
        </is>
      </c>
      <c r="F39" s="164" t="inlineStr">
        <is>
          <t>To review</t>
        </is>
      </c>
      <c r="G39" s="165" t="n"/>
      <c r="H39" s="166" t="n"/>
      <c r="I39" s="167" t="inlineStr">
        <is>
          <t>What drainage and slope protection would keep a rural access road operational during Andean rainy seasons?</t>
        </is>
      </c>
      <c r="J39" s="167" t="inlineStr">
        <is>
          <t>luminanoticias.pe</t>
        </is>
      </c>
      <c r="K39" s="168" t="n">
        <v>46321</v>
      </c>
      <c r="L39" s="167" t="n"/>
      <c r="M39" s="167" t="inlineStr">
        <is>
          <t>Áncash regional government road authority</t>
        </is>
      </c>
      <c r="N39" s="169" t="inlineStr">
        <is>
          <t>Peru</t>
        </is>
      </c>
      <c r="O39" s="167" t="inlineStr">
        <is>
          <t>Shupluy, Áncash</t>
        </is>
      </c>
      <c r="P39" s="167" t="n"/>
      <c r="Q39" s="170" t="inlineStr">
        <is>
          <t>Spain</t>
        </is>
      </c>
      <c r="R39" s="168" t="n">
        <v>46320</v>
      </c>
      <c r="S39" s="169" t="inlineStr">
        <is>
          <t>2026-Q4</t>
        </is>
      </c>
      <c r="T39" s="171" t="inlineStr">
        <is>
          <t>landslide</t>
        </is>
      </c>
      <c r="U39" s="159" t="n">
        <v>4</v>
      </c>
      <c r="V39" s="172" t="inlineStr">
        <is>
          <t>https://news.google.com/rss/articles/CBMiqwFBVV95cUxQc0lQODA0QjMzSXAwS2psWC1SN2Nld0pVODkxZzhrcEZHQUU0aTkxd1ljM2p5MVdoUnhMaGY4bzBmVlpZQlNtZlUtelJXb0ZFcmV3ZndyNUEtZUJiMzBqRC04ZjZabThfWVdwd0VfLWFBMjQyZnhkRGlRUEY4OGVPbm9MZGRleFNDcU9xYzVmeEpSZmRJb1FtbDk5TFU0dUN5MWJVTl9vd0wyZTQ?oc=5</t>
        </is>
      </c>
      <c r="W39" s="173">
        <f>IF($B39="",0,IF(AND(OR(OR(Dashboard!$B$5="All themes",Dashboard!$B$5=""),$C39=Dashboard!$B$5),OR(OR(Dashboard!$G$5="All uses",Dashboard!$G$5=""),$E39=Dashboard!$G$5),N($D39)&gt;=Lists!$H$2,OR(OR(Dashboard!$N$5="All windows",Dashboard!$N$5=""),$S39=Dashboard!$N$5)),1,0))</f>
        <v/>
      </c>
      <c r="X39" s="174">
        <f>IF($W39=1,N($D39)*1E14+MIN(MAX(N($U39),0),9999)*1E10+MIN(N($K39),99999)*1E5+99999-MIN(ROW(),99999),"")</f>
        <v/>
      </c>
    </row>
    <row r="40" ht="65.5" customHeight="1">
      <c r="A40" s="159" t="n">
        <v>37</v>
      </c>
      <c r="B40" s="160" t="inlineStr">
        <is>
          <t>Camioneta varada en socavón de la colonia Fronteriza en Juárez</t>
        </is>
      </c>
      <c r="C40" s="177" t="inlineStr">
        <is>
          <t>Infrastructure &amp; the Underground City</t>
        </is>
      </c>
      <c r="D40" s="162" t="n">
        <v>3</v>
      </c>
      <c r="E40" s="180" t="inlineStr">
        <is>
          <t>News brief</t>
        </is>
      </c>
      <c r="F40" s="164" t="inlineStr">
        <is>
          <t>To review</t>
        </is>
      </c>
      <c r="G40" s="165" t="n"/>
      <c r="H40" s="166" t="n"/>
      <c r="I40" s="167" t="inlineStr">
        <is>
          <t>What failure mechanisms allow a road surface to collapse under a vehicle in a neighbourhood with poor drainage, and what subsurface survey would identify such voids before vehicles are trapped?</t>
        </is>
      </c>
      <c r="J40" s="167" t="inlineStr">
        <is>
          <t>Netnoticias.mx</t>
        </is>
      </c>
      <c r="K40" s="168" t="n">
        <v>46321</v>
      </c>
      <c r="L40" s="167" t="n"/>
      <c r="M40" s="167" t="inlineStr">
        <is>
          <t>Ciudad Juárez municipal government</t>
        </is>
      </c>
      <c r="N40" s="169" t="inlineStr">
        <is>
          <t>Mexico</t>
        </is>
      </c>
      <c r="O40" s="167" t="inlineStr">
        <is>
          <t>Colonia Fronteriza, Ciudad Juárez</t>
        </is>
      </c>
      <c r="P40" s="167" t="n"/>
      <c r="Q40" s="170" t="inlineStr">
        <is>
          <t>Colombia</t>
        </is>
      </c>
      <c r="R40" s="168" t="n">
        <v>46320</v>
      </c>
      <c r="S40" s="169" t="inlineStr">
        <is>
          <t>2026-Q4</t>
        </is>
      </c>
      <c r="T40" s="171" t="inlineStr">
        <is>
          <t>sinkhole</t>
        </is>
      </c>
      <c r="U40" s="159" t="n">
        <v>4</v>
      </c>
      <c r="V40" s="172" t="inlineStr">
        <is>
          <t>https://news.google.com/rss/articles/CBMilAFBVV95cUxPNEV1bllwT1R4cXk3NlhndEdqZm5YWXAxRXl5LThrb0dzbEdqdTJXRVB4VDMxN2NzSGtzSHR1RmxhYUdsTHVHaEJLNmZ5NTNWajhVT2VabHhRMGNCUTZDZVZRZVNmRThEckdaNVdWbEJPM3FYS0NVVDhKTlhTUE9HODdHWFE0SUpCQnE4d3N4Y0E4cldj?oc=5</t>
        </is>
      </c>
      <c r="W40" s="173">
        <f>IF($B40="",0,IF(AND(OR(OR(Dashboard!$B$5="All themes",Dashboard!$B$5=""),$C40=Dashboard!$B$5),OR(OR(Dashboard!$G$5="All uses",Dashboard!$G$5=""),$E40=Dashboard!$G$5),N($D40)&gt;=Lists!$H$2,OR(OR(Dashboard!$N$5="All windows",Dashboard!$N$5=""),$S40=Dashboard!$N$5)),1,0))</f>
        <v/>
      </c>
      <c r="X40" s="174">
        <f>IF($W40=1,N($D40)*1E14+MIN(MAX(N($U40),0),9999)*1E10+MIN(N($K40),99999)*1E5+99999-MIN(ROW(),99999),"")</f>
        <v/>
      </c>
    </row>
    <row r="41" ht="53" customHeight="1">
      <c r="A41" s="159" t="n">
        <v>38</v>
      </c>
      <c r="B41" s="160" t="inlineStr">
        <is>
          <t>Mañana inicia la reparación del socavón en el puente Terrazas del Valle</t>
        </is>
      </c>
      <c r="C41" s="177" t="inlineStr">
        <is>
          <t>Infrastructure &amp; the Underground City</t>
        </is>
      </c>
      <c r="D41" s="162" t="n">
        <v>3</v>
      </c>
      <c r="E41" s="180" t="inlineStr">
        <is>
          <t>News brief</t>
        </is>
      </c>
      <c r="F41" s="164" t="inlineStr">
        <is>
          <t>To review</t>
        </is>
      </c>
      <c r="G41" s="165" t="n"/>
      <c r="H41" s="166" t="n"/>
      <c r="I41" s="167" t="inlineStr">
        <is>
          <t>What causes a sinkhole to form at a bridge abutment or approach, and what foundation and backfill investigation should precede a repair to prevent recurrence?</t>
        </is>
      </c>
      <c r="J41" s="167" t="inlineStr">
        <is>
          <t>Punto Norte</t>
        </is>
      </c>
      <c r="K41" s="168" t="n">
        <v>46321</v>
      </c>
      <c r="L41" s="167" t="n"/>
      <c r="M41" s="167" t="inlineStr">
        <is>
          <t>municipal public works department</t>
        </is>
      </c>
      <c r="N41" s="169" t="inlineStr">
        <is>
          <t>Mexico</t>
        </is>
      </c>
      <c r="O41" s="167" t="inlineStr">
        <is>
          <t>Terrazas del Valle bridge</t>
        </is>
      </c>
      <c r="P41" s="167" t="inlineStr">
        <is>
          <t>Terrazas del Valle bridge sinkhole, Tijuana, Mexico · Repair &amp; reconstruction · 2 reports</t>
        </is>
      </c>
      <c r="Q41" s="170" t="inlineStr">
        <is>
          <t>Colombia</t>
        </is>
      </c>
      <c r="R41" s="168" t="n">
        <v>46318</v>
      </c>
      <c r="S41" s="169" t="inlineStr">
        <is>
          <t>2026-Q4</t>
        </is>
      </c>
      <c r="T41" s="171" t="inlineStr">
        <is>
          <t>sinkhole</t>
        </is>
      </c>
      <c r="U41" s="159" t="n">
        <v>4</v>
      </c>
      <c r="V41" s="172" t="inlineStr">
        <is>
          <t>https://news.google.com/rss/articles/CBMiqwFBVV95cUxNNk1QTEtuRDhRclJYR2xZaU9jT0J1VkIzbmhhZlZJS3RzaXBXbTdwS2I5WU1LaTdSSFdUbGZVWUpkRm9vRm9yQ2xIem9kbXExVDRkLVVrZ0J4R1dwaXZScWtpNHJhaU5oTW5iQkFyRmhkd2pmYXdMUHhIUWYwM05YNnRWdS1DZUhlNGJUWWdjN2M3amVXbXQ5VGgxMXczbzhVUFg5YWt1RnAyb3c?oc=5</t>
        </is>
      </c>
      <c r="W41" s="173">
        <f>IF($B41="",0,IF(AND(OR(OR(Dashboard!$B$5="All themes",Dashboard!$B$5=""),$C41=Dashboard!$B$5),OR(OR(Dashboard!$G$5="All uses",Dashboard!$G$5=""),$E41=Dashboard!$G$5),N($D41)&gt;=Lists!$H$2,OR(OR(Dashboard!$N$5="All windows",Dashboard!$N$5=""),$S41=Dashboard!$N$5)),1,0))</f>
        <v/>
      </c>
      <c r="X41" s="174">
        <f>IF($W41=1,N($D41)*1E14+MIN(MAX(N($U41),0),9999)*1E10+MIN(N($K41),99999)*1E5+99999-MIN(ROW(),99999),"")</f>
        <v/>
      </c>
    </row>
    <row r="42" ht="53" customHeight="1">
      <c r="A42" s="159" t="n">
        <v>39</v>
      </c>
      <c r="B42" s="160" t="inlineStr">
        <is>
          <t>Fortes chuvas provocam deslizamento de terra em acesso da SP-294 em Garça</t>
        </is>
      </c>
      <c r="C42" s="177" t="inlineStr">
        <is>
          <t>Infrastructure &amp; the Underground City</t>
        </is>
      </c>
      <c r="D42" s="162" t="n">
        <v>3</v>
      </c>
      <c r="E42" s="180" t="inlineStr">
        <is>
          <t>News brief</t>
        </is>
      </c>
      <c r="F42" s="164" t="inlineStr">
        <is>
          <t>To review</t>
        </is>
      </c>
      <c r="G42" s="165" t="n"/>
      <c r="H42" s="166" t="n"/>
      <c r="I42" s="167" t="inlineStr">
        <is>
          <t>What causes a cut or embankment on a state highway access road to fail under heavy rain, and what stabilisation is appropriate for such slopes?</t>
        </is>
      </c>
      <c r="J42" s="167" t="inlineStr">
        <is>
          <t>Marília Notícia</t>
        </is>
      </c>
      <c r="K42" s="168" t="n">
        <v>46321</v>
      </c>
      <c r="L42" s="167" t="n"/>
      <c r="M42" s="167" t="inlineStr">
        <is>
          <t>DER-SP (São Paulo state roads department)</t>
        </is>
      </c>
      <c r="N42" s="169" t="inlineStr">
        <is>
          <t>Brazil</t>
        </is>
      </c>
      <c r="O42" s="167" t="inlineStr">
        <is>
          <t>Garça, SP-294 access road</t>
        </is>
      </c>
      <c r="P42" s="167" t="n"/>
      <c r="Q42" s="170" t="inlineStr">
        <is>
          <t>Brazil</t>
        </is>
      </c>
      <c r="R42" s="168" t="n">
        <v>46320</v>
      </c>
      <c r="S42" s="169" t="inlineStr">
        <is>
          <t>2026-Q4</t>
        </is>
      </c>
      <c r="T42" s="171" t="inlineStr">
        <is>
          <t>landslide</t>
        </is>
      </c>
      <c r="U42" s="159" t="n">
        <v>4</v>
      </c>
      <c r="V42" s="172" t="inlineStr">
        <is>
          <t>https://news.google.com/rss/articles/CBMirwFBVV95cUxQd216OXIzbVp3NEZ5M2ozejBVWktPYmoyd29wVVFEQmRLbUU1RWZ1Yi0zUGR4bUJCZV9xYmxDWTdqemFNcmM3WTdmUlA5M3RHcGtwLUQwYkxDUXNWUFdUbXo1SVZpMDJQTllFYjJBVG0wTF9iTkZrWVFLaXRNdU9qRjBuaWlWYUlBMUhNZ0xtMzlFNURQT2cxblRyRV9HYlBob2JQLWVmbkR1Z2MwSEJj?oc=5</t>
        </is>
      </c>
      <c r="W42" s="173">
        <f>IF($B42="",0,IF(AND(OR(OR(Dashboard!$B$5="All themes",Dashboard!$B$5=""),$C42=Dashboard!$B$5),OR(OR(Dashboard!$G$5="All uses",Dashboard!$G$5=""),$E42=Dashboard!$G$5),N($D42)&gt;=Lists!$H$2,OR(OR(Dashboard!$N$5="All windows",Dashboard!$N$5=""),$S42=Dashboard!$N$5)),1,0))</f>
        <v/>
      </c>
      <c r="X42" s="174">
        <f>IF($W42=1,N($D42)*1E14+MIN(MAX(N($U42),0),9999)*1E10+MIN(N($K42),99999)*1E5+99999-MIN(ROW(),99999),"")</f>
        <v/>
      </c>
    </row>
    <row r="43" ht="53" customHeight="1">
      <c r="A43" s="159" t="n">
        <v>40</v>
      </c>
      <c r="B43" s="160" t="inlineStr">
        <is>
          <t>Deslizamento de terra e árvores bloqueia rodovia entre Tatuí e Boituva</t>
        </is>
      </c>
      <c r="C43" s="177" t="inlineStr">
        <is>
          <t>Infrastructure &amp; the Underground City</t>
        </is>
      </c>
      <c r="D43" s="162" t="n">
        <v>3</v>
      </c>
      <c r="E43" s="180" t="inlineStr">
        <is>
          <t>News brief</t>
        </is>
      </c>
      <c r="F43" s="164" t="inlineStr">
        <is>
          <t>To review</t>
        </is>
      </c>
      <c r="G43" s="165" t="n"/>
      <c r="H43" s="166" t="n"/>
      <c r="I43" s="167" t="inlineStr">
        <is>
          <t>What triggered a slope to shed soil and vegetation onto a regional highway, and what slope inspection would prevent repeated closures on this route?</t>
        </is>
      </c>
      <c r="J43" s="167" t="inlineStr">
        <is>
          <t>G1</t>
        </is>
      </c>
      <c r="K43" s="168" t="n">
        <v>46321</v>
      </c>
      <c r="L43" s="167" t="n"/>
      <c r="M43" s="167" t="inlineStr">
        <is>
          <t>DER-SP (São Paulo state roads department)</t>
        </is>
      </c>
      <c r="N43" s="169" t="inlineStr">
        <is>
          <t>Brazil</t>
        </is>
      </c>
      <c r="O43" s="167" t="inlineStr">
        <is>
          <t>Tatuí–Boituva road, São Paulo</t>
        </is>
      </c>
      <c r="P43" s="167" t="n"/>
      <c r="Q43" s="170" t="inlineStr">
        <is>
          <t>Brazil</t>
        </is>
      </c>
      <c r="R43" s="168" t="n">
        <v>46320</v>
      </c>
      <c r="S43" s="169" t="inlineStr">
        <is>
          <t>2026-Q4</t>
        </is>
      </c>
      <c r="T43" s="171" t="inlineStr">
        <is>
          <t>landslide</t>
        </is>
      </c>
      <c r="U43" s="159" t="n">
        <v>4</v>
      </c>
      <c r="V43" s="172" t="inlineStr">
        <is>
          <t>https://news.google.com/rss/articles/CBMi1gFBVV95cUxNa1J5Qm5WUEhnak5mVkZhS1RabHBudEcyUkE4LUJESjgxRFg0T1U5emFhZVh2LXpZZFQ5eXR5S0Q2TFV5TFpuMWJHNGt6azN1R2plbVkxdTNnbzVRWTdVSDBHNk1La1FweTQ4dkxhb1BjaTllVmRFT0t4dzdEbzZXZjBYWnlJSWQxVXp6ZFhsWmVabk9KZmtlTEtuQmwza3pDQ0tpWTBzVkxKbTNtRWtoMlR4b01VUDVoMDhrNC13RGhqbnRVT3lVekdNV1NpRWk3cDNzSWNB0gHkAUFVX3lxTE40VE5KUjc5OGJtZk42dG1aVzEybU9fZ2N3NFFLTE9ab3pocGdScGh5S1otd1htVUIzaThZODV0Tk1ISHkzaE95T2I0M3lFMDQ5X2Utdnh1YTVYU2phMEhiNmJfZkhMX1dPZVBIRDZwdG5sRG82Sy1KWERDemVVUklWOE1sM3RNQzJoTjlrTW5QQUpDSUxTVmxGcGJtak80NHBFYjhwaF9na0Z6b2dENVdZUGNfc2dkdlBZcVhZZlBQTThlUjI2WlZGcDFOdWtfTGV5SlhJYWo1QndYSnFwLTFqSjYtQQ?oc=5</t>
        </is>
      </c>
      <c r="W43" s="173">
        <f>IF($B43="",0,IF(AND(OR(OR(Dashboard!$B$5="All themes",Dashboard!$B$5=""),$C43=Dashboard!$B$5),OR(OR(Dashboard!$G$5="All uses",Dashboard!$G$5=""),$E43=Dashboard!$G$5),N($D43)&gt;=Lists!$H$2,OR(OR(Dashboard!$N$5="All windows",Dashboard!$N$5=""),$S43=Dashboard!$N$5)),1,0))</f>
        <v/>
      </c>
      <c r="X43" s="174">
        <f>IF($W43=1,N($D43)*1E14+MIN(MAX(N($U43),0),9999)*1E10+MIN(N($K43),99999)*1E5+99999-MIN(ROW(),99999),"")</f>
        <v/>
      </c>
    </row>
    <row r="44" ht="53" customHeight="1">
      <c r="A44" s="159" t="n">
        <v>41</v>
      </c>
      <c r="B44" s="160" t="inlineStr">
        <is>
          <t>Deslizamento de terra interdita rodovia entre Realeza e Planalto</t>
        </is>
      </c>
      <c r="C44" s="177" t="inlineStr">
        <is>
          <t>Infrastructure &amp; the Underground City</t>
        </is>
      </c>
      <c r="D44" s="162" t="n">
        <v>3</v>
      </c>
      <c r="E44" s="180" t="inlineStr">
        <is>
          <t>News brief</t>
        </is>
      </c>
      <c r="F44" s="164" t="inlineStr">
        <is>
          <t>To review</t>
        </is>
      </c>
      <c r="G44" s="165" t="n"/>
      <c r="H44" s="166" t="n"/>
      <c r="I44" s="167" t="inlineStr">
        <is>
          <t>Why do rural highway cuts in this region fail during rain, and what slope stability assessment would inform repair and prevent future interdictions?</t>
        </is>
      </c>
      <c r="J44" s="167" t="inlineStr">
        <is>
          <t>Jornal Novo Tempo</t>
        </is>
      </c>
      <c r="K44" s="168" t="n">
        <v>46321</v>
      </c>
      <c r="L44" s="167" t="n"/>
      <c r="M44" s="167" t="inlineStr">
        <is>
          <t>DER-PR (Paraná state roads department)</t>
        </is>
      </c>
      <c r="N44" s="169" t="inlineStr">
        <is>
          <t>Brazil</t>
        </is>
      </c>
      <c r="O44" s="167" t="inlineStr">
        <is>
          <t>Realeza–Planalto road, Paraná</t>
        </is>
      </c>
      <c r="P44" s="167" t="n"/>
      <c r="Q44" s="170" t="inlineStr">
        <is>
          <t>Brazil</t>
        </is>
      </c>
      <c r="R44" s="168" t="n">
        <v>46320</v>
      </c>
      <c r="S44" s="169" t="inlineStr">
        <is>
          <t>2026-Q4</t>
        </is>
      </c>
      <c r="T44" s="171" t="inlineStr">
        <is>
          <t>landslide</t>
        </is>
      </c>
      <c r="U44" s="159" t="n">
        <v>4</v>
      </c>
      <c r="V44" s="172" t="inlineStr">
        <is>
          <t>https://news.google.com/rss/articles/CBMiuAFBVV95cUxOS3ZyVDhPWjk5Z1J4dkdFbndrWTBBZXd6UUVHM3lxUTVMQkZOSjk0N2VuSlJCZ2hJSWd5cW8wOGN3VWZSTzlqTnBWV0RZbTFSNWNxaWtEUXhhTkZzSGNZcTVSUnNDQ1VGNHRnelFZblZwbTZtSjl2UUhLMEdwN1k5WlZaVWdtcTVkdnpIRE41eTBfZjhqV3d1MTNLeldNZGg5ekxTMjRORGZOajBPRng5cTJ1QUxMSEhB?oc=5</t>
        </is>
      </c>
      <c r="W44" s="173">
        <f>IF($B44="",0,IF(AND(OR(OR(Dashboard!$B$5="All themes",Dashboard!$B$5=""),$C44=Dashboard!$B$5),OR(OR(Dashboard!$G$5="All uses",Dashboard!$G$5=""),$E44=Dashboard!$G$5),N($D44)&gt;=Lists!$H$2,OR(OR(Dashboard!$N$5="All windows",Dashboard!$N$5=""),$S44=Dashboard!$N$5)),1,0))</f>
        <v/>
      </c>
      <c r="X44" s="174">
        <f>IF($W44=1,N($D44)*1E14+MIN(MAX(N($U44),0),9999)*1E10+MIN(N($K44),99999)*1E5+99999-MIN(ROW(),99999),"")</f>
        <v/>
      </c>
    </row>
    <row r="45" ht="53" customHeight="1">
      <c r="A45" s="159" t="n">
        <v>42</v>
      </c>
      <c r="B45" s="160" t="inlineStr">
        <is>
          <t>BR-277 é liberada após deslizamento de terra na Serra da Esperança, em Guarapuava</t>
        </is>
      </c>
      <c r="C45" s="177" t="inlineStr">
        <is>
          <t>Infrastructure &amp; the Underground City</t>
        </is>
      </c>
      <c r="D45" s="162" t="n">
        <v>3</v>
      </c>
      <c r="E45" s="180" t="inlineStr">
        <is>
          <t>News brief</t>
        </is>
      </c>
      <c r="F45" s="164" t="inlineStr">
        <is>
          <t>To review</t>
        </is>
      </c>
      <c r="G45" s="165" t="n"/>
      <c r="H45" s="166" t="n"/>
      <c r="I45" s="167" t="inlineStr">
        <is>
          <t>What triggered the mountain slope failure on this highway, and what monitoring and remediation would reduce the time the route is closed after storms?</t>
        </is>
      </c>
      <c r="J45" s="167" t="inlineStr">
        <is>
          <t>Catve</t>
        </is>
      </c>
      <c r="K45" s="168" t="n">
        <v>46321</v>
      </c>
      <c r="L45" s="167" t="n"/>
      <c r="M45" s="167" t="inlineStr">
        <is>
          <t>DNIT and the BR-277 concessionaire</t>
        </is>
      </c>
      <c r="N45" s="169" t="inlineStr">
        <is>
          <t>Brazil</t>
        </is>
      </c>
      <c r="O45" s="167" t="inlineStr">
        <is>
          <t>Serra da Esperança, Guarapuava</t>
        </is>
      </c>
      <c r="P45" s="167" t="n"/>
      <c r="Q45" s="170" t="inlineStr">
        <is>
          <t>Brazil</t>
        </is>
      </c>
      <c r="R45" s="168" t="n">
        <v>46319</v>
      </c>
      <c r="S45" s="169" t="inlineStr">
        <is>
          <t>2026-Q4</t>
        </is>
      </c>
      <c r="T45" s="171" t="inlineStr">
        <is>
          <t>landslide</t>
        </is>
      </c>
      <c r="U45" s="159" t="n">
        <v>4</v>
      </c>
      <c r="V45" s="172" t="inlineStr">
        <is>
          <t>https://news.google.com/rss/articles/CBMiR0FVX3lxTE94OUJCMW4zNWdhYkRhdHNyanpLUDRXZ0gtZERXYjNCdnM0X3Z0WnV3QlVaX09kem5CMko5Vy0wamJTUnZkWjRB?oc=5</t>
        </is>
      </c>
      <c r="W45" s="173">
        <f>IF($B45="",0,IF(AND(OR(OR(Dashboard!$B$5="All themes",Dashboard!$B$5=""),$C45=Dashboard!$B$5),OR(OR(Dashboard!$G$5="All uses",Dashboard!$G$5=""),$E45=Dashboard!$G$5),N($D45)&gt;=Lists!$H$2,OR(OR(Dashboard!$N$5="All windows",Dashboard!$N$5=""),$S45=Dashboard!$N$5)),1,0))</f>
        <v/>
      </c>
      <c r="X45" s="174">
        <f>IF($W45=1,N($D45)*1E14+MIN(MAX(N($U45),0),9999)*1E10+MIN(N($K45),99999)*1E5+99999-MIN(ROW(),99999),"")</f>
        <v/>
      </c>
    </row>
    <row r="46" ht="53" customHeight="1">
      <c r="A46" s="159" t="n">
        <v>43</v>
      </c>
      <c r="B46" s="160" t="inlineStr">
        <is>
          <t>Deslizamento de terra no Km 43, em Cajamar, coloca motoristas em alerta</t>
        </is>
      </c>
      <c r="C46" s="177" t="inlineStr">
        <is>
          <t>Infrastructure &amp; the Underground City</t>
        </is>
      </c>
      <c r="D46" s="162" t="n">
        <v>3</v>
      </c>
      <c r="E46" s="180" t="inlineStr">
        <is>
          <t>News brief</t>
        </is>
      </c>
      <c r="F46" s="164" t="inlineStr">
        <is>
          <t>To review</t>
        </is>
      </c>
      <c r="G46" s="165" t="n"/>
      <c r="H46" s="166" t="n"/>
      <c r="I46" s="167" t="inlineStr">
        <is>
          <t>What caused soil to slide onto this highway cut, and what slope inspection and drainage check should follow before traffic is fully normal?</t>
        </is>
      </c>
      <c r="J46" s="167" t="inlineStr">
        <is>
          <t>JORNAL DA REGIÃO</t>
        </is>
      </c>
      <c r="K46" s="168" t="n">
        <v>46321</v>
      </c>
      <c r="L46" s="167" t="n"/>
      <c r="M46" s="167" t="inlineStr">
        <is>
          <t>DER-SP and the road concessionaire</t>
        </is>
      </c>
      <c r="N46" s="169" t="inlineStr">
        <is>
          <t>Brazil</t>
        </is>
      </c>
      <c r="O46" s="167" t="inlineStr">
        <is>
          <t>Cajamar, São Paulo</t>
        </is>
      </c>
      <c r="P46" s="167" t="n"/>
      <c r="Q46" s="170" t="inlineStr">
        <is>
          <t>Brazil</t>
        </is>
      </c>
      <c r="R46" s="168" t="n">
        <v>46320</v>
      </c>
      <c r="S46" s="169" t="inlineStr">
        <is>
          <t>2026-Q4</t>
        </is>
      </c>
      <c r="T46" s="171" t="inlineStr">
        <is>
          <t>landslide</t>
        </is>
      </c>
      <c r="U46" s="159" t="n">
        <v>4</v>
      </c>
      <c r="V46" s="172" t="inlineStr">
        <is>
          <t>https://news.google.com/rss/articles/CBMioAFBVV95cUxNcE1vSTkzcnVFZHlScldIbU1rdk51ZlN2WHZhNVRUWjdETmhvYmJyNVdKTjRBdENnNk83d29TZTVEWngweEs5LUlKeFZLRFBrQWFIMWk0MWJtVjdFVkhJX3FfRGdzckVFdnBISVhmb2hiUmFNaDM2WURmUE9tUmNiUFNjM3FhYW9NSmNteTZRUmJMV2VPekk3SFlIaWU3X3JH?oc=5</t>
        </is>
      </c>
      <c r="W46" s="173">
        <f>IF($B46="",0,IF(AND(OR(OR(Dashboard!$B$5="All themes",Dashboard!$B$5=""),$C46=Dashboard!$B$5),OR(OR(Dashboard!$G$5="All uses",Dashboard!$G$5=""),$E46=Dashboard!$G$5),N($D46)&gt;=Lists!$H$2,OR(OR(Dashboard!$N$5="All windows",Dashboard!$N$5=""),$S46=Dashboard!$N$5)),1,0))</f>
        <v/>
      </c>
      <c r="X46" s="174">
        <f>IF($W46=1,N($D46)*1E14+MIN(MAX(N($U46),0),9999)*1E10+MIN(N($K46),99999)*1E5+99999-MIN(ROW(),99999),"")</f>
        <v/>
      </c>
    </row>
    <row r="47" ht="53" customHeight="1">
      <c r="A47" s="159" t="n">
        <v>44</v>
      </c>
      <c r="B47" s="160" t="inlineStr">
        <is>
          <t>More than 100 days after Kalladi landslip, twin-tunnel road project awaits safety reports</t>
        </is>
      </c>
      <c r="C47" s="161" t="inlineStr">
        <is>
          <t>Hazards &amp; Resilience</t>
        </is>
      </c>
      <c r="D47" s="162" t="n">
        <v>5</v>
      </c>
      <c r="E47" s="163" t="inlineStr">
        <is>
          <t>Feature lead</t>
        </is>
      </c>
      <c r="F47" s="164" t="inlineStr">
        <is>
          <t>To review</t>
        </is>
      </c>
      <c r="G47" s="165" t="n"/>
      <c r="H47" s="166" t="n"/>
      <c r="I47" s="167" t="inlineStr">
        <is>
          <t>How should twin-tunnel road projects be geotechnically assessed and safety-verified in landslide-prone hill terrain after a major slope failure?</t>
        </is>
      </c>
      <c r="J47" s="167" t="inlineStr">
        <is>
          <t>Onmanorama</t>
        </is>
      </c>
      <c r="K47" s="168" t="n">
        <v>46320</v>
      </c>
      <c r="L47" s="167" t="n"/>
      <c r="M47" s="167" t="n"/>
      <c r="N47" s="169" t="inlineStr">
        <is>
          <t>India</t>
        </is>
      </c>
      <c r="O47" s="167" t="inlineStr">
        <is>
          <t>Kalladi, Kerala</t>
        </is>
      </c>
      <c r="P47" s="167" t="n"/>
      <c r="Q47" s="170" t="inlineStr">
        <is>
          <t>South Africa</t>
        </is>
      </c>
      <c r="R47" s="168" t="n">
        <v>46319</v>
      </c>
      <c r="S47" s="169" t="inlineStr">
        <is>
          <t>2026-Q4</t>
        </is>
      </c>
      <c r="T47" s="171" t="inlineStr">
        <is>
          <t>landslip, tunnel</t>
        </is>
      </c>
      <c r="U47" s="159" t="n">
        <v>6</v>
      </c>
      <c r="V47" s="172" t="inlineStr">
        <is>
          <t>https://news.google.com/rss/articles/CBMi2wFBVV95cUxQYlB1TFpreUsyaGpXMjRFOFRPSFBBR1R5QmxiMkxzMS1vbW1vNklPRk1kTUFtekZFOGt0aEdKc1c1ajRDN20yLTl0Ym1JUXBNanctbXF3OVlMUi1iOVo3WDRMeUR6a3RuQnZXNWgxa01JQThSaGZoUlFvZ19fZXM0MEo4ekJMbmpSRlVLZGtmaGczbEFOZ0tYdzNBNDZsUFJZVTFIV2tKY3FUY1pHdXBoRnREeGdZem1qRjNnMkxYZjRvMGtiSmx5ZHp1MGdGTXBRd00wRTFSWVREMUE?oc=5</t>
        </is>
      </c>
      <c r="W47" s="173">
        <f>IF($B47="",0,IF(AND(OR(OR(Dashboard!$B$5="All themes",Dashboard!$B$5=""),$C47=Dashboard!$B$5),OR(OR(Dashboard!$G$5="All uses",Dashboard!$G$5=""),$E47=Dashboard!$G$5),N($D47)&gt;=Lists!$H$2,OR(OR(Dashboard!$N$5="All windows",Dashboard!$N$5=""),$S47=Dashboard!$N$5)),1,0))</f>
        <v/>
      </c>
      <c r="X47" s="174">
        <f>IF($W47=1,N($D47)*1E14+MIN(MAX(N($U47),0),9999)*1E10+MIN(N($K47),99999)*1E5+99999-MIN(ROW(),99999),"")</f>
        <v/>
      </c>
    </row>
    <row r="48" ht="53" customHeight="1">
      <c r="A48" s="159" t="n">
        <v>45</v>
      </c>
      <c r="B48" s="160" t="inlineStr">
        <is>
          <t>Fragility of port disaster prevention exposed: liquefaction halts logistics at Yatsushiro</t>
        </is>
      </c>
      <c r="C48" s="161" t="inlineStr">
        <is>
          <t>Hazards &amp; Resilience</t>
        </is>
      </c>
      <c r="D48" s="162" t="n">
        <v>5</v>
      </c>
      <c r="E48" s="163" t="inlineStr">
        <is>
          <t>Feature lead</t>
        </is>
      </c>
      <c r="F48" s="164" t="inlineStr">
        <is>
          <t>To review</t>
        </is>
      </c>
      <c r="G48" s="165" t="n"/>
      <c r="H48" s="166" t="n"/>
      <c r="I48" s="167" t="inlineStr">
        <is>
          <t>Why do reclaimed port areas liquefy during earthquakes, and how can quay and yard design reduce the risk of losing logistics function after shaking?</t>
        </is>
      </c>
      <c r="J48" s="167" t="inlineStr">
        <is>
          <t>山陽新聞</t>
        </is>
      </c>
      <c r="K48" s="168" t="n">
        <v>46320</v>
      </c>
      <c r="L48" s="167" t="inlineStr">
        <is>
          <t>港湾防災のもろさ露呈 八代、液状化で物流停止</t>
        </is>
      </c>
      <c r="M48" s="167" t="n"/>
      <c r="N48" s="169" t="inlineStr">
        <is>
          <t>Japan</t>
        </is>
      </c>
      <c r="O48" s="167" t="inlineStr">
        <is>
          <t>Yatsushiro port, Kumamoto</t>
        </is>
      </c>
      <c r="P48" s="167" t="n"/>
      <c r="Q48" s="170" t="inlineStr">
        <is>
          <t>Japan</t>
        </is>
      </c>
      <c r="R48" s="168" t="n">
        <v>46318</v>
      </c>
      <c r="S48" s="169" t="inlineStr">
        <is>
          <t>2026-Q4</t>
        </is>
      </c>
      <c r="T48" s="171" t="inlineStr">
        <is>
          <t>liquefaction</t>
        </is>
      </c>
      <c r="U48" s="159" t="n">
        <v>5</v>
      </c>
      <c r="V48" s="172" t="inlineStr">
        <is>
          <t>https://news.google.com/rss/articles/CBMiZ0FVX3lxTE5leHlqNFI1UXh5aXh5dU5RMVFSUmI5Y2VCOFkzTzhla0Rwa25XbDk5ZlBNblFrdEw2UDc2ZTA4VWtaWmJuN25hLWlBdjNpRDJEU045aldfR3dLbzhzdGZmN3ltV3lxQ3M?oc=5</t>
        </is>
      </c>
      <c r="W48" s="173">
        <f>IF($B48="",0,IF(AND(OR(OR(Dashboard!$B$5="All themes",Dashboard!$B$5=""),$C48=Dashboard!$B$5),OR(OR(Dashboard!$G$5="All uses",Dashboard!$G$5=""),$E48=Dashboard!$G$5),N($D48)&gt;=Lists!$H$2,OR(OR(Dashboard!$N$5="All windows",Dashboard!$N$5=""),$S48=Dashboard!$N$5)),1,0))</f>
        <v/>
      </c>
      <c r="X48" s="174">
        <f>IF($W48=1,N($D48)*1E14+MIN(MAX(N($U48),0),9999)*1E10+MIN(N($K48),99999)*1E5+99999-MIN(ROW(),99999),"")</f>
        <v/>
      </c>
    </row>
    <row r="49" ht="53" customHeight="1">
      <c r="A49" s="159" t="n">
        <v>46</v>
      </c>
      <c r="B49" s="160" t="inlineStr">
        <is>
          <t>Arauco sinkhole: government acknowledges earlier warnings about unstable land and keeps 152 families evacuated</t>
        </is>
      </c>
      <c r="C49" s="161" t="inlineStr">
        <is>
          <t>Hazards &amp; Resilience</t>
        </is>
      </c>
      <c r="D49" s="162" t="n">
        <v>5</v>
      </c>
      <c r="E49" s="163" t="inlineStr">
        <is>
          <t>Feature lead</t>
        </is>
      </c>
      <c r="F49" s="164" t="inlineStr">
        <is>
          <t>To review</t>
        </is>
      </c>
      <c r="G49" s="165" t="n"/>
      <c r="H49" s="166" t="n"/>
      <c r="I49" s="167" t="inlineStr">
        <is>
          <t>How should authorities act on prior geotechnical warnings about unstable ground, and what criteria should govern long-term evacuation and land reuse?</t>
        </is>
      </c>
      <c r="J49" s="167" t="inlineStr">
        <is>
          <t>Publimicro</t>
        </is>
      </c>
      <c r="K49" s="168" t="n">
        <v>46320</v>
      </c>
      <c r="L49" s="167" t="inlineStr">
        <is>
          <t>Socavón de Arauco: Gobierno reconoce advertencias previas sobre terrenos inestables y mantiene evacuación de 152 familias</t>
        </is>
      </c>
      <c r="M49" s="167" t="n"/>
      <c r="N49" s="169" t="inlineStr">
        <is>
          <t>Chile</t>
        </is>
      </c>
      <c r="O49" s="167" t="inlineStr">
        <is>
          <t>Arauco</t>
        </is>
      </c>
      <c r="P49" s="167" t="inlineStr">
        <is>
          <t>Arauco sinkhole, Chile (Oct 2026) · Response &amp; recovery · 2 reports</t>
        </is>
      </c>
      <c r="Q49" s="170" t="inlineStr">
        <is>
          <t>Colombia</t>
        </is>
      </c>
      <c r="R49" s="168" t="n">
        <v>46320</v>
      </c>
      <c r="S49" s="169" t="inlineStr">
        <is>
          <t>2026-Q4</t>
        </is>
      </c>
      <c r="T49" s="171" t="inlineStr">
        <is>
          <t>sinkhole</t>
        </is>
      </c>
      <c r="U49" s="159" t="n">
        <v>4</v>
      </c>
      <c r="V49" s="172" t="inlineStr">
        <is>
          <t>https://news.google.com/rss/articles/CBMi2wFBVV95cUxPbEItcVZCOEZqYkozMmZkelZyb2JPaWRsOHl5M0dHNUQyWE1tVnRYbXk4eHZBbWJudE8zUFJGSWNUdlNZZE5pS2FDWDhnY19OM0FGSUVDb1FaN044VHU0X04zUnFhREE0M0kyRW83czIwZVlwZnRnNnBaU2VwUUotZWZXZWl2WHNnV01LaXV5Nzk5dklNSE9zZHlXZG41SGg3WlUwQlk4N1BhX3VlSGNKa2pyX2VBMzBVMWFzdEwtejR2TlNYb29DNmtxYURuaHl2YWlIRzk4dktYMzA?oc=5</t>
        </is>
      </c>
      <c r="W49" s="173">
        <f>IF($B49="",0,IF(AND(OR(OR(Dashboard!$B$5="All themes",Dashboard!$B$5=""),$C49=Dashboard!$B$5),OR(OR(Dashboard!$G$5="All uses",Dashboard!$G$5=""),$E49=Dashboard!$G$5),N($D49)&gt;=Lists!$H$2,OR(OR(Dashboard!$N$5="All windows",Dashboard!$N$5=""),$S49=Dashboard!$N$5)),1,0))</f>
        <v/>
      </c>
      <c r="X49" s="174">
        <f>IF($W49=1,N($D49)*1E14+MIN(MAX(N($U49),0),9999)*1E10+MIN(N($K49),99999)*1E5+99999-MIN(ROW(),99999),"")</f>
        <v/>
      </c>
    </row>
    <row r="50" ht="53" customHeight="1">
      <c r="A50" s="159" t="n">
        <v>47</v>
      </c>
      <c r="B50" s="160" t="inlineStr">
        <is>
          <t>Up to 1.20 metres of ground moved during the 7.5 earthquake that shook Panama</t>
        </is>
      </c>
      <c r="C50" s="161" t="inlineStr">
        <is>
          <t>Hazards &amp; Resilience</t>
        </is>
      </c>
      <c r="D50" s="162" t="n">
        <v>5</v>
      </c>
      <c r="E50" s="163" t="inlineStr">
        <is>
          <t>Feature lead</t>
        </is>
      </c>
      <c r="F50" s="164" t="inlineStr">
        <is>
          <t>To review</t>
        </is>
      </c>
      <c r="G50" s="165" t="n"/>
      <c r="H50" s="166" t="n"/>
      <c r="I50" s="167" t="inlineStr">
        <is>
          <t>What mechanisms produced metre-scale ground displacement during this magnitude 7.5 earthquake, and what do they imply for fault-zone hazard assessment in Panama?</t>
        </is>
      </c>
      <c r="J50" s="167" t="inlineStr">
        <is>
          <t>Infobae</t>
        </is>
      </c>
      <c r="K50" s="168" t="n">
        <v>46320</v>
      </c>
      <c r="L50" s="167" t="inlineStr">
        <is>
          <t>Hasta 1.20 metros se desplazó el suelo durante el terremoto de 7.5 que sacudió Panamá</t>
        </is>
      </c>
      <c r="M50" s="167" t="n"/>
      <c r="N50" s="169" t="inlineStr">
        <is>
          <t>Panama</t>
        </is>
      </c>
      <c r="O50" s="167" t="inlineStr">
        <is>
          <t>Panama</t>
        </is>
      </c>
      <c r="P50" s="167" t="n"/>
      <c r="Q50" s="170" t="inlineStr">
        <is>
          <t>Argentina</t>
        </is>
      </c>
      <c r="R50" s="168" t="n">
        <v>46317</v>
      </c>
      <c r="S50" s="169" t="inlineStr">
        <is>
          <t>2026-Q4</t>
        </is>
      </c>
      <c r="T50" s="171" t="inlineStr">
        <is>
          <t>earthquake, soil</t>
        </is>
      </c>
      <c r="U50" s="159" t="n">
        <v>3</v>
      </c>
      <c r="V50" s="172" t="inlineStr">
        <is>
          <t>https://news.google.com/rss/articles/CBMixAFBVV95cUxNb1N4SjlJaXNrelJVZzRFNWxVeXJ3T1VBNHVRa25mZzF3amp0Rk4yWG8yZHJYOVpoaFlrWHNuLUlEcVBPUTl5MVpyTVUtemtxSHMzN3NsbDFfZXZkT0x2V1Q4Wm1McXJxRFg3TFZmWTBLbURMM3ZDZ2d6cEJMNzlaUTdFM3k3YWFLLXlkcFo0UERKUWFQalM1X0F0Qk52ckUwbXZRM3VTa1RVMTd4SmlrYzR5LU9iUXdCbk9SQmZaYlViNVBF0gHfAUFVX3lxTE9pU0JMMnVDa2FFQ3RzdEgweE1mYVJIandLaTdZTk5YOVl6Ri1uUnVMS3Jsc25qMDNzVjk0QUhqYzNCMFFWQkFycGRDZklpSmg1ZE00M2V5TDRJRXR1NnhyMWxhb3lVdUoyaEhWVy14Q1FuUmQzc2hHbVBhRXdMQTlKYVdYT25Id1owZ2FiUy1Vczl3WG5sMVhuM1RIS05xekVTOGF5eEJ5TjYwTjdQVTRyWmVnb1QwTm5yOXVfalJfcFNpNERRc3VqYmtCTjVOMnhNV3o4VTdYYy0wQnVXdmM?oc=5</t>
        </is>
      </c>
      <c r="W50" s="173">
        <f>IF($B50="",0,IF(AND(OR(OR(Dashboard!$B$5="All themes",Dashboard!$B$5=""),$C50=Dashboard!$B$5),OR(OR(Dashboard!$G$5="All uses",Dashboard!$G$5=""),$E50=Dashboard!$G$5),N($D50)&gt;=Lists!$H$2,OR(OR(Dashboard!$N$5="All windows",Dashboard!$N$5=""),$S50=Dashboard!$N$5)),1,0))</f>
        <v/>
      </c>
      <c r="X50" s="174">
        <f>IF($W50=1,N($D50)*1E14+MIN(MAX(N($U50),0),9999)*1E10+MIN(N($K50),99999)*1E5+99999-MIN(ROW(),99999),"")</f>
        <v/>
      </c>
    </row>
    <row r="51" ht="53" customHeight="1">
      <c r="A51" s="159" t="n">
        <v>48</v>
      </c>
      <c r="B51" s="160" t="inlineStr">
        <is>
          <t>Zaruma sits on old gold galleries: where is the sinkhole risk concentrated?</t>
        </is>
      </c>
      <c r="C51" s="161" t="inlineStr">
        <is>
          <t>Hazards &amp; Resilience</t>
        </is>
      </c>
      <c r="D51" s="162" t="n">
        <v>5</v>
      </c>
      <c r="E51" s="163" t="inlineStr">
        <is>
          <t>Feature lead</t>
        </is>
      </c>
      <c r="F51" s="164" t="inlineStr">
        <is>
          <t>To review</t>
        </is>
      </c>
      <c r="G51" s="165" t="n"/>
      <c r="H51" s="166" t="n"/>
      <c r="I51" s="167" t="inlineStr">
        <is>
          <t>How do abandoned shallow gold mine galleries affect ground stability beneath an urban area, and how can the sinkhole risk be mapped and managed?</t>
        </is>
      </c>
      <c r="J51" s="167" t="inlineStr">
        <is>
          <t>Revista Digital Minera REDIMIN</t>
        </is>
      </c>
      <c r="K51" s="168" t="n">
        <v>46320</v>
      </c>
      <c r="L51" s="167" t="inlineStr">
        <is>
          <t>Zaruma está sobre antiguas galerías de oro: ¿Dónde se concentra el riesgo de hundimiento?</t>
        </is>
      </c>
      <c r="M51" s="167" t="n"/>
      <c r="N51" s="169" t="inlineStr">
        <is>
          <t>Ecuador</t>
        </is>
      </c>
      <c r="O51" s="167" t="inlineStr">
        <is>
          <t>Zaruma</t>
        </is>
      </c>
      <c r="P51" s="167" t="n"/>
      <c r="Q51" s="170" t="inlineStr">
        <is>
          <t>Argentina</t>
        </is>
      </c>
      <c r="R51" s="168" t="n">
        <v>46319</v>
      </c>
      <c r="S51" s="169" t="inlineStr">
        <is>
          <t>2026-Q4</t>
        </is>
      </c>
      <c r="T51" s="171" t="n"/>
      <c r="U51" s="159" t="n">
        <v>0</v>
      </c>
      <c r="V51" s="172" t="inlineStr">
        <is>
          <t>https://news.google.com/rss/articles/CBMirgFBVV95cUxOMUhXcnpZRTdoS0lYX2pGQ25VSzB1Y3NXNzRVajdqTzVLdWZHcU5MVEpWMHRmTVdIaXJZbGtSNWpCX2tOamV6Qk5HenVWRmxBNXJkbXhLVExlYWIzNHp5T2x4dGJmVElvaTMxU2hDYUpFRkVNS0JUR3dsdG41WnV2UkVqSlBMYWpwbjMxbmc2ejFjM21EQTlnVDk5MmdPZGF4alFpT3ROYTRkWkM5cVE?oc=5</t>
        </is>
      </c>
      <c r="W51" s="173">
        <f>IF($B51="",0,IF(AND(OR(OR(Dashboard!$B$5="All themes",Dashboard!$B$5=""),$C51=Dashboard!$B$5),OR(OR(Dashboard!$G$5="All uses",Dashboard!$G$5=""),$E51=Dashboard!$G$5),N($D51)&gt;=Lists!$H$2,OR(OR(Dashboard!$N$5="All windows",Dashboard!$N$5=""),$S51=Dashboard!$N$5)),1,0))</f>
        <v/>
      </c>
      <c r="X51" s="174">
        <f>IF($W51=1,N($D51)*1E14+MIN(MAX(N($U51),0),9999)*1E10+MIN(N($K51),99999)*1E5+99999-MIN(ROW(),99999),"")</f>
        <v/>
      </c>
    </row>
    <row r="52" ht="53" customHeight="1">
      <c r="A52" s="159" t="n">
        <v>49</v>
      </c>
      <c r="B52" s="160" t="inlineStr">
        <is>
          <t>Rockfall and landslide on the mountain of the Noah's Ark legend captured on camera; climbers escape unhurt</t>
        </is>
      </c>
      <c r="C52" s="161" t="inlineStr">
        <is>
          <t>Hazards &amp; Resilience</t>
        </is>
      </c>
      <c r="D52" s="162" t="n">
        <v>4</v>
      </c>
      <c r="E52" s="180" t="inlineStr">
        <is>
          <t>News brief</t>
        </is>
      </c>
      <c r="F52" s="164" t="inlineStr">
        <is>
          <t>To review</t>
        </is>
      </c>
      <c r="G52" s="165" t="n"/>
      <c r="H52" s="166" t="n"/>
      <c r="I52" s="167" t="inlineStr">
        <is>
          <t>What triggers rockfall and debris slides on steep volcanic-sedimentary mountain slopes, and how should hazard zoning account for such events near visitor routes?</t>
        </is>
      </c>
      <c r="J52" s="167" t="inlineStr">
        <is>
          <t>FNNプライムオンライン</t>
        </is>
      </c>
      <c r="K52" s="168" t="n">
        <v>46320</v>
      </c>
      <c r="L52" s="167" t="inlineStr">
        <is>
          <t>「ノアの箱舟」伝説の山で落石・土砂崩れ 「来るぞ！走れ！逃げろ！」カメラが捉えた発生の瞬間 “間一髪”の登山者らけがなし トルコ</t>
        </is>
      </c>
      <c r="M52" s="167" t="n"/>
      <c r="N52" s="169" t="inlineStr">
        <is>
          <t>Türkiye</t>
        </is>
      </c>
      <c r="O52" s="167" t="inlineStr">
        <is>
          <t>Mount Ararat, Ağrı</t>
        </is>
      </c>
      <c r="P52" s="167" t="n"/>
      <c r="Q52" s="170" t="inlineStr">
        <is>
          <t>Japan</t>
        </is>
      </c>
      <c r="R52" s="168" t="n">
        <v>46318</v>
      </c>
      <c r="S52" s="169" t="inlineStr">
        <is>
          <t>2026-Q4</t>
        </is>
      </c>
      <c r="T52" s="171" t="inlineStr">
        <is>
          <t>landslide, rockfall</t>
        </is>
      </c>
      <c r="U52" s="159" t="n">
        <v>8</v>
      </c>
      <c r="V52" s="172" t="inlineStr">
        <is>
          <t>https://news.google.com/rss/articles/CBMiTkFVX3lxTE1uZEw5RnB3UEJsWjd6MFZFRXhhUkV0d0QwMURpMVNQVjhUR3BIdHNrRWZ4OFFJWS12Z3JIcEthQkFhOU9WeC1fVHdiM3hLQQ?oc=5</t>
        </is>
      </c>
      <c r="W52" s="173">
        <f>IF($B52="",0,IF(AND(OR(OR(Dashboard!$B$5="All themes",Dashboard!$B$5=""),$C52=Dashboard!$B$5),OR(OR(Dashboard!$G$5="All uses",Dashboard!$G$5=""),$E52=Dashboard!$G$5),N($D52)&gt;=Lists!$H$2,OR(OR(Dashboard!$N$5="All windows",Dashboard!$N$5=""),$S52=Dashboard!$N$5)),1,0))</f>
        <v/>
      </c>
      <c r="X52" s="174">
        <f>IF($W52=1,N($D52)*1E14+MIN(MAX(N($U52),0),9999)*1E10+MIN(N($K52),99999)*1E5+99999-MIN(ROW(),99999),"")</f>
        <v/>
      </c>
    </row>
    <row r="53" ht="53" customHeight="1">
      <c r="A53" s="159" t="n">
        <v>50</v>
      </c>
      <c r="B53" s="160" t="inlineStr">
        <is>
          <t>Nghe An: urgent measures needed for landslide on the seaside road embankment</t>
        </is>
      </c>
      <c r="C53" s="179" t="inlineStr">
        <is>
          <t>Offshore, Coasts &amp; Water</t>
        </is>
      </c>
      <c r="D53" s="162" t="n">
        <v>4</v>
      </c>
      <c r="E53" s="180" t="inlineStr">
        <is>
          <t>News brief</t>
        </is>
      </c>
      <c r="F53" s="164" t="inlineStr">
        <is>
          <t>To review</t>
        </is>
      </c>
      <c r="G53" s="165" t="n"/>
      <c r="H53" s="166" t="n"/>
      <c r="I53" s="167" t="inlineStr">
        <is>
          <t>Why do coastal road embankments fail by landslide, and what emergency stabilisation and monitoring are appropriate for dyke slopes exposed to waves and rainfall?</t>
        </is>
      </c>
      <c r="J53" s="167" t="inlineStr">
        <is>
          <t>Vietnam.vn</t>
        </is>
      </c>
      <c r="K53" s="168" t="n">
        <v>46320</v>
      </c>
      <c r="L53" s="167" t="inlineStr">
        <is>
          <t>응에안성: 해안 도로 제방의 산사태 발생에 대한 긴급 조치가 필요합니다.</t>
        </is>
      </c>
      <c r="M53" s="167" t="n"/>
      <c r="N53" s="169" t="inlineStr">
        <is>
          <t>Vietnam</t>
        </is>
      </c>
      <c r="O53" s="167" t="inlineStr">
        <is>
          <t>Nghe An coastal road</t>
        </is>
      </c>
      <c r="P53" s="167" t="inlineStr">
        <is>
          <t>Nghe An coastal road embankment landslide, Vietnam (Oct 2026) · Response &amp; recovery · 2 reports</t>
        </is>
      </c>
      <c r="Q53" s="170" t="inlineStr">
        <is>
          <t>South Korea</t>
        </is>
      </c>
      <c r="R53" s="168" t="n">
        <v>46318</v>
      </c>
      <c r="S53" s="169" t="inlineStr">
        <is>
          <t>2026-Q4</t>
        </is>
      </c>
      <c r="T53" s="171" t="inlineStr">
        <is>
          <t>landslide, embankment</t>
        </is>
      </c>
      <c r="U53" s="159" t="n">
        <v>7</v>
      </c>
      <c r="V53" s="172" t="inlineStr">
        <is>
          <t>https://news.google.com/rss/articles/CBMilwFBVV95cUxPVWtrMThoQUYxQjFSLS1VQ01fYmEzUW8tamxpSHVxS3hnaWV4YWl2MV9oRUw1ekE0SG01SHJxZTM2c1p6aXMzNWh2Q2M0bXhyYjFjQm9zRGlJUUJ2TWE5VE5TYW41ZTFqSV9vaG9ZRjAyNEJNYkVrU1BrRlN3QTFQZjlUQndtZE94WWpaVXQ4RTRCZmM1enNJ?oc=5</t>
        </is>
      </c>
      <c r="W53" s="173">
        <f>IF($B53="",0,IF(AND(OR(OR(Dashboard!$B$5="All themes",Dashboard!$B$5=""),$C53=Dashboard!$B$5),OR(OR(Dashboard!$G$5="All uses",Dashboard!$G$5=""),$E53=Dashboard!$G$5),N($D53)&gt;=Lists!$H$2,OR(OR(Dashboard!$N$5="All windows",Dashboard!$N$5=""),$S53=Dashboard!$N$5)),1,0))</f>
        <v/>
      </c>
      <c r="X53" s="174">
        <f>IF($W53=1,N($D53)*1E14+MIN(MAX(N($U53),0),9999)*1E10+MIN(N($K53),99999)*1E5+99999-MIN(ROW(),99999),"")</f>
        <v/>
      </c>
    </row>
    <row r="54" ht="53" customHeight="1">
      <c r="A54" s="159" t="n">
        <v>51</v>
      </c>
      <c r="B54" s="160" t="inlineStr">
        <is>
          <t>Quang Tri: severe coastal erosion threatens dykes, embankments and residents' lives.</t>
        </is>
      </c>
      <c r="C54" s="179" t="inlineStr">
        <is>
          <t>Offshore, Coasts &amp; Water</t>
        </is>
      </c>
      <c r="D54" s="162" t="n">
        <v>4</v>
      </c>
      <c r="E54" s="163" t="inlineStr">
        <is>
          <t>Feature lead</t>
        </is>
      </c>
      <c r="F54" s="164" t="inlineStr">
        <is>
          <t>To review</t>
        </is>
      </c>
      <c r="G54" s="165" t="n"/>
      <c r="H54" s="166" t="n"/>
      <c r="I54" s="167" t="inlineStr">
        <is>
          <t>How can coastal erosion monitoring and erosion-resistant embankment design protect dykes and communities when shoreline retreat accelerates?</t>
        </is>
      </c>
      <c r="J54" s="167" t="inlineStr">
        <is>
          <t>Vietnam.vn</t>
        </is>
      </c>
      <c r="K54" s="168" t="n">
        <v>46320</v>
      </c>
      <c r="L54" s="167" t="inlineStr">
        <is>
          <t>꽝찌: 심각한 해안 침식으로 인해 제방과 둑, 그리고 주민들의 생명이 위협받고 있습니다.</t>
        </is>
      </c>
      <c r="M54" s="167" t="n"/>
      <c r="N54" s="169" t="inlineStr">
        <is>
          <t>Vietnam</t>
        </is>
      </c>
      <c r="O54" s="167" t="inlineStr">
        <is>
          <t>Quang Tri province</t>
        </is>
      </c>
      <c r="P54" s="167" t="inlineStr">
        <is>
          <t>Quang Tri coastal erosion threatening dykes, Vietnam (Oct 2026) · Event · 2 reports</t>
        </is>
      </c>
      <c r="Q54" s="170" t="inlineStr">
        <is>
          <t>South Korea</t>
        </is>
      </c>
      <c r="R54" s="168" t="n">
        <v>46318</v>
      </c>
      <c r="S54" s="169" t="inlineStr">
        <is>
          <t>2026-Q4</t>
        </is>
      </c>
      <c r="T54" s="171" t="inlineStr">
        <is>
          <t>embankment, erosion</t>
        </is>
      </c>
      <c r="U54" s="159" t="n">
        <v>5</v>
      </c>
      <c r="V54" s="172" t="inlineStr">
        <is>
          <t>https://news.google.com/rss/articles/CBMingFBVV95cUxOMW5DMERmVlE2dVl1LU4zMFhMTlpPLVBHblZweXJjYXJIV0ZHVVR6Sk50eW1xVm1MS3VTYTJtUjBoZkVfTm1hWFlmTGlOS0JZX2lOSTJCYkoxbm1TODNFSURESTIxbm5YRjJXcVkxOGp6bmdnMmJmdjBqRnNzXzFDdzdHaXVBYXlaVzFiZW5kSlpJdEIyemJVeDVWZWlsdw?oc=5</t>
        </is>
      </c>
      <c r="W54" s="173">
        <f>IF($B54="",0,IF(AND(OR(OR(Dashboard!$B$5="All themes",Dashboard!$B$5=""),$C54=Dashboard!$B$5),OR(OR(Dashboard!$G$5="All uses",Dashboard!$G$5=""),$E54=Dashboard!$G$5),N($D54)&gt;=Lists!$H$2,OR(OR(Dashboard!$N$5="All windows",Dashboard!$N$5=""),$S54=Dashboard!$N$5)),1,0))</f>
        <v/>
      </c>
      <c r="X54" s="174">
        <f>IF($W54=1,N($D54)*1E14+MIN(MAX(N($U54),0),9999)*1E10+MIN(N($K54),99999)*1E5+99999-MIN(ROW(),99999),"")</f>
        <v/>
      </c>
    </row>
    <row r="55" ht="53" customHeight="1">
      <c r="A55" s="159" t="n">
        <v>52</v>
      </c>
      <c r="B55" s="160" t="inlineStr">
        <is>
          <t>Survived against the odds: home destroyed in typhoon No. 25 landslide in Kamogawa; Iimura Hiroshi says fear comes with consciousness</t>
        </is>
      </c>
      <c r="C55" s="161" t="inlineStr">
        <is>
          <t>Hazards &amp; Resilience</t>
        </is>
      </c>
      <c r="D55" s="162" t="n">
        <v>4</v>
      </c>
      <c r="E55" s="180" t="inlineStr">
        <is>
          <t>News brief</t>
        </is>
      </c>
      <c r="F55" s="164" t="inlineStr">
        <is>
          <t>To review</t>
        </is>
      </c>
      <c r="G55" s="165" t="n"/>
      <c r="H55" s="166" t="n"/>
      <c r="I55" s="167" t="inlineStr">
        <is>
          <t>What slope and saturation conditions cause houses on hillsides to be destroyed by debris slides during typhoon rainfall, and how can early warning address them?</t>
        </is>
      </c>
      <c r="J55" s="167" t="inlineStr">
        <is>
          <t>千葉日報オンライン</t>
        </is>
      </c>
      <c r="K55" s="168" t="n">
        <v>46320</v>
      </c>
      <c r="L55" s="167" t="inlineStr">
        <is>
          <t>自宅崩壊“九死に一生” 台風２５号 鴨川で土砂崩れ多発 生き埋めから生還 飯村浩さん 意識あるからこそ恐怖</t>
        </is>
      </c>
      <c r="M55" s="167" t="n"/>
      <c r="N55" s="169" t="inlineStr">
        <is>
          <t>Japan</t>
        </is>
      </c>
      <c r="O55" s="167" t="inlineStr">
        <is>
          <t>Kamogawa, Chiba</t>
        </is>
      </c>
      <c r="P55" s="167" t="inlineStr">
        <is>
          <t>Typhoon 25 landslides, Bōsō Peninsula, Japan (Oct 2026) · Event · 2 reports</t>
        </is>
      </c>
      <c r="Q55" s="170" t="inlineStr">
        <is>
          <t>Japan</t>
        </is>
      </c>
      <c r="R55" s="168" t="n">
        <v>46319</v>
      </c>
      <c r="S55" s="169" t="inlineStr">
        <is>
          <t>2026-Q4</t>
        </is>
      </c>
      <c r="T55" s="171" t="inlineStr">
        <is>
          <t>landslide, collapse</t>
        </is>
      </c>
      <c r="U55" s="159" t="n">
        <v>5</v>
      </c>
      <c r="V55" s="172" t="inlineStr">
        <is>
          <t>https://news.google.com/rss/articles/CBMiWEFVX3lxTFBTQ25tOTZGZzZsUWdHamNXa3hxMGdGTG8ySno0dWhQSzl1SnVtZHBuSUtrM3d3VTJPekZvbFZXRDY0TWhFZ1NDWDllM3RSeDI5SUZkRWZtQzU?oc=5</t>
        </is>
      </c>
      <c r="W55" s="173">
        <f>IF($B55="",0,IF(AND(OR(OR(Dashboard!$B$5="All themes",Dashboard!$B$5=""),$C55=Dashboard!$B$5),OR(OR(Dashboard!$G$5="All uses",Dashboard!$G$5=""),$E55=Dashboard!$G$5),N($D55)&gt;=Lists!$H$2,OR(OR(Dashboard!$N$5="All windows",Dashboard!$N$5=""),$S55=Dashboard!$N$5)),1,0))</f>
        <v/>
      </c>
      <c r="X55" s="174">
        <f>IF($W55=1,N($D55)*1E14+MIN(MAX(N($U55),0),9999)*1E10+MIN(N($K55),99999)*1E5+99999-MIN(ROW(),99999),"")</f>
        <v/>
      </c>
    </row>
    <row r="56" ht="53" customHeight="1">
      <c r="A56" s="159" t="n">
        <v>53</v>
      </c>
      <c r="B56" s="160" t="inlineStr">
        <is>
          <t>Four guests fall into sinkhole at Occidental Cozumel hotel</t>
        </is>
      </c>
      <c r="C56" s="177" t="inlineStr">
        <is>
          <t>Infrastructure &amp; the Underground City</t>
        </is>
      </c>
      <c r="D56" s="162" t="n">
        <v>4</v>
      </c>
      <c r="E56" s="180" t="inlineStr">
        <is>
          <t>News brief</t>
        </is>
      </c>
      <c r="F56" s="164" t="inlineStr">
        <is>
          <t>To review</t>
        </is>
      </c>
      <c r="G56" s="165" t="n"/>
      <c r="H56" s="166" t="n"/>
      <c r="I56" s="167" t="inlineStr">
        <is>
          <t>How do karst cavities and dissolution features in coastal limestone create sudden collapses beneath hotel and tourist structures?</t>
        </is>
      </c>
      <c r="J56" s="167" t="inlineStr">
        <is>
          <t>Quintana Roo Hoy</t>
        </is>
      </c>
      <c r="K56" s="168" t="n">
        <v>46320</v>
      </c>
      <c r="L56" s="167" t="inlineStr">
        <is>
          <t>Cuatro huéspedes caen en socavón del hotel Occidental Cozumel</t>
        </is>
      </c>
      <c r="M56" s="167" t="n"/>
      <c r="N56" s="169" t="inlineStr">
        <is>
          <t>Mexico</t>
        </is>
      </c>
      <c r="O56" s="167" t="inlineStr">
        <is>
          <t>Cozumel, Quintana Roo</t>
        </is>
      </c>
      <c r="P56" s="167" t="inlineStr">
        <is>
          <t>Occidental Cozumel hotel sinkhole, Mexico (Oct 2026) · Event · 3 reports</t>
        </is>
      </c>
      <c r="Q56" s="170" t="inlineStr">
        <is>
          <t>Colombia</t>
        </is>
      </c>
      <c r="R56" s="168" t="n">
        <v>46319</v>
      </c>
      <c r="S56" s="169" t="inlineStr">
        <is>
          <t>2026-Q4</t>
        </is>
      </c>
      <c r="T56" s="171" t="inlineStr">
        <is>
          <t>sinkhole</t>
        </is>
      </c>
      <c r="U56" s="159" t="n">
        <v>4</v>
      </c>
      <c r="V56" s="172" t="inlineStr">
        <is>
          <t>https://news.google.com/rss/articles/CBMipAFBVV95cUxNSjZ6bXhiX2dfbkViZ2dUOVpjOFYyblBpYW81WjVHdkRwYkNGb1hjbF96R1lBaUpxemx0V2FYQVVXM2hiNFF4YzlNSzBOUWtvRldwNjE2VS1wRVpxbzlBdERnUWttZU1abXg1VlNiZER5d3g3V0ZoWTl2dnNNd2Q3RlhHWFM0Q0dranBKbTRUb0w4LWdWWGF6UWhZczREOGQ4WnhfNg?oc=5</t>
        </is>
      </c>
      <c r="W56" s="173">
        <f>IF($B56="",0,IF(AND(OR(OR(Dashboard!$B$5="All themes",Dashboard!$B$5=""),$C56=Dashboard!$B$5),OR(OR(Dashboard!$G$5="All uses",Dashboard!$G$5=""),$E56=Dashboard!$G$5),N($D56)&gt;=Lists!$H$2,OR(OR(Dashboard!$N$5="All windows",Dashboard!$N$5=""),$S56=Dashboard!$N$5)),1,0))</f>
        <v/>
      </c>
      <c r="X56" s="174">
        <f>IF($W56=1,N($D56)*1E14+MIN(MAX(N($U56),0),9999)*1E10+MIN(N($K56),99999)*1E5+99999-MIN(ROW(),99999),"")</f>
        <v/>
      </c>
    </row>
    <row r="57" ht="40.5" customHeight="1">
      <c r="A57" s="159" t="n">
        <v>54</v>
      </c>
      <c r="B57" s="160" t="inlineStr">
        <is>
          <t>Close-up of giant 120 m deep sinkhole just discovered in Phong Nha-Ke Bang</t>
        </is>
      </c>
      <c r="C57" s="184" t="inlineStr">
        <is>
          <t>Characterisation &amp; Modelling</t>
        </is>
      </c>
      <c r="D57" s="162" t="n">
        <v>4</v>
      </c>
      <c r="E57" s="163" t="inlineStr">
        <is>
          <t>Feature lead</t>
        </is>
      </c>
      <c r="F57" s="164" t="inlineStr">
        <is>
          <t>To review</t>
        </is>
      </c>
      <c r="G57" s="165" t="n"/>
      <c r="H57" s="166" t="n"/>
      <c r="I57" s="167" t="inlineStr">
        <is>
          <t>How are very deep karst sinkholes investigated, and what does their formation reveal about hazards around cave systems?</t>
        </is>
      </c>
      <c r="J57" s="167" t="inlineStr">
        <is>
          <t>Laodong.vn</t>
        </is>
      </c>
      <c r="K57" s="168" t="n">
        <v>46320</v>
      </c>
      <c r="L57" s="167" t="inlineStr">
        <is>
          <t>퐁냐케방에서 방금 발견된 깊이 120m의 거대한 싱크홀 근접 촬영</t>
        </is>
      </c>
      <c r="M57" s="167" t="n"/>
      <c r="N57" s="169" t="inlineStr">
        <is>
          <t>Vietnam</t>
        </is>
      </c>
      <c r="O57" s="167" t="inlineStr">
        <is>
          <t>Phong Nha-Ke Bang</t>
        </is>
      </c>
      <c r="P57" s="167" t="inlineStr">
        <is>
          <t>Phong Nha-Ke Bang 120 m sinkhole discovery, Vietnam · Update · 4 reports</t>
        </is>
      </c>
      <c r="Q57" s="170" t="inlineStr">
        <is>
          <t>South Korea</t>
        </is>
      </c>
      <c r="R57" s="168" t="n">
        <v>46320</v>
      </c>
      <c r="S57" s="169" t="inlineStr">
        <is>
          <t>2026-Q4</t>
        </is>
      </c>
      <c r="T57" s="171" t="inlineStr">
        <is>
          <t>sinkhole</t>
        </is>
      </c>
      <c r="U57" s="159" t="n">
        <v>4</v>
      </c>
      <c r="V57" s="172" t="inlineStr">
        <is>
          <t>https://news.google.com/rss/articles/CBMisgFBVV95cUxQdURwNUowWTYydWgxelNON0NTNUozZXdjMFUxM3AtSHBQRTBfWWZlT0tWQ0VkaDdNa0lOanpPSk05SVRyZVhOODJteTJzUGo4UWlYUFRBb3dLMnB2R2Z5NjZ0XzRVdHQyS3hYUlRPMl9rZmw4SnZjdXJGT2dhZ18wNzFsOFNvOGg0Tmh4c1ViaDR3Y3lPQUhnMnNkYzNnSkRjOG9xWXpHcFJYYW1rZ01zcGhB?oc=5</t>
        </is>
      </c>
      <c r="W57" s="173">
        <f>IF($B57="",0,IF(AND(OR(OR(Dashboard!$B$5="All themes",Dashboard!$B$5=""),$C57=Dashboard!$B$5),OR(OR(Dashboard!$G$5="All uses",Dashboard!$G$5=""),$E57=Dashboard!$G$5),N($D57)&gt;=Lists!$H$2,OR(OR(Dashboard!$N$5="All windows",Dashboard!$N$5=""),$S57=Dashboard!$N$5)),1,0))</f>
        <v/>
      </c>
      <c r="X57" s="174">
        <f>IF($W57=1,N($D57)*1E14+MIN(MAX(N($U57),0),9999)*1E10+MIN(N($K57),99999)*1E5+99999-MIN(ROW(),99999),"")</f>
        <v/>
      </c>
    </row>
    <row r="58" ht="40.5" customHeight="1">
      <c r="A58" s="159" t="n">
        <v>55</v>
      </c>
      <c r="B58" s="160" t="inlineStr">
        <is>
          <t>Using AI to provide early warning of landslide risks.</t>
        </is>
      </c>
      <c r="C58" s="181" t="inlineStr">
        <is>
          <t>Digital Geotechnics</t>
        </is>
      </c>
      <c r="D58" s="162" t="n">
        <v>4</v>
      </c>
      <c r="E58" s="163" t="inlineStr">
        <is>
          <t>Feature lead</t>
        </is>
      </c>
      <c r="F58" s="164" t="inlineStr">
        <is>
          <t>To review</t>
        </is>
      </c>
      <c r="G58" s="165" t="n"/>
      <c r="H58" s="166" t="n"/>
      <c r="I58" s="167" t="inlineStr">
        <is>
          <t>How reliable are AI-based landslide early-warning models when trained on sparse ground monitoring data?</t>
        </is>
      </c>
      <c r="J58" s="167" t="inlineStr">
        <is>
          <t>Vietnam.vn</t>
        </is>
      </c>
      <c r="K58" s="168" t="n">
        <v>46320</v>
      </c>
      <c r="L58" s="167" t="n"/>
      <c r="M58" s="167" t="n"/>
      <c r="N58" s="169" t="n"/>
      <c r="O58" s="167" t="n"/>
      <c r="P58" s="167" t="inlineStr">
        <is>
          <t>AI landslide early warning, Vietnam · Event · 3 reports</t>
        </is>
      </c>
      <c r="Q58" s="170" t="inlineStr">
        <is>
          <t>United Kingdom</t>
        </is>
      </c>
      <c r="R58" s="168" t="n">
        <v>46319</v>
      </c>
      <c r="S58" s="169" t="inlineStr">
        <is>
          <t>2026-Q4</t>
        </is>
      </c>
      <c r="T58" s="171" t="inlineStr">
        <is>
          <t>landslide</t>
        </is>
      </c>
      <c r="U58" s="159" t="n">
        <v>4</v>
      </c>
      <c r="V58" s="172" t="inlineStr">
        <is>
          <t>https://news.google.com/rss/articles/CBMibkFVX3lxTFBHcTd0RXlKUzRRSnNZS2RrSFdQSTlnajJrcWxrUWt4S2E5cDNqSkhzRDNiRl84eW1Obll6MDJiLTUxSURzUG5GVWtnOVR3TlhyMUpPMzNHYW1XNlNyRFNweHlQMDA1RjNqQS1KZnRn?oc=5</t>
        </is>
      </c>
      <c r="W58" s="173">
        <f>IF($B58="",0,IF(AND(OR(OR(Dashboard!$B$5="All themes",Dashboard!$B$5=""),$C58=Dashboard!$B$5),OR(OR(Dashboard!$G$5="All uses",Dashboard!$G$5=""),$E58=Dashboard!$G$5),N($D58)&gt;=Lists!$H$2,OR(OR(Dashboard!$N$5="All windows",Dashboard!$N$5=""),$S58=Dashboard!$N$5)),1,0))</f>
        <v/>
      </c>
      <c r="X58" s="174">
        <f>IF($W58=1,N($D58)*1E14+MIN(MAX(N($U58),0),9999)*1E10+MIN(N($K58),99999)*1E5+99999-MIN(ROW(),99999),"")</f>
        <v/>
      </c>
    </row>
    <row r="59" ht="40.5" customHeight="1">
      <c r="A59" s="159" t="n">
        <v>56</v>
      </c>
      <c r="B59" s="160" t="inlineStr">
        <is>
          <t>Reconstruction of the Terrazas del Valle bridge begins after sinkhole</t>
        </is>
      </c>
      <c r="C59" s="177" t="inlineStr">
        <is>
          <t>Infrastructure &amp; the Underground City</t>
        </is>
      </c>
      <c r="D59" s="162" t="n">
        <v>4</v>
      </c>
      <c r="E59" s="180" t="inlineStr">
        <is>
          <t>News brief</t>
        </is>
      </c>
      <c r="F59" s="164" t="inlineStr">
        <is>
          <t>To review</t>
        </is>
      </c>
      <c r="G59" s="165" t="n"/>
      <c r="H59" s="166" t="n"/>
      <c r="I59" s="167" t="inlineStr">
        <is>
          <t>What investigation and foundation design are needed to rebuild a bridge whose support ground has collapsed into a sinkhole?</t>
        </is>
      </c>
      <c r="J59" s="167" t="inlineStr">
        <is>
          <t>NDT Noticias de Tijuana</t>
        </is>
      </c>
      <c r="K59" s="168" t="n">
        <v>46320</v>
      </c>
      <c r="L59" s="167" t="inlineStr">
        <is>
          <t>Inician reconstrucción del puente de Terrazas del Valle tras socavón</t>
        </is>
      </c>
      <c r="M59" s="167" t="n"/>
      <c r="N59" s="169" t="inlineStr">
        <is>
          <t>Mexico</t>
        </is>
      </c>
      <c r="O59" s="167" t="inlineStr">
        <is>
          <t>Terrazas del Valle bridge, Tijuana</t>
        </is>
      </c>
      <c r="P59" s="167" t="inlineStr">
        <is>
          <t>Terrazas del Valle bridge sinkhole, Tijuana, Mexico · Event · 2 reports</t>
        </is>
      </c>
      <c r="Q59" s="170" t="inlineStr">
        <is>
          <t>Colombia</t>
        </is>
      </c>
      <c r="R59" s="168" t="n">
        <v>46319</v>
      </c>
      <c r="S59" s="169" t="inlineStr">
        <is>
          <t>2026-Q4</t>
        </is>
      </c>
      <c r="T59" s="171" t="inlineStr">
        <is>
          <t>sinkhole</t>
        </is>
      </c>
      <c r="U59" s="159" t="n">
        <v>4</v>
      </c>
      <c r="V59" s="172" t="inlineStr">
        <is>
          <t>https://news.google.com/rss/articles/CBMikgFBVV95cUxOTnI4emxtUmVodDFQV3Z1REstXzUyWWxvdHg5SGoxeXdNUmdPRUppY2hOZ090aElnMGpLWUZ5TEVvUVNJbVVYcDh3VjNEbWNsekVpXzNKNHFEbVRUZTVaazZ3TlpzMGNHU3A3S2g1WkgxWkdEaUo4dE5WRXB6UkQ0QjdneVMyOUZfODViZHBJZlpvQQ?oc=5</t>
        </is>
      </c>
      <c r="W59" s="173">
        <f>IF($B59="",0,IF(AND(OR(OR(Dashboard!$B$5="All themes",Dashboard!$B$5=""),$C59=Dashboard!$B$5),OR(OR(Dashboard!$G$5="All uses",Dashboard!$G$5=""),$E59=Dashboard!$G$5),N($D59)&gt;=Lists!$H$2,OR(OR(Dashboard!$N$5="All windows",Dashboard!$N$5=""),$S59=Dashboard!$N$5)),1,0))</f>
        <v/>
      </c>
      <c r="X59" s="174">
        <f>IF($W59=1,N($D59)*1E14+MIN(MAX(N($U59),0),9999)*1E10+MIN(N($K59),99999)*1E5+99999-MIN(ROW(),99999),"")</f>
        <v/>
      </c>
    </row>
    <row r="60" ht="40.5" customHeight="1">
      <c r="A60" s="159" t="n">
        <v>57</v>
      </c>
      <c r="B60" s="160" t="inlineStr">
        <is>
          <t>120 m deep sinkhole containing primeval forest discovered in Phong Nha-Ke Bang area</t>
        </is>
      </c>
      <c r="C60" s="184" t="inlineStr">
        <is>
          <t>Characterisation &amp; Modelling</t>
        </is>
      </c>
      <c r="D60" s="162" t="n">
        <v>4</v>
      </c>
      <c r="E60" s="163" t="inlineStr">
        <is>
          <t>Feature lead</t>
        </is>
      </c>
      <c r="F60" s="164" t="inlineStr">
        <is>
          <t>To review</t>
        </is>
      </c>
      <c r="G60" s="165" t="n"/>
      <c r="H60" s="166" t="n"/>
      <c r="I60" s="167" t="inlineStr">
        <is>
          <t>How are very deep karst sinkholes investigated, and what does their formation reveal about hazards around cave systems?</t>
        </is>
      </c>
      <c r="J60" s="167" t="inlineStr">
        <is>
          <t>Vietnam.vn</t>
        </is>
      </c>
      <c r="K60" s="168" t="n">
        <v>46320</v>
      </c>
      <c r="L60" s="167" t="inlineStr">
        <is>
          <t>퐁냐-케방 지역에서 원시림이 포함된 깊이 120미터의 싱크홀이 발견되었습니다.</t>
        </is>
      </c>
      <c r="M60" s="167" t="n"/>
      <c r="N60" s="169" t="inlineStr">
        <is>
          <t>Vietnam</t>
        </is>
      </c>
      <c r="O60" s="167" t="inlineStr">
        <is>
          <t>Phong Nha-Ke Bang</t>
        </is>
      </c>
      <c r="P60" s="167" t="inlineStr">
        <is>
          <t>Phong Nha-Ke Bang 120 m sinkhole discovery, Vietnam · Update · 4 reports</t>
        </is>
      </c>
      <c r="Q60" s="170" t="inlineStr">
        <is>
          <t>South Korea</t>
        </is>
      </c>
      <c r="R60" s="168" t="n">
        <v>46317</v>
      </c>
      <c r="S60" s="169" t="inlineStr">
        <is>
          <t>2026-Q4</t>
        </is>
      </c>
      <c r="T60" s="171" t="inlineStr">
        <is>
          <t>sinkhole</t>
        </is>
      </c>
      <c r="U60" s="159" t="n">
        <v>4</v>
      </c>
      <c r="V60" s="172" t="inlineStr">
        <is>
          <t>https://news.google.com/rss/articles/CBMilgFBVV95cUxOaWxCcjZNMEJuSVgyc2QwRzY3ZzZMblFuNWxLV0NvSl9yRnFQLWY3NG9pRTRuVU5fdHB0YUVSd0w3V2VDSVdaLXdDYWJOUlVyM0VhWVpLQ0E1SjJxOHVMUG9pTC1JcWpKUGVNZDF6c25nZlRoZ3hwOVZPSEtqbzRIREJpTUR6UjBjbVdPckE3eTBCWU43S0E?oc=5</t>
        </is>
      </c>
      <c r="W60" s="173">
        <f>IF($B60="",0,IF(AND(OR(OR(Dashboard!$B$5="All themes",Dashboard!$B$5=""),$C60=Dashboard!$B$5),OR(OR(Dashboard!$G$5="All uses",Dashboard!$G$5=""),$E60=Dashboard!$G$5),N($D60)&gt;=Lists!$H$2,OR(OR(Dashboard!$N$5="All windows",Dashboard!$N$5=""),$S60=Dashboard!$N$5)),1,0))</f>
        <v/>
      </c>
      <c r="X60" s="174">
        <f>IF($W60=1,N($D60)*1E14+MIN(MAX(N($U60),0),9999)*1E10+MIN(N($K60),99999)*1E5+99999-MIN(ROW(),99999),"")</f>
        <v/>
      </c>
    </row>
    <row r="61" ht="40.5" customHeight="1">
      <c r="A61" s="159" t="n">
        <v>58</v>
      </c>
      <c r="B61" s="160" t="inlineStr">
        <is>
          <t>Can Tho to invest over 500 billion dong in dykes against erosion at Cu Lao Dung</t>
        </is>
      </c>
      <c r="C61" s="179" t="inlineStr">
        <is>
          <t>Offshore, Coasts &amp; Water</t>
        </is>
      </c>
      <c r="D61" s="162" t="n">
        <v>4</v>
      </c>
      <c r="E61" s="163" t="inlineStr">
        <is>
          <t>Feature lead</t>
        </is>
      </c>
      <c r="F61" s="164" t="inlineStr">
        <is>
          <t>To review</t>
        </is>
      </c>
      <c r="G61" s="165" t="n"/>
      <c r="H61" s="166" t="n"/>
      <c r="I61" s="167" t="inlineStr">
        <is>
          <t>How should dyke and bank protection balance erosion control against settlement and stability on soft deltaic soils?</t>
        </is>
      </c>
      <c r="J61" s="167" t="inlineStr">
        <is>
          <t>Báo Nhân Dân điện tử</t>
        </is>
      </c>
      <c r="K61" s="168" t="n">
        <v>46320</v>
      </c>
      <c r="L61" s="167" t="inlineStr">
        <is>
          <t>Cần Thơ đầu tư hơn 500 tỷ đồng xây dựng đê phòng, chống sạt lở ở Cù Lao Dung</t>
        </is>
      </c>
      <c r="M61" s="167" t="n"/>
      <c r="N61" s="169" t="inlineStr">
        <is>
          <t>Vietnam</t>
        </is>
      </c>
      <c r="O61" s="167" t="inlineStr">
        <is>
          <t>Cu Lao Dung, Can Tho</t>
        </is>
      </c>
      <c r="P61" s="167" t="n"/>
      <c r="Q61" s="170" t="inlineStr">
        <is>
          <t>Vietnam</t>
        </is>
      </c>
      <c r="R61" s="168" t="n">
        <v>46319</v>
      </c>
      <c r="S61" s="169" t="inlineStr">
        <is>
          <t>2026-Q4</t>
        </is>
      </c>
      <c r="T61" s="171" t="inlineStr">
        <is>
          <t>landslide</t>
        </is>
      </c>
      <c r="U61" s="159" t="n">
        <v>4</v>
      </c>
      <c r="V61" s="172" t="inlineStr">
        <is>
          <t>https://news.google.com/rss/articles/CBMirwFBVV95cUxOWUlBRk5ZaXZkRzhyQ3BQalNsY2xOM2pzQUNMeVI4UEFXQkdBNTdkd2d4Rno5TWNjb0VEeEFwWkhEb2k4S2J3cEtaTGpDM3NMNkR2WEQ2dGtzdWowQTVwa3ZSTEV6ZVdCRl9fRC1Zanc5VXljcllHTlZJZHRTNllxVElOR2hIUmlqWDF2LUFxTzhYU1UtdU5VWFJlWWYzbS1wRmV6cHluMkdDc1RQUkFv?oc=5</t>
        </is>
      </c>
      <c r="W61" s="173">
        <f>IF($B61="",0,IF(AND(OR(OR(Dashboard!$B$5="All themes",Dashboard!$B$5=""),$C61=Dashboard!$B$5),OR(OR(Dashboard!$G$5="All uses",Dashboard!$G$5=""),$E61=Dashboard!$G$5),N($D61)&gt;=Lists!$H$2,OR(OR(Dashboard!$N$5="All windows",Dashboard!$N$5=""),$S61=Dashboard!$N$5)),1,0))</f>
        <v/>
      </c>
      <c r="X61" s="174">
        <f>IF($W61=1,N($D61)*1E14+MIN(MAX(N($U61),0),9999)*1E10+MIN(N($K61),99999)*1E5+99999-MIN(ROW(),99999),"")</f>
        <v/>
      </c>
    </row>
    <row r="62" ht="40.5" customHeight="1">
      <c r="A62" s="159" t="n">
        <v>59</v>
      </c>
      <c r="B62" s="160" t="inlineStr">
        <is>
          <t>Krong No river erosion in Lam Dong threatens irrigation works and farmland</t>
        </is>
      </c>
      <c r="C62" s="179" t="inlineStr">
        <is>
          <t>Offshore, Coasts &amp; Water</t>
        </is>
      </c>
      <c r="D62" s="162" t="n">
        <v>4</v>
      </c>
      <c r="E62" s="163" t="inlineStr">
        <is>
          <t>Feature lead</t>
        </is>
      </c>
      <c r="F62" s="164" t="inlineStr">
        <is>
          <t>To review</t>
        </is>
      </c>
      <c r="G62" s="165" t="n"/>
      <c r="H62" s="166" t="n"/>
      <c r="I62" s="167" t="inlineStr">
        <is>
          <t>How can riverbank erosion be assessed and countered to protect irrigation infrastructure and farmland?</t>
        </is>
      </c>
      <c r="J62" s="167" t="inlineStr">
        <is>
          <t>tin.skydoor.net</t>
        </is>
      </c>
      <c r="K62" s="168" t="n">
        <v>46320</v>
      </c>
      <c r="L62" s="167" t="inlineStr">
        <is>
          <t>Sạt lở sông Krông Nô tại Lâm Đồng đe dọa công trình thủy lợi và đất canh tác</t>
        </is>
      </c>
      <c r="M62" s="167" t="n"/>
      <c r="N62" s="169" t="inlineStr">
        <is>
          <t>Vietnam</t>
        </is>
      </c>
      <c r="O62" s="167" t="inlineStr">
        <is>
          <t>Krong No River, Lam Dong</t>
        </is>
      </c>
      <c r="P62" s="167" t="n"/>
      <c r="Q62" s="170" t="inlineStr">
        <is>
          <t>Vietnam</t>
        </is>
      </c>
      <c r="R62" s="168" t="n">
        <v>46319</v>
      </c>
      <c r="S62" s="169" t="inlineStr">
        <is>
          <t>2026-Q4</t>
        </is>
      </c>
      <c r="T62" s="171" t="inlineStr">
        <is>
          <t>landslide</t>
        </is>
      </c>
      <c r="U62" s="159" t="n">
        <v>4</v>
      </c>
      <c r="V62" s="172" t="inlineStr">
        <is>
          <t>https://news.google.com/rss/articles/CBMihAFBVV95cUxPVlNqT093MU81eURKNm9vZDdtTTNRdkRYZ0J2SXdSeHZqQXV1QUZCbEtiVVplNy1MTGdxbkk1a2hkN0toZ0NPakFvOENXYkRnT2JWQWczUVVLOGpYZ0dtZ1NweXUzb1NxM29TWmhUcUdOVXZfT1dBV3ZuZU5uVXhvaWpXR3Q?oc=5</t>
        </is>
      </c>
      <c r="W62" s="173">
        <f>IF($B62="",0,IF(AND(OR(OR(Dashboard!$B$5="All themes",Dashboard!$B$5=""),$C62=Dashboard!$B$5),OR(OR(Dashboard!$G$5="All uses",Dashboard!$G$5=""),$E62=Dashboard!$G$5),N($D62)&gt;=Lists!$H$2,OR(OR(Dashboard!$N$5="All windows",Dashboard!$N$5=""),$S62=Dashboard!$N$5)),1,0))</f>
        <v/>
      </c>
      <c r="X62" s="174">
        <f>IF($W62=1,N($D62)*1E14+MIN(MAX(N($U62),0),9999)*1E10+MIN(N($K62),99999)*1E5+99999-MIN(ROW(),99999),"")</f>
        <v/>
      </c>
    </row>
    <row r="63" ht="53" customHeight="1">
      <c r="A63" s="159" t="n">
        <v>60</v>
      </c>
      <c r="B63" s="160" t="inlineStr">
        <is>
          <t>Accelerating clean-up work after landslides on Provincial Road 160 along the Chay River.</t>
        </is>
      </c>
      <c r="C63" s="161" t="inlineStr">
        <is>
          <t>Hazards &amp; Resilience</t>
        </is>
      </c>
      <c r="D63" s="162" t="n">
        <v>4</v>
      </c>
      <c r="E63" s="180" t="inlineStr">
        <is>
          <t>News brief</t>
        </is>
      </c>
      <c r="F63" s="164" t="inlineStr">
        <is>
          <t>To review</t>
        </is>
      </c>
      <c r="G63" s="165" t="n"/>
      <c r="H63" s="166" t="n"/>
      <c r="I63" s="167" t="inlineStr">
        <is>
          <t>What slope stabilisation and post-failure assessment methods are suited to repeated landslides along a road built beside a river valley?</t>
        </is>
      </c>
      <c r="J63" s="167" t="inlineStr">
        <is>
          <t>Vietnam.vn</t>
        </is>
      </c>
      <c r="K63" s="168" t="n">
        <v>46320</v>
      </c>
      <c r="L63" s="167" t="inlineStr">
        <is>
          <t>Agilizar las labores de saneamiento tras los deslizamientos de tierra ocurridos en la carretera provincial 160 a lo largo del río Chay.</t>
        </is>
      </c>
      <c r="M63" s="167" t="n"/>
      <c r="N63" s="169" t="inlineStr">
        <is>
          <t>Vietnam</t>
        </is>
      </c>
      <c r="O63" s="167" t="inlineStr">
        <is>
          <t>Provincial Road 160, Chay River</t>
        </is>
      </c>
      <c r="P63" s="167" t="inlineStr">
        <is>
          <t>Provincial Road 160 Chay River landslides, Vietnam (Oct 2026) · Response &amp; recovery · 2 reports</t>
        </is>
      </c>
      <c r="Q63" s="170" t="inlineStr">
        <is>
          <t>Spain</t>
        </is>
      </c>
      <c r="R63" s="168" t="n">
        <v>46320</v>
      </c>
      <c r="S63" s="169" t="inlineStr">
        <is>
          <t>2026-Q4</t>
        </is>
      </c>
      <c r="T63" s="171" t="inlineStr">
        <is>
          <t>landslide</t>
        </is>
      </c>
      <c r="U63" s="159" t="n">
        <v>4</v>
      </c>
      <c r="V63" s="172" t="inlineStr">
        <is>
          <t>https://news.google.com/rss/articles/CBMiiwFBVV95cUxQTnhUTTY5LUVOY0tLRGhBb1lubjROLVg5c0FETHFDbFdpNFlBNFl6Z1hhTzg2VDZTZVUtdDQxSDdhbENHdnc3bGhBTUVHaHc5R0hEMDdxYlN4QV9vMVBkOTA5czhjYlpsU2gzcEZyTnhPT01pMnVPLTFoSzBJT2E1eHpiamtUSjdhYWxB?oc=5</t>
        </is>
      </c>
      <c r="W63" s="173">
        <f>IF($B63="",0,IF(AND(OR(OR(Dashboard!$B$5="All themes",Dashboard!$B$5=""),$C63=Dashboard!$B$5),OR(OR(Dashboard!$G$5="All uses",Dashboard!$G$5=""),$E63=Dashboard!$G$5),N($D63)&gt;=Lists!$H$2,OR(OR(Dashboard!$N$5="All windows",Dashboard!$N$5=""),$S63=Dashboard!$N$5)),1,0))</f>
        <v/>
      </c>
      <c r="X63" s="174">
        <f>IF($W63=1,N($D63)*1E14+MIN(MAX(N($U63),0),9999)*1E10+MIN(N($K63),99999)*1E5+99999-MIN(ROW(),99999),"")</f>
        <v/>
      </c>
    </row>
    <row r="64" ht="53" customHeight="1">
      <c r="A64" s="159" t="n">
        <v>61</v>
      </c>
      <c r="B64" s="160" t="inlineStr">
        <is>
          <t>Tragedy in Tecate: a worker dies after being buried by an earth slope on 23 October.</t>
        </is>
      </c>
      <c r="C64" s="161" t="inlineStr">
        <is>
          <t>Hazards &amp; Resilience</t>
        </is>
      </c>
      <c r="D64" s="162" t="n">
        <v>4</v>
      </c>
      <c r="E64" s="163" t="inlineStr">
        <is>
          <t>Feature lead</t>
        </is>
      </c>
      <c r="F64" s="164" t="inlineStr">
        <is>
          <t>To review</t>
        </is>
      </c>
      <c r="G64" s="165" t="n"/>
      <c r="H64" s="166" t="n"/>
      <c r="I64" s="167" t="inlineStr">
        <is>
          <t>What failure mechanisms and excavation safety controls would have prevented a worker being buried by an earth slope during construction?</t>
        </is>
      </c>
      <c r="J64" s="167" t="inlineStr">
        <is>
          <t>El Congresista</t>
        </is>
      </c>
      <c r="K64" s="168" t="n">
        <v>46320</v>
      </c>
      <c r="L64" s="167" t="inlineStr">
        <is>
          <t>Tragedia en Tecate: un trabajador muere tras ser sepultado por un talud de tierra el 23 de octubre.</t>
        </is>
      </c>
      <c r="M64" s="167" t="n"/>
      <c r="N64" s="169" t="inlineStr">
        <is>
          <t>Mexico</t>
        </is>
      </c>
      <c r="O64" s="167" t="inlineStr">
        <is>
          <t>Tecate, Baja California</t>
        </is>
      </c>
      <c r="P64" s="167" t="n"/>
      <c r="Q64" s="170" t="inlineStr">
        <is>
          <t>Spain</t>
        </is>
      </c>
      <c r="R64" s="168" t="n">
        <v>46320</v>
      </c>
      <c r="S64" s="169" t="inlineStr">
        <is>
          <t>2026-Q4</t>
        </is>
      </c>
      <c r="T64" s="171" t="inlineStr">
        <is>
          <t>retaining wall</t>
        </is>
      </c>
      <c r="U64" s="159" t="n">
        <v>4</v>
      </c>
      <c r="V64" s="172" t="inlineStr">
        <is>
          <t>https://news.google.com/rss/articles/CBMikwFBVV95cUxQZF9LM09jNm4yMjFEYUYwRWpsb2pDcVdwZ2hGMU45UGdHcUpNamhkRjhnUzEyM3NNck9TeEhjbXhqWDVTOUxWWTRROWVUdlNPRGI3QzZlM3VxeWcxVUMydjMyS3dnSDVEenFoNXpSQklwdmczQURyZXY5U2JPZV9LUzFwcGZWZkF2MnRpTVZkbHpuWUE?oc=5</t>
        </is>
      </c>
      <c r="W64" s="173">
        <f>IF($B64="",0,IF(AND(OR(OR(Dashboard!$B$5="All themes",Dashboard!$B$5=""),$C64=Dashboard!$B$5),OR(OR(Dashboard!$G$5="All uses",Dashboard!$G$5=""),$E64=Dashboard!$G$5),N($D64)&gt;=Lists!$H$2,OR(OR(Dashboard!$N$5="All windows",Dashboard!$N$5=""),$S64=Dashboard!$N$5)),1,0))</f>
        <v/>
      </c>
      <c r="X64" s="174">
        <f>IF($W64=1,N($D64)*1E14+MIN(MAX(N($U64),0),9999)*1E10+MIN(N($K64),99999)*1E5+99999-MIN(ROW(),99999),"")</f>
        <v/>
      </c>
    </row>
    <row r="65" ht="40.5" customHeight="1">
      <c r="A65" s="159" t="n">
        <v>62</v>
      </c>
      <c r="B65" s="160" t="inlineStr">
        <is>
          <t>Three homes destroyed after landslide in rural area of Moniquirá.</t>
        </is>
      </c>
      <c r="C65" s="161" t="inlineStr">
        <is>
          <t>Hazards &amp; Resilience</t>
        </is>
      </c>
      <c r="D65" s="162" t="n">
        <v>4</v>
      </c>
      <c r="E65" s="180" t="inlineStr">
        <is>
          <t>News brief</t>
        </is>
      </c>
      <c r="F65" s="164" t="inlineStr">
        <is>
          <t>To review</t>
        </is>
      </c>
      <c r="G65" s="165" t="n"/>
      <c r="H65" s="166" t="n"/>
      <c r="I65" s="167" t="inlineStr">
        <is>
          <t>What triggering conditions and hazard mapping would identify rural slopes at risk of landslides destroying housing?</t>
        </is>
      </c>
      <c r="J65" s="167" t="inlineStr">
        <is>
          <t>Noticias Caracol</t>
        </is>
      </c>
      <c r="K65" s="168" t="n">
        <v>46320</v>
      </c>
      <c r="L65" s="167" t="inlineStr">
        <is>
          <t>Tres viviendas quedaron destruidas tras deslizamiento en zona rural de Moniquirá</t>
        </is>
      </c>
      <c r="M65" s="167" t="n"/>
      <c r="N65" s="169" t="inlineStr">
        <is>
          <t>Colombia</t>
        </is>
      </c>
      <c r="O65" s="167" t="inlineStr">
        <is>
          <t>Moniquirá, Boyacá</t>
        </is>
      </c>
      <c r="P65" s="167" t="n"/>
      <c r="Q65" s="170" t="inlineStr">
        <is>
          <t>Mexico</t>
        </is>
      </c>
      <c r="R65" s="168" t="n">
        <v>46318</v>
      </c>
      <c r="S65" s="169" t="inlineStr">
        <is>
          <t>2026-Q4</t>
        </is>
      </c>
      <c r="T65" s="171" t="inlineStr">
        <is>
          <t>landslide</t>
        </is>
      </c>
      <c r="U65" s="159" t="n">
        <v>4</v>
      </c>
      <c r="V65" s="172" t="inlineStr">
        <is>
          <t>https://news.google.com/rss/articles/CBMixAFBVV95cUxQVk9lWVVIM3k4YXMxWFczeW5KbU5lUHZJcGdfVkxTTEVnTXlOTC1OczhZcEdyY1VrZVVtYUhQNVU0VDYtUDlIZGkwelZRdEFCM2pBOEZBS0k1dGtxSVAtTnM3ZGJhczlnTy0xeXp0bjV0dDg0WHBLTUJkOXhic1BiY3BhWHM2R0diUXJ6ZzVfaG5wOUp6SXNkRlloYnZiN1l0LWlxSGp0LVlaZEVtUklVYVFQbUk2UjZ4X2FHT0FUQkFIZWxf0gHSAUFVX3lxTE5yanRPUFRBaFRNUmlMYmhrcHJBUm9FcHRiMVpKZllOUlhaVkR6WXFpRjlqb1FkaDNSMzZ1MlZrOTR3cHJVYURvNVZwX1c1a0Ywai1PaUI4b3NILS1XQk5scWFHMU15QzU5SGpDZjJYdWRTOElwdllxNUpuOVk1NEhNb2NTRVJfUTFCWFpubDVscjdDaHEtcURUOV9Sakw0MFB0RjdCdll6bGxCSllPRFZ4emw1Nno1eEo0dnBzdTFUN0ZNd2hGWS1CZFVqRWd3dlJjZw?oc=5</t>
        </is>
      </c>
      <c r="W65" s="173">
        <f>IF($B65="",0,IF(AND(OR(OR(Dashboard!$B$5="All themes",Dashboard!$B$5=""),$C65=Dashboard!$B$5),OR(OR(Dashboard!$G$5="All uses",Dashboard!$G$5=""),$E65=Dashboard!$G$5),N($D65)&gt;=Lists!$H$2,OR(OR(Dashboard!$N$5="All windows",Dashboard!$N$5=""),$S65=Dashboard!$N$5)),1,0))</f>
        <v/>
      </c>
      <c r="X65" s="174">
        <f>IF($W65=1,N($D65)*1E14+MIN(MAX(N($U65),0),9999)*1E10+MIN(N($K65),99999)*1E5+99999-MIN(ROW(),99999),"")</f>
        <v/>
      </c>
    </row>
    <row r="66" ht="40.5" customHeight="1">
      <c r="A66" s="159" t="n">
        <v>63</v>
      </c>
      <c r="B66" s="160" t="inlineStr">
        <is>
          <t>Large landslide on Tofana di Dentro. No hikers involved.</t>
        </is>
      </c>
      <c r="C66" s="161" t="inlineStr">
        <is>
          <t>Hazards &amp; Resilience</t>
        </is>
      </c>
      <c r="D66" s="162" t="n">
        <v>4</v>
      </c>
      <c r="E66" s="163" t="inlineStr">
        <is>
          <t>Feature lead</t>
        </is>
      </c>
      <c r="F66" s="164" t="inlineStr">
        <is>
          <t>To review</t>
        </is>
      </c>
      <c r="G66" s="165" t="n"/>
      <c r="H66" s="166" t="n"/>
      <c r="I66" s="167" t="inlineStr">
        <is>
          <t>What controls rock slope instability in Dolomite mountains, and how can monitoring reduce risk to hikers from large rockfalls?</t>
        </is>
      </c>
      <c r="J66" s="167" t="inlineStr">
        <is>
          <t>Giornale Nord Est</t>
        </is>
      </c>
      <c r="K66" s="168" t="n">
        <v>46320</v>
      </c>
      <c r="L66" s="167" t="inlineStr">
        <is>
          <t>Frana di grandi dimensioni sulla Tofana di Dentro. Nessun escursionista coinvolto</t>
        </is>
      </c>
      <c r="M66" s="167" t="n"/>
      <c r="N66" s="169" t="inlineStr">
        <is>
          <t>Italy</t>
        </is>
      </c>
      <c r="O66" s="167" t="inlineStr">
        <is>
          <t>Tofana di Dentro, Dolomites</t>
        </is>
      </c>
      <c r="P66" s="167" t="n"/>
      <c r="Q66" s="170" t="inlineStr">
        <is>
          <t>Italy</t>
        </is>
      </c>
      <c r="R66" s="168" t="n">
        <v>46319</v>
      </c>
      <c r="S66" s="169" t="inlineStr">
        <is>
          <t>2026-Q4</t>
        </is>
      </c>
      <c r="T66" s="171" t="inlineStr">
        <is>
          <t>landslide</t>
        </is>
      </c>
      <c r="U66" s="159" t="n">
        <v>4</v>
      </c>
      <c r="V66" s="172" t="inlineStr">
        <is>
          <t>https://news.google.com/rss/articles/CBMiiAFBVV95cUxQMGVMSVUxdDNvS2xIRTB5RS0tT1RVUEVZUERpNjZLYkVMellJS1lVbnhGZ0NJLUdHOGk4ek5md29MWVJZSGxMYWp4b0lWTmJjQ0h5cV9vRjVsbkpoZ3NtQUxCOWxacDZhVkdHbDBHdG1TeENnZ09PdnF4cVpZLUplbk4tQlVaYUdY?oc=5</t>
        </is>
      </c>
      <c r="W66" s="173">
        <f>IF($B66="",0,IF(AND(OR(OR(Dashboard!$B$5="All themes",Dashboard!$B$5=""),$C66=Dashboard!$B$5),OR(OR(Dashboard!$G$5="All uses",Dashboard!$G$5=""),$E66=Dashboard!$G$5),N($D66)&gt;=Lists!$H$2,OR(OR(Dashboard!$N$5="All windows",Dashboard!$N$5=""),$S66=Dashboard!$N$5)),1,0))</f>
        <v/>
      </c>
      <c r="X66" s="174">
        <f>IF($W66=1,N($D66)*1E14+MIN(MAX(N($U66),0),9999)*1E10+MIN(N($K66),99999)*1E5+99999-MIN(ROW(),99999),"")</f>
        <v/>
      </c>
    </row>
    <row r="67" ht="40.5" customHeight="1">
      <c r="A67" s="159" t="n">
        <v>64</v>
      </c>
      <c r="B67" s="160" t="inlineStr">
        <is>
          <t>Sicily, from the Niscemi landslide to Cyclone Harry: the Army rewards the Engineer Sappers.</t>
        </is>
      </c>
      <c r="C67" s="161" t="inlineStr">
        <is>
          <t>Hazards &amp; Resilience</t>
        </is>
      </c>
      <c r="D67" s="162" t="n">
        <v>4</v>
      </c>
      <c r="E67" s="163" t="inlineStr">
        <is>
          <t>Feature lead</t>
        </is>
      </c>
      <c r="F67" s="164" t="inlineStr">
        <is>
          <t>To review</t>
        </is>
      </c>
      <c r="G67" s="165" t="n"/>
      <c r="H67" s="166" t="n"/>
      <c r="I67" s="167" t="inlineStr">
        <is>
          <t>What lessons do the Niscemi landslide and Cyclone Harry offer about slope instability and engineering response in Sicily?</t>
        </is>
      </c>
      <c r="J67" s="167" t="inlineStr">
        <is>
          <t>StrettoWeb</t>
        </is>
      </c>
      <c r="K67" s="168" t="n">
        <v>46320</v>
      </c>
      <c r="L67" s="167" t="inlineStr">
        <is>
          <t>Sicilia, dalla frana di Niscemi al ciclone Harry: l’Esercito premia il Genio Guastatori</t>
        </is>
      </c>
      <c r="M67" s="167" t="n"/>
      <c r="N67" s="169" t="inlineStr">
        <is>
          <t>Italy</t>
        </is>
      </c>
      <c r="O67" s="167" t="inlineStr">
        <is>
          <t>Niscemi, Sicily</t>
        </is>
      </c>
      <c r="P67" s="167" t="inlineStr">
        <is>
          <t>Niscemi landslide, Sicily (Jan 2026) · Event · 2 reports</t>
        </is>
      </c>
      <c r="Q67" s="170" t="inlineStr">
        <is>
          <t>Italy</t>
        </is>
      </c>
      <c r="R67" s="168" t="n">
        <v>46318</v>
      </c>
      <c r="S67" s="169" t="inlineStr">
        <is>
          <t>2026-Q4</t>
        </is>
      </c>
      <c r="T67" s="171" t="inlineStr">
        <is>
          <t>landslide</t>
        </is>
      </c>
      <c r="U67" s="159" t="n">
        <v>4</v>
      </c>
      <c r="V67" s="172" t="inlineStr">
        <is>
          <t>https://news.google.com/rss/articles/CBMizAFBVV95cUxPYnZBdDEtcFlXaXFFRmhkdEgxWXNNZDRKbi1TYVRoSjJUTTJlZlIzckh1amJDM2FuYVAwaDRGbFNnZk84Mm85TngzVlEydEFaNGhCVGJWVjJ1RnBtdUtXM2ZnRWdvMHZmczBoTGRsN0g3QkpIbTE3c3U1NHc5LWJoX2YzNVc3Si1oeExVQi1jS2NlQXBIUlRUQlRDUEJXVGZIQmFVTWlGcVFtMjQ0LVZsLTFIdEpZQ3NKZXhKWGFYVDZwZVpRWDkwUG0xTEnSAcwBQVVfeXFMT2J2QXQxLXBZV2lxRUZoZHRIMVlzTWQ0Sm4tU2FUaEoyVE0yZWZSM3JIdWpiQzNhbmFQMGg0RmxTZ2ZPODJvOU54M1ZRMnRBWjRoQlRiVlYydUZwbXVLVzNmZ0VnbzB2ZnMwaExkbDdIN0JKSG0xN3N1NTR3OS1iaF9mMzVXN0otaHhMVUItY0tjZUFwSFJUVEJUQ1BCV1RmSEJhVU1pRnFRbTI0NC1WbC0xSHRKWUNzSmV4SlhhWFQ2cGVaUVg5MFBtMUxJ?oc=5</t>
        </is>
      </c>
      <c r="W67" s="173">
        <f>IF($B67="",0,IF(AND(OR(OR(Dashboard!$B$5="All themes",Dashboard!$B$5=""),$C67=Dashboard!$B$5),OR(OR(Dashboard!$G$5="All uses",Dashboard!$G$5=""),$E67=Dashboard!$G$5),N($D67)&gt;=Lists!$H$2,OR(OR(Dashboard!$N$5="All windows",Dashboard!$N$5=""),$S67=Dashboard!$N$5)),1,0))</f>
        <v/>
      </c>
      <c r="X67" s="174">
        <f>IF($W67=1,N($D67)*1E14+MIN(MAX(N($U67),0),9999)*1E10+MIN(N($K67),99999)*1E5+99999-MIN(ROW(),99999),"")</f>
        <v/>
      </c>
    </row>
    <row r="68" ht="40.5" customHeight="1">
      <c r="A68" s="159" t="n">
        <v>65</v>
      </c>
      <c r="B68" s="160" t="inlineStr">
        <is>
          <t>Rapidly advancing clean-up work for landslides on Provincial Road 160 along the Chay River.</t>
        </is>
      </c>
      <c r="C68" s="161" t="inlineStr">
        <is>
          <t>Hazards &amp; Resilience</t>
        </is>
      </c>
      <c r="D68" s="162" t="n">
        <v>4</v>
      </c>
      <c r="E68" s="175" t="inlineStr">
        <is>
          <t>Watch only</t>
        </is>
      </c>
      <c r="F68" s="164" t="inlineStr">
        <is>
          <t>To review</t>
        </is>
      </c>
      <c r="G68" s="165" t="n"/>
      <c r="H68" s="166" t="n"/>
      <c r="I68" s="167" t="inlineStr">
        <is>
          <t>Duplicate of the Chay River road landslide clean-up story; monitor for follow-up on repair methods.</t>
        </is>
      </c>
      <c r="J68" s="167" t="inlineStr">
        <is>
          <t>Vietnam.vn</t>
        </is>
      </c>
      <c r="K68" s="168" t="n">
        <v>46320</v>
      </c>
      <c r="L68" s="167" t="inlineStr">
        <is>
          <t>チャイ川沿いの州道160号線における土砂崩れの復旧作業を迅速に進める。</t>
        </is>
      </c>
      <c r="M68" s="167" t="n"/>
      <c r="N68" s="169" t="inlineStr">
        <is>
          <t>Vietnam</t>
        </is>
      </c>
      <c r="O68" s="167" t="inlineStr">
        <is>
          <t>Provincial Road 160, Chay River</t>
        </is>
      </c>
      <c r="P68" s="167" t="inlineStr">
        <is>
          <t>Provincial Road 160 Chay River landslides, Vietnam (Oct 2026) · Response &amp; recovery · 2 reports</t>
        </is>
      </c>
      <c r="Q68" s="170" t="inlineStr">
        <is>
          <t>Japan</t>
        </is>
      </c>
      <c r="R68" s="168" t="n">
        <v>46320</v>
      </c>
      <c r="S68" s="169" t="inlineStr">
        <is>
          <t>2026-Q4</t>
        </is>
      </c>
      <c r="T68" s="171" t="inlineStr">
        <is>
          <t>landslide</t>
        </is>
      </c>
      <c r="U68" s="159" t="n">
        <v>4</v>
      </c>
      <c r="V68" s="172" t="inlineStr">
        <is>
          <t>https://news.google.com/rss/articles/CBMiiwFBVV95cUxQN1M1UUFnNFVScGV6VVBTbjZJSEFHOFpBQzNsNHNJTVhScXFfNGs5dVFkTkRHX2VsN3BtUk5LLWtoeHFGTWRicWtVa2wwOFpnV1o2ZkVqbC03Y09hdWVBdDlrV09PZHRtdG9NdS1DZmp6aWtGaXY1ekxpekVKbzRMa295Q19vSDlCYkk0?oc=5</t>
        </is>
      </c>
      <c r="W68" s="173">
        <f>IF($B68="",0,IF(AND(OR(OR(Dashboard!$B$5="All themes",Dashboard!$B$5=""),$C68=Dashboard!$B$5),OR(OR(Dashboard!$G$5="All uses",Dashboard!$G$5=""),$E68=Dashboard!$G$5),N($D68)&gt;=Lists!$H$2,OR(OR(Dashboard!$N$5="All windows",Dashboard!$N$5=""),$S68=Dashboard!$N$5)),1,0))</f>
        <v/>
      </c>
      <c r="X68" s="174">
        <f>IF($W68=1,N($D68)*1E14+MIN(MAX(N($U68),0),9999)*1E10+MIN(N($K68),99999)*1E5+99999-MIN(ROW(),99999),"")</f>
        <v/>
      </c>
    </row>
    <row r="69" ht="53" customHeight="1">
      <c r="A69" s="159" t="n">
        <v>66</v>
      </c>
      <c r="B69" s="160" t="inlineStr">
        <is>
          <t>Special feature: landslides frequent after Typhoon 25; hidden danger in Chiba's Bōsō Peninsula terrain, 'high valley density'.</t>
        </is>
      </c>
      <c r="C69" s="161" t="inlineStr">
        <is>
          <t>Hazards &amp; Resilience</t>
        </is>
      </c>
      <c r="D69" s="162" t="n">
        <v>4</v>
      </c>
      <c r="E69" s="163" t="inlineStr">
        <is>
          <t>Feature lead</t>
        </is>
      </c>
      <c r="F69" s="164" t="inlineStr">
        <is>
          <t>To review</t>
        </is>
      </c>
      <c r="G69" s="165" t="n"/>
      <c r="H69" s="166" t="n"/>
      <c r="I69" s="167" t="inlineStr">
        <is>
          <t>Why does valley density in the Bōsō Peninsula terrain increase landslide hazard during typhoon rainfall, and how should it be mapped?</t>
        </is>
      </c>
      <c r="J69" s="167" t="inlineStr">
        <is>
          <t>Yahoo!ニュース</t>
        </is>
      </c>
      <c r="K69" s="168" t="n">
        <v>46320</v>
      </c>
      <c r="L69" s="167" t="inlineStr">
        <is>
          <t>【特集】台風25号で土砂崩れ多発 千葉・房総半島の地形に潜む危険 「谷密度が高い」 (チバテレ)</t>
        </is>
      </c>
      <c r="M69" s="167" t="n"/>
      <c r="N69" s="169" t="inlineStr">
        <is>
          <t>Japan</t>
        </is>
      </c>
      <c r="O69" s="167" t="inlineStr">
        <is>
          <t>Bōsō Peninsula, Chiba</t>
        </is>
      </c>
      <c r="P69" s="167" t="inlineStr">
        <is>
          <t>Typhoon 25 landslides, Bōsō Peninsula, Japan (Oct 2026) · Investigation &amp; inquiry · 2 reports</t>
        </is>
      </c>
      <c r="Q69" s="170" t="inlineStr">
        <is>
          <t>Japan</t>
        </is>
      </c>
      <c r="R69" s="168" t="n">
        <v>46318</v>
      </c>
      <c r="S69" s="169" t="inlineStr">
        <is>
          <t>2026-Q4</t>
        </is>
      </c>
      <c r="T69" s="171" t="inlineStr">
        <is>
          <t>landslide</t>
        </is>
      </c>
      <c r="U69" s="159" t="n">
        <v>4</v>
      </c>
      <c r="V69" s="172" t="inlineStr">
        <is>
          <t>https://news.google.com/rss/articles/CBMijgFBVV95cUxPejNsdUVrN2NfZVROYjRBSV9BN0lGMU8tRDdVcHRMV1lkamdqQWU0b3JVb0d2aWJIb0haUWlLMVR5MGoxb1VQdXc3OU5IZG9NdGNRclg3QkZCQ2gtQldzRl9RS0J6R3hZYTFzMWpKQTBzd3RLVWdDWVlWRE5rOGRoQnRUbzFCVlU2anlxSG1B?oc=5</t>
        </is>
      </c>
      <c r="W69" s="173">
        <f>IF($B69="",0,IF(AND(OR(OR(Dashboard!$B$5="All themes",Dashboard!$B$5=""),$C69=Dashboard!$B$5),OR(OR(Dashboard!$G$5="All uses",Dashboard!$G$5=""),$E69=Dashboard!$G$5),N($D69)&gt;=Lists!$H$2,OR(OR(Dashboard!$N$5="All windows",Dashboard!$N$5=""),$S69=Dashboard!$N$5)),1,0))</f>
        <v/>
      </c>
      <c r="X69" s="174">
        <f>IF($W69=1,N($D69)*1E14+MIN(MAX(N($U69),0),9999)*1E10+MIN(N($K69),99999)*1E5+99999-MIN(ROW(),99999),"")</f>
        <v/>
      </c>
    </row>
    <row r="70" ht="40.5" customHeight="1">
      <c r="A70" s="159" t="n">
        <v>67</v>
      </c>
      <c r="B70" s="160" t="inlineStr">
        <is>
          <t>Forestry expert with 20 years' experience: newly found sinkhole in Pong Nha–Ke Bang is a 'difficult problem to solve'.</t>
        </is>
      </c>
      <c r="C70" s="161" t="inlineStr">
        <is>
          <t>Hazards &amp; Resilience</t>
        </is>
      </c>
      <c r="D70" s="162" t="n">
        <v>4</v>
      </c>
      <c r="E70" s="163" t="inlineStr">
        <is>
          <t>Feature lead</t>
        </is>
      </c>
      <c r="F70" s="164" t="inlineStr">
        <is>
          <t>To review</t>
        </is>
      </c>
      <c r="G70" s="165" t="n"/>
      <c r="H70" s="166" t="n"/>
      <c r="I70" s="167" t="inlineStr">
        <is>
          <t>Why are sinkholes in karst or soluble terrain so difficult to resolve, and what investigation methods identify them early?</t>
        </is>
      </c>
      <c r="J70" s="167" t="inlineStr">
        <is>
          <t>Vietnam.vn</t>
        </is>
      </c>
      <c r="K70" s="168" t="n">
        <v>46320</v>
      </c>
      <c r="L70" s="167" t="inlineStr">
        <is>
          <t>20년 경력의 산림 전문가: 퐁냐-케방에서 새로 발견된 싱크홀은 "해결하기 어려운 문제"다.</t>
        </is>
      </c>
      <c r="M70" s="167" t="n"/>
      <c r="N70" s="169" t="inlineStr">
        <is>
          <t>Vietnam</t>
        </is>
      </c>
      <c r="O70" s="167" t="inlineStr">
        <is>
          <t>Phong Nha–Ke Bang</t>
        </is>
      </c>
      <c r="P70" s="167" t="inlineStr">
        <is>
          <t>Phong Nha-Ke Bang 120 m sinkhole discovery, Vietnam · Update · 4 reports</t>
        </is>
      </c>
      <c r="Q70" s="170" t="inlineStr">
        <is>
          <t>South Korea</t>
        </is>
      </c>
      <c r="R70" s="168" t="n">
        <v>46320</v>
      </c>
      <c r="S70" s="169" t="inlineStr">
        <is>
          <t>2026-Q4</t>
        </is>
      </c>
      <c r="T70" s="171" t="inlineStr">
        <is>
          <t>sinkhole</t>
        </is>
      </c>
      <c r="U70" s="159" t="n">
        <v>4</v>
      </c>
      <c r="V70" s="172" t="inlineStr">
        <is>
          <t>https://news.google.com/rss/articles/CBMisgFBVV95cUxQN0dPclBLZGZXUXh2c2ZNc1NUTXptSzZPaS15QmlMcFRmcl9BczJRaTItenB2ZW9XM0xUWTBBclBjb1gyWmVJX3BpSlRfZGR6LURsWEZFVTRPVVNTMkJmOGdWS3hPMzN0cUlnMGt1WVB3aERyTWtibHNyV3ZNQmNiY1cyd1pJTXNiX1NrSGdLazMxcTZSaXFZcDEyUVc0MndWYTdmM2VtTUUtdm1BbFAyQVpB?oc=5</t>
        </is>
      </c>
      <c r="W70" s="173">
        <f>IF($B70="",0,IF(AND(OR(OR(Dashboard!$B$5="All themes",Dashboard!$B$5=""),$C70=Dashboard!$B$5),OR(OR(Dashboard!$G$5="All uses",Dashboard!$G$5=""),$E70=Dashboard!$G$5),N($D70)&gt;=Lists!$H$2,OR(OR(Dashboard!$N$5="All windows",Dashboard!$N$5=""),$S70=Dashboard!$N$5)),1,0))</f>
        <v/>
      </c>
      <c r="X70" s="174">
        <f>IF($W70=1,N($D70)*1E14+MIN(MAX(N($U70),0),9999)*1E10+MIN(N($K70),99999)*1E5+99999-MIN(ROW(),99999),"")</f>
        <v/>
      </c>
    </row>
    <row r="71" ht="53" customHeight="1">
      <c r="A71" s="159" t="n">
        <v>68</v>
      </c>
      <c r="B71" s="160" t="inlineStr">
        <is>
          <t>Body of doctor pulled from rubble, residents evacuated after Paya Terubong landslide</t>
        </is>
      </c>
      <c r="C71" s="161" t="inlineStr">
        <is>
          <t>Hazards &amp; Resilience</t>
        </is>
      </c>
      <c r="D71" s="162" t="n">
        <v>4</v>
      </c>
      <c r="E71" s="163" t="inlineStr">
        <is>
          <t>Feature lead</t>
        </is>
      </c>
      <c r="F71" s="164" t="inlineStr">
        <is>
          <t>To review</t>
        </is>
      </c>
      <c r="G71" s="165" t="n"/>
      <c r="H71" s="166" t="n"/>
      <c r="I71" s="167" t="inlineStr">
        <is>
          <t>What triggered the fatal Paya Terubong hillside failure, and how should residential slopes be assessed before evacuation and recovery?</t>
        </is>
      </c>
      <c r="J71" s="167" t="inlineStr">
        <is>
          <t>Malay Mail</t>
        </is>
      </c>
      <c r="K71" s="168" t="n">
        <v>46320</v>
      </c>
      <c r="L71" s="167" t="n"/>
      <c r="M71" s="167" t="n"/>
      <c r="N71" s="169" t="inlineStr">
        <is>
          <t>Malaysia</t>
        </is>
      </c>
      <c r="O71" s="167" t="inlineStr">
        <is>
          <t>Paya Terubong, Penang</t>
        </is>
      </c>
      <c r="P71" s="167" t="inlineStr">
        <is>
          <t>Paya Terubong landslide, Penang, Malaysia (Oct 2026) · Response &amp; recovery · 7 reports</t>
        </is>
      </c>
      <c r="Q71" s="170" t="inlineStr">
        <is>
          <t>United Kingdom</t>
        </is>
      </c>
      <c r="R71" s="168" t="n">
        <v>46320</v>
      </c>
      <c r="S71" s="169" t="inlineStr">
        <is>
          <t>2026-Q4</t>
        </is>
      </c>
      <c r="T71" s="171" t="inlineStr">
        <is>
          <t>landslide</t>
        </is>
      </c>
      <c r="U71" s="159" t="n">
        <v>4</v>
      </c>
      <c r="V71" s="172" t="inlineStr">
        <is>
          <t>https://news.google.com/rss/articles/CBMi2AFBVV95cUxOaDJwYmR0RlVHc3JzcUNhNTFxNEcyNFNacldnWVhuTUZTcVRVTXdrNFJzNUFqZlRNUXBfaW5YdnFTUTN4cHlUUmdVbGFDT3lBNFRMVUlUYll5QXhHWjd6d0JYUkJKbkstekJpNnhhV1IxMVVxSWQySzNKSFJUZ0RiLThJVmdsY25YTnM3bHFGNG56dG41Wjl4Y2libF9DQkhXNnJCNWtUNWhjRlhtMWF4NHhNWjVrQXVaMmZxd0JqRWNyZGQyT1d6d3VzVEtoS1l4dk1jd3U0VXbSAd4BQVVfeXFMTUxUakFhNFBzWVh5REdLY3A1WlFoS25oTmRoWUtPMWk5YmxfSDAzemx3d0dudllQMFVfYXVFVzlQd2U5MGJLUThRRGlyM2dQYk5kOTBKQXdtTXdMVUhfUDZjZTVOT2ZUX3FYcmRQWDdMNTliMmpQX284c1JVeXBDTHpBQzFubkVRZ1VvVFVIcm9pUGNfYXBUd0NweFllZVJySVpVMWd3Vks4VzJ5aHNLenNGMHplZS1SOVNmVExPR0t4Sk5PdjROV2p2WmhCTE9zOGwxaUFjT2dhTTZBUV93?oc=5</t>
        </is>
      </c>
      <c r="W71" s="173">
        <f>IF($B71="",0,IF(AND(OR(OR(Dashboard!$B$5="All themes",Dashboard!$B$5=""),$C71=Dashboard!$B$5),OR(OR(Dashboard!$G$5="All uses",Dashboard!$G$5=""),$E71=Dashboard!$G$5),N($D71)&gt;=Lists!$H$2,OR(OR(Dashboard!$N$5="All windows",Dashboard!$N$5=""),$S71=Dashboard!$N$5)),1,0))</f>
        <v/>
      </c>
      <c r="X71" s="174">
        <f>IF($W71=1,N($D71)*1E14+MIN(MAX(N($U71),0),9999)*1E10+MIN(N($K71),99999)*1E5+99999-MIN(ROW(),99999),"")</f>
        <v/>
      </c>
    </row>
    <row r="72" ht="53" customHeight="1">
      <c r="A72" s="159" t="n">
        <v>69</v>
      </c>
      <c r="B72" s="160" t="inlineStr">
        <is>
          <t>Penang council halts hillside construction, roadworks after fatal landslide</t>
        </is>
      </c>
      <c r="C72" s="161" t="inlineStr">
        <is>
          <t>Hazards &amp; Resilience</t>
        </is>
      </c>
      <c r="D72" s="162" t="n">
        <v>4</v>
      </c>
      <c r="E72" s="163" t="inlineStr">
        <is>
          <t>Feature lead</t>
        </is>
      </c>
      <c r="F72" s="164" t="inlineStr">
        <is>
          <t>To review</t>
        </is>
      </c>
      <c r="G72" s="165" t="n"/>
      <c r="H72" s="166" t="n"/>
      <c r="I72" s="167" t="inlineStr">
        <is>
          <t>Should hillside development be halted after a fatal landslide, and what slope stability criteria should govern such construction?</t>
        </is>
      </c>
      <c r="J72" s="167" t="inlineStr">
        <is>
          <t>The Sun Malaysia</t>
        </is>
      </c>
      <c r="K72" s="168" t="n">
        <v>46320</v>
      </c>
      <c r="L72" s="167" t="n"/>
      <c r="M72" s="167" t="n"/>
      <c r="N72" s="169" t="inlineStr">
        <is>
          <t>Malaysia</t>
        </is>
      </c>
      <c r="O72" s="167" t="inlineStr">
        <is>
          <t>Penang hillside</t>
        </is>
      </c>
      <c r="P72" s="167" t="inlineStr">
        <is>
          <t>Paya Terubong landslide, Penang, Malaysia (Oct 2026) · Legal &amp; policy · 7 reports</t>
        </is>
      </c>
      <c r="Q72" s="170" t="inlineStr">
        <is>
          <t>United Kingdom</t>
        </is>
      </c>
      <c r="R72" s="168" t="n">
        <v>46320</v>
      </c>
      <c r="S72" s="169" t="inlineStr">
        <is>
          <t>2026-Q4</t>
        </is>
      </c>
      <c r="T72" s="171" t="inlineStr">
        <is>
          <t>landslide</t>
        </is>
      </c>
      <c r="U72" s="159" t="n">
        <v>4</v>
      </c>
      <c r="V72" s="172" t="inlineStr">
        <is>
          <t>https://news.google.com/rss/articles/CBMinwFBVV95cUxObGc2ZnNTTDk0cTRlMW5fY24wN3B2TS1SZndJUlMwVWR3d2pKbXVVS055T1B6UWZROXZ6bVNIZmQ5R0haMHhtLU50SlJHUHNhR0FJUm1VVGtSTTVDb19VbE11RG9SMk1UTXlWQ19HT3BRbE5wdmQza3d0NHQzRlRLblFGVXBCdGxlNTZQZ21xRnFJSTRjQk1rUFJyYW1fR0E?oc=5</t>
        </is>
      </c>
      <c r="W72" s="173">
        <f>IF($B72="",0,IF(AND(OR(OR(Dashboard!$B$5="All themes",Dashboard!$B$5=""),$C72=Dashboard!$B$5),OR(OR(Dashboard!$G$5="All uses",Dashboard!$G$5=""),$E72=Dashboard!$G$5),N($D72)&gt;=Lists!$H$2,OR(OR(Dashboard!$N$5="All windows",Dashboard!$N$5=""),$S72=Dashboard!$N$5)),1,0))</f>
        <v/>
      </c>
      <c r="X72" s="174">
        <f>IF($W72=1,N($D72)*1E14+MIN(MAX(N($U72),0),9999)*1E10+MIN(N($K72),99999)*1E5+99999-MIN(ROW(),99999),"")</f>
        <v/>
      </c>
    </row>
    <row r="73" ht="40.5" customHeight="1">
      <c r="A73" s="159" t="n">
        <v>70</v>
      </c>
      <c r="B73" s="160" t="inlineStr">
        <is>
          <t>Rain batters Nilgiris; landslide buries government bus, driver loses life</t>
        </is>
      </c>
      <c r="C73" s="161" t="inlineStr">
        <is>
          <t>Hazards &amp; Resilience</t>
        </is>
      </c>
      <c r="D73" s="162" t="n">
        <v>4</v>
      </c>
      <c r="E73" s="180" t="inlineStr">
        <is>
          <t>News brief</t>
        </is>
      </c>
      <c r="F73" s="164" t="inlineStr">
        <is>
          <t>To review</t>
        </is>
      </c>
      <c r="G73" s="165" t="n"/>
      <c r="H73" s="166" t="n"/>
      <c r="I73" s="167" t="inlineStr">
        <is>
          <t>How can landslide risk on hill-road corridors be managed when a government bus is buried during heavy rain?</t>
        </is>
      </c>
      <c r="J73" s="167" t="inlineStr">
        <is>
          <t>The New Indian Express</t>
        </is>
      </c>
      <c r="K73" s="168" t="n">
        <v>46320</v>
      </c>
      <c r="L73" s="167" t="n"/>
      <c r="M73" s="167" t="n"/>
      <c r="N73" s="169" t="inlineStr">
        <is>
          <t>India</t>
        </is>
      </c>
      <c r="O73" s="167" t="inlineStr">
        <is>
          <t>Nilgiris, Tamil Nadu</t>
        </is>
      </c>
      <c r="P73" s="167" t="n"/>
      <c r="Q73" s="170" t="inlineStr">
        <is>
          <t>United Kingdom</t>
        </is>
      </c>
      <c r="R73" s="168" t="n">
        <v>46320</v>
      </c>
      <c r="S73" s="169" t="inlineStr">
        <is>
          <t>2026-Q4</t>
        </is>
      </c>
      <c r="T73" s="171" t="inlineStr">
        <is>
          <t>landslide</t>
        </is>
      </c>
      <c r="U73" s="159" t="n">
        <v>4</v>
      </c>
      <c r="V73" s="172" t="inlineStr">
        <is>
          <t>https://news.google.com/rss/articles/CBMi3AFBVV95cUxNNnpWbUlLQnpNS3d1NElEaDNGUmdGUmhzN0w4YVMwYTFDZExnbThRQjZaSnU1MTVOR3JwcU9aeFkza2ZJOFBVOTJXVmYzb09NZ3hoTF9PRjM3dWhuaE4tekRTVjBXYklodEVfTFN2YnA2cUhMZXBpLXFBUjI1SmFoRW9JZHpJeGJTOWNfNjdqMk1hcEUtWW9JZnU3dDNBOWFlUTZUUGpaR0lNWkI5WTlPc05DY2owcnl1SlFEaEIwSU55dWdJSHlZcUNCdkcyTS1pd3FHMGxia1V1aE9X0gHcAUFVX3lxTE02elZtSUtCek1Ld3U0SURoM0ZSZ0ZSaHM3TDhhUzBhMUNkTGdtOFFCNlpKdTUxNU5HcnBxT1p4WTNrZkk4UFU5MldWZjNvT01neGhMX09GMzd1aG5oTi16RFNWMFdiSWh0RV9MU3ZicDZxSExlcGktcUFSMjVKYWhFb0lkekl4YlM5Y182N2oyTWFwRS1Zb0lmdTd0M0E5YWVRNlRQalpHSU1aQjlZOU9zTkNjajByeXVKUURoQjBJTnl1Z0lIeVlxQ0J2RzJNLWl3cUcwbGJrVXVoT1c?oc=5</t>
        </is>
      </c>
      <c r="W73" s="173">
        <f>IF($B73="",0,IF(AND(OR(OR(Dashboard!$B$5="All themes",Dashboard!$B$5=""),$C73=Dashboard!$B$5),OR(OR(Dashboard!$G$5="All uses",Dashboard!$G$5=""),$E73=Dashboard!$G$5),N($D73)&gt;=Lists!$H$2,OR(OR(Dashboard!$N$5="All windows",Dashboard!$N$5=""),$S73=Dashboard!$N$5)),1,0))</f>
        <v/>
      </c>
      <c r="X73" s="174">
        <f>IF($W73=1,N($D73)*1E14+MIN(MAX(N($U73),0),9999)*1E10+MIN(N($K73),99999)*1E5+99999-MIN(ROW(),99999),"")</f>
        <v/>
      </c>
    </row>
    <row r="74" ht="53" customHeight="1">
      <c r="A74" s="159" t="n">
        <v>71</v>
      </c>
      <c r="B74" s="160" t="inlineStr">
        <is>
          <t>[Land disappearing beneath the sea] Double attack of climate-driven sea-level rise and ground subsidence; global lands vanishing from maps.</t>
        </is>
      </c>
      <c r="C74" s="179" t="inlineStr">
        <is>
          <t>Offshore, Coasts &amp; Water</t>
        </is>
      </c>
      <c r="D74" s="162" t="n">
        <v>4</v>
      </c>
      <c r="E74" s="163" t="inlineStr">
        <is>
          <t>Feature lead</t>
        </is>
      </c>
      <c r="F74" s="164" t="inlineStr">
        <is>
          <t>To review</t>
        </is>
      </c>
      <c r="G74" s="165" t="n"/>
      <c r="H74" s="166" t="n"/>
      <c r="I74" s="167" t="inlineStr">
        <is>
          <t>How do sea-level rise and land subsidence combine to lower coastal ground, and what engineering responses can slow the loss of land?</t>
        </is>
      </c>
      <c r="J74" s="167" t="inlineStr">
        <is>
          <t>AI넷</t>
        </is>
      </c>
      <c r="K74" s="168" t="n">
        <v>46320</v>
      </c>
      <c r="L74" s="167" t="inlineStr">
        <is>
          <t>[국토가 바닷속으로 사라진다] 기후변화 발 해수면 상승·지반 침하의 이중 습격, 지도에서 지워지는 지구촌</t>
        </is>
      </c>
      <c r="M74" s="167" t="n"/>
      <c r="N74" s="169" t="n"/>
      <c r="O74" s="167" t="n"/>
      <c r="P74" s="167" t="n"/>
      <c r="Q74" s="170" t="inlineStr">
        <is>
          <t>South Korea</t>
        </is>
      </c>
      <c r="R74" s="168" t="n">
        <v>46320</v>
      </c>
      <c r="S74" s="169" t="inlineStr">
        <is>
          <t>2026-Q4</t>
        </is>
      </c>
      <c r="T74" s="171" t="inlineStr">
        <is>
          <t>subsidence</t>
        </is>
      </c>
      <c r="U74" s="159" t="n">
        <v>3</v>
      </c>
      <c r="V74" s="172" t="inlineStr">
        <is>
          <t>https://news.google.com/rss/articles/CBMiQEFVX3lxTE5xNDZoRUVLVUFyUVB6d3duejJIdUpLZjlKZ21qRXJtLWsycEZCU2RuWWtvblNOVHFJc1JpSW1HMkk?oc=5</t>
        </is>
      </c>
      <c r="W74" s="173">
        <f>IF($B74="",0,IF(AND(OR(OR(Dashboard!$B$5="All themes",Dashboard!$B$5=""),$C74=Dashboard!$B$5),OR(OR(Dashboard!$G$5="All uses",Dashboard!$G$5=""),$E74=Dashboard!$G$5),N($D74)&gt;=Lists!$H$2,OR(OR(Dashboard!$N$5="All windows",Dashboard!$N$5=""),$S74=Dashboard!$N$5)),1,0))</f>
        <v/>
      </c>
      <c r="X74" s="174">
        <f>IF($W74=1,N($D74)*1E14+MIN(MAX(N($U74),0),9999)*1E10+MIN(N($K74),99999)*1E5+99999-MIN(ROW(),99999),"")</f>
        <v/>
      </c>
    </row>
    <row r="75" ht="53" customHeight="1">
      <c r="A75" s="159" t="n">
        <v>72</v>
      </c>
      <c r="B75" s="160" t="inlineStr">
        <is>
          <t>Shield 'Nadezhda' completes tunnelling to future metro stations in Primorsky district</t>
        </is>
      </c>
      <c r="C75" s="177" t="inlineStr">
        <is>
          <t>Infrastructure &amp; the Underground City</t>
        </is>
      </c>
      <c r="D75" s="162" t="n">
        <v>4</v>
      </c>
      <c r="E75" s="180" t="inlineStr">
        <is>
          <t>News brief</t>
        </is>
      </c>
      <c r="F75" s="164" t="inlineStr">
        <is>
          <t>To review</t>
        </is>
      </c>
      <c r="G75" s="165" t="n"/>
      <c r="H75" s="166" t="n"/>
      <c r="I75" s="167" t="inlineStr">
        <is>
          <t>How did the shield tunnelling through the local soils, with groundwater and face-stability conditions, shape the progress of the St Petersburg metro extension?</t>
        </is>
      </c>
      <c r="J75" s="167" t="inlineStr">
        <is>
          <t>Piter.tv</t>
        </is>
      </c>
      <c r="K75" s="168" t="n">
        <v>46320</v>
      </c>
      <c r="L75" s="167" t="inlineStr">
        <is>
          <t>Щит "Надежда" завершил проходку тоннеля к будущим станциям метро Приморского района</t>
        </is>
      </c>
      <c r="M75" s="167" t="n"/>
      <c r="N75" s="169" t="inlineStr">
        <is>
          <t>Russia</t>
        </is>
      </c>
      <c r="O75" s="167" t="inlineStr">
        <is>
          <t>Primorsky district, St Petersburg</t>
        </is>
      </c>
      <c r="P75" s="167" t="n"/>
      <c r="Q75" s="170" t="inlineStr">
        <is>
          <t>Russia</t>
        </is>
      </c>
      <c r="R75" s="168" t="n">
        <v>46318</v>
      </c>
      <c r="S75" s="169" t="inlineStr">
        <is>
          <t>2026-Q4</t>
        </is>
      </c>
      <c r="T75" s="171" t="inlineStr">
        <is>
          <t>tunnel, metro line</t>
        </is>
      </c>
      <c r="U75" s="159" t="n">
        <v>2</v>
      </c>
      <c r="V75" s="172" t="inlineStr">
        <is>
          <t>https://news.google.com/rss/articles/CBMitAFBVV95cUxOelFNVWZTNzk5YWhMZmZQNVBaOUdDcTVPZ2d6QTVxZVl5aUFjSElxNUw4VXI4dzl3NXY2TDhGNTl4MDlpbS0zcWFvOU8wdU9GRF9MbXJiTWg0NUtHZlNpX3NYZEVsd2JZcDVpSldQUkNjMjZsaUNMeGlYSy1fTmUxYS1FOGdVY2NyWWNFYmlQa2w4YmxwNmtpMlloQ0F1Q01nUFFlcUlSdkxMeUpIZjNYb3pmRHM?oc=5</t>
        </is>
      </c>
      <c r="W75" s="173">
        <f>IF($B75="",0,IF(AND(OR(OR(Dashboard!$B$5="All themes",Dashboard!$B$5=""),$C75=Dashboard!$B$5),OR(OR(Dashboard!$G$5="All uses",Dashboard!$G$5=""),$E75=Dashboard!$G$5),N($D75)&gt;=Lists!$H$2,OR(OR(Dashboard!$N$5="All windows",Dashboard!$N$5=""),$S75=Dashboard!$N$5)),1,0))</f>
        <v/>
      </c>
      <c r="X75" s="174">
        <f>IF($W75=1,N($D75)*1E14+MIN(MAX(N($U75),0),9999)*1E10+MIN(N($K75),99999)*1E5+99999-MIN(ROW(),99999),"")</f>
        <v/>
      </c>
    </row>
    <row r="76" ht="53" customHeight="1">
      <c r="A76" s="159" t="n">
        <v>73</v>
      </c>
      <c r="B76" s="160" t="inlineStr">
        <is>
          <t>Experts comment on the plan to level Mot mountain in Quy Nhon</t>
        </is>
      </c>
      <c r="C76" s="177" t="inlineStr">
        <is>
          <t>Infrastructure &amp; the Underground City</t>
        </is>
      </c>
      <c r="D76" s="162" t="n">
        <v>4</v>
      </c>
      <c r="E76" s="163" t="inlineStr">
        <is>
          <t>Feature lead</t>
        </is>
      </c>
      <c r="F76" s="164" t="inlineStr">
        <is>
          <t>To review</t>
        </is>
      </c>
      <c r="G76" s="165" t="n"/>
      <c r="H76" s="166" t="n"/>
      <c r="I76" s="167" t="inlineStr">
        <is>
          <t>What are the slope stability, rock-cutting and environmental trade-offs in levelling a granite mountain inside an urban area, and how should experts weigh them?</t>
        </is>
      </c>
      <c r="J76" s="167" t="inlineStr">
        <is>
          <t>Vietnam.vn</t>
        </is>
      </c>
      <c r="K76" s="168" t="n">
        <v>46320</v>
      </c>
      <c r="L76" s="167" t="inlineStr">
        <is>
          <t>Des experts s'expriment sur le projet de rasage du mont Mot à Quy Nhon.</t>
        </is>
      </c>
      <c r="M76" s="167" t="n"/>
      <c r="N76" s="169" t="inlineStr">
        <is>
          <t>Vietnam</t>
        </is>
      </c>
      <c r="O76" s="167" t="inlineStr">
        <is>
          <t>Mot Mountain, Quy Nhon</t>
        </is>
      </c>
      <c r="P76" s="167" t="inlineStr">
        <is>
          <t>Mot Mountain levelling proposal, Quy Nhon, Vietnam · Update · 2 reports</t>
        </is>
      </c>
      <c r="Q76" s="170" t="inlineStr">
        <is>
          <t>France</t>
        </is>
      </c>
      <c r="R76" s="168" t="n">
        <v>46318</v>
      </c>
      <c r="S76" s="169" t="inlineStr">
        <is>
          <t>2026-Q4</t>
        </is>
      </c>
      <c r="T76" s="171" t="n"/>
      <c r="U76" s="159" t="n">
        <v>0</v>
      </c>
      <c r="V76" s="172" t="inlineStr">
        <is>
          <t>https://news.google.com/rss/articles/CBMijwFBVV95cUxNVGtiZ0lmT1lzdnltdVZfN1RsaGl0c3g2Sll0bDJUMHd6UDdFQXN3VlJteWJjTTNHZ1R1TXVJcVBZTl94UDFaczBDUjdObXpScmpZeFZPVkpHRjBUSXFteDJ2dlhFeWxPdVgzamFWaFFRQ1lhSG55VFJKQnRWV1pkNE5TcEs1WWlIT25qbUxVbw?oc=5</t>
        </is>
      </c>
      <c r="W76" s="173">
        <f>IF($B76="",0,IF(AND(OR(OR(Dashboard!$B$5="All themes",Dashboard!$B$5=""),$C76=Dashboard!$B$5),OR(OR(Dashboard!$G$5="All uses",Dashboard!$G$5=""),$E76=Dashboard!$G$5),N($D76)&gt;=Lists!$H$2,OR(OR(Dashboard!$N$5="All windows",Dashboard!$N$5=""),$S76=Dashboard!$N$5)),1,0))</f>
        <v/>
      </c>
      <c r="X76" s="174">
        <f>IF($W76=1,N($D76)*1E14+MIN(MAX(N($U76),0),9999)*1E10+MIN(N($K76),99999)*1E5+99999-MIN(ROW(),99999),"")</f>
        <v/>
      </c>
    </row>
    <row r="77" ht="53" customHeight="1">
      <c r="A77" s="159" t="n">
        <v>74</v>
      </c>
      <c r="B77" s="160" t="inlineStr">
        <is>
          <t>Imperial advances planning of block caving method at Red Chris mine</t>
        </is>
      </c>
      <c r="C77" s="177" t="inlineStr">
        <is>
          <t>Infrastructure &amp; the Underground City</t>
        </is>
      </c>
      <c r="D77" s="162" t="n">
        <v>4</v>
      </c>
      <c r="E77" s="182" t="inlineStr">
        <is>
          <t>Academia-to-Industry topic</t>
        </is>
      </c>
      <c r="F77" s="164" t="inlineStr">
        <is>
          <t>To review</t>
        </is>
      </c>
      <c r="G77" s="165" t="n"/>
      <c r="H77" s="166" t="n"/>
      <c r="I77" s="167" t="inlineStr">
        <is>
          <t>What geomechanical data and rock mass characterisation are needed to plan block caving sequences safely in a large porphyry copper mine?</t>
        </is>
      </c>
      <c r="J77" s="167" t="inlineStr">
        <is>
          <t>MarketScreener España</t>
        </is>
      </c>
      <c r="K77" s="168" t="n">
        <v>46320</v>
      </c>
      <c r="L77" s="167" t="inlineStr">
        <is>
          <t>Imperial avanza en la planificación del método de hundimiento por bloques en la mina Red Chris</t>
        </is>
      </c>
      <c r="M77" s="167" t="n"/>
      <c r="N77" s="169" t="inlineStr">
        <is>
          <t>Canada</t>
        </is>
      </c>
      <c r="O77" s="167" t="inlineStr">
        <is>
          <t>Red Chris mine</t>
        </is>
      </c>
      <c r="P77" s="167" t="n"/>
      <c r="Q77" s="170" t="inlineStr">
        <is>
          <t>Argentina</t>
        </is>
      </c>
      <c r="R77" s="168" t="n">
        <v>46318</v>
      </c>
      <c r="S77" s="169" t="inlineStr">
        <is>
          <t>2026-Q4</t>
        </is>
      </c>
      <c r="T77" s="171" t="n"/>
      <c r="U77" s="159" t="n">
        <v>0</v>
      </c>
      <c r="V77" s="172" t="inlineStr">
        <is>
          <t>https://news.google.com/rss/articles/CBMi5AFBVV95cUxNRTBGLWpXeXZMNjFSNWFJUXlBSkJ5MVpoamwwUDhYSU9BSzY0dHYxbUxONUxfUTBhLVVoSU5jMjgwQTdKSUsycnVKSzNNYkdkdlNpRWlyVWZrWkxIdm1KYUduYl9lRDd4M04xeURNMTBCd3FRaGpwQnR2UXZscTRaYmU2a3huekdQUEJ1SUZEMWkwZlg1TkkyUFFaLUt3bm9GOGxIZFZEMDFKUVNYcWdTNXNmYjVud3R5UHVlOXBBV3c1cUwtV3FZeGY2NFRTX2ZQclNrNmdXeGlPOEFQcFZ5NW42OFg?oc=5</t>
        </is>
      </c>
      <c r="W77" s="173">
        <f>IF($B77="",0,IF(AND(OR(OR(Dashboard!$B$5="All themes",Dashboard!$B$5=""),$C77=Dashboard!$B$5),OR(OR(Dashboard!$G$5="All uses",Dashboard!$G$5=""),$E77=Dashboard!$G$5),N($D77)&gt;=Lists!$H$2,OR(OR(Dashboard!$N$5="All windows",Dashboard!$N$5=""),$S77=Dashboard!$N$5)),1,0))</f>
        <v/>
      </c>
      <c r="X77" s="174">
        <f>IF($W77=1,N($D77)*1E14+MIN(MAX(N($U77),0),9999)*1E10+MIN(N($K77),99999)*1E5+99999-MIN(ROW(),99999),"")</f>
        <v/>
      </c>
    </row>
    <row r="78" ht="40.5" customHeight="1">
      <c r="A78" s="159" t="n">
        <v>75</v>
      </c>
      <c r="B78" s="160" t="inlineStr">
        <is>
          <t>SAM demands answers over fatal Penang landslide which killed doctor</t>
        </is>
      </c>
      <c r="C78" s="183" t="inlineStr">
        <is>
          <t>Geotechnics &amp; Society</t>
        </is>
      </c>
      <c r="D78" s="162" t="n">
        <v>3</v>
      </c>
      <c r="E78" s="180" t="inlineStr">
        <is>
          <t>News brief</t>
        </is>
      </c>
      <c r="F78" s="164" t="inlineStr">
        <is>
          <t>To review</t>
        </is>
      </c>
      <c r="G78" s="165" t="n"/>
      <c r="H78" s="166" t="n"/>
      <c r="I78" s="167" t="inlineStr">
        <is>
          <t>What accountability and slope regulation gaps are revealed after a fatal landslide in a hillside urban area?</t>
        </is>
      </c>
      <c r="J78" s="167" t="inlineStr">
        <is>
          <t>NST Online</t>
        </is>
      </c>
      <c r="K78" s="168" t="n">
        <v>46320</v>
      </c>
      <c r="L78" s="167" t="n"/>
      <c r="M78" s="167" t="n"/>
      <c r="N78" s="169" t="inlineStr">
        <is>
          <t>Malaysia</t>
        </is>
      </c>
      <c r="O78" s="167" t="inlineStr">
        <is>
          <t>Penang</t>
        </is>
      </c>
      <c r="P78" s="167" t="inlineStr">
        <is>
          <t>Paya Terubong landslide, Penang, Malaysia (Oct 2026) · Legal &amp; policy · 7 reports</t>
        </is>
      </c>
      <c r="Q78" s="170" t="inlineStr">
        <is>
          <t>United Kingdom</t>
        </is>
      </c>
      <c r="R78" s="168" t="n">
        <v>46320</v>
      </c>
      <c r="S78" s="169" t="inlineStr">
        <is>
          <t>2026-Q4</t>
        </is>
      </c>
      <c r="T78" s="171" t="inlineStr">
        <is>
          <t>landslide</t>
        </is>
      </c>
      <c r="U78" s="159" t="n">
        <v>4</v>
      </c>
      <c r="V78" s="172" t="inlineStr">
        <is>
          <t>https://news.google.com/rss/articles/CBMiugFBVV95cUxOT2dPd2U1SUVOOTEyc1laYjlVWl9QOUhsTGNrOTNCSFF3LUozTzhWT1RiZHJoejIwdEo5TzRMd3BXNXVON2Y0NUkyejlWTUZ2d3dvQ204NkczQV8zeVVhTFEtalZzM243V3ZXY1dMcDBlaXdZampuWHJrWjRzTUhLRmZENlFvaS1qT2FWRlFjLThUWl9XZklTWWstaTdhY0pFMzM2SDRNSVc0WU5YMnRwU0pOenhWUE10b2fSAb8BQVVfeXFMUHZ6YndId1lQYkVCa3lVeG9seXo5SS03MjlpUy0zYWxNekh4T0FJb2thc1hwV1BCUGxXeXUtZjU4MHg0OE1KTTJXdWNSY3h6Y2J6d1cyejNHNmpiazVyLTFYNGpRUWNCekxRNkVhaGU0LUJGMDNpVklramRteDRYLU9FbWhscm1yWVBBblpYbXpKdEVzN3pWUFg0Q09kM0NHYW1Cd2lYZFIweElSa2lTMnp4NzJBWWlmNlU1eFRoWmM?oc=5</t>
        </is>
      </c>
      <c r="W78" s="173">
        <f>IF($B78="",0,IF(AND(OR(OR(Dashboard!$B$5="All themes",Dashboard!$B$5=""),$C78=Dashboard!$B$5),OR(OR(Dashboard!$G$5="All uses",Dashboard!$G$5=""),$E78=Dashboard!$G$5),N($D78)&gt;=Lists!$H$2,OR(OR(Dashboard!$N$5="All windows",Dashboard!$N$5=""),$S78=Dashboard!$N$5)),1,0))</f>
        <v/>
      </c>
      <c r="X78" s="174">
        <f>IF($W78=1,N($D78)*1E14+MIN(MAX(N($U78),0),9999)*1E10+MIN(N($K78),99999)*1E5+99999-MIN(ROW(),99999),"")</f>
        <v/>
      </c>
    </row>
    <row r="79" ht="53" customHeight="1">
      <c r="A79" s="159" t="n">
        <v>76</v>
      </c>
      <c r="B79" s="160" t="inlineStr">
        <is>
          <t>'The 1956 Landslide and the Church of San Pietro': photographic exhibition extended</t>
        </is>
      </c>
      <c r="C79" s="183" t="inlineStr">
        <is>
          <t>Geotechnics &amp; Society</t>
        </is>
      </c>
      <c r="D79" s="162" t="n">
        <v>3</v>
      </c>
      <c r="E79" s="175" t="inlineStr">
        <is>
          <t>Watch only</t>
        </is>
      </c>
      <c r="F79" s="164" t="inlineStr">
        <is>
          <t>To review</t>
        </is>
      </c>
      <c r="G79" s="165" t="n"/>
      <c r="H79" s="166" t="n"/>
      <c r="I79" s="167" t="inlineStr">
        <is>
          <t>How did the 1956 landslide shape settlement decisions and church site safety, and what does that history teach about landslide memory?</t>
        </is>
      </c>
      <c r="J79" s="167" t="inlineStr">
        <is>
          <t>Trigno.net</t>
        </is>
      </c>
      <c r="K79" s="168" t="n">
        <v>46320</v>
      </c>
      <c r="L79" s="167" t="inlineStr">
        <is>
          <t>"La Frana del 1956 e la Chiesa di San Pietro", prorogata la mostra fotografica</t>
        </is>
      </c>
      <c r="M79" s="167" t="n"/>
      <c r="N79" s="169" t="inlineStr">
        <is>
          <t>Italy</t>
        </is>
      </c>
      <c r="O79" s="167" t="n"/>
      <c r="P79" s="167" t="n"/>
      <c r="Q79" s="170" t="inlineStr">
        <is>
          <t>Italy</t>
        </is>
      </c>
      <c r="R79" s="168" t="n">
        <v>46319</v>
      </c>
      <c r="S79" s="169" t="inlineStr">
        <is>
          <t>2026-Q4</t>
        </is>
      </c>
      <c r="T79" s="171" t="inlineStr">
        <is>
          <t>landslide</t>
        </is>
      </c>
      <c r="U79" s="159" t="n">
        <v>4</v>
      </c>
      <c r="V79" s="172" t="inlineStr">
        <is>
          <t>https://news.google.com/rss/articles/CBMivwFBVV95cUxPTWZlVmRYaUZXbGhlRkFNMHdvRXRoSzRlMGUwOWZMWVpIN3p5TzdPZC1JbWZnNlN5ZUxjSkdza2hDYUdPWGpBR05qRTV6dkRVWTVXbGdFc1k5bVlUUEhBMTlZdzZXZFFiM3pNbmx1MjgwNjBsTlRJV2dadlQ1RUpPNTVZa2s5cTBhVXI4Rm1ucy12UWVDWlZIRk1oMHZrWmdWRmRhenp4cFlWQmRfVDFaZHd1Y1BQSjBreVNrZ25aNA?oc=5</t>
        </is>
      </c>
      <c r="W79" s="173">
        <f>IF($B79="",0,IF(AND(OR(OR(Dashboard!$B$5="All themes",Dashboard!$B$5=""),$C79=Dashboard!$B$5),OR(OR(Dashboard!$G$5="All uses",Dashboard!$G$5=""),$E79=Dashboard!$G$5),N($D79)&gt;=Lists!$H$2,OR(OR(Dashboard!$N$5="All windows",Dashboard!$N$5=""),$S79=Dashboard!$N$5)),1,0))</f>
        <v/>
      </c>
      <c r="X79" s="174">
        <f>IF($W79=1,N($D79)*1E14+MIN(MAX(N($U79),0),9999)*1E10+MIN(N($K79),99999)*1E5+99999-MIN(ROW(),99999),"")</f>
        <v/>
      </c>
    </row>
    <row r="80" ht="53" customHeight="1">
      <c r="A80" s="159" t="n">
        <v>77</v>
      </c>
      <c r="B80" s="160" t="inlineStr">
        <is>
          <t>Exploring Phong Nha-Ke Bang’s famous sinkholes</t>
        </is>
      </c>
      <c r="C80" s="184" t="inlineStr">
        <is>
          <t>Characterisation &amp; Modelling</t>
        </is>
      </c>
      <c r="D80" s="162" t="n">
        <v>3</v>
      </c>
      <c r="E80" s="178" t="inlineStr">
        <is>
          <t>Regional insight</t>
        </is>
      </c>
      <c r="F80" s="164" t="inlineStr">
        <is>
          <t>To review</t>
        </is>
      </c>
      <c r="G80" s="165" t="n"/>
      <c r="H80" s="166" t="n"/>
      <c r="I80" s="167" t="inlineStr">
        <is>
          <t>How can karst cave systems and sinkhole susceptibility be mapped and characterised in tropical limestone terrain for tourism and infrastructure?</t>
        </is>
      </c>
      <c r="J80" s="167" t="inlineStr">
        <is>
          <t>DTiNews</t>
        </is>
      </c>
      <c r="K80" s="168" t="n">
        <v>46320</v>
      </c>
      <c r="L80" s="167" t="n"/>
      <c r="M80" s="167" t="n"/>
      <c r="N80" s="169" t="inlineStr">
        <is>
          <t>Vietnam</t>
        </is>
      </c>
      <c r="O80" s="167" t="inlineStr">
        <is>
          <t>Phong Nha-Ke Bang</t>
        </is>
      </c>
      <c r="P80" s="167" t="n"/>
      <c r="Q80" s="170" t="inlineStr">
        <is>
          <t>United Kingdom</t>
        </is>
      </c>
      <c r="R80" s="168" t="n">
        <v>46320</v>
      </c>
      <c r="S80" s="169" t="inlineStr">
        <is>
          <t>2026-Q4</t>
        </is>
      </c>
      <c r="T80" s="171" t="inlineStr">
        <is>
          <t>sinkhole</t>
        </is>
      </c>
      <c r="U80" s="159" t="n">
        <v>4</v>
      </c>
      <c r="V80" s="172" t="inlineStr">
        <is>
          <t>https://news.google.com/rss/articles/CBMiqwFBVV95cUxPTC1MZGtiV3l3dXRoeE5NZVBwWjdUY1kxOHRrTVMyYTZ1VzVNVXMtbVktb2JVUEVFdnJseGVDaVVrR2tZWXpoT0tMWEZnY2dnZGptUnhfTHJqT1d1M1hoazVuMFZ3aUxZLVhaT2pHN1NBM19ERnF4Z0ZDYVFNZ1BNVmZweTd5ZjhQbGhIdHhXRkNoOW5ycm1TOVhuUUMyTkdmMEFsNzFhUDVqdlk?oc=5</t>
        </is>
      </c>
      <c r="W80" s="173">
        <f>IF($B80="",0,IF(AND(OR(OR(Dashboard!$B$5="All themes",Dashboard!$B$5=""),$C80=Dashboard!$B$5),OR(OR(Dashboard!$G$5="All uses",Dashboard!$G$5=""),$E80=Dashboard!$G$5),N($D80)&gt;=Lists!$H$2,OR(OR(Dashboard!$N$5="All windows",Dashboard!$N$5=""),$S80=Dashboard!$N$5)),1,0))</f>
        <v/>
      </c>
      <c r="X80" s="174">
        <f>IF($W80=1,N($D80)*1E14+MIN(MAX(N($U80),0),9999)*1E10+MIN(N($K80),99999)*1E5+99999-MIN(ROW(),99999),"")</f>
        <v/>
      </c>
    </row>
    <row r="81" ht="40.5" customHeight="1">
      <c r="A81" s="159" t="n">
        <v>78</v>
      </c>
      <c r="B81" s="160" t="inlineStr">
        <is>
          <t>Dong Thap province spends 330 billion dong to tackle landslide-hit areas</t>
        </is>
      </c>
      <c r="C81" s="179" t="inlineStr">
        <is>
          <t>Offshore, Coasts &amp; Water</t>
        </is>
      </c>
      <c r="D81" s="162" t="n">
        <v>3</v>
      </c>
      <c r="E81" s="178" t="inlineStr">
        <is>
          <t>Regional insight</t>
        </is>
      </c>
      <c r="F81" s="164" t="inlineStr">
        <is>
          <t>To review</t>
        </is>
      </c>
      <c r="G81" s="165" t="n"/>
      <c r="H81" s="166" t="n"/>
      <c r="I81" s="167" t="inlineStr">
        <is>
          <t>How does riverbank failure in the Mekong delta drive the cost and design choice between revetments and managed retreat?</t>
        </is>
      </c>
      <c r="J81" s="167" t="inlineStr">
        <is>
          <t>Vietnam.vn</t>
        </is>
      </c>
      <c r="K81" s="168" t="n">
        <v>46320</v>
      </c>
      <c r="L81" s="167" t="inlineStr">
        <is>
          <t>La provincia di Dong Thap spende 330 miliardi di dong vietnamiti per affrontare le zone colpite dalle frane.</t>
        </is>
      </c>
      <c r="M81" s="167" t="n"/>
      <c r="N81" s="169" t="inlineStr">
        <is>
          <t>Vietnam</t>
        </is>
      </c>
      <c r="O81" s="167" t="inlineStr">
        <is>
          <t>Dong Thap province</t>
        </is>
      </c>
      <c r="P81" s="167" t="n"/>
      <c r="Q81" s="170" t="inlineStr">
        <is>
          <t>Italy</t>
        </is>
      </c>
      <c r="R81" s="168" t="n">
        <v>46318</v>
      </c>
      <c r="S81" s="169" t="inlineStr">
        <is>
          <t>2026-Q4</t>
        </is>
      </c>
      <c r="T81" s="171" t="inlineStr">
        <is>
          <t>landslide</t>
        </is>
      </c>
      <c r="U81" s="159" t="n">
        <v>4</v>
      </c>
      <c r="V81" s="172" t="inlineStr">
        <is>
          <t>https://news.google.com/rss/articles/CBMifkFVX3lxTE1VN2xaNDhXeTdHWkRoTGZuYXhscnI4SnFCeDFqTVdEWHl1anViQ0hlemlUN1FIN1RaSTl0RjRJUlJ2Y2NmWVZuajROZzdULVVZWTRKV2gyeElnWkZ0MUNILXdPeWEwUlNyMldoZkU4MFJEODZSY3dYYnlFOXZ4dw?oc=5</t>
        </is>
      </c>
      <c r="W81" s="173">
        <f>IF($B81="",0,IF(AND(OR(OR(Dashboard!$B$5="All themes",Dashboard!$B$5=""),$C81=Dashboard!$B$5),OR(OR(Dashboard!$G$5="All uses",Dashboard!$G$5=""),$E81=Dashboard!$G$5),N($D81)&gt;=Lists!$H$2,OR(OR(Dashboard!$N$5="All windows",Dashboard!$N$5=""),$S81=Dashboard!$N$5)),1,0))</f>
        <v/>
      </c>
      <c r="X81" s="174">
        <f>IF($W81=1,N($D81)*1E14+MIN(MAX(N($U81),0),9999)*1E10+MIN(N($K81),99999)*1E5+99999-MIN(ROW(),99999),"")</f>
        <v/>
      </c>
    </row>
    <row r="82" ht="53" customHeight="1">
      <c r="A82" s="159" t="n">
        <v>79</v>
      </c>
      <c r="B82" s="160" t="inlineStr">
        <is>
          <t>Un socavón en Cerro se llena de agua y amenaza a peatones y conductores tras las lluvias</t>
        </is>
      </c>
      <c r="C82" s="177" t="inlineStr">
        <is>
          <t>Infrastructure &amp; the Underground City</t>
        </is>
      </c>
      <c r="D82" s="162" t="n">
        <v>3</v>
      </c>
      <c r="E82" s="180" t="inlineStr">
        <is>
          <t>News brief</t>
        </is>
      </c>
      <c r="F82" s="164" t="inlineStr">
        <is>
          <t>To review</t>
        </is>
      </c>
      <c r="G82" s="165" t="n"/>
      <c r="H82" s="166" t="n"/>
      <c r="I82" s="167" t="inlineStr">
        <is>
          <t>What causes water-filled sinkholes to form in urban ground after rainfall, and how should pedestrian and traffic exclusion zones be set?</t>
        </is>
      </c>
      <c r="J82" s="167" t="inlineStr">
        <is>
          <t>Infobae</t>
        </is>
      </c>
      <c r="K82" s="168" t="n">
        <v>46320</v>
      </c>
      <c r="L82" s="167" t="n"/>
      <c r="M82" s="167" t="n"/>
      <c r="N82" s="169" t="n"/>
      <c r="O82" s="167" t="inlineStr">
        <is>
          <t>Cerro</t>
        </is>
      </c>
      <c r="P82" s="167" t="n"/>
      <c r="Q82" s="170" t="inlineStr">
        <is>
          <t>Colombia</t>
        </is>
      </c>
      <c r="R82" s="168" t="n">
        <v>46319</v>
      </c>
      <c r="S82" s="169" t="inlineStr">
        <is>
          <t>2026-Q4</t>
        </is>
      </c>
      <c r="T82" s="171" t="inlineStr">
        <is>
          <t>sinkhole</t>
        </is>
      </c>
      <c r="U82" s="159" t="n">
        <v>4</v>
      </c>
      <c r="V82" s="172" t="inlineStr">
        <is>
          <t>https://news.google.com/rss/articles/CBMiyAFBVV95cUxQS0RIdEFTRXdlQUh1YkZCTkpIT01XcmNPQ0xlbDl0NjlDYTFqLVItd2J6ZFhqcjBEM2EyOHlodlBuLVU2MkZmcGgxZWN6MzFKN0VPYmc5Z3I1eHJVcS1JbTNtd1h0UGp0YUFHT1dybTdVRVMwQUE4R2htSExDNW9VZmd5SHVZbVFsMHdWNXFrelJ0ZVlLSEgxdlJDN3ZVeTFFcDVqcEVMWkt4czJpUG5jdFJvMTQ3TVcxLUx2Q0cyUlNSWUdKUjVHRtIB4wFBVV95cUxQeGRmeTUwQmI1dzkwNWtLT2p1WDZmSVFXcjJPS3Z5SGVSZVNIaHRxNFJ4RVl4cUJndGRfZDlKaVFkR2lhRHkyQUNMU1hROElpUm1ib241ek1BeWU1OGE2ZWZGUXlhMnQ1UE5uc0ZHTGh3SFNpcUF5dEp4aEVxSkd0MWpid2xQT1JhbkUxZjFIbk5mT0xjQTVRMTd4aTEyUmFiYWhCVlQzVDV6b3Ywb1NyTmtEMGRxUF9TUWhaT1lQWUFMX0pDNVhvbEFpYnBkM1B6OFN2MHg1Vm1kREZFeE9QTFVYWQ?oc=5</t>
        </is>
      </c>
      <c r="W82" s="173">
        <f>IF($B82="",0,IF(AND(OR(OR(Dashboard!$B$5="All themes",Dashboard!$B$5=""),$C82=Dashboard!$B$5),OR(OR(Dashboard!$G$5="All uses",Dashboard!$G$5=""),$E82=Dashboard!$G$5),N($D82)&gt;=Lists!$H$2,OR(OR(Dashboard!$N$5="All windows",Dashboard!$N$5=""),$S82=Dashboard!$N$5)),1,0))</f>
        <v/>
      </c>
      <c r="X82" s="174">
        <f>IF($W82=1,N($D82)*1E14+MIN(MAX(N($U82),0),9999)*1E10+MIN(N($K82),99999)*1E5+99999-MIN(ROW(),99999),"")</f>
        <v/>
      </c>
    </row>
    <row r="83" ht="40.5" customHeight="1">
      <c r="A83" s="159" t="n">
        <v>80</v>
      </c>
      <c r="B83" s="160" t="inlineStr">
        <is>
          <t>A sinkhole trapped an ambulance transporting a patient</t>
        </is>
      </c>
      <c r="C83" s="177" t="inlineStr">
        <is>
          <t>Infrastructure &amp; the Underground City</t>
        </is>
      </c>
      <c r="D83" s="162" t="n">
        <v>3</v>
      </c>
      <c r="E83" s="180" t="inlineStr">
        <is>
          <t>News brief</t>
        </is>
      </c>
      <c r="F83" s="164" t="inlineStr">
        <is>
          <t>To review</t>
        </is>
      </c>
      <c r="G83" s="165" t="n"/>
      <c r="H83" s="166" t="n"/>
      <c r="I83" s="167" t="inlineStr">
        <is>
          <t>What ground investigation is needed to explain sudden road sinkholes that trap emergency vehicles on mountain-road pavements?</t>
        </is>
      </c>
      <c r="J83" s="167" t="inlineStr">
        <is>
          <t>Diario 7 lagos</t>
        </is>
      </c>
      <c r="K83" s="168" t="n">
        <v>46320</v>
      </c>
      <c r="L83" s="167" t="inlineStr">
        <is>
          <t>Un socavón dejó atrapada a una ambulancia que trasladaba a una paciente</t>
        </is>
      </c>
      <c r="M83" s="167" t="n"/>
      <c r="N83" s="169" t="inlineStr">
        <is>
          <t>Argentina</t>
        </is>
      </c>
      <c r="O83" s="167" t="inlineStr">
        <is>
          <t>Siete Lagos, Patagonia</t>
        </is>
      </c>
      <c r="P83" s="167" t="inlineStr">
        <is>
          <t>Aucapán road sinkhole traps ambulance, Argentina (Oct 2026) · Event · 2 reports</t>
        </is>
      </c>
      <c r="Q83" s="170" t="inlineStr">
        <is>
          <t>Colombia</t>
        </is>
      </c>
      <c r="R83" s="168" t="n">
        <v>46319</v>
      </c>
      <c r="S83" s="169" t="inlineStr">
        <is>
          <t>2026-Q4</t>
        </is>
      </c>
      <c r="T83" s="171" t="inlineStr">
        <is>
          <t>sinkhole</t>
        </is>
      </c>
      <c r="U83" s="159" t="n">
        <v>4</v>
      </c>
      <c r="V83" s="172" t="inlineStr">
        <is>
          <t>https://news.google.com/rss/articles/CBMiyAFBVV95cUxOMklFazYzYnQwVFVUTnprTDNRMUVqZGFyYTJBUlMzbDl0anAwWFpCY2dob0xPOC1VVjFIRUxxUllFbmdhUE9RWWxheC1ocWlCaDdzdHBXMnNBaXZrRWZNVFJhend0aEYxbTJqTzRnTFV1SldRM0loQm5xVklCc3E3eVZxbVR4YWd3QldWVDdOU3ZJdDZNcWc5SDJLc2o2TTBacW9sOTdLMGpuS3Z6RUlVd2hnVF9YLTVHNUR4Z0VfVG5QNGY0TUgya9IBzgFBVV95cUxOSmZUVEtyNnhYMHJBYU9IbWVRd3o4MGZxN1lCd3FjbF9JaXJlbnJscmtXaXJQMl9HOHJoNG1SY3N0NU94dW05c21ZbVJjcGFrbTlHdldjWURQSG9FcDBwdmU2d2traG9uZVc0UEs1eERrQ1ZnR25xRVIwN3RvM21SU2E5MVRYeUlPYnJIcEE5aEQyZU1GV0xYeXF3SklreExfNVRxVnRSaWN3MTNRYURBOVVFNU45bGhybFJiWDFGYmxWVm5Ub3lHM2h0TUc1Zw?oc=5</t>
        </is>
      </c>
      <c r="W83" s="173">
        <f>IF($B83="",0,IF(AND(OR(OR(Dashboard!$B$5="All themes",Dashboard!$B$5=""),$C83=Dashboard!$B$5),OR(OR(Dashboard!$G$5="All uses",Dashboard!$G$5=""),$E83=Dashboard!$G$5),N($D83)&gt;=Lists!$H$2,OR(OR(Dashboard!$N$5="All windows",Dashboard!$N$5=""),$S83=Dashboard!$N$5)),1,0))</f>
        <v/>
      </c>
      <c r="X83" s="174">
        <f>IF($W83=1,N($D83)*1E14+MIN(MAX(N($U83),0),9999)*1E10+MIN(N($K83),99999)*1E5+99999-MIN(ROW(),99999),"")</f>
        <v/>
      </c>
    </row>
    <row r="84" ht="53" customHeight="1">
      <c r="A84" s="159" t="n">
        <v>81</v>
      </c>
      <c r="B84" s="160" t="inlineStr">
        <is>
          <t>Sinkhole endangers motorists and pedestrians in the 21 de Marzo neighbourhood</t>
        </is>
      </c>
      <c r="C84" s="177" t="inlineStr">
        <is>
          <t>Infrastructure &amp; the Underground City</t>
        </is>
      </c>
      <c r="D84" s="162" t="n">
        <v>3</v>
      </c>
      <c r="E84" s="180" t="inlineStr">
        <is>
          <t>News brief</t>
        </is>
      </c>
      <c r="F84" s="164" t="inlineStr">
        <is>
          <t>To review</t>
        </is>
      </c>
      <c r="G84" s="165" t="n"/>
      <c r="H84" s="166" t="n"/>
      <c r="I84" s="167" t="inlineStr">
        <is>
          <t>What are the likely causes of urban road sinkholes, such as leaking pipes or subsurface erosion, and how should they be detected early?</t>
        </is>
      </c>
      <c r="J84" s="167" t="inlineStr">
        <is>
          <t>El Sol de México</t>
        </is>
      </c>
      <c r="K84" s="168" t="n">
        <v>46320</v>
      </c>
      <c r="L84" s="167" t="inlineStr">
        <is>
          <t>Socavón pone en riesgo a automovilistas y peatones en la colonia 21 de Marzo</t>
        </is>
      </c>
      <c r="M84" s="167" t="n"/>
      <c r="N84" s="169" t="inlineStr">
        <is>
          <t>Mexico</t>
        </is>
      </c>
      <c r="O84" s="167" t="inlineStr">
        <is>
          <t>Colonia 21 de Marzo</t>
        </is>
      </c>
      <c r="P84" s="167" t="n"/>
      <c r="Q84" s="170" t="inlineStr">
        <is>
          <t>Colombia</t>
        </is>
      </c>
      <c r="R84" s="168" t="n">
        <v>46320</v>
      </c>
      <c r="S84" s="169" t="inlineStr">
        <is>
          <t>2026-Q4</t>
        </is>
      </c>
      <c r="T84" s="171" t="inlineStr">
        <is>
          <t>sinkhole</t>
        </is>
      </c>
      <c r="U84" s="159" t="n">
        <v>4</v>
      </c>
      <c r="V84" s="172" t="inlineStr">
        <is>
          <t>https://news.google.com/rss/articles/CBMiwwFBVV95cUxPNURGNTBXWEl0UmFPYlFOdHJNSUpoZGliNFdlOUdYT1BqUGo3NmNXUXNzNEd1ZGdHdzZNZkFYMGV0S2RETlV0aEFCNzE0cVFDN2cxYTNvMkFzZkJjZWoxSFhVT25USUU4VkJNM0Vma0pXdFRlUzhDUl9nSmNpaFpxTGlMX3ltbU9yQjUtVk1pMmJMUldmN2lmWHRQZW0xa2I3T1JaTVRyd3NHUE9VbUg3UDhkWDZmdUJDS3BiNU5hUHZHSFE?oc=5</t>
        </is>
      </c>
      <c r="W84" s="173">
        <f>IF($B84="",0,IF(AND(OR(OR(Dashboard!$B$5="All themes",Dashboard!$B$5=""),$C84=Dashboard!$B$5),OR(OR(Dashboard!$G$5="All uses",Dashboard!$G$5=""),$E84=Dashboard!$G$5),N($D84)&gt;=Lists!$H$2,OR(OR(Dashboard!$N$5="All windows",Dashboard!$N$5=""),$S84=Dashboard!$N$5)),1,0))</f>
        <v/>
      </c>
      <c r="X84" s="174">
        <f>IF($W84=1,N($D84)*1E14+MIN(MAX(N($U84),0),9999)*1E10+MIN(N($K84),99999)*1E5+99999-MIN(ROW(),99999),"")</f>
        <v/>
      </c>
    </row>
    <row r="85" ht="53" customHeight="1">
      <c r="A85" s="159" t="n">
        <v>82</v>
      </c>
      <c r="B85" s="160" t="inlineStr">
        <is>
          <t>Government abandons community with an enormous sinkhole</t>
        </is>
      </c>
      <c r="C85" s="177" t="inlineStr">
        <is>
          <t>Infrastructure &amp; the Underground City</t>
        </is>
      </c>
      <c r="D85" s="162" t="n">
        <v>3</v>
      </c>
      <c r="E85" s="175" t="inlineStr">
        <is>
          <t>Watch only</t>
        </is>
      </c>
      <c r="F85" s="164" t="inlineStr">
        <is>
          <t>To review</t>
        </is>
      </c>
      <c r="G85" s="165" t="n"/>
      <c r="H85" s="166" t="n"/>
      <c r="I85" s="167" t="inlineStr">
        <is>
          <t>Large community sinkhole left without official remediation; the geotechnical cause and responsibility for investigation remain open.</t>
        </is>
      </c>
      <c r="J85" s="167" t="inlineStr">
        <is>
          <t>emsavalles.com</t>
        </is>
      </c>
      <c r="K85" s="168" t="n">
        <v>46320</v>
      </c>
      <c r="L85" s="167" t="inlineStr">
        <is>
          <t>Gobierno abandona comunidad con un enorme socavón</t>
        </is>
      </c>
      <c r="M85" s="167" t="n"/>
      <c r="N85" s="169" t="n"/>
      <c r="O85" s="167" t="n"/>
      <c r="P85" s="167" t="n"/>
      <c r="Q85" s="170" t="inlineStr">
        <is>
          <t>Colombia</t>
        </is>
      </c>
      <c r="R85" s="168" t="n">
        <v>46319</v>
      </c>
      <c r="S85" s="169" t="inlineStr">
        <is>
          <t>2026-Q4</t>
        </is>
      </c>
      <c r="T85" s="171" t="inlineStr">
        <is>
          <t>sinkhole</t>
        </is>
      </c>
      <c r="U85" s="159" t="n">
        <v>4</v>
      </c>
      <c r="V85" s="172" t="inlineStr">
        <is>
          <t>https://news.google.com/rss/articles/CBMiiAFBVV95cUxOM3hmcTdXVUJhd1hTblR3RXJ5ZzRQbm80a1dYa21RTlo0T1VmWVUwN1htemlUYnlUbWlxcFZzbjZsQWo2UzZsbGozVHNXRG1MNndqdkJRb1BSVW1GcWFQd1BNdzF0NWNJZGxpWGF0Q3hGNkl3R3E2QnhidTZ1SElMUDFFMm9Ib1lf?oc=5</t>
        </is>
      </c>
      <c r="W85" s="173">
        <f>IF($B85="",0,IF(AND(OR(OR(Dashboard!$B$5="All themes",Dashboard!$B$5=""),$C85=Dashboard!$B$5),OR(OR(Dashboard!$G$5="All uses",Dashboard!$G$5=""),$E85=Dashboard!$G$5),N($D85)&gt;=Lists!$H$2,OR(OR(Dashboard!$N$5="All windows",Dashboard!$N$5=""),$S85=Dashboard!$N$5)),1,0))</f>
        <v/>
      </c>
      <c r="X85" s="174">
        <f>IF($W85=1,N($D85)*1E14+MIN(MAX(N($U85),0),9999)*1E10+MIN(N($K85),99999)*1E5+99999-MIN(ROW(),99999),"")</f>
        <v/>
      </c>
    </row>
    <row r="86" ht="53" customHeight="1">
      <c r="A86" s="159" t="n">
        <v>83</v>
      </c>
      <c r="B86" s="160" t="inlineStr">
        <is>
          <t>Sinkhole repair will close Route 241 in Lebanon County for a week</t>
        </is>
      </c>
      <c r="C86" s="177" t="inlineStr">
        <is>
          <t>Infrastructure &amp; the Underground City</t>
        </is>
      </c>
      <c r="D86" s="162" t="n">
        <v>3</v>
      </c>
      <c r="E86" s="180" t="inlineStr">
        <is>
          <t>News brief</t>
        </is>
      </c>
      <c r="F86" s="164" t="inlineStr">
        <is>
          <t>To review</t>
        </is>
      </c>
      <c r="G86" s="165" t="n"/>
      <c r="H86" s="166" t="n"/>
      <c r="I86" s="167" t="inlineStr">
        <is>
          <t>What causes sinkholes under pavement in karst or mined ground, and which investigation methods would have identified the void before the road failed?</t>
        </is>
      </c>
      <c r="J86" s="167" t="inlineStr">
        <is>
          <t>ABC27</t>
        </is>
      </c>
      <c r="K86" s="168" t="n">
        <v>46320</v>
      </c>
      <c r="L86" s="167" t="n"/>
      <c r="M86" s="167" t="n"/>
      <c r="N86" s="169" t="inlineStr">
        <is>
          <t>United States</t>
        </is>
      </c>
      <c r="O86" s="167" t="inlineStr">
        <is>
          <t>Route 241, Lebanon County</t>
        </is>
      </c>
      <c r="P86" s="167" t="n"/>
      <c r="Q86" s="170" t="inlineStr">
        <is>
          <t>United Kingdom</t>
        </is>
      </c>
      <c r="R86" s="168" t="n">
        <v>46319</v>
      </c>
      <c r="S86" s="169" t="inlineStr">
        <is>
          <t>2026-Q4</t>
        </is>
      </c>
      <c r="T86" s="171" t="inlineStr">
        <is>
          <t>sinkhole</t>
        </is>
      </c>
      <c r="U86" s="159" t="n">
        <v>4</v>
      </c>
      <c r="V86" s="172" t="inlineStr">
        <is>
          <t>https://news.google.com/rss/articles/CBMiowFBVV95cUxPSW16TFNndGdxVGNIaVpybmFPR0ZITXoybEsyX2hJM0czSzdzZmRhSjJkS0MwQzdpXzhEa0VsT0dGQi1oTGFjZ01BLVBMcHRUeHVybVdyT0phb0hKRUpobGJKZjBOQmpEbW5Wb0hib2RST0gxZDlmSlRlbE5VNlZmYmxFV2FnVXVpaHhyOVJHNUZLX2tnZ2JxcXljNU1iU3FJSlJJ0gGoAUFVX3lxTE1mMVVBRWZBamF4Y2NEQVBJZFNVTUZDcDkwTERtZllWT29ZQm50T3owSHU4U0s3elcwQnVBaFdvTjdnWGV4UmJxSVoxdWU1TnZQUkhoS2pDSnJmUS1wTWFGYUdmRElaQzV5bUltT040dTk5LU8yRTJLdlVIdUg2LVg3eFc4OUFtNXNBUFF3UzYtTmFBalA5QW1MNFdIZnRpSGRIb0s0WGpHag?oc=5</t>
        </is>
      </c>
      <c r="W86" s="173">
        <f>IF($B86="",0,IF(AND(OR(OR(Dashboard!$B$5="All themes",Dashboard!$B$5=""),$C86=Dashboard!$B$5),OR(OR(Dashboard!$G$5="All uses",Dashboard!$G$5=""),$E86=Dashboard!$G$5),N($D86)&gt;=Lists!$H$2,OR(OR(Dashboard!$N$5="All windows",Dashboard!$N$5=""),$S86=Dashboard!$N$5)),1,0))</f>
        <v/>
      </c>
      <c r="X86" s="174">
        <f>IF($W86=1,N($D86)*1E14+MIN(MAX(N($U86),0),9999)*1E10+MIN(N($K86),99999)*1E5+99999-MIN(ROW(),99999),"")</f>
        <v/>
      </c>
    </row>
    <row r="87" ht="53" customHeight="1">
      <c r="A87" s="159" t="n">
        <v>84</v>
      </c>
      <c r="B87" s="160" t="inlineStr">
        <is>
          <t>TBMs to be produced under Aatmanirbhar Bharat, says Ashwini Vaishnaw</t>
        </is>
      </c>
      <c r="C87" s="177" t="inlineStr">
        <is>
          <t>Infrastructure &amp; the Underground City</t>
        </is>
      </c>
      <c r="D87" s="162" t="n">
        <v>3</v>
      </c>
      <c r="E87" s="180" t="inlineStr">
        <is>
          <t>News brief</t>
        </is>
      </c>
      <c r="F87" s="164" t="inlineStr">
        <is>
          <t>To review</t>
        </is>
      </c>
      <c r="G87" s="165" t="n"/>
      <c r="H87" s="166" t="n"/>
      <c r="I87" s="167" t="inlineStr">
        <is>
          <t>How does local manufacturing of tunnel boring machines affect the technical adaptation of TBMs to varied ground conditions in India's tunnelling projects?</t>
        </is>
      </c>
      <c r="J87" s="167" t="inlineStr">
        <is>
          <t>The Hindu</t>
        </is>
      </c>
      <c r="K87" s="168" t="n">
        <v>46320</v>
      </c>
      <c r="L87" s="167" t="n"/>
      <c r="M87" s="167" t="n"/>
      <c r="N87" s="169" t="inlineStr">
        <is>
          <t>India</t>
        </is>
      </c>
      <c r="O87" s="167" t="n"/>
      <c r="P87" s="167" t="n"/>
      <c r="Q87" s="170" t="inlineStr">
        <is>
          <t>United Kingdom</t>
        </is>
      </c>
      <c r="R87" s="168" t="n">
        <v>46318</v>
      </c>
      <c r="S87" s="169" t="inlineStr">
        <is>
          <t>2026-Q4</t>
        </is>
      </c>
      <c r="T87" s="171" t="inlineStr">
        <is>
          <t>tbm</t>
        </is>
      </c>
      <c r="U87" s="159" t="n">
        <v>3</v>
      </c>
      <c r="V87" s="172" t="inlineStr">
        <is>
          <t>https://news.google.com/rss/articles/CBMi0wFBVV95cUxOc1QyY1hjNjZvMUFScExlUUNDdjdqVHF1VExXUjlHR3BndTludGR6Y1dPTm9rRkVDdGlsY1hDX0RNYnRNblphYkpFdU5yV2IwMU0yRjhIMUdRMlg5YlRpdE95a08tTDM0aHFVZmtYcFdfbU9ORGc3NnBSWndCTFEtWFVVajlxc0N1ZEpnNDFuMWhwc2dTTEZ6cVI1OFlzOGhBY1hOcUt2Q3BHV1dyLWEtM29TWmRyakRUdVRCUEZzZXNJN0lKZGJ2bmg1amdON1BGdXZn0gHTAUFVX3lxTE5zVDJjWGM2Nm8xQVJwTGVRQ0N2N2pUcXVUTFdSOUdHcGd1OW50ZHpjV09Ob2tGRUN0aWxjWENfRE1idE1uWmFiSkV1TnJXYjAxTTJGOEgxR1EyWDliVGl0T3lrTy1MMzRocVVma1hwV19tT05EZzc2cFJad0JMUS1YVVVqOXFzQ3VkSmc0MW4xaHBzZ1NMRnpxUjU4WXM4aEFjWE5xS3ZDcEdXV3ItYS0zb1NaZHJqRFR1VEJQRnNlc0k3SUpkYnZuaDVqZ043UEZ1dmc?oc=5</t>
        </is>
      </c>
      <c r="W87" s="173">
        <f>IF($B87="",0,IF(AND(OR(OR(Dashboard!$B$5="All themes",Dashboard!$B$5=""),$C87=Dashboard!$B$5),OR(OR(Dashboard!$G$5="All uses",Dashboard!$G$5=""),$E87=Dashboard!$G$5),N($D87)&gt;=Lists!$H$2,OR(OR(Dashboard!$N$5="All windows",Dashboard!$N$5=""),$S87=Dashboard!$N$5)),1,0))</f>
        <v/>
      </c>
      <c r="X87" s="174">
        <f>IF($W87=1,N($D87)*1E14+MIN(MAX(N($U87),0),9999)*1E10+MIN(N($K87),99999)*1E5+99999-MIN(ROW(),99999),"")</f>
        <v/>
      </c>
    </row>
    <row r="88" ht="53" customHeight="1">
      <c r="A88" s="159" t="n">
        <v>85</v>
      </c>
      <c r="B88" s="160" t="inlineStr">
        <is>
          <t>A section of the Esquina waterfront promenade closed due to subsidence</t>
        </is>
      </c>
      <c r="C88" s="179" t="inlineStr">
        <is>
          <t>Offshore, Coasts &amp; Water</t>
        </is>
      </c>
      <c r="D88" s="162" t="n">
        <v>3</v>
      </c>
      <c r="E88" s="180" t="inlineStr">
        <is>
          <t>News brief</t>
        </is>
      </c>
      <c r="F88" s="164" t="inlineStr">
        <is>
          <t>To review</t>
        </is>
      </c>
      <c r="G88" s="165" t="n"/>
      <c r="H88" s="166" t="n"/>
      <c r="I88" s="167" t="inlineStr">
        <is>
          <t>What causes subsidence along a riverfront promenade, and what ground investigation would identify the weak or eroded soils behind it?</t>
        </is>
      </c>
      <c r="J88" s="167" t="inlineStr">
        <is>
          <t>Diario 1588</t>
        </is>
      </c>
      <c r="K88" s="168" t="n">
        <v>46320</v>
      </c>
      <c r="L88" s="167" t="inlineStr">
        <is>
          <t>Cerraron un sector de la costanera de Esquina por hundimiento</t>
        </is>
      </c>
      <c r="M88" s="167" t="n"/>
      <c r="N88" s="169" t="inlineStr">
        <is>
          <t>Argentina</t>
        </is>
      </c>
      <c r="O88" s="167" t="inlineStr">
        <is>
          <t>Esquina costanera</t>
        </is>
      </c>
      <c r="P88" s="167" t="inlineStr">
        <is>
          <t>Esquina riverfront promenade subsidence, Argentina (Oct 2026) · Event · 2 reports</t>
        </is>
      </c>
      <c r="Q88" s="170" t="inlineStr">
        <is>
          <t>Argentina</t>
        </is>
      </c>
      <c r="R88" s="168" t="n">
        <v>46317</v>
      </c>
      <c r="S88" s="169" t="inlineStr">
        <is>
          <t>2026-Q4</t>
        </is>
      </c>
      <c r="T88" s="171" t="n"/>
      <c r="U88" s="159" t="n">
        <v>0</v>
      </c>
      <c r="V88" s="172" t="inlineStr">
        <is>
          <t>https://news.google.com/rss/articles/CBMiR0FVX3lxTE5mbFg4a3ZhOWpyZElUSEpyVUR4NllITUlLeGFWV1B2V2JUQng0WUltSk9ENGNmQk1EWVdhM0tjejVqWjJvb0tF0gFHQVVfeXFMTmZsWDhrdmE5anJkSVRISnJVRHg2WUhNSUt4YVZXUHZXYlRCeDRZSW1KT0Q0Y2ZCTURZV2EzS2N6NWpaMm9vS0U?oc=5</t>
        </is>
      </c>
      <c r="W88" s="173">
        <f>IF($B88="",0,IF(AND(OR(OR(Dashboard!$B$5="All themes",Dashboard!$B$5=""),$C88=Dashboard!$B$5),OR(OR(Dashboard!$G$5="All uses",Dashboard!$G$5=""),$E88=Dashboard!$G$5),N($D88)&gt;=Lists!$H$2,OR(OR(Dashboard!$N$5="All windows",Dashboard!$N$5=""),$S88=Dashboard!$N$5)),1,0))</f>
        <v/>
      </c>
      <c r="X88" s="174">
        <f>IF($W88=1,N($D88)*1E14+MIN(MAX(N($U88),0),9999)*1E10+MIN(N($K88),99999)*1E5+99999-MIN(ROW(),99999),"")</f>
        <v/>
      </c>
    </row>
    <row r="89" ht="53" customHeight="1">
      <c r="A89" s="159" t="n">
        <v>86</v>
      </c>
      <c r="B89" s="160" t="inlineStr">
        <is>
          <t>Experts from Hong Kong propose solutions to counter sea-level rise in Vietnam</t>
        </is>
      </c>
      <c r="C89" s="179" t="inlineStr">
        <is>
          <t>Offshore, Coasts &amp; Water</t>
        </is>
      </c>
      <c r="D89" s="162" t="n">
        <v>3</v>
      </c>
      <c r="E89" s="178" t="inlineStr">
        <is>
          <t>Regional insight</t>
        </is>
      </c>
      <c r="F89" s="164" t="inlineStr">
        <is>
          <t>To review</t>
        </is>
      </c>
      <c r="G89" s="165" t="n"/>
      <c r="H89" s="166" t="n"/>
      <c r="I89" s="167" t="inlineStr">
        <is>
          <t>Which ground-engineering measures, such as seawalls and soft-soil improvement, best protect low-lying deltas and coasts facing sea-level rise and subsidence?</t>
        </is>
      </c>
      <c r="J89" s="167" t="inlineStr">
        <is>
          <t>Vietnam.vn</t>
        </is>
      </c>
      <c r="K89" s="168" t="n">
        <v>46320</v>
      </c>
      <c r="L89" s="167" t="inlineStr">
        <is>
          <t>来自中国香港的专家为应对越南海平面上升提出了解决方案。</t>
        </is>
      </c>
      <c r="M89" s="167" t="n"/>
      <c r="N89" s="169" t="inlineStr">
        <is>
          <t>Vietnam</t>
        </is>
      </c>
      <c r="O89" s="167" t="inlineStr">
        <is>
          <t>Vietnam coast</t>
        </is>
      </c>
      <c r="P89" s="167" t="n"/>
      <c r="Q89" s="170" t="inlineStr">
        <is>
          <t>China</t>
        </is>
      </c>
      <c r="R89" s="168" t="n">
        <v>46319</v>
      </c>
      <c r="S89" s="169" t="inlineStr">
        <is>
          <t>2026-Q4</t>
        </is>
      </c>
      <c r="T89" s="171" t="n"/>
      <c r="U89" s="159" t="n">
        <v>0</v>
      </c>
      <c r="V89" s="172" t="inlineStr">
        <is>
          <t>https://news.google.com/rss/articles/CBMiugFBVV95cUxORExmLUpkcGVQbHNvYWduSVhobDZrLW9DNlotVWVaUDgtNlRqcnluTmU3eE45QVRyXzhsYU90U1VlbVl2bnBNUVRyb3IwVUJmS0VZcEhjWHdsM183TldTbmZPTDRyVlI0R1kzUW5mNUVxc0M5MzgzaUdpX0g2WEpmNTcyQmh6V1FTbDVLaDNIdTRuUV9lc3VNR0dvbWM3OTRaSlFlc2FYY0ZMSUZnUkhwOEdqa3RkaktlcFE?oc=5</t>
        </is>
      </c>
      <c r="W89" s="173">
        <f>IF($B89="",0,IF(AND(OR(OR(Dashboard!$B$5="All themes",Dashboard!$B$5=""),$C89=Dashboard!$B$5),OR(OR(Dashboard!$G$5="All uses",Dashboard!$G$5=""),$E89=Dashboard!$G$5),N($D89)&gt;=Lists!$H$2,OR(OR(Dashboard!$N$5="All windows",Dashboard!$N$5=""),$S89=Dashboard!$N$5)),1,0))</f>
        <v/>
      </c>
      <c r="X89" s="174">
        <f>IF($W89=1,N($D89)*1E14+MIN(MAX(N($U89),0),9999)*1E10+MIN(N($K89),99999)*1E5+99999-MIN(ROW(),99999),"")</f>
        <v/>
      </c>
    </row>
    <row r="90" ht="53" customHeight="1">
      <c r="A90" s="159" t="n">
        <v>87</v>
      </c>
      <c r="B90" s="160" t="inlineStr">
        <is>
          <t>Paving train rehabilitated Prolongación Moctezuma, but a sinkhole remained in front of a private road and vehicles block sidewalks</t>
        </is>
      </c>
      <c r="C90" s="177" t="inlineStr">
        <is>
          <t>Infrastructure &amp; the Underground City</t>
        </is>
      </c>
      <c r="D90" s="162" t="n">
        <v>3</v>
      </c>
      <c r="E90" s="180" t="inlineStr">
        <is>
          <t>News brief</t>
        </is>
      </c>
      <c r="F90" s="164" t="inlineStr">
        <is>
          <t>To review</t>
        </is>
      </c>
      <c r="G90" s="165" t="n"/>
      <c r="H90" s="166" t="n"/>
      <c r="I90" s="167" t="inlineStr">
        <is>
          <t>Why did the newly paved street develop a subsidence in front of a private road, and how could trench backfill and compaction have prevented it?</t>
        </is>
      </c>
      <c r="J90" s="167" t="inlineStr">
        <is>
          <t>El Portal de Chicoloapan</t>
        </is>
      </c>
      <c r="K90" s="168" t="n">
        <v>46320</v>
      </c>
      <c r="L90" s="167" t="inlineStr">
        <is>
          <t>Con el tren de pavimentación rehabilitaron Prolongación Moctezuma, sin embargo quedó un hundimiento frente a la privada y vehículos bloqueando las banquetas</t>
        </is>
      </c>
      <c r="M90" s="167" t="n"/>
      <c r="N90" s="169" t="inlineStr">
        <is>
          <t>Mexico</t>
        </is>
      </c>
      <c r="O90" s="167" t="inlineStr">
        <is>
          <t>Prolongación Moctezuma, Chicoloapan</t>
        </is>
      </c>
      <c r="P90" s="167" t="n"/>
      <c r="Q90" s="170" t="inlineStr">
        <is>
          <t>Argentina</t>
        </is>
      </c>
      <c r="R90" s="168" t="n">
        <v>46320</v>
      </c>
      <c r="S90" s="169" t="inlineStr">
        <is>
          <t>2026-Q4</t>
        </is>
      </c>
      <c r="T90" s="171" t="n"/>
      <c r="U90" s="159" t="n">
        <v>0</v>
      </c>
      <c r="V90" s="172" t="inlineStr">
        <is>
          <t>https://news.google.com/rss/articles/CBMirAJBVV95cUxOMjNzZzJPUUlBTEF6Nmoyakl5Rl9Jc1YwT3h4RW12LVB3cnBYcW1kS2RELXV3MkM4NFctRnBDWjF2WXdOMTVwYUtndVVsRjl0N1BPcEdndkw1dFhFTlZpOWI5MHRsaDZUY25iMkVqLWYwNVpNRzRWenNLeFQ5X2U3QjQweVRpdDlXQlVyZTZicTktQVYwMF92VEI3ZW9PUFZXWEllOVFHa1g2OHhoSzlVdmgtN1Y4dkczVlVnc1FndUpsOG1ybjZpZzlCNkxVNjlUaHdsbVNQMWhVRjhQbFZuRGxkZGZYWGxrX1NYaFVnc1otYVdIaDUxQXlGSEdpMFFWR2JjOFJLZXJsNk9wZDZnekdueFBFSllaWlF6Zy1mVWpONXEyVW1YWjNGZkU?oc=5</t>
        </is>
      </c>
      <c r="W90" s="173">
        <f>IF($B90="",0,IF(AND(OR(OR(Dashboard!$B$5="All themes",Dashboard!$B$5=""),$C90=Dashboard!$B$5),OR(OR(Dashboard!$G$5="All uses",Dashboard!$G$5=""),$E90=Dashboard!$G$5),N($D90)&gt;=Lists!$H$2,OR(OR(Dashboard!$N$5="All windows",Dashboard!$N$5=""),$S90=Dashboard!$N$5)),1,0))</f>
        <v/>
      </c>
      <c r="X90" s="174">
        <f>IF($W90=1,N($D90)*1E14+MIN(MAX(N($U90),0),9999)*1E10+MIN(N($K90),99999)*1E5+99999-MIN(ROW(),99999),"")</f>
        <v/>
      </c>
    </row>
    <row r="91" ht="53" customHeight="1">
      <c r="A91" s="159" t="n">
        <v>88</v>
      </c>
      <c r="B91" s="160" t="inlineStr">
        <is>
          <t>Experts comment on the plan to level Mot Mountain in Quy Nhon</t>
        </is>
      </c>
      <c r="C91" s="177" t="inlineStr">
        <is>
          <t>Infrastructure &amp; the Underground City</t>
        </is>
      </c>
      <c r="D91" s="162" t="n">
        <v>3</v>
      </c>
      <c r="E91" s="163" t="inlineStr">
        <is>
          <t>Feature lead</t>
        </is>
      </c>
      <c r="F91" s="164" t="inlineStr">
        <is>
          <t>To review</t>
        </is>
      </c>
      <c r="G91" s="165" t="n"/>
      <c r="H91" s="166" t="n"/>
      <c r="I91" s="167" t="inlineStr">
        <is>
          <t>What geotechnical challenges arise in levelling a hill in Quy Nhon, including slope stability, cut volumes, and the reuse of excavated soil?</t>
        </is>
      </c>
      <c r="J91" s="167" t="inlineStr">
        <is>
          <t>Vietnam.vn</t>
        </is>
      </c>
      <c r="K91" s="168" t="n">
        <v>46320</v>
      </c>
      <c r="L91" s="167" t="inlineStr">
        <is>
          <t>전문가들이 꾸이년의 못산을 평탄화하려는 계획에 대해 의견을 밝혔다.</t>
        </is>
      </c>
      <c r="M91" s="167" t="n"/>
      <c r="N91" s="169" t="inlineStr">
        <is>
          <t>Vietnam</t>
        </is>
      </c>
      <c r="O91" s="167" t="inlineStr">
        <is>
          <t>Quy Nhon, Binh Dinh</t>
        </is>
      </c>
      <c r="P91" s="167" t="inlineStr">
        <is>
          <t>Mot Mountain levelling proposal, Quy Nhon, Vietnam · Update · 2 reports</t>
        </is>
      </c>
      <c r="Q91" s="170" t="inlineStr">
        <is>
          <t>South Korea</t>
        </is>
      </c>
      <c r="R91" s="168" t="n">
        <v>46318</v>
      </c>
      <c r="S91" s="169" t="inlineStr">
        <is>
          <t>2026-Q4</t>
        </is>
      </c>
      <c r="T91" s="171" t="n"/>
      <c r="U91" s="159" t="n">
        <v>0</v>
      </c>
      <c r="V91" s="172" t="inlineStr">
        <is>
          <t>https://news.google.com/rss/articles/CBMijwFBVV95cUxOVjhkZVg1Qms4dWZyT3MxQ2FrSmFPVE1Vak9PNnEwS1RjOTl5dHAxQkZ5WWZkTFlKdHV3U256bU9tZ2syWGFaSnM3YklHNnV2aWVoa1p3SFpnMFBMN1NEVFlVd2laNlhROVh6NFBzX1hxQklRRGk2dGJ3SWhyS2RKYVFOdDRRaHFkR2hueEJqRQ?oc=5</t>
        </is>
      </c>
      <c r="W91" s="173">
        <f>IF($B91="",0,IF(AND(OR(OR(Dashboard!$B$5="All themes",Dashboard!$B$5=""),$C91=Dashboard!$B$5),OR(OR(Dashboard!$G$5="All uses",Dashboard!$G$5=""),$E91=Dashboard!$G$5),N($D91)&gt;=Lists!$H$2,OR(OR(Dashboard!$N$5="All windows",Dashboard!$N$5=""),$S91=Dashboard!$N$5)),1,0))</f>
        <v/>
      </c>
      <c r="X91" s="174">
        <f>IF($W91=1,N($D91)*1E14+MIN(MAX(N($U91),0),9999)*1E10+MIN(N($K91),99999)*1E5+99999-MIN(ROW(),99999),"")</f>
        <v/>
      </c>
    </row>
    <row r="92" ht="53" customHeight="1">
      <c r="A92" s="159" t="n">
        <v>89</v>
      </c>
      <c r="B92" s="160" t="inlineStr">
        <is>
          <t>Voronezh replaces another six metres of damaged collector on Moskovsky Avenue</t>
        </is>
      </c>
      <c r="C92" s="177" t="inlineStr">
        <is>
          <t>Infrastructure &amp; the Underground City</t>
        </is>
      </c>
      <c r="D92" s="162" t="n">
        <v>3</v>
      </c>
      <c r="E92" s="180" t="inlineStr">
        <is>
          <t>News brief</t>
        </is>
      </c>
      <c r="F92" s="164" t="inlineStr">
        <is>
          <t>To review</t>
        </is>
      </c>
      <c r="G92" s="165" t="n"/>
      <c r="H92" s="166" t="n"/>
      <c r="I92" s="167" t="inlineStr">
        <is>
          <t>How do ground movements or soil conditions around urban collector pipes cause damage, and what should guide repair and reinstatement works?</t>
        </is>
      </c>
      <c r="J92" s="167" t="inlineStr">
        <is>
          <t>Новости Воронежа интернет-газета</t>
        </is>
      </c>
      <c r="K92" s="168" t="n">
        <v>46320</v>
      </c>
      <c r="L92" s="167" t="inlineStr">
        <is>
          <t>В Воронеже заменили еще шесть метров поврежденного коллектора на Московском проспекте</t>
        </is>
      </c>
      <c r="M92" s="167" t="n"/>
      <c r="N92" s="169" t="inlineStr">
        <is>
          <t>Russia</t>
        </is>
      </c>
      <c r="O92" s="167" t="inlineStr">
        <is>
          <t>Moskovsky Avenue, Voronezh</t>
        </is>
      </c>
      <c r="P92" s="167" t="inlineStr">
        <is>
          <t>Voronezh Moskovsky Avenue collector repair, Russia · Event · 2 reports</t>
        </is>
      </c>
      <c r="Q92" s="170" t="inlineStr">
        <is>
          <t>Russia</t>
        </is>
      </c>
      <c r="R92" s="168" t="n">
        <v>46319</v>
      </c>
      <c r="S92" s="169" t="inlineStr">
        <is>
          <t>2026-Q4</t>
        </is>
      </c>
      <c r="T92" s="171" t="n"/>
      <c r="U92" s="159" t="n">
        <v>0</v>
      </c>
      <c r="V92" s="172" t="inlineStr">
        <is>
          <t>https://news.google.com/rss/articles/CBMiWEFVX3lxTE43cWdqNnRTM1lrNU1sbElSd09YdDFzdGJhdFBFdldKb3V6R2taUV9IbUtjM3ZUUm5jNkU0QnJvcGdMTUVfR3k4UVNGeTRER2oycE1fZEFGeXE?oc=5</t>
        </is>
      </c>
      <c r="W92" s="173">
        <f>IF($B92="",0,IF(AND(OR(OR(Dashboard!$B$5="All themes",Dashboard!$B$5=""),$C92=Dashboard!$B$5),OR(OR(Dashboard!$G$5="All uses",Dashboard!$G$5=""),$E92=Dashboard!$G$5),N($D92)&gt;=Lists!$H$2,OR(OR(Dashboard!$N$5="All windows",Dashboard!$N$5=""),$S92=Dashboard!$N$5)),1,0))</f>
        <v/>
      </c>
      <c r="X92" s="174">
        <f>IF($W92=1,N($D92)*1E14+MIN(MAX(N($U92),0),9999)*1E10+MIN(N($K92),99999)*1E5+99999-MIN(ROW(),99999),"")</f>
        <v/>
      </c>
    </row>
    <row r="93" ht="53" customHeight="1">
      <c r="A93" s="159" t="n">
        <v>90</v>
      </c>
      <c r="B93" s="160" t="inlineStr">
        <is>
          <t>Experts weigh in on proposal to level Mot Mountain in Quy Nhon</t>
        </is>
      </c>
      <c r="C93" s="177" t="inlineStr">
        <is>
          <t>Infrastructure &amp; the Underground City</t>
        </is>
      </c>
      <c r="D93" s="162" t="n">
        <v>3</v>
      </c>
      <c r="E93" s="178" t="inlineStr">
        <is>
          <t>Regional insight</t>
        </is>
      </c>
      <c r="F93" s="164" t="inlineStr">
        <is>
          <t>To review</t>
        </is>
      </c>
      <c r="G93" s="165" t="n"/>
      <c r="H93" s="166" t="n"/>
      <c r="I93" s="167" t="inlineStr">
        <is>
          <t>How can slope stability, rock cutting and geohazard risks be assessed when a coastal hill is proposed for levelling in an urban area?</t>
        </is>
      </c>
      <c r="J93" s="167" t="inlineStr">
        <is>
          <t>Vietnam.vn</t>
        </is>
      </c>
      <c r="K93" s="168" t="n">
        <v>46320</v>
      </c>
      <c r="L93" s="167" t="inlineStr">
        <is>
          <t>Para ahli angkat bicara tentang usulan untuk meratakan Gunung Mot di Quy Nhon.</t>
        </is>
      </c>
      <c r="M93" s="167" t="n"/>
      <c r="N93" s="169" t="inlineStr">
        <is>
          <t>Vietnam</t>
        </is>
      </c>
      <c r="O93" s="167" t="inlineStr">
        <is>
          <t>Mot Mountain, Quy Nhon</t>
        </is>
      </c>
      <c r="P93" s="167" t="inlineStr">
        <is>
          <t>Mot Mountain levelling proposal, Quy Nhon, Vietnam · Event · 2 reports</t>
        </is>
      </c>
      <c r="Q93" s="170" t="inlineStr">
        <is>
          <t>Indonesia</t>
        </is>
      </c>
      <c r="R93" s="168" t="n">
        <v>46319</v>
      </c>
      <c r="S93" s="169" t="inlineStr">
        <is>
          <t>2026-Q4</t>
        </is>
      </c>
      <c r="T93" s="171" t="n"/>
      <c r="U93" s="159" t="n">
        <v>0</v>
      </c>
      <c r="V93" s="172" t="inlineStr">
        <is>
          <t>https://news.google.com/rss/articles/CBMijwFBVV95cUxQbVc4RlhHZWJTeHV3YlBWTjYzSURERHpMLTJuWHUwU3lpdWdvcS04WlZBYUNwY01aNEVkQmJpZzBqYXhQRXlTWEVpMHlPcUhjb3lvM3h1YWhNQXVJSWhqTEFYVmRkMGpmRTlkN0FPRW5SZzM1YW4xVXRmMVFpYzlkMk5YMUhabnk2eURnN0NJNA?oc=5</t>
        </is>
      </c>
      <c r="W93" s="173">
        <f>IF($B93="",0,IF(AND(OR(OR(Dashboard!$B$5="All themes",Dashboard!$B$5=""),$C93=Dashboard!$B$5),OR(OR(Dashboard!$G$5="All uses",Dashboard!$G$5=""),$E93=Dashboard!$G$5),N($D93)&gt;=Lists!$H$2,OR(OR(Dashboard!$N$5="All windows",Dashboard!$N$5=""),$S93=Dashboard!$N$5)),1,0))</f>
        <v/>
      </c>
      <c r="X93" s="174">
        <f>IF($W93=1,N($D93)*1E14+MIN(MAX(N($U93),0),9999)*1E10+MIN(N($K93),99999)*1E5+99999-MIN(ROW(),99999),"")</f>
        <v/>
      </c>
    </row>
    <row r="94" ht="53" customHeight="1">
      <c r="A94" s="159" t="n">
        <v>91</v>
      </c>
      <c r="B94" s="160" t="inlineStr">
        <is>
          <t>Behavior of Square-Round Shaft Combination Helical Piles and Anchors</t>
        </is>
      </c>
      <c r="C94" s="185" t="inlineStr">
        <is>
          <t>Ground Improvement &amp; Innovation</t>
        </is>
      </c>
      <c r="D94" s="162" t="n">
        <v>5</v>
      </c>
      <c r="E94" s="182" t="inlineStr">
        <is>
          <t>Academia-to-Industry topic</t>
        </is>
      </c>
      <c r="F94" s="164" t="inlineStr">
        <is>
          <t>To review</t>
        </is>
      </c>
      <c r="G94" s="165" t="n"/>
      <c r="H94" s="166" t="n"/>
      <c r="I94" s="167" t="inlineStr">
        <is>
          <t>How do square-round shaft combination helical piles and anchors behave under load, and how can their capacity be predicted reliably?</t>
        </is>
      </c>
      <c r="J94" s="167" t="inlineStr">
        <is>
          <t>Geoengineer.org</t>
        </is>
      </c>
      <c r="K94" s="168" t="n">
        <v>46319</v>
      </c>
      <c r="L94" s="167" t="n"/>
      <c r="M94" s="167" t="n"/>
      <c r="N94" s="169" t="n"/>
      <c r="O94" s="167" t="n"/>
      <c r="P94" s="167" t="n"/>
      <c r="Q94" s="170" t="inlineStr">
        <is>
          <t>United States</t>
        </is>
      </c>
      <c r="R94" s="168" t="n">
        <v>46318</v>
      </c>
      <c r="S94" s="169" t="inlineStr">
        <is>
          <t>2026-Q4</t>
        </is>
      </c>
      <c r="T94" s="171" t="inlineStr">
        <is>
          <t>pile, shaft</t>
        </is>
      </c>
      <c r="U94" s="159" t="n">
        <v>7</v>
      </c>
      <c r="V94" s="172" t="inlineStr">
        <is>
          <t>https://news.google.com/rss/articles/CBMiowFBVV95cUxNbDZHMUZRd0NyUDliQlNXWEZ4bUdaWFJJbk1NRHZIdUlpRzFObmV2bzBkUVpKbzhuUmkxZHI1U0JENHktOGIxOGlvbEtwS3RScWJ0SWhGR0gtNU9lWWNSc1RoMmtsWjJIT3F2ZzByazhRVUViN2FLa3RqSGt5VkxKZUM3WjdrT2NGc2tYeWJWQmR2RmxEZzlYUmczNFBjMlpXVVNB?oc=5</t>
        </is>
      </c>
      <c r="W94" s="173">
        <f>IF($B94="",0,IF(AND(OR(OR(Dashboard!$B$5="All themes",Dashboard!$B$5=""),$C94=Dashboard!$B$5),OR(OR(Dashboard!$G$5="All uses",Dashboard!$G$5=""),$E94=Dashboard!$G$5),N($D94)&gt;=Lists!$H$2,OR(OR(Dashboard!$N$5="All windows",Dashboard!$N$5=""),$S94=Dashboard!$N$5)),1,0))</f>
        <v/>
      </c>
      <c r="X94" s="174">
        <f>IF($W94=1,N($D94)*1E14+MIN(MAX(N($U94),0),9999)*1E10+MIN(N($K94),99999)*1E5+99999-MIN(ROW(),99999),"")</f>
        <v/>
      </c>
    </row>
    <row r="95" ht="53" customHeight="1">
      <c r="A95" s="159" t="n">
        <v>92</v>
      </c>
      <c r="B95" s="160" t="inlineStr">
        <is>
          <t>Floating wind needs grounded solutions</t>
        </is>
      </c>
      <c r="C95" s="179" t="inlineStr">
        <is>
          <t>Offshore, Coasts &amp; Water</t>
        </is>
      </c>
      <c r="D95" s="162" t="n">
        <v>5</v>
      </c>
      <c r="E95" s="163" t="inlineStr">
        <is>
          <t>Feature lead</t>
        </is>
      </c>
      <c r="F95" s="164" t="inlineStr">
        <is>
          <t>To review</t>
        </is>
      </c>
      <c r="G95" s="165" t="n"/>
      <c r="H95" s="166" t="n"/>
      <c r="I95" s="167" t="inlineStr">
        <is>
          <t>What geotechnical challenges arise in anchoring floating offshore wind foundations in variable seabed soils under extreme loading?</t>
        </is>
      </c>
      <c r="J95" s="167" t="inlineStr">
        <is>
          <t>Ground Engineering</t>
        </is>
      </c>
      <c r="K95" s="168" t="n">
        <v>46319</v>
      </c>
      <c r="L95" s="167" t="n"/>
      <c r="M95" s="167" t="n"/>
      <c r="N95" s="169" t="n"/>
      <c r="O95" s="167" t="n"/>
      <c r="P95" s="167" t="n"/>
      <c r="Q95" s="170" t="n"/>
      <c r="R95" s="168" t="n">
        <v>46318</v>
      </c>
      <c r="S95" s="169" t="inlineStr">
        <is>
          <t>2026-Q4</t>
        </is>
      </c>
      <c r="T95" s="171" t="inlineStr">
        <is>
          <t>offshore wind</t>
        </is>
      </c>
      <c r="U95" s="159" t="n">
        <v>6</v>
      </c>
      <c r="V95" s="172" t="inlineStr">
        <is>
          <t>https://www.geplus.co.uk/key-topics/sustainability/floating-wind-needs-grounded-solutions-23-10-2026/</t>
        </is>
      </c>
      <c r="W95" s="173">
        <f>IF($B95="",0,IF(AND(OR(OR(Dashboard!$B$5="All themes",Dashboard!$B$5=""),$C95=Dashboard!$B$5),OR(OR(Dashboard!$G$5="All uses",Dashboard!$G$5=""),$E95=Dashboard!$G$5),N($D95)&gt;=Lists!$H$2,OR(OR(Dashboard!$N$5="All windows",Dashboard!$N$5=""),$S95=Dashboard!$N$5)),1,0))</f>
        <v/>
      </c>
      <c r="X95" s="174">
        <f>IF($W95=1,N($D95)*1E14+MIN(MAX(N($U95),0),9999)*1E10+MIN(N($K95),99999)*1E5+99999-MIN(ROW(),99999),"")</f>
        <v/>
      </c>
    </row>
    <row r="96" ht="53" customHeight="1">
      <c r="A96" s="159" t="n">
        <v>93</v>
      </c>
      <c r="B96" s="160" t="inlineStr">
        <is>
          <t>Sinkhole at excavation site: ground sank even after underground safety assessment</t>
        </is>
      </c>
      <c r="C96" s="177" t="inlineStr">
        <is>
          <t>Infrastructure &amp; the Underground City</t>
        </is>
      </c>
      <c r="D96" s="162" t="n">
        <v>5</v>
      </c>
      <c r="E96" s="163" t="inlineStr">
        <is>
          <t>Feature lead</t>
        </is>
      </c>
      <c r="F96" s="164" t="inlineStr">
        <is>
          <t>To review</t>
        </is>
      </c>
      <c r="G96" s="165" t="n"/>
      <c r="H96" s="166" t="n"/>
      <c r="I96" s="167" t="inlineStr">
        <is>
          <t>Why did ground sink at an excavation despite a completed underground safety assessment, and what gaps exist in such assessments?</t>
        </is>
      </c>
      <c r="J96" s="167" t="inlineStr">
        <is>
          <t>충청신문</t>
        </is>
      </c>
      <c r="K96" s="168" t="n">
        <v>46319</v>
      </c>
      <c r="L96" s="167" t="inlineStr">
        <is>
          <t>장종태, "굴착 현장 싱크홀...지하안전평가 받고도 땅 꺼졌다"</t>
        </is>
      </c>
      <c r="M96" s="167" t="n"/>
      <c r="N96" s="169" t="inlineStr">
        <is>
          <t>South Korea</t>
        </is>
      </c>
      <c r="O96" s="167" t="n"/>
      <c r="P96" s="167" t="n"/>
      <c r="Q96" s="170" t="inlineStr">
        <is>
          <t>South Korea</t>
        </is>
      </c>
      <c r="R96" s="168" t="n">
        <v>46317</v>
      </c>
      <c r="S96" s="169" t="inlineStr">
        <is>
          <t>2026-Q4</t>
        </is>
      </c>
      <c r="T96" s="171" t="inlineStr">
        <is>
          <t>sinkhole, excavation</t>
        </is>
      </c>
      <c r="U96" s="159" t="n">
        <v>6</v>
      </c>
      <c r="V96" s="172" t="inlineStr">
        <is>
          <t>https://news.google.com/rss/articles/CBMibkFVX3lxTE9HOUMyWW5vRXVWOG5ZemlXOFFsQWYwVl9lRW53VTV1MVFFQUF4eGgwWTRKQ0p5RGlWLUgzdUNUSW9aQXRRMkduTGFBVmhOVWluT19OLXU5REgzMVdVOUwtTVRmY3Y5WGdwaE9RcG9B0gFuQVVfeXFMT0c5QzJZbm9FdVY4bll6aVc4UWxBZjBWX2VFbndVNXUxUUVBQXh4aDBZNEpDSnlEaVYtSDN1Q1RJb1pBdFEyR25MYUFWaE5VaW5PX04tdTlESDMxV1U5TC1NVGZjdjlYZ3BoT1Fwb0E?oc=5</t>
        </is>
      </c>
      <c r="W96" s="173">
        <f>IF($B96="",0,IF(AND(OR(OR(Dashboard!$B$5="All themes",Dashboard!$B$5=""),$C96=Dashboard!$B$5),OR(OR(Dashboard!$G$5="All uses",Dashboard!$G$5=""),$E96=Dashboard!$G$5),N($D96)&gt;=Lists!$H$2,OR(OR(Dashboard!$N$5="All windows",Dashboard!$N$5=""),$S96=Dashboard!$N$5)),1,0))</f>
        <v/>
      </c>
      <c r="X96" s="174">
        <f>IF($W96=1,N($D96)*1E14+MIN(MAX(N($U96),0),9999)*1E10+MIN(N($K96),99999)*1E5+99999-MIN(ROW(),99999),"")</f>
        <v/>
      </c>
    </row>
    <row r="97" ht="65.5" customHeight="1">
      <c r="A97" s="159" t="n">
        <v>94</v>
      </c>
      <c r="B97" s="160" t="inlineStr">
        <is>
          <t>Mussolini's engineers drilled 361 holes under Pisa's foundations in 1934 to straighten it, making it lean more.</t>
        </is>
      </c>
      <c r="C97" s="185" t="inlineStr">
        <is>
          <t>Ground Improvement &amp; Innovation</t>
        </is>
      </c>
      <c r="D97" s="162" t="n">
        <v>5</v>
      </c>
      <c r="E97" s="163" t="inlineStr">
        <is>
          <t>Feature lead</t>
        </is>
      </c>
      <c r="F97" s="164" t="inlineStr">
        <is>
          <t>To review</t>
        </is>
      </c>
      <c r="G97" s="165" t="n"/>
      <c r="H97" s="166" t="n"/>
      <c r="I97" s="167" t="inlineStr">
        <is>
          <t>Why did drilling holes beneath Pisa's foundations to correct its tilt backfire, and what does this teach about controlled soil removal and differential settlement in stabilisation works?</t>
        </is>
      </c>
      <c r="J97" s="167" t="inlineStr">
        <is>
          <t>Sciencepost</t>
        </is>
      </c>
      <c r="K97" s="168" t="n">
        <v>46319</v>
      </c>
      <c r="L97" s="167" t="inlineStr">
        <is>
          <t>En perçant 361 trous dans ses fondations en 1934 pour la redresser, les ingénieurs de Mussolini ont littéralement fait pencher la tour de Pise encore plus</t>
        </is>
      </c>
      <c r="M97" s="167" t="n"/>
      <c r="N97" s="169" t="inlineStr">
        <is>
          <t>Italy</t>
        </is>
      </c>
      <c r="O97" s="167" t="inlineStr">
        <is>
          <t>Pisa</t>
        </is>
      </c>
      <c r="P97" s="167" t="n"/>
      <c r="Q97" s="170" t="inlineStr">
        <is>
          <t>Senegal</t>
        </is>
      </c>
      <c r="R97" s="168" t="n">
        <v>46319</v>
      </c>
      <c r="S97" s="169" t="inlineStr">
        <is>
          <t>2026-Q4</t>
        </is>
      </c>
      <c r="T97" s="171" t="inlineStr">
        <is>
          <t>foundation</t>
        </is>
      </c>
      <c r="U97" s="159" t="n">
        <v>2</v>
      </c>
      <c r="V97" s="172" t="inlineStr">
        <is>
          <t>https://news.google.com/rss/articles/CBMiiAJBVV95cUxPQkl0dnN1WVR0endSWTZuYVpjZTBnV2VWTnVTVjdyb1NJTlFKVjJWY21lS0dPZzFrSkdlSlI2VU5Cc1NMQ0VHNTlPWUFkSVRZWEhWbFRxaU91bXRRMTF6LW9kYWVKSHFBOUptTVZuTGdTX1lZYzBDQkZ5QTJGUmVXcVd3c3lmU01zM3Zjd1VmZ183aFkxOERqQWJHbVlqMU5EbzBRSWpHRjNMeFVHRXlVSURpZHFnRXZIX1Q0X3RSMW8zcVZKVFZoOWViVlYzVnNWZloxTW5LNThJTWV2bURLSjJ1eEZiRFhnd2phLVVjUV9mdHVjN0Q0dE93WE9wRVR1ZlFFTE8tNnk?oc=5</t>
        </is>
      </c>
      <c r="W97" s="173">
        <f>IF($B97="",0,IF(AND(OR(OR(Dashboard!$B$5="All themes",Dashboard!$B$5=""),$C97=Dashboard!$B$5),OR(OR(Dashboard!$G$5="All uses",Dashboard!$G$5=""),$E97=Dashboard!$G$5),N($D97)&gt;=Lists!$H$2,OR(OR(Dashboard!$N$5="All windows",Dashboard!$N$5=""),$S97=Dashboard!$N$5)),1,0))</f>
        <v/>
      </c>
      <c r="X97" s="174">
        <f>IF($W97=1,N($D97)*1E14+MIN(MAX(N($U97),0),9999)*1E10+MIN(N($K97),99999)*1E5+99999-MIN(ROW(),99999),"")</f>
        <v/>
      </c>
    </row>
    <row r="98" ht="65.5" customHeight="1">
      <c r="A98" s="159" t="n">
        <v>95</v>
      </c>
      <c r="B98" s="160" t="inlineStr">
        <is>
          <t>Serious landslides in South Gia Nghia</t>
        </is>
      </c>
      <c r="C98" s="161" t="inlineStr">
        <is>
          <t>Hazards &amp; Resilience</t>
        </is>
      </c>
      <c r="D98" s="162" t="n">
        <v>5</v>
      </c>
      <c r="E98" s="163" t="inlineStr">
        <is>
          <t>Feature lead</t>
        </is>
      </c>
      <c r="F98" s="164" t="inlineStr">
        <is>
          <t>To review</t>
        </is>
      </c>
      <c r="G98" s="165" t="n"/>
      <c r="H98" s="166" t="n"/>
      <c r="I98" s="167" t="inlineStr">
        <is>
          <t>What rainfall and slope geometry triggered this serious landslide in Nam Gia Nghia, and how should weathered residual soils on such slopes be investigated and stabilised?</t>
        </is>
      </c>
      <c r="J98" s="167" t="inlineStr">
        <is>
          <t>Vietnam.vn</t>
        </is>
      </c>
      <c r="K98" s="168" t="n">
        <v>46319</v>
      </c>
      <c r="L98" s="167" t="inlineStr">
        <is>
          <t>Sụt trượt đất nghiêm trọng ở Nam Gia Nghĩa</t>
        </is>
      </c>
      <c r="M98" s="167" t="n"/>
      <c r="N98" s="169" t="inlineStr">
        <is>
          <t>Vietnam</t>
        </is>
      </c>
      <c r="O98" s="167" t="inlineStr">
        <is>
          <t>Nam Gia Nghia, Dak Nong</t>
        </is>
      </c>
      <c r="P98" s="167" t="n"/>
      <c r="Q98" s="170" t="inlineStr">
        <is>
          <t>Vietnam</t>
        </is>
      </c>
      <c r="R98" s="168" t="n">
        <v>46317</v>
      </c>
      <c r="S98" s="169" t="inlineStr">
        <is>
          <t>2026-Q4</t>
        </is>
      </c>
      <c r="T98" s="171" t="n"/>
      <c r="U98" s="159" t="n">
        <v>0</v>
      </c>
      <c r="V98" s="172" t="inlineStr">
        <is>
          <t>https://news.google.com/rss/articles/CBMic0FVX3lxTE1zSGZTbjJtMlg2SGZxUUtTSjJMZVdlSUkxSjZBeEV1WExBUUh4ZjdOZWIzcGRHczE1dVZiOWgyQUxTdkZWOEJfM0Y1dk1mcGpKekl0dGR4VE1YRVhoYTFjV09IZGQ3dUNQcl9BSlN0QzhUSkE?oc=5</t>
        </is>
      </c>
      <c r="W98" s="173">
        <f>IF($B98="",0,IF(AND(OR(OR(Dashboard!$B$5="All themes",Dashboard!$B$5=""),$C98=Dashboard!$B$5),OR(OR(Dashboard!$G$5="All uses",Dashboard!$G$5=""),$E98=Dashboard!$G$5),N($D98)&gt;=Lists!$H$2,OR(OR(Dashboard!$N$5="All windows",Dashboard!$N$5=""),$S98=Dashboard!$N$5)),1,0))</f>
        <v/>
      </c>
      <c r="X98" s="174">
        <f>IF($W98=1,N($D98)*1E14+MIN(MAX(N($U98),0),9999)*1E10+MIN(N($K98),99999)*1E5+99999-MIN(ROW(),99999),"")</f>
        <v/>
      </c>
    </row>
    <row r="99" ht="53" customHeight="1">
      <c r="A99" s="159" t="n">
        <v>96</v>
      </c>
      <c r="B99" s="160" t="inlineStr">
        <is>
          <t>Automatic segmentation of rock mass fracture networks from UAV imagery using cross-domain transfer learning under scarce labels.</t>
        </is>
      </c>
      <c r="C99" s="181" t="inlineStr">
        <is>
          <t>Digital Geotechnics</t>
        </is>
      </c>
      <c r="D99" s="162" t="n">
        <v>5</v>
      </c>
      <c r="E99" s="182" t="inlineStr">
        <is>
          <t>Academia-to-Industry topic</t>
        </is>
      </c>
      <c r="F99" s="164" t="inlineStr">
        <is>
          <t>To review</t>
        </is>
      </c>
      <c r="G99" s="165" t="n"/>
      <c r="H99" s="166" t="n"/>
      <c r="I99" s="167" t="inlineStr">
        <is>
          <t>Can transfer learning from related image domains reliably segment rock fracture networks in UAV imagery when labelled data are scarce, and how accurate are the results?</t>
        </is>
      </c>
      <c r="J99" s="167" t="inlineStr">
        <is>
          <t>生物通</t>
        </is>
      </c>
      <c r="K99" s="168" t="n">
        <v>46319</v>
      </c>
      <c r="L99" s="167" t="inlineStr">
        <is>
          <t>标签稀缺条件下基于跨域迁移学习的无人机岩体裂隙网络自动分割方法</t>
        </is>
      </c>
      <c r="M99" s="167" t="n"/>
      <c r="N99" s="169" t="n"/>
      <c r="O99" s="167" t="n"/>
      <c r="P99" s="167" t="n"/>
      <c r="Q99" s="170" t="inlineStr">
        <is>
          <t>China</t>
        </is>
      </c>
      <c r="R99" s="168" t="n">
        <v>46318</v>
      </c>
      <c r="S99" s="169" t="inlineStr">
        <is>
          <t>2026-Q4</t>
        </is>
      </c>
      <c r="T99" s="171" t="n"/>
      <c r="U99" s="159" t="n">
        <v>0</v>
      </c>
      <c r="V99" s="172" t="inlineStr">
        <is>
          <t>https://news.google.com/rss/articles/CBMibkFVX3lxTE8wdVhYVXYyQ3RwMHAtOTNnUkh5TnhCcEtVem9XenhDMFo2UVFHbWtIaGIzVHhLb1BFQmd2akRLZkFMd1pQNWJDRElESUY1SUdvLWFfd1ZaUW5tZ0ZFcmIxckZxbXg1Z1RrbXI5V0Zn?oc=5</t>
        </is>
      </c>
      <c r="W99" s="173">
        <f>IF($B99="",0,IF(AND(OR(OR(Dashboard!$B$5="All themes",Dashboard!$B$5=""),$C99=Dashboard!$B$5),OR(OR(Dashboard!$G$5="All uses",Dashboard!$G$5=""),$E99=Dashboard!$G$5),N($D99)&gt;=Lists!$H$2,OR(OR(Dashboard!$N$5="All windows",Dashboard!$N$5=""),$S99=Dashboard!$N$5)),1,0))</f>
        <v/>
      </c>
      <c r="X99" s="174">
        <f>IF($W99=1,N($D99)*1E14+MIN(MAX(N($U99),0),9999)*1E10+MIN(N($K99),99999)*1E5+99999-MIN(ROW(),99999),"")</f>
        <v/>
      </c>
    </row>
    <row r="100" ht="53" customHeight="1">
      <c r="A100" s="159" t="n">
        <v>97</v>
      </c>
      <c r="B100" s="160" t="inlineStr">
        <is>
          <t>M4 landslip work begins as part of wider repair programme</t>
        </is>
      </c>
      <c r="C100" s="161" t="inlineStr">
        <is>
          <t>Hazards &amp; Resilience</t>
        </is>
      </c>
      <c r="D100" s="162" t="n">
        <v>4</v>
      </c>
      <c r="E100" s="163" t="inlineStr">
        <is>
          <t>Feature lead</t>
        </is>
      </c>
      <c r="F100" s="164" t="inlineStr">
        <is>
          <t>To review</t>
        </is>
      </c>
      <c r="G100" s="165" t="n"/>
      <c r="H100" s="166" t="n"/>
      <c r="I100" s="167" t="inlineStr">
        <is>
          <t>How should engineers diagnose and stabilise a landslipped motorway embankment, and what drainage and monitoring measures prevent recurrence?</t>
        </is>
      </c>
      <c r="J100" s="167" t="inlineStr">
        <is>
          <t>Ground Engineering</t>
        </is>
      </c>
      <c r="K100" s="168" t="n">
        <v>46319</v>
      </c>
      <c r="L100" s="167" t="n"/>
      <c r="M100" s="167" t="n"/>
      <c r="N100" s="169" t="inlineStr">
        <is>
          <t>United Kingdom</t>
        </is>
      </c>
      <c r="O100" s="167" t="inlineStr">
        <is>
          <t>M4 Wiltshire</t>
        </is>
      </c>
      <c r="P100" s="167" t="n"/>
      <c r="Q100" s="170" t="n"/>
      <c r="R100" s="168" t="n">
        <v>46318</v>
      </c>
      <c r="S100" s="169" t="inlineStr">
        <is>
          <t>2026-Q4</t>
        </is>
      </c>
      <c r="T100" s="171" t="inlineStr">
        <is>
          <t>landslide, landslip, embankment</t>
        </is>
      </c>
      <c r="U100" s="159" t="n">
        <v>14</v>
      </c>
      <c r="V100" s="172" t="inlineStr">
        <is>
          <t>https://www.geplus.co.uk/news/project-news/m4-landslip-work-begins-as-part-of-wider-repair-programme-23-10-2026/</t>
        </is>
      </c>
      <c r="W100" s="173">
        <f>IF($B100="",0,IF(AND(OR(OR(Dashboard!$B$5="All themes",Dashboard!$B$5=""),$C100=Dashboard!$B$5),OR(OR(Dashboard!$G$5="All uses",Dashboard!$G$5=""),$E100=Dashboard!$G$5),N($D100)&gt;=Lists!$H$2,OR(OR(Dashboard!$N$5="All windows",Dashboard!$N$5=""),$S100=Dashboard!$N$5)),1,0))</f>
        <v/>
      </c>
      <c r="X100" s="174">
        <f>IF($W100=1,N($D100)*1E14+MIN(MAX(N($U100),0),9999)*1E10+MIN(N($K100),99999)*1E5+99999-MIN(ROW(),99999),"")</f>
        <v/>
      </c>
    </row>
    <row r="101" ht="53" customHeight="1">
      <c r="A101" s="159" t="n">
        <v>98</v>
      </c>
      <c r="B101" s="160" t="inlineStr">
        <is>
          <t>Landslide-prevention embankment threatens residential area</t>
        </is>
      </c>
      <c r="C101" s="161" t="inlineStr">
        <is>
          <t>Hazards &amp; Resilience</t>
        </is>
      </c>
      <c r="D101" s="162" t="n">
        <v>4</v>
      </c>
      <c r="E101" s="163" t="inlineStr">
        <is>
          <t>Feature lead</t>
        </is>
      </c>
      <c r="F101" s="164" t="inlineStr">
        <is>
          <t>To review</t>
        </is>
      </c>
      <c r="G101" s="165" t="n"/>
      <c r="H101" s="166" t="n"/>
      <c r="I101" s="167" t="inlineStr">
        <is>
          <t>Can retaining and protective embankments be designed to resist landslide loading from upslope slopes beside settlements, and how should such risk be assessed?</t>
        </is>
      </c>
      <c r="J101" s="167" t="inlineStr">
        <is>
          <t>Vietnam.vn</t>
        </is>
      </c>
      <c r="K101" s="168" t="n">
        <v>46319</v>
      </c>
      <c r="L101" s="167" t="inlineStr">
        <is>
          <t>Tanggul pencegah tanah longsor 'mengancam' kawasan permukiman.</t>
        </is>
      </c>
      <c r="M101" s="167" t="n"/>
      <c r="N101" s="169" t="inlineStr">
        <is>
          <t>Indonesia</t>
        </is>
      </c>
      <c r="O101" s="167" t="n"/>
      <c r="P101" s="167" t="n"/>
      <c r="Q101" s="170" t="inlineStr">
        <is>
          <t>Indonesia</t>
        </is>
      </c>
      <c r="R101" s="168" t="n">
        <v>46318</v>
      </c>
      <c r="S101" s="169" t="inlineStr">
        <is>
          <t>2026-Q4</t>
        </is>
      </c>
      <c r="T101" s="171" t="inlineStr">
        <is>
          <t>landslide, embankment</t>
        </is>
      </c>
      <c r="U101" s="159" t="n">
        <v>13</v>
      </c>
      <c r="V101" s="172" t="inlineStr">
        <is>
          <t>https://news.google.com/rss/articles/CBMia0FVX3lxTE45UVhrbTdIV2NXaVloOTBleGdWeThGbHNoSTJtMTE3cFlfalpoYVBnUEFoUVRJQUp5Z2pVOEZvaGZzRUtjRWtOMzY3Wll0RHJOUTB6c0JYdGEzOXk2VXltZUFkc3RURDBUYUg4?oc=5</t>
        </is>
      </c>
      <c r="W101" s="173">
        <f>IF($B101="",0,IF(AND(OR(OR(Dashboard!$B$5="All themes",Dashboard!$B$5=""),$C101=Dashboard!$B$5),OR(OR(Dashboard!$G$5="All uses",Dashboard!$G$5=""),$E101=Dashboard!$G$5),N($D101)&gt;=Lists!$H$2,OR(OR(Dashboard!$N$5="All windows",Dashboard!$N$5=""),$S101=Dashboard!$N$5)),1,0))</f>
        <v/>
      </c>
      <c r="X101" s="174">
        <f>IF($W101=1,N($D101)*1E14+MIN(MAX(N($U101),0),9999)*1E10+MIN(N($K101),99999)*1E5+99999-MIN(ROW(),99999),"")</f>
        <v/>
      </c>
    </row>
    <row r="102" ht="53" customHeight="1">
      <c r="A102" s="159" t="n">
        <v>99</v>
      </c>
      <c r="B102" s="160" t="inlineStr">
        <is>
          <t>Storms in Liguria, major landslide in Savona: the collapse destroyed a city road</t>
        </is>
      </c>
      <c r="C102" s="161" t="inlineStr">
        <is>
          <t>Hazards &amp; Resilience</t>
        </is>
      </c>
      <c r="D102" s="162" t="n">
        <v>4</v>
      </c>
      <c r="E102" s="180" t="inlineStr">
        <is>
          <t>News brief</t>
        </is>
      </c>
      <c r="F102" s="164" t="inlineStr">
        <is>
          <t>To review</t>
        </is>
      </c>
      <c r="G102" s="165" t="n"/>
      <c r="H102" s="166" t="n"/>
      <c r="I102" s="167" t="inlineStr">
        <is>
          <t>What triggered this large rock or soil slope failure in Savona during heavy rain, and what does the collapse reveal about slope stability in Liguria?</t>
        </is>
      </c>
      <c r="J102" s="167" t="inlineStr">
        <is>
          <t>agenzia giornalistica opinione</t>
        </is>
      </c>
      <c r="K102" s="168" t="n">
        <v>46319</v>
      </c>
      <c r="L102" s="167" t="inlineStr">
        <is>
          <t>RAINEWS * CRONACA: «MALTEMPO IN LIGURIA, GRANDE FRANA A SAVONA: IL CROLLO HA DISTRUTTO UNA STRADA CITTADINA</t>
        </is>
      </c>
      <c r="M102" s="167" t="n"/>
      <c r="N102" s="169" t="inlineStr">
        <is>
          <t>Italy</t>
        </is>
      </c>
      <c r="O102" s="167" t="inlineStr">
        <is>
          <t>Savona, Liguria</t>
        </is>
      </c>
      <c r="P102" s="167" t="n"/>
      <c r="Q102" s="170" t="inlineStr">
        <is>
          <t>Italy</t>
        </is>
      </c>
      <c r="R102" s="168" t="n">
        <v>46317</v>
      </c>
      <c r="S102" s="169" t="inlineStr">
        <is>
          <t>2026-Q4</t>
        </is>
      </c>
      <c r="T102" s="171" t="inlineStr">
        <is>
          <t>landslide, collapse</t>
        </is>
      </c>
      <c r="U102" s="159" t="n">
        <v>11</v>
      </c>
      <c r="V102" s="172" t="inlineStr">
        <is>
          <t>https://news.google.com/rss/articles/CBMi7gFBVV95cUxQTGNab2ZBb3hvUXZRVXBCeDFRX2NqU0ZfeVdFZXgtbm5WZDl4aFd0eUdSYXdjNmotcS1ReUZhM1BBc2hITEpkQlpBTmlabzRycmN1ZkQwLVlDa3NzZWJuZXhnNC1jRXlkV1EybVFoQld3VlRaZ241ZkVMazRlZHB1NWplMjVpaWJtMHA3SHBZaEhhMHU0RE01Mk0taFU1OTBaTmg0U1lFYnI5cjhwaEZPUmd2ZTdTVHpxVjBfNk9mRFREOXNWNXJTM29OTnY3NHd0dGJYNVJoaHc4LWQxaUVOajhsaTdWU3dFbVd0ZUt3?oc=5</t>
        </is>
      </c>
      <c r="W102" s="173">
        <f>IF($B102="",0,IF(AND(OR(OR(Dashboard!$B$5="All themes",Dashboard!$B$5=""),$C102=Dashboard!$B$5),OR(OR(Dashboard!$G$5="All uses",Dashboard!$G$5=""),$E102=Dashboard!$G$5),N($D102)&gt;=Lists!$H$2,OR(OR(Dashboard!$N$5="All windows",Dashboard!$N$5=""),$S102=Dashboard!$N$5)),1,0))</f>
        <v/>
      </c>
      <c r="X102" s="174">
        <f>IF($W102=1,N($D102)*1E14+MIN(MAX(N($U102),0),9999)*1E10+MIN(N($K102),99999)*1E5+99999-MIN(ROW(),99999),"")</f>
        <v/>
      </c>
    </row>
    <row r="103" ht="65.5" customHeight="1">
      <c r="A103" s="159" t="n">
        <v>100</v>
      </c>
      <c r="B103" s="160" t="inlineStr">
        <is>
          <t>At Khanh Le pass, traffic will be interrupted at 30-minute intervals to deal with landslides; road users should plan accordingly</t>
        </is>
      </c>
      <c r="C103" s="161" t="inlineStr">
        <is>
          <t>Hazards &amp; Resilience</t>
        </is>
      </c>
      <c r="D103" s="162" t="n">
        <v>4</v>
      </c>
      <c r="E103" s="163" t="inlineStr">
        <is>
          <t>Feature lead</t>
        </is>
      </c>
      <c r="F103" s="164" t="inlineStr">
        <is>
          <t>To review</t>
        </is>
      </c>
      <c r="G103" s="165" t="n"/>
      <c r="H103" s="166" t="n"/>
      <c r="I103" s="167" t="inlineStr">
        <is>
          <t>How should traffic management and monitoring be combined with slope stabilisation on mountain passes subject to recurrent landslides?</t>
        </is>
      </c>
      <c r="J103" s="167" t="inlineStr">
        <is>
          <t>Vietnam.vn</t>
        </is>
      </c>
      <c r="K103" s="168" t="n">
        <v>46319</v>
      </c>
      <c r="L103" s="167" t="inlineStr">
        <is>
          <t>En el paso de Khanh Le, el tráfico se interrumpirá a intervalos de 30 minutos para hacer frente a los deslizamientos de tierra; los usuarios de la carretera deben tenerlo en cuenta.</t>
        </is>
      </c>
      <c r="M103" s="167" t="n"/>
      <c r="N103" s="169" t="inlineStr">
        <is>
          <t>Vietnam</t>
        </is>
      </c>
      <c r="O103" s="167" t="inlineStr">
        <is>
          <t>Khanh Le pass</t>
        </is>
      </c>
      <c r="P103" s="167" t="n"/>
      <c r="Q103" s="170" t="inlineStr">
        <is>
          <t>Spain</t>
        </is>
      </c>
      <c r="R103" s="168" t="n">
        <v>46319</v>
      </c>
      <c r="S103" s="169" t="inlineStr">
        <is>
          <t>2026-Q4</t>
        </is>
      </c>
      <c r="T103" s="171" t="inlineStr">
        <is>
          <t>landslide</t>
        </is>
      </c>
      <c r="U103" s="159" t="n">
        <v>10</v>
      </c>
      <c r="V103" s="172" t="inlineStr">
        <is>
          <t>https://news.google.com/rss/articles/CBMiogFBVV95cUxQNGhpZmtjSDF5eDFZZEJXaTdIZWo2QVZTRDVlc3E0T2pvQ2tRaURBcHpRUk5hSmFDNjNuaGV5X1pHeVdqc2RjR1dOQVhPc2tUUVRmb2RiWnB0dWNDcU96QUxGcVg1dmNxRlpfdTNmT0Z5ZG4wSXNTSmR5OUY4ZmRZcW9kNmRHS0ZaVUxyMW9ySU5TSWJlNzJCWWJaZGlrRHd1a2c?oc=5</t>
        </is>
      </c>
      <c r="W103" s="173">
        <f>IF($B103="",0,IF(AND(OR(OR(Dashboard!$B$5="All themes",Dashboard!$B$5=""),$C103=Dashboard!$B$5),OR(OR(Dashboard!$G$5="All uses",Dashboard!$G$5=""),$E103=Dashboard!$G$5),N($D103)&gt;=Lists!$H$2,OR(OR(Dashboard!$N$5="All windows",Dashboard!$N$5=""),$S103=Dashboard!$N$5)),1,0))</f>
        <v/>
      </c>
      <c r="X103" s="174">
        <f>IF($W103=1,N($D103)*1E14+MIN(MAX(N($U103),0),9999)*1E10+MIN(N($K103),99999)*1E5+99999-MIN(ROW(),99999),"")</f>
        <v/>
      </c>
    </row>
    <row r="104" ht="53" customHeight="1">
      <c r="A104" s="159" t="n">
        <v>101</v>
      </c>
      <c r="B104" s="160" t="inlineStr">
        <is>
          <t>Valmontone, bad weather: tuff slope collapses onto Prenestina road, road partially closed</t>
        </is>
      </c>
      <c r="C104" s="161" t="inlineStr">
        <is>
          <t>Hazards &amp; Resilience</t>
        </is>
      </c>
      <c r="D104" s="162" t="n">
        <v>4</v>
      </c>
      <c r="E104" s="180" t="inlineStr">
        <is>
          <t>News brief</t>
        </is>
      </c>
      <c r="F104" s="164" t="inlineStr">
        <is>
          <t>To review</t>
        </is>
      </c>
      <c r="G104" s="165" t="n"/>
      <c r="H104" s="166" t="n"/>
      <c r="I104" s="167" t="inlineStr">
        <is>
          <t>What causes tuff cliff collapse in volcanic deposits under rainfall, and how can such slopes be assessed and stabilised near roads?</t>
        </is>
      </c>
      <c r="J104" s="167" t="inlineStr">
        <is>
          <t>Il Giornale dei Castelli Romani</t>
        </is>
      </c>
      <c r="K104" s="168" t="n">
        <v>46319</v>
      </c>
      <c r="L104" s="167" t="inlineStr">
        <is>
          <t>Valmontone, maltempo: frana costone di tufo sulla via Prenestina, strada parzialmente chiusa</t>
        </is>
      </c>
      <c r="M104" s="167" t="n"/>
      <c r="N104" s="169" t="inlineStr">
        <is>
          <t>Italy</t>
        </is>
      </c>
      <c r="O104" s="167" t="inlineStr">
        <is>
          <t>Valmontone, Prenestina road</t>
        </is>
      </c>
      <c r="P104" s="167" t="n"/>
      <c r="Q104" s="170" t="inlineStr">
        <is>
          <t>Italy</t>
        </is>
      </c>
      <c r="R104" s="168" t="n">
        <v>46319</v>
      </c>
      <c r="S104" s="169" t="inlineStr">
        <is>
          <t>2026-Q4</t>
        </is>
      </c>
      <c r="T104" s="171" t="inlineStr">
        <is>
          <t>landslide</t>
        </is>
      </c>
      <c r="U104" s="159" t="n">
        <v>10</v>
      </c>
      <c r="V104" s="172" t="inlineStr">
        <is>
          <t>https://news.google.com/rss/articles/CBMizAFBVV95cUxOX19SY3ozdEtSRFpyZlE3a3o4LWtuMTdJeXVsZkVtZVJIaXJzbndtWVd2T21uQncydzJ1bmZONW1yVU9DVExhUFI5VmI3RkVHbjJqTjZWSXpjd1NLeDViOHZnLWo5ZV9oYVRNZi1KN3E3OERXVC1pdzlDVlBvY3pHZE1WRm9vR0E5VnNNdXN3SU9xbFVGRzY4UkstZUpkYTlMYjJobWoxTDRDNWVqYWdlR2taRV94RG9yaFJuUExrN1VCT2ZpTkFNQllycXo?oc=5</t>
        </is>
      </c>
      <c r="W104" s="173">
        <f>IF($B104="",0,IF(AND(OR(OR(Dashboard!$B$5="All themes",Dashboard!$B$5=""),$C104=Dashboard!$B$5),OR(OR(Dashboard!$G$5="All uses",Dashboard!$G$5=""),$E104=Dashboard!$G$5),N($D104)&gt;=Lists!$H$2,OR(OR(Dashboard!$N$5="All windows",Dashboard!$N$5=""),$S104=Dashboard!$N$5)),1,0))</f>
        <v/>
      </c>
      <c r="X104" s="174">
        <f>IF($W104=1,N($D104)*1E14+MIN(MAX(N($U104),0),9999)*1E10+MIN(N($K104),99999)*1E5+99999-MIN(ROW(),99999),"")</f>
        <v/>
      </c>
    </row>
    <row r="105" ht="53" customHeight="1">
      <c r="A105" s="159" t="n">
        <v>102</v>
      </c>
      <c r="B105" s="160" t="inlineStr">
        <is>
          <t>Bonea, landslide in Capo locality: mayor closes three roads by urgent order</t>
        </is>
      </c>
      <c r="C105" s="161" t="inlineStr">
        <is>
          <t>Hazards &amp; Resilience</t>
        </is>
      </c>
      <c r="D105" s="162" t="n">
        <v>4</v>
      </c>
      <c r="E105" s="180" t="inlineStr">
        <is>
          <t>News brief</t>
        </is>
      </c>
      <c r="F105" s="164" t="inlineStr">
        <is>
          <t>To review</t>
        </is>
      </c>
      <c r="G105" s="165" t="n"/>
      <c r="H105" s="166" t="n"/>
      <c r="I105" s="167" t="inlineStr">
        <is>
          <t>What ground investigation would confirm the landslide mechanism at Capo locality and guide safe reopening of the three closed roads?</t>
        </is>
      </c>
      <c r="J105" s="167" t="inlineStr">
        <is>
          <t>Tv7 Benevento</t>
        </is>
      </c>
      <c r="K105" s="168" t="n">
        <v>46319</v>
      </c>
      <c r="L105" s="167" t="inlineStr">
        <is>
          <t>BONEA, FRANA IN LOCALITÀ CAPO: IL SINDACO CHIUDE TRE STRADE CON ORDINANZA URGENTE</t>
        </is>
      </c>
      <c r="M105" s="167" t="n"/>
      <c r="N105" s="169" t="inlineStr">
        <is>
          <t>Italy</t>
        </is>
      </c>
      <c r="O105" s="167" t="inlineStr">
        <is>
          <t>Bonea, Capo locality</t>
        </is>
      </c>
      <c r="P105" s="167" t="n"/>
      <c r="Q105" s="170" t="inlineStr">
        <is>
          <t>Italy</t>
        </is>
      </c>
      <c r="R105" s="168" t="n">
        <v>46319</v>
      </c>
      <c r="S105" s="169" t="inlineStr">
        <is>
          <t>2026-Q4</t>
        </is>
      </c>
      <c r="T105" s="171" t="inlineStr">
        <is>
          <t>landslide</t>
        </is>
      </c>
      <c r="U105" s="159" t="n">
        <v>10</v>
      </c>
      <c r="V105" s="172" t="inlineStr">
        <is>
          <t>https://news.google.com/rss/articles/CBMipwFBVV95cUxQM0JfTHl5bmwxRmJ6Y3lLZ2l6XzB1c0lkclVfRzJ2clZEV29YU25kOWNsX1hXNjFuUnJnVGNjRXBFa0V2RWlYVllQOVEzV1ZCY3VYNENpdk9wSGVNNlUtNGVwdGZhZDY5UUVTYW1OZHQ1TkFoUURUTFMwSWdoLU90QTU2VE5Md1NKOU1Rd041aXFxNUJ1OGc3QTAxLUpGbndSWXh0czMzSQ?oc=5</t>
        </is>
      </c>
      <c r="W105" s="173">
        <f>IF($B105="",0,IF(AND(OR(OR(Dashboard!$B$5="All themes",Dashboard!$B$5=""),$C105=Dashboard!$B$5),OR(OR(Dashboard!$G$5="All uses",Dashboard!$G$5=""),$E105=Dashboard!$G$5),N($D105)&gt;=Lists!$H$2,OR(OR(Dashboard!$N$5="All windows",Dashboard!$N$5=""),$S105=Dashboard!$N$5)),1,0))</f>
        <v/>
      </c>
      <c r="X105" s="174">
        <f>IF($W105=1,N($D105)*1E14+MIN(MAX(N($U105),0),9999)*1E10+MIN(N($K105),99999)*1E5+99999-MIN(ROW(),99999),"")</f>
        <v/>
      </c>
    </row>
    <row r="106" ht="53" customHeight="1">
      <c r="A106" s="159" t="n">
        <v>103</v>
      </c>
      <c r="B106" s="160" t="inlineStr">
        <is>
          <t>La frana del Cencione Tra fango e polemiche Le ruspe sono al lavoro</t>
        </is>
      </c>
      <c r="C106" s="161" t="inlineStr">
        <is>
          <t>Hazards &amp; Resilience</t>
        </is>
      </c>
      <c r="D106" s="162" t="n">
        <v>4</v>
      </c>
      <c r="E106" s="163" t="inlineStr">
        <is>
          <t>Feature lead</t>
        </is>
      </c>
      <c r="F106" s="164" t="inlineStr">
        <is>
          <t>To review</t>
        </is>
      </c>
      <c r="G106" s="165" t="n"/>
      <c r="H106" s="166" t="n"/>
      <c r="I106" s="167" t="inlineStr">
        <is>
          <t>How should authorities balance urgent earthworks with geotechnical investigation and accountability when a landslide site becomes politically contested?</t>
        </is>
      </c>
      <c r="J106" s="167" t="inlineStr">
        <is>
          <t>Zazoom Social News</t>
        </is>
      </c>
      <c r="K106" s="168" t="n">
        <v>46319</v>
      </c>
      <c r="L106" s="167" t="n"/>
      <c r="M106" s="167" t="n"/>
      <c r="N106" s="169" t="inlineStr">
        <is>
          <t>Italy</t>
        </is>
      </c>
      <c r="O106" s="167" t="inlineStr">
        <is>
          <t>Cencione</t>
        </is>
      </c>
      <c r="P106" s="167" t="n"/>
      <c r="Q106" s="170" t="inlineStr">
        <is>
          <t>Italy</t>
        </is>
      </c>
      <c r="R106" s="168" t="n">
        <v>46318</v>
      </c>
      <c r="S106" s="169" t="inlineStr">
        <is>
          <t>2026-Q4</t>
        </is>
      </c>
      <c r="T106" s="171" t="inlineStr">
        <is>
          <t>landslide</t>
        </is>
      </c>
      <c r="U106" s="159" t="n">
        <v>10</v>
      </c>
      <c r="V106" s="172" t="inlineStr">
        <is>
          <t>https://news.google.com/rss/articles/CBMirwFBVV95cUxPRkxsbl9ZdlM1cmloa1JxT3ZENFdkYUI5U3pIZy1UM005NU9SVVFIVjVmZ1ZvTDNybGJkMHAtc3Ewd3RldnRYWHlrSnQ2R1hXN2xpR1BNREFxTlRlb2tFMnFJZ01VSEZqN0ZheUtlbWJEd3h2SURJb3ppVWl6dTU2Y21zZGJGR1hpMWdNUmNfdWluZDJQYzZkeC1QTHhEUFNmcVhTVWtnWWxiUDczMmtr?oc=5</t>
        </is>
      </c>
      <c r="W106" s="173">
        <f>IF($B106="",0,IF(AND(OR(OR(Dashboard!$B$5="All themes",Dashboard!$B$5=""),$C106=Dashboard!$B$5),OR(OR(Dashboard!$G$5="All uses",Dashboard!$G$5=""),$E106=Dashboard!$G$5),N($D106)&gt;=Lists!$H$2,OR(OR(Dashboard!$N$5="All windows",Dashboard!$N$5=""),$S106=Dashboard!$N$5)),1,0))</f>
        <v/>
      </c>
      <c r="X106" s="174">
        <f>IF($W106=1,N($D106)*1E14+MIN(MAX(N($U106),0),9999)*1E10+MIN(N($K106),99999)*1E5+99999-MIN(ROW(),99999),"")</f>
        <v/>
      </c>
    </row>
    <row r="107" ht="40.5" customHeight="1">
      <c r="A107" s="159" t="n">
        <v>104</v>
      </c>
      <c r="B107" s="160" t="inlineStr">
        <is>
          <t>TNI helps landslide victims in Lae Ikan, Subulussalam</t>
        </is>
      </c>
      <c r="C107" s="161" t="inlineStr">
        <is>
          <t>Hazards &amp; Resilience</t>
        </is>
      </c>
      <c r="D107" s="162" t="n">
        <v>4</v>
      </c>
      <c r="E107" s="180" t="inlineStr">
        <is>
          <t>News brief</t>
        </is>
      </c>
      <c r="F107" s="164" t="inlineStr">
        <is>
          <t>To review</t>
        </is>
      </c>
      <c r="G107" s="165" t="n"/>
      <c r="H107" s="166" t="n"/>
      <c r="I107" s="167" t="inlineStr">
        <is>
          <t>What role can emergency response and rapid geotechnical assessment play after a landslide in a mountainous Indonesian village?</t>
        </is>
      </c>
      <c r="J107" s="167" t="inlineStr">
        <is>
          <t>RRI.co.id</t>
        </is>
      </c>
      <c r="K107" s="168" t="n">
        <v>46319</v>
      </c>
      <c r="L107" s="167" t="inlineStr">
        <is>
          <t>TNI Bantu Korban Longsor di Lae Ikan Subulussalam</t>
        </is>
      </c>
      <c r="M107" s="167" t="n"/>
      <c r="N107" s="169" t="inlineStr">
        <is>
          <t>Indonesia</t>
        </is>
      </c>
      <c r="O107" s="167" t="inlineStr">
        <is>
          <t>Lae Ikan, Subulussalam</t>
        </is>
      </c>
      <c r="P107" s="167" t="n"/>
      <c r="Q107" s="170" t="inlineStr">
        <is>
          <t>Indonesia</t>
        </is>
      </c>
      <c r="R107" s="168" t="n">
        <v>46319</v>
      </c>
      <c r="S107" s="169" t="inlineStr">
        <is>
          <t>2026-Q4</t>
        </is>
      </c>
      <c r="T107" s="171" t="inlineStr">
        <is>
          <t>landslide</t>
        </is>
      </c>
      <c r="U107" s="159" t="n">
        <v>10</v>
      </c>
      <c r="V107" s="172" t="inlineStr">
        <is>
          <t>https://news.google.com/rss/articles/CBMiogFBVV95cUxOYkthemxCdGdtc1c3TnBBbGY4MVZlMDFvWnZiX3E4UERSQ1lsX2g4R0x5VHVaVndQdnJHQTBZSy02bV8wT1d4RVZ6WHRVN2w0UUx1MFRMbDhINzgtWlJJLXFKOHIzWFRZa1VmZUVFNUNCM3hRdE9GUGZpdVNQQnd3ZmxRTWZFOGU5REFvOTg4cG40YkU1bDhlZ2pQSkR5Ti04Q1E?oc=5</t>
        </is>
      </c>
      <c r="W107" s="173">
        <f>IF($B107="",0,IF(AND(OR(OR(Dashboard!$B$5="All themes",Dashboard!$B$5=""),$C107=Dashboard!$B$5),OR(OR(Dashboard!$G$5="All uses",Dashboard!$G$5=""),$E107=Dashboard!$G$5),N($D107)&gt;=Lists!$H$2,OR(OR(Dashboard!$N$5="All windows",Dashboard!$N$5=""),$S107=Dashboard!$N$5)),1,0))</f>
        <v/>
      </c>
      <c r="X107" s="174">
        <f>IF($W107=1,N($D107)*1E14+MIN(MAX(N($U107),0),9999)*1E10+MIN(N($K107),99999)*1E5+99999-MIN(ROW(),99999),"")</f>
        <v/>
      </c>
    </row>
    <row r="108" ht="53" customHeight="1">
      <c r="A108" s="159" t="n">
        <v>105</v>
      </c>
      <c r="B108" s="160" t="inlineStr">
        <is>
          <t>Intense rains cause alluvion in rural sector of Concepción: residents fear new landslides</t>
        </is>
      </c>
      <c r="C108" s="161" t="inlineStr">
        <is>
          <t>Hazards &amp; Resilience</t>
        </is>
      </c>
      <c r="D108" s="162" t="n">
        <v>4</v>
      </c>
      <c r="E108" s="163" t="inlineStr">
        <is>
          <t>Feature lead</t>
        </is>
      </c>
      <c r="F108" s="164" t="inlineStr">
        <is>
          <t>To review</t>
        </is>
      </c>
      <c r="G108" s="165" t="n"/>
      <c r="H108" s="166" t="n"/>
      <c r="I108" s="167" t="inlineStr">
        <is>
          <t>What triggered the rain-induced debris flow and slope failure in this rural hillside, and how can residents' risk of further slides be assessed?</t>
        </is>
      </c>
      <c r="J108" s="167" t="inlineStr">
        <is>
          <t>Meganoticias</t>
        </is>
      </c>
      <c r="K108" s="168" t="n">
        <v>46319</v>
      </c>
      <c r="L108" s="167" t="inlineStr">
        <is>
          <t>Intensas lluvias provocan aluvión en sector rural de Concepción: Vecinos temen nuevos deslizamientos</t>
        </is>
      </c>
      <c r="M108" s="167" t="n"/>
      <c r="N108" s="169" t="inlineStr">
        <is>
          <t>Chile</t>
        </is>
      </c>
      <c r="O108" s="167" t="inlineStr">
        <is>
          <t>Concepción</t>
        </is>
      </c>
      <c r="P108" s="167" t="n"/>
      <c r="Q108" s="170" t="inlineStr">
        <is>
          <t>Chile</t>
        </is>
      </c>
      <c r="R108" s="168" t="n">
        <v>46317</v>
      </c>
      <c r="S108" s="169" t="inlineStr">
        <is>
          <t>2026-Q4</t>
        </is>
      </c>
      <c r="T108" s="171" t="inlineStr">
        <is>
          <t>landslide, debris flow</t>
        </is>
      </c>
      <c r="U108" s="159" t="n">
        <v>8</v>
      </c>
      <c r="V108" s="172" t="inlineStr">
        <is>
          <t>https://news.google.com/rss/articles/CBMi4wFBVV95cUxOV1p0dUF2OVZleURvUHhJbGxjNFdrR3hCalZqUEZ0SktHbHdzLTZEMmtBT3lWYXVkY0l3SDM0TjNwWTBtM0FjdlRoYzlfQTBQLVNaLUFtWDNrMU9KbXBzLVZWekN4bGFVSzA0R1RLOFBiMlBsSnNILVBuZ1hEemQtZm9FaE1URVdSREVoRzZDM0dPZkNwdzJfQ3pMRjZ0cFJmLXB6a3ZyZ2NjcjNMTllsVmV6X0M0OVhpcHA5a3RiU0lMdnhoeXJwVGp1SDRwYlFkd3M0emJTTEkwQjVmS0VxVDNqUdIB6AFBVV95cUxObTcwd3VqRWxyLWRxRWVkWEJubW50cjBiaFhrWHl0QTQteWxtUzYxZHo5NGgzdmtVdHprVVlPcWhZX25LQXBfbU5ZM3E4UmRMU3ZLYXl1UFNfOTFvSi1mam9sMTE4MVp1aWdTWmptM2ViUThUOFZsSTBFSHZ1azFQOUN4dWtid1RwQlQwRVVRV2p1OUFhaWh2Q3RuWThaNkh4NFhhckhac1ozQzR0bzAtbExmcU5RVm15WGNzd3RTcEY4QkhwTTBvZ1JBbU9zME9qeXRrM0c1OTRKUlBzYy1DUkJ2Y2RBaW9q?oc=5</t>
        </is>
      </c>
      <c r="W108" s="173">
        <f>IF($B108="",0,IF(AND(OR(OR(Dashboard!$B$5="All themes",Dashboard!$B$5=""),$C108=Dashboard!$B$5),OR(OR(Dashboard!$G$5="All uses",Dashboard!$G$5=""),$E108=Dashboard!$G$5),N($D108)&gt;=Lists!$H$2,OR(OR(Dashboard!$N$5="All windows",Dashboard!$N$5=""),$S108=Dashboard!$N$5)),1,0))</f>
        <v/>
      </c>
      <c r="X108" s="174">
        <f>IF($W108=1,N($D108)*1E14+MIN(MAX(N($U108),0),9999)*1E10+MIN(N($K108),99999)*1E5+99999-MIN(ROW(),99999),"")</f>
        <v/>
      </c>
    </row>
    <row r="109" ht="53" customHeight="1">
      <c r="A109" s="159" t="n">
        <v>106</v>
      </c>
      <c r="B109" s="160" t="inlineStr">
        <is>
          <t>Rockfall onto houses in Chi Lang commune, Lang Son province</t>
        </is>
      </c>
      <c r="C109" s="161" t="inlineStr">
        <is>
          <t>Hazards &amp; Resilience</t>
        </is>
      </c>
      <c r="D109" s="162" t="n">
        <v>4</v>
      </c>
      <c r="E109" s="180" t="inlineStr">
        <is>
          <t>News brief</t>
        </is>
      </c>
      <c r="F109" s="164" t="inlineStr">
        <is>
          <t>To review</t>
        </is>
      </c>
      <c r="G109" s="165" t="n"/>
      <c r="H109" s="166" t="n"/>
      <c r="I109" s="167" t="inlineStr">
        <is>
          <t>What mechanisms cause rockfall onto houses below steep slopes, and how should hazard mitigation be designed for rural settlements?</t>
        </is>
      </c>
      <c r="J109" s="167" t="inlineStr">
        <is>
          <t>Baolangson.vn</t>
        </is>
      </c>
      <c r="K109" s="168" t="n">
        <v>46319</v>
      </c>
      <c r="L109" s="167" t="inlineStr">
        <is>
          <t>Sạt lở đá xuống nhà dân tại xã Chi Lăng - Báo và Phát thanh, Truyền hình Lạng Sơn</t>
        </is>
      </c>
      <c r="M109" s="167" t="n"/>
      <c r="N109" s="169" t="inlineStr">
        <is>
          <t>Vietnam</t>
        </is>
      </c>
      <c r="O109" s="167" t="inlineStr">
        <is>
          <t>Chi Lang commune, Lang Son</t>
        </is>
      </c>
      <c r="P109" s="167" t="n"/>
      <c r="Q109" s="170" t="inlineStr">
        <is>
          <t>Vietnam</t>
        </is>
      </c>
      <c r="R109" s="168" t="n">
        <v>46317</v>
      </c>
      <c r="S109" s="169" t="inlineStr">
        <is>
          <t>2026-Q4</t>
        </is>
      </c>
      <c r="T109" s="171" t="inlineStr">
        <is>
          <t>landslide, rockfall</t>
        </is>
      </c>
      <c r="U109" s="159" t="n">
        <v>8</v>
      </c>
      <c r="V109" s="172" t="inlineStr">
        <is>
          <t>https://news.google.com/rss/articles/CBMif0FVX3lxTE4zQm1aVUtwTUM2RWlZZXpKOEdDX0xZYk41cGNLaDNFNDNlQko2SGxxTmVtLVBBQm9VZkFIOFBmUE1PSE1KclNSUHNQMDhUTGRiWnE0R0ZPcDFFV3E4R3U4M19FZzI2akVUNFRvRkgwSkxuMkZpWmU4Tlh5WTNoQ2M?oc=5</t>
        </is>
      </c>
      <c r="W109" s="173">
        <f>IF($B109="",0,IF(AND(OR(OR(Dashboard!$B$5="All themes",Dashboard!$B$5=""),$C109=Dashboard!$B$5),OR(OR(Dashboard!$G$5="All uses",Dashboard!$G$5=""),$E109=Dashboard!$G$5),N($D109)&gt;=Lists!$H$2,OR(OR(Dashboard!$N$5="All windows",Dashboard!$N$5=""),$S109=Dashboard!$N$5)),1,0))</f>
        <v/>
      </c>
      <c r="X109" s="174">
        <f>IF($W109=1,N($D109)*1E14+MIN(MAX(N($U109),0),9999)*1E10+MIN(N($K109),99999)*1E5+99999-MIN(ROW(),99999),"")</f>
        <v/>
      </c>
    </row>
    <row r="110" ht="53" customHeight="1">
      <c r="A110" s="159" t="n">
        <v>107</v>
      </c>
      <c r="B110" s="160" t="inlineStr">
        <is>
          <t>Close-up of a 500-metre street section in Lam Dong province severely damaged by subsidence and landslides</t>
        </is>
      </c>
      <c r="C110" s="161" t="inlineStr">
        <is>
          <t>Hazards &amp; Resilience</t>
        </is>
      </c>
      <c r="D110" s="162" t="n">
        <v>4</v>
      </c>
      <c r="E110" s="178" t="inlineStr">
        <is>
          <t>Regional insight</t>
        </is>
      </c>
      <c r="F110" s="164" t="inlineStr">
        <is>
          <t>To review</t>
        </is>
      </c>
      <c r="G110" s="165" t="n"/>
      <c r="H110" s="166" t="n"/>
      <c r="I110" s="167" t="inlineStr">
        <is>
          <t>What combination of subsidence and landslide processes damaged this 500 m road, and how should such ground be investigated and repaired?</t>
        </is>
      </c>
      <c r="J110" s="167" t="inlineStr">
        <is>
          <t>Vietnam.vn</t>
        </is>
      </c>
      <c r="K110" s="168" t="n">
        <v>46319</v>
      </c>
      <c r="L110" s="167" t="inlineStr">
        <is>
          <t>Крупный план участка улицы длиной 500 метров в провинции Ламдонг, сильно пострадавшего от проседания грунта и оползней.</t>
        </is>
      </c>
      <c r="M110" s="167" t="n"/>
      <c r="N110" s="169" t="inlineStr">
        <is>
          <t>Vietnam</t>
        </is>
      </c>
      <c r="O110" s="167" t="inlineStr">
        <is>
          <t>Lam Dong province</t>
        </is>
      </c>
      <c r="P110" s="167" t="n"/>
      <c r="Q110" s="170" t="inlineStr">
        <is>
          <t>Russia</t>
        </is>
      </c>
      <c r="R110" s="168" t="n">
        <v>46317</v>
      </c>
      <c r="S110" s="169" t="inlineStr">
        <is>
          <t>2026-Q4</t>
        </is>
      </c>
      <c r="T110" s="171" t="inlineStr">
        <is>
          <t>landslide, subsidence, soil</t>
        </is>
      </c>
      <c r="U110" s="159" t="n">
        <v>8</v>
      </c>
      <c r="V110" s="172" t="inlineStr">
        <is>
          <t>https://news.google.com/rss/articles/CBMimwFBVV95cUxPLTkyck5DaWR1VmtTV3hIeXVJaWNDUnNpR1AzZDlLbVdzdC1kSmJfTjM3T000WGlLSWt5S2hfSzItS3Y5MkFJZWRZaktBTlNVVFFyRjNHRndpczhWYkdvNFBFY1MxbXA4VTRWWlpCeVdqTWFNbG9HTldyRlRwQkdUYVV2SDNBOGFRUU9WM3pIMG16RUZBWGttYTRmVQ?oc=5</t>
        </is>
      </c>
      <c r="W110" s="173">
        <f>IF($B110="",0,IF(AND(OR(OR(Dashboard!$B$5="All themes",Dashboard!$B$5=""),$C110=Dashboard!$B$5),OR(OR(Dashboard!$G$5="All uses",Dashboard!$G$5=""),$E110=Dashboard!$G$5),N($D110)&gt;=Lists!$H$2,OR(OR(Dashboard!$N$5="All windows",Dashboard!$N$5=""),$S110=Dashboard!$N$5)),1,0))</f>
        <v/>
      </c>
      <c r="X110" s="174">
        <f>IF($W110=1,N($D110)*1E14+MIN(MAX(N($U110),0),9999)*1E10+MIN(N($K110),99999)*1E5+99999-MIN(ROW(),99999),"")</f>
        <v/>
      </c>
    </row>
    <row r="111" ht="40.5" customHeight="1">
      <c r="A111" s="159" t="n">
        <v>108</v>
      </c>
      <c r="B111" s="160" t="inlineStr">
        <is>
          <t>Quang Tri: Severe coastal erosion threatens dikes, embankments, and people's lives.</t>
        </is>
      </c>
      <c r="C111" s="179" t="inlineStr">
        <is>
          <t>Offshore, Coasts &amp; Water</t>
        </is>
      </c>
      <c r="D111" s="162" t="n">
        <v>4</v>
      </c>
      <c r="E111" s="178" t="inlineStr">
        <is>
          <t>Regional insight</t>
        </is>
      </c>
      <c r="F111" s="164" t="inlineStr">
        <is>
          <t>To review</t>
        </is>
      </c>
      <c r="G111" s="165" t="n"/>
      <c r="H111" s="166" t="n"/>
      <c r="I111" s="167" t="inlineStr">
        <is>
          <t>What processes drive severe coastal erosion undermining dikes, and what protection measures suit such shorelines?</t>
        </is>
      </c>
      <c r="J111" s="167" t="inlineStr">
        <is>
          <t>Vietnam.vn</t>
        </is>
      </c>
      <c r="K111" s="168" t="n">
        <v>46319</v>
      </c>
      <c r="L111" s="167" t="n"/>
      <c r="M111" s="167" t="n"/>
      <c r="N111" s="169" t="inlineStr">
        <is>
          <t>Vietnam</t>
        </is>
      </c>
      <c r="O111" s="167" t="inlineStr">
        <is>
          <t>Quang Tri</t>
        </is>
      </c>
      <c r="P111" s="167" t="inlineStr">
        <is>
          <t>Quang Tri coastal erosion threatening dykes, Vietnam (Oct 2026) · Event · 2 reports</t>
        </is>
      </c>
      <c r="Q111" s="170" t="inlineStr">
        <is>
          <t>Vietnam</t>
        </is>
      </c>
      <c r="R111" s="168" t="n">
        <v>46318</v>
      </c>
      <c r="S111" s="169" t="inlineStr">
        <is>
          <t>2026-Q4</t>
        </is>
      </c>
      <c r="T111" s="171" t="inlineStr">
        <is>
          <t>embankment, dike, erosion</t>
        </is>
      </c>
      <c r="U111" s="159" t="n">
        <v>7</v>
      </c>
      <c r="V111" s="172" t="inlineStr">
        <is>
          <t>https://news.google.com/rss/articles/CBMingFBVV95cUxQS3doM1BoVjZsRlp4V0theDZtSFZUWEhySWJwSDIzUFpjV09lV201bzV0OFFuYVZrS1lJT3BXd2ZJNVpWbWpJbm5MSlpUb004MnlwRlJYMmV3bnpNWEZSc0pocTBxaWRHcHVYc3lPdmFESG85TUc5UkJ4YVljMWZPbmJzcWlXd25iTTRuQmNjNHg3U3BHalpHTUNTWE9nQQ?oc=5</t>
        </is>
      </c>
      <c r="W111" s="173">
        <f>IF($B111="",0,IF(AND(OR(OR(Dashboard!$B$5="All themes",Dashboard!$B$5=""),$C111=Dashboard!$B$5),OR(OR(Dashboard!$G$5="All uses",Dashboard!$G$5=""),$E111=Dashboard!$G$5),N($D111)&gt;=Lists!$H$2,OR(OR(Dashboard!$N$5="All windows",Dashboard!$N$5=""),$S111=Dashboard!$N$5)),1,0))</f>
        <v/>
      </c>
      <c r="X111" s="174">
        <f>IF($W111=1,N($D111)*1E14+MIN(MAX(N($U111),0),9999)*1E10+MIN(N($K111),99999)*1E5+99999-MIN(ROW(),99999),"")</f>
        <v/>
      </c>
    </row>
    <row r="112" ht="40.5" customHeight="1">
      <c r="A112" s="159" t="n">
        <v>109</v>
      </c>
      <c r="B112" s="160" t="inlineStr">
        <is>
          <t>Nghe An: urgent measures needed to prevent landslide on embankment along coastal road</t>
        </is>
      </c>
      <c r="C112" s="179" t="inlineStr">
        <is>
          <t>Offshore, Coasts &amp; Water</t>
        </is>
      </c>
      <c r="D112" s="162" t="n">
        <v>4</v>
      </c>
      <c r="E112" s="178" t="inlineStr">
        <is>
          <t>Regional insight</t>
        </is>
      </c>
      <c r="F112" s="164" t="inlineStr">
        <is>
          <t>To review</t>
        </is>
      </c>
      <c r="G112" s="165" t="n"/>
      <c r="H112" s="166" t="n"/>
      <c r="I112" s="167" t="inlineStr">
        <is>
          <t>What urgent stabilisation options suit a failing embankment on a coastal road, and how should slope failure risk be assessed?</t>
        </is>
      </c>
      <c r="J112" s="167" t="inlineStr">
        <is>
          <t>Vietnam.vn</t>
        </is>
      </c>
      <c r="K112" s="168" t="n">
        <v>46319</v>
      </c>
      <c r="L112" s="167" t="inlineStr">
        <is>
          <t>Нге Ан: Необходимы срочные меры для предотвращения оползня на насыпи вдоль прибрежной дороги.</t>
        </is>
      </c>
      <c r="M112" s="167" t="n"/>
      <c r="N112" s="169" t="inlineStr">
        <is>
          <t>Vietnam</t>
        </is>
      </c>
      <c r="O112" s="167" t="inlineStr">
        <is>
          <t>Nghe An</t>
        </is>
      </c>
      <c r="P112" s="167" t="n"/>
      <c r="Q112" s="170" t="inlineStr">
        <is>
          <t>Russia</t>
        </is>
      </c>
      <c r="R112" s="168" t="n">
        <v>46318</v>
      </c>
      <c r="S112" s="169" t="inlineStr">
        <is>
          <t>2026-Q4</t>
        </is>
      </c>
      <c r="T112" s="171" t="inlineStr">
        <is>
          <t>landslide, embankment</t>
        </is>
      </c>
      <c r="U112" s="159" t="n">
        <v>7</v>
      </c>
      <c r="V112" s="172" t="inlineStr">
        <is>
          <t>https://news.google.com/rss/articles/CBMilwFBVV95cUxNcG13NlMtVlJSQ0ZDYTM0cGN0NmZzaEtGVDFnV2ZGNkIzM1p0MU0wdUFpbnNDdFFDa0l6M1F6NW5hX2pMNFViN2lfWE80dlJFUGpiOWRfSFhBRWN1d1g2b3o5a1kxNUhIVHRNUUJ6TG5EMXdxcnE2bG9TTWxIc2dDUjBLTlpmNjg5WFVtZE15SWhRY0sxSWtv?oc=5</t>
        </is>
      </c>
      <c r="W112" s="173">
        <f>IF($B112="",0,IF(AND(OR(OR(Dashboard!$B$5="All themes",Dashboard!$B$5=""),$C112=Dashboard!$B$5),OR(OR(Dashboard!$G$5="All uses",Dashboard!$G$5=""),$E112=Dashboard!$G$5),N($D112)&gt;=Lists!$H$2,OR(OR(Dashboard!$N$5="All windows",Dashboard!$N$5=""),$S112=Dashboard!$N$5)),1,0))</f>
        <v/>
      </c>
      <c r="X112" s="174">
        <f>IF($W112=1,N($D112)*1E14+MIN(MAX(N($U112),0),9999)*1E10+MIN(N($K112),99999)*1E5+99999-MIN(ROW(),99999),"")</f>
        <v/>
      </c>
    </row>
    <row r="113" ht="40.5" customHeight="1">
      <c r="A113" s="159" t="n">
        <v>110</v>
      </c>
      <c r="B113" s="160" t="inlineStr">
        <is>
          <t>57-billion-dong erosion revetment in Thanh Hoa subsides and cracks right after completion</t>
        </is>
      </c>
      <c r="C113" s="161" t="inlineStr">
        <is>
          <t>Hazards &amp; Resilience</t>
        </is>
      </c>
      <c r="D113" s="162" t="n">
        <v>4</v>
      </c>
      <c r="E113" s="163" t="inlineStr">
        <is>
          <t>Feature lead</t>
        </is>
      </c>
      <c r="F113" s="164" t="inlineStr">
        <is>
          <t>To review</t>
        </is>
      </c>
      <c r="G113" s="165" t="n"/>
      <c r="H113" s="166" t="n"/>
      <c r="I113" s="167" t="inlineStr">
        <is>
          <t>Why did a newly completed revetment subside and crack so soon, and what foundation or design checks could have prevented it?</t>
        </is>
      </c>
      <c r="J113" s="167" t="inlineStr">
        <is>
          <t>Báo Thanh Niên</t>
        </is>
      </c>
      <c r="K113" s="168" t="n">
        <v>46319</v>
      </c>
      <c r="L113" s="167" t="inlineStr">
        <is>
          <t>Kè chống sạt lở hơn 57 tỉ đồng ở Thanh Hóa vừa làm xong đã sụt lún, đứt gãy</t>
        </is>
      </c>
      <c r="M113" s="167" t="n"/>
      <c r="N113" s="169" t="inlineStr">
        <is>
          <t>Vietnam</t>
        </is>
      </c>
      <c r="O113" s="167" t="inlineStr">
        <is>
          <t>Thanh Hoa</t>
        </is>
      </c>
      <c r="P113" s="167" t="n"/>
      <c r="Q113" s="170" t="inlineStr">
        <is>
          <t>Vietnam</t>
        </is>
      </c>
      <c r="R113" s="168" t="n">
        <v>46319</v>
      </c>
      <c r="S113" s="169" t="inlineStr">
        <is>
          <t>2026-Q4</t>
        </is>
      </c>
      <c r="T113" s="171" t="inlineStr">
        <is>
          <t>landslide, subsidence</t>
        </is>
      </c>
      <c r="U113" s="159" t="n">
        <v>7</v>
      </c>
      <c r="V113" s="172" t="inlineStr">
        <is>
          <t>https://news.google.com/rss/articles/CBMiugFBVV95cUxPTWJZUVVOZ3hOTjliMDhtRWVCaFQyYnB3SzNtaDlrOGg4b1VzVnUzM3Rjc3l3T0ZrUFBXNWRWRnJNdGF4WVpJR29aS1VjSkFIZnFubFVCZnJFS3NQZW93VHlaQ2p6RUcxbFhlOUdzRmZGRDhkVHZFTkkwSk1rZm1vdWFXS0JDdkxsWDg4YzhHWVoyeEVSQnRocXlqcnRab1lSSS1GQXhNT24zSTlCTGhVU2c5NzUwaWctdXc?oc=5</t>
        </is>
      </c>
      <c r="W113" s="173">
        <f>IF($B113="",0,IF(AND(OR(OR(Dashboard!$B$5="All themes",Dashboard!$B$5=""),$C113=Dashboard!$B$5),OR(OR(Dashboard!$G$5="All uses",Dashboard!$G$5=""),$E113=Dashboard!$G$5),N($D113)&gt;=Lists!$H$2,OR(OR(Dashboard!$N$5="All windows",Dashboard!$N$5=""),$S113=Dashboard!$N$5)),1,0))</f>
        <v/>
      </c>
      <c r="X113" s="174">
        <f>IF($W113=1,N($D113)*1E14+MIN(MAX(N($U113),0),9999)*1E10+MIN(N($K113),99999)*1E5+99999-MIN(ROW(),99999),"")</f>
        <v/>
      </c>
    </row>
    <row r="114" ht="40.5" customHeight="1">
      <c r="A114" s="159" t="n">
        <v>111</v>
      </c>
      <c r="B114" s="160" t="inlineStr">
        <is>
          <t>Lam Dong warns of serious subsidence and sliding on city streets</t>
        </is>
      </c>
      <c r="C114" s="161" t="inlineStr">
        <is>
          <t>Hazards &amp; Resilience</t>
        </is>
      </c>
      <c r="D114" s="162" t="n">
        <v>4</v>
      </c>
      <c r="E114" s="178" t="inlineStr">
        <is>
          <t>Regional insight</t>
        </is>
      </c>
      <c r="F114" s="164" t="inlineStr">
        <is>
          <t>To review</t>
        </is>
      </c>
      <c r="G114" s="165" t="n"/>
      <c r="H114" s="166" t="n"/>
      <c r="I114" s="167" t="inlineStr">
        <is>
          <t>What causes urban street subsidence and sliding in this highland city, and how should authorities monitor and warn residents?</t>
        </is>
      </c>
      <c r="J114" s="167" t="inlineStr">
        <is>
          <t>Báo và phát thanh, truyền hình Đồng Tháp</t>
        </is>
      </c>
      <c r="K114" s="168" t="n">
        <v>46319</v>
      </c>
      <c r="L114" s="167" t="inlineStr">
        <is>
          <t>Lâm Đồng: Cảnh báo sụt lún, sạt trượt nghiêm trọng đường phố</t>
        </is>
      </c>
      <c r="M114" s="167" t="n"/>
      <c r="N114" s="169" t="inlineStr">
        <is>
          <t>Vietnam</t>
        </is>
      </c>
      <c r="O114" s="167" t="inlineStr">
        <is>
          <t>Da Lat, Lam Dong</t>
        </is>
      </c>
      <c r="P114" s="167" t="n"/>
      <c r="Q114" s="170" t="inlineStr">
        <is>
          <t>Vietnam</t>
        </is>
      </c>
      <c r="R114" s="168" t="n">
        <v>46318</v>
      </c>
      <c r="S114" s="169" t="inlineStr">
        <is>
          <t>2026-Q4</t>
        </is>
      </c>
      <c r="T114" s="171" t="inlineStr">
        <is>
          <t>landslide, subsidence</t>
        </is>
      </c>
      <c r="U114" s="159" t="n">
        <v>7</v>
      </c>
      <c r="V114" s="172" t="inlineStr">
        <is>
          <t>https://news.google.com/rss/articles/CBMiigFBVV95cUxPZWVidFMzVlYxMDdISl9EQ2U0U3hiaVU2NmFPN09jYzZUem1CaXB3N1I4S1l0VW9Ka1l1LU9kVnY2bDQzUnFKWUFiNnF3azVkeEZoUGpxREdXNExtd2ZwRWVtNmZPTUkxUnA5TmFsczUyX3hkLUpJYmtFVU5yeTRONV9nb2VfNjVPZnc?oc=5</t>
        </is>
      </c>
      <c r="W114" s="173">
        <f>IF($B114="",0,IF(AND(OR(OR(Dashboard!$B$5="All themes",Dashboard!$B$5=""),$C114=Dashboard!$B$5),OR(OR(Dashboard!$G$5="All uses",Dashboard!$G$5=""),$E114=Dashboard!$G$5),N($D114)&gt;=Lists!$H$2,OR(OR(Dashboard!$N$5="All windows",Dashboard!$N$5=""),$S114=Dashboard!$N$5)),1,0))</f>
        <v/>
      </c>
      <c r="X114" s="174">
        <f>IF($W114=1,N($D114)*1E14+MIN(MAX(N($U114),0),9999)*1E10+MIN(N($K114),99999)*1E5+99999-MIN(ROW(),99999),"")</f>
        <v/>
      </c>
    </row>
    <row r="115" ht="40.5" customHeight="1">
      <c r="A115" s="159" t="n">
        <v>112</v>
      </c>
      <c r="B115" s="160" t="inlineStr">
        <is>
          <t>Identifying a huge sinkhole in Phong Nha-Ke Bang National Park; exploring Thien Ha cave in Ninh Binh</t>
        </is>
      </c>
      <c r="C115" s="161" t="inlineStr">
        <is>
          <t>Hazards &amp; Resilience</t>
        </is>
      </c>
      <c r="D115" s="162" t="n">
        <v>4</v>
      </c>
      <c r="E115" s="163" t="inlineStr">
        <is>
          <t>Feature lead</t>
        </is>
      </c>
      <c r="F115" s="164" t="inlineStr">
        <is>
          <t>To review</t>
        </is>
      </c>
      <c r="G115" s="165" t="n"/>
      <c r="H115" s="166" t="n"/>
      <c r="I115" s="167" t="inlineStr">
        <is>
          <t>What karst processes produce giant sinkholes, and how can they be detected and assessed in limestone terrain?</t>
        </is>
      </c>
      <c r="J115" s="167" t="inlineStr">
        <is>
          <t>Kenh14.vn</t>
        </is>
      </c>
      <c r="K115" s="168" t="n">
        <v>46319</v>
      </c>
      <c r="L115" s="167" t="inlineStr">
        <is>
          <t>Xác định hố sụt lún “khủng” ở Vườn quốc gia Phong Nha-Kẻ Bàng Khám phá hang động Thiên Hà huyền ảo ở Ninh Bình</t>
        </is>
      </c>
      <c r="M115" s="167" t="n"/>
      <c r="N115" s="169" t="inlineStr">
        <is>
          <t>Vietnam</t>
        </is>
      </c>
      <c r="O115" s="167" t="inlineStr">
        <is>
          <t>Phong Nha-Ke Bang National Park</t>
        </is>
      </c>
      <c r="P115" s="167" t="n"/>
      <c r="Q115" s="170" t="inlineStr">
        <is>
          <t>Vietnam</t>
        </is>
      </c>
      <c r="R115" s="168" t="n">
        <v>46318</v>
      </c>
      <c r="S115" s="169" t="inlineStr">
        <is>
          <t>2026-Q4</t>
        </is>
      </c>
      <c r="T115" s="171" t="inlineStr">
        <is>
          <t>sinkhole, subsidence</t>
        </is>
      </c>
      <c r="U115" s="159" t="n">
        <v>7</v>
      </c>
      <c r="V115" s="172" t="inlineStr">
        <is>
          <t>https://news.google.com/rss/articles/CBMi4wFBVV95cUxQSXAyb195dGp6RURzRWliZzhoYmI2S0RUbUJQZG10eHVNSDVFZDE0bW1naTNubEgxU1k5UWxOTV9QUjJiLXZxWlJjOVV5aTh5V1J3Tm11UFdsZ2dJMnYzWTdvekpSWXhoSG1QZGF2a2o3UXRkWjh6VTNqcS14cXBJSUd4NXplcUg1Ri1EN1IzN1dyblF3clU3ZE42YmNra1hhYVF5c1Azd2I0U3VoaFY0a1pDY1huU3NmUXhOQnAzeHVSY3BQTV9uV3hsckJxaUx1SHhPQ1VUU21kZWFVZGJVRGtzRQ?oc=5</t>
        </is>
      </c>
      <c r="W115" s="173">
        <f>IF($B115="",0,IF(AND(OR(OR(Dashboard!$B$5="All themes",Dashboard!$B$5=""),$C115=Dashboard!$B$5),OR(OR(Dashboard!$G$5="All uses",Dashboard!$G$5=""),$E115=Dashboard!$G$5),N($D115)&gt;=Lists!$H$2,OR(OR(Dashboard!$N$5="All windows",Dashboard!$N$5=""),$S115=Dashboard!$N$5)),1,0))</f>
        <v/>
      </c>
      <c r="X115" s="174">
        <f>IF($W115=1,N($D115)*1E14+MIN(MAX(N($U115),0),9999)*1E10+MIN(N($K115),99999)*1E5+99999-MIN(ROW(),99999),"")</f>
        <v/>
      </c>
    </row>
    <row r="116" ht="53" customHeight="1">
      <c r="A116" s="159" t="n">
        <v>113</v>
      </c>
      <c r="B116" s="160" t="inlineStr">
        <is>
          <t>Close-up of a 500-metre street in Lam Dong province, badly hit by subsidence and landslides</t>
        </is>
      </c>
      <c r="C116" s="161" t="inlineStr">
        <is>
          <t>Hazards &amp; Resilience</t>
        </is>
      </c>
      <c r="D116" s="162" t="n">
        <v>4</v>
      </c>
      <c r="E116" s="178" t="inlineStr">
        <is>
          <t>Regional insight</t>
        </is>
      </c>
      <c r="F116" s="164" t="inlineStr">
        <is>
          <t>To review</t>
        </is>
      </c>
      <c r="G116" s="165" t="n"/>
      <c r="H116" s="166" t="n"/>
      <c r="I116" s="167" t="inlineStr">
        <is>
          <t>What combination of subsidence and landslide processes damaged this 500 m road, and how should such ground be investigated and repaired?</t>
        </is>
      </c>
      <c r="J116" s="167" t="inlineStr">
        <is>
          <t>Vietnam.vn</t>
        </is>
      </c>
      <c r="K116" s="168" t="n">
        <v>46319</v>
      </c>
      <c r="L116" s="167" t="inlineStr">
        <is>
          <t>Gros plan sur 500 mètres de rue dans la province de Lam Dong, gravement touchée par des affaissements et des glissements de terrain.</t>
        </is>
      </c>
      <c r="M116" s="167" t="n"/>
      <c r="N116" s="169" t="inlineStr">
        <is>
          <t>Vietnam</t>
        </is>
      </c>
      <c r="O116" s="167" t="inlineStr">
        <is>
          <t>Lam Dong province</t>
        </is>
      </c>
      <c r="P116" s="167" t="n"/>
      <c r="Q116" s="170" t="inlineStr">
        <is>
          <t>Vietnam</t>
        </is>
      </c>
      <c r="R116" s="168" t="n">
        <v>46317</v>
      </c>
      <c r="S116" s="169" t="inlineStr">
        <is>
          <t>2026-Q4</t>
        </is>
      </c>
      <c r="T116" s="171" t="inlineStr">
        <is>
          <t>landslide, subsidence</t>
        </is>
      </c>
      <c r="U116" s="159" t="n">
        <v>7</v>
      </c>
      <c r="V116" s="172" t="inlineStr">
        <is>
          <t>https://news.google.com/rss/articles/CBMimwFBVV95cUxPMFBaWmJuQ3NGTklKMkNGckRqWFA0WW1sLXlvY1QxanR4YkN6YVVpejBld3ctZVREbkVPWnVab2FBOEZtTXoyeVRmTDE3TXF3ck5IRzNkNFJRZ0lmZmlqLTIwWGZhV0N0RFFiNGVPMnJBcHc4RXBBdjRqdmh5WnZSb1VkZ3B2Q3hva0JybF8tbVI0WjVQVFVsNHUxTQ?oc=5</t>
        </is>
      </c>
      <c r="W116" s="173">
        <f>IF($B116="",0,IF(AND(OR(OR(Dashboard!$B$5="All themes",Dashboard!$B$5=""),$C116=Dashboard!$B$5),OR(OR(Dashboard!$G$5="All uses",Dashboard!$G$5=""),$E116=Dashboard!$G$5),N($D116)&gt;=Lists!$H$2,OR(OR(Dashboard!$N$5="All windows",Dashboard!$N$5=""),$S116=Dashboard!$N$5)),1,0))</f>
        <v/>
      </c>
      <c r="X116" s="174">
        <f>IF($W116=1,N($D116)*1E14+MIN(MAX(N($U116),0),9999)*1E10+MIN(N($K116),99999)*1E5+99999-MIN(ROW(),99999),"")</f>
        <v/>
      </c>
    </row>
    <row r="117" ht="53" customHeight="1">
      <c r="A117" s="159" t="n">
        <v>114</v>
      </c>
      <c r="B117" s="160" t="inlineStr">
        <is>
          <t>Anti-landslide embankment threatens residential area</t>
        </is>
      </c>
      <c r="C117" s="161" t="inlineStr">
        <is>
          <t>Hazards &amp; Resilience</t>
        </is>
      </c>
      <c r="D117" s="162" t="n">
        <v>4</v>
      </c>
      <c r="E117" s="178" t="inlineStr">
        <is>
          <t>Regional insight</t>
        </is>
      </c>
      <c r="F117" s="164" t="inlineStr">
        <is>
          <t>To review</t>
        </is>
      </c>
      <c r="G117" s="165" t="n"/>
      <c r="H117" s="166" t="n"/>
      <c r="I117" s="167" t="inlineStr">
        <is>
          <t>Why does this anti-landslide embankment threaten housing, and what stability checks should apply to embankments near settlements?</t>
        </is>
      </c>
      <c r="J117" s="167" t="inlineStr">
        <is>
          <t>Vietnam.vn</t>
        </is>
      </c>
      <c r="K117" s="168" t="n">
        <v>46319</v>
      </c>
      <c r="L117" s="167" t="inlineStr">
        <is>
          <t>산사태 방지 제방이 주거 지역을 위협하고 있다.</t>
        </is>
      </c>
      <c r="M117" s="167" t="n"/>
      <c r="N117" s="169" t="inlineStr">
        <is>
          <t>Vietnam</t>
        </is>
      </c>
      <c r="O117" s="167" t="n"/>
      <c r="P117" s="167" t="n"/>
      <c r="Q117" s="170" t="inlineStr">
        <is>
          <t>South Korea</t>
        </is>
      </c>
      <c r="R117" s="168" t="n">
        <v>46319</v>
      </c>
      <c r="S117" s="169" t="inlineStr">
        <is>
          <t>2026-Q4</t>
        </is>
      </c>
      <c r="T117" s="171" t="inlineStr">
        <is>
          <t>landslide, embankment</t>
        </is>
      </c>
      <c r="U117" s="159" t="n">
        <v>7</v>
      </c>
      <c r="V117" s="172" t="inlineStr">
        <is>
          <t>https://news.google.com/rss/articles/CBMia0FVX3lxTE5yN3NxbVRJdUpIaWRZaHJQMGx1MktYUTdSRHlXd0xCR0tiSkhtNEotVmltaFRvVzFvY3Qxcm1JOFVCb1RBWXVtMTZRVWRtdC1DMERha1RoblFxTjhBT01GR1hWQ1JLTlRFMW1V?oc=5</t>
        </is>
      </c>
      <c r="W117" s="173">
        <f>IF($B117="",0,IF(AND(OR(OR(Dashboard!$B$5="All themes",Dashboard!$B$5=""),$C117=Dashboard!$B$5),OR(OR(Dashboard!$G$5="All uses",Dashboard!$G$5=""),$E117=Dashboard!$G$5),N($D117)&gt;=Lists!$H$2,OR(OR(Dashboard!$N$5="All windows",Dashboard!$N$5=""),$S117=Dashboard!$N$5)),1,0))</f>
        <v/>
      </c>
      <c r="X117" s="174">
        <f>IF($W117=1,N($D117)*1E14+MIN(MAX(N($U117),0),9999)*1E10+MIN(N($K117),99999)*1E5+99999-MIN(ROW(),99999),"")</f>
        <v/>
      </c>
    </row>
    <row r="118" ht="40.5" customHeight="1">
      <c r="A118" s="159" t="n">
        <v>115</v>
      </c>
      <c r="B118" s="160" t="inlineStr">
        <is>
          <t>Nghe An: early treatment needed for slope failure on coastal road cut</t>
        </is>
      </c>
      <c r="C118" s="179" t="inlineStr">
        <is>
          <t>Offshore, Coasts &amp; Water</t>
        </is>
      </c>
      <c r="D118" s="162" t="n">
        <v>4</v>
      </c>
      <c r="E118" s="178" t="inlineStr">
        <is>
          <t>Regional insight</t>
        </is>
      </c>
      <c r="F118" s="164" t="inlineStr">
        <is>
          <t>To review</t>
        </is>
      </c>
      <c r="G118" s="165" t="n"/>
      <c r="H118" s="166" t="n"/>
      <c r="I118" s="167" t="inlineStr">
        <is>
          <t>What causes slope failure in coastal road cuts, and which stabilisation methods are most suitable for weathered coastal soils?</t>
        </is>
      </c>
      <c r="J118" s="167" t="inlineStr">
        <is>
          <t>Vietnam.vn</t>
        </is>
      </c>
      <c r="K118" s="168" t="n">
        <v>46319</v>
      </c>
      <c r="L118" s="167" t="inlineStr">
        <is>
          <t>Nghệ An: Cần sớm xử lý sạt lở taluy dương trên tuyến đường ven biển</t>
        </is>
      </c>
      <c r="M118" s="167" t="n"/>
      <c r="N118" s="169" t="inlineStr">
        <is>
          <t>Vietnam</t>
        </is>
      </c>
      <c r="O118" s="167" t="inlineStr">
        <is>
          <t>Nghe An</t>
        </is>
      </c>
      <c r="P118" s="167" t="inlineStr">
        <is>
          <t>Nghe An coastal road embankment landslide, Vietnam (Oct 2026) · Event · 2 reports</t>
        </is>
      </c>
      <c r="Q118" s="170" t="inlineStr">
        <is>
          <t>Vietnam</t>
        </is>
      </c>
      <c r="R118" s="168" t="n">
        <v>46318</v>
      </c>
      <c r="S118" s="169" t="inlineStr">
        <is>
          <t>2026-Q4</t>
        </is>
      </c>
      <c r="T118" s="171" t="inlineStr">
        <is>
          <t>landslide, slope</t>
        </is>
      </c>
      <c r="U118" s="159" t="n">
        <v>6</v>
      </c>
      <c r="V118" s="172" t="inlineStr">
        <is>
          <t>https://news.google.com/rss/articles/CBMikwFBVV95cUxOUmJPNnl3dVdQRml6UUt3S1Joa05VaE9sdjdhNWZZeVN6QUdqdnFIS2NiMWdGMl9KN093Wm1naTRFcDRoek1UTVQxNGJkZ2lkajUyVnhRRFF4ZTV1UlhsS3NodG80YlpGdlpuOHRaaGFnaXJ5cDN4eTd0VFZJdldPMlczVVZ1NmZZdExSemVKM3lXWUk?oc=5</t>
        </is>
      </c>
      <c r="W118" s="173">
        <f>IF($B118="",0,IF(AND(OR(OR(Dashboard!$B$5="All themes",Dashboard!$B$5=""),$C118=Dashboard!$B$5),OR(OR(Dashboard!$G$5="All uses",Dashboard!$G$5=""),$E118=Dashboard!$G$5),N($D118)&gt;=Lists!$H$2,OR(OR(Dashboard!$N$5="All windows",Dashboard!$N$5=""),$S118=Dashboard!$N$5)),1,0))</f>
        <v/>
      </c>
      <c r="X118" s="174">
        <f>IF($W118=1,N($D118)*1E14+MIN(MAX(N($U118),0),9999)*1E10+MIN(N($K118),99999)*1E5+99999-MIN(ROW(),99999),"")</f>
        <v/>
      </c>
    </row>
    <row r="119" ht="40.5" customHeight="1">
      <c r="A119" s="159" t="n">
        <v>116</v>
      </c>
      <c r="B119" s="160" t="inlineStr">
        <is>
          <t>Osan: Jo Yong-ho's restoration of Seobu-ro retaining wall after road collapse, aiming to restore public trust</t>
        </is>
      </c>
      <c r="C119" s="177" t="inlineStr">
        <is>
          <t>Infrastructure &amp; the Underground City</t>
        </is>
      </c>
      <c r="D119" s="162" t="n">
        <v>4</v>
      </c>
      <c r="E119" s="163" t="inlineStr">
        <is>
          <t>Feature lead</t>
        </is>
      </c>
      <c r="F119" s="164" t="inlineStr">
        <is>
          <t>To review</t>
        </is>
      </c>
      <c r="G119" s="165" t="n"/>
      <c r="H119" s="166" t="n"/>
      <c r="I119" s="167" t="inlineStr">
        <is>
          <t>What caused the road collapse behind this retaining wall, and how should wall reconstruction address backfill and drainage?</t>
        </is>
      </c>
      <c r="J119" s="167" t="inlineStr">
        <is>
          <t>아주경제</t>
        </is>
      </c>
      <c r="K119" s="168" t="n">
        <v>46319</v>
      </c>
      <c r="L119" s="167" t="inlineStr">
        <is>
          <t>[강대웅의 정문일침(頂門一鍼)] 조용호 시장의 오산시 서부로 옹벽 복구...무너진 도로 넘어 시민 신뢰 회복</t>
        </is>
      </c>
      <c r="M119" s="167" t="n"/>
      <c r="N119" s="169" t="inlineStr">
        <is>
          <t>South Korea</t>
        </is>
      </c>
      <c r="O119" s="167" t="inlineStr">
        <is>
          <t>Osan, Seobu-ro</t>
        </is>
      </c>
      <c r="P119" s="167" t="n"/>
      <c r="Q119" s="170" t="inlineStr">
        <is>
          <t>South Korea</t>
        </is>
      </c>
      <c r="R119" s="168" t="n">
        <v>46319</v>
      </c>
      <c r="S119" s="169" t="inlineStr">
        <is>
          <t>2026-Q4</t>
        </is>
      </c>
      <c r="T119" s="171" t="inlineStr">
        <is>
          <t>retaining wall, collapse</t>
        </is>
      </c>
      <c r="U119" s="159" t="n">
        <v>5</v>
      </c>
      <c r="V119" s="172" t="inlineStr">
        <is>
          <t>https://news.google.com/rss/articles/CBMiWEFVX3lxTE1USkR5eG9yOEoxdF9oR1JuMU4tOUdCNkREX0dNUFFvWWd5UXZaT0ZkQk54eUhVbFg4QlI5SF8yTHlGZFZldTBsdnpFRDY5X290bkt0YzBXOTbSAVhBVV95cUxNVEpEeXhvcjhKMXRfaEdSbjFOLTlHQjZERF9HTVBRb1lneVF2Wk9GZEJOeHlIVWxYOEJSOUhfMkx5RmRWZXUwbHZ6RUQ2OV9vdG5LdGMwVzk2?oc=5</t>
        </is>
      </c>
      <c r="W119" s="173">
        <f>IF($B119="",0,IF(AND(OR(OR(Dashboard!$B$5="All themes",Dashboard!$B$5=""),$C119=Dashboard!$B$5),OR(OR(Dashboard!$G$5="All uses",Dashboard!$G$5=""),$E119=Dashboard!$G$5),N($D119)&gt;=Lists!$H$2,OR(OR(Dashboard!$N$5="All windows",Dashboard!$N$5=""),$S119=Dashboard!$N$5)),1,0))</f>
        <v/>
      </c>
      <c r="X119" s="174">
        <f>IF($W119=1,N($D119)*1E14+MIN(MAX(N($U119),0),9999)*1E10+MIN(N($K119),99999)*1E5+99999-MIN(ROW(),99999),"")</f>
        <v/>
      </c>
    </row>
    <row r="120" ht="53" customHeight="1">
      <c r="A120" s="159" t="n">
        <v>117</v>
      </c>
      <c r="B120" s="160" t="inlineStr">
        <is>
          <t>Lawmakers warn of major accidents as retaining wall near apartments repeatedly collapses; drainage and private land issues</t>
        </is>
      </c>
      <c r="C120" s="177" t="inlineStr">
        <is>
          <t>Infrastructure &amp; the Underground City</t>
        </is>
      </c>
      <c r="D120" s="162" t="n">
        <v>4</v>
      </c>
      <c r="E120" s="178" t="inlineStr">
        <is>
          <t>Regional insight</t>
        </is>
      </c>
      <c r="F120" s="164" t="inlineStr">
        <is>
          <t>To review</t>
        </is>
      </c>
      <c r="G120" s="165" t="n"/>
      <c r="H120" s="166" t="n"/>
      <c r="I120" s="167" t="inlineStr">
        <is>
          <t>Why do retaining walls beside apartments collapse repeatedly, and how do drainage and private land ownership complicate remediation?</t>
        </is>
      </c>
      <c r="J120" s="167" t="inlineStr">
        <is>
          <t>Naver Blog</t>
        </is>
      </c>
      <c r="K120" s="168" t="n">
        <v>46319</v>
      </c>
      <c r="L120" s="167" t="inlineStr">
        <is>
          <t>반주영 의원 “인명피해로 이어지면 큰 사고”…황성석 의원도 고촌 옹벽 안전대책 촉구 | 아파트 인접 옹벽 반복 붕괴 우려…상부 배수로·사유지 문제에 시의 적극적인 협의 주문</t>
        </is>
      </c>
      <c r="M120" s="167" t="n"/>
      <c r="N120" s="169" t="inlineStr">
        <is>
          <t>South Korea</t>
        </is>
      </c>
      <c r="O120" s="167" t="inlineStr">
        <is>
          <t>Gochon, Gimpo</t>
        </is>
      </c>
      <c r="P120" s="167" t="n"/>
      <c r="Q120" s="170" t="inlineStr">
        <is>
          <t>South Korea</t>
        </is>
      </c>
      <c r="R120" s="168" t="n">
        <v>46318</v>
      </c>
      <c r="S120" s="169" t="inlineStr">
        <is>
          <t>2026-Q4</t>
        </is>
      </c>
      <c r="T120" s="171" t="inlineStr">
        <is>
          <t>retaining wall, collapse</t>
        </is>
      </c>
      <c r="U120" s="159" t="n">
        <v>5</v>
      </c>
      <c r="V120" s="172" t="inlineStr">
        <is>
          <t>https://news.google.com/rss/articles/CBMikgFBVV95cUxPcTFMNDFOcFc5MjJHLWgxTldJbW9TT3doRG10TDRuSzlYNGNSSU5DOU1Razc0dkRYY0IyeVN1OHoyT3U2WG9wNUh5VW81UEd6anIwMDF1Ym1yQ3VlVk4wZ05saEh2VFFBMnZqOV9nbkFud0NMbWZ6NW9UU0pha0E3enQxdHQtU3JaNktBMlNxWTg2Zw?oc=5</t>
        </is>
      </c>
      <c r="W120" s="173">
        <f>IF($B120="",0,IF(AND(OR(OR(Dashboard!$B$5="All themes",Dashboard!$B$5=""),$C120=Dashboard!$B$5),OR(OR(Dashboard!$G$5="All uses",Dashboard!$G$5=""),$E120=Dashboard!$G$5),N($D120)&gt;=Lists!$H$2,OR(OR(Dashboard!$N$5="All windows",Dashboard!$N$5=""),$S120=Dashboard!$N$5)),1,0))</f>
        <v/>
      </c>
      <c r="X120" s="174">
        <f>IF($W120=1,N($D120)*1E14+MIN(MAX(N($U120),0),9999)*1E10+MIN(N($K120),99999)*1E5+99999-MIN(ROW(),99999),"")</f>
        <v/>
      </c>
    </row>
    <row r="121" ht="40.5" customHeight="1">
      <c r="A121" s="159" t="n">
        <v>118</v>
      </c>
      <c r="B121" s="160" t="inlineStr">
        <is>
          <t>Part of a retaining wall collapsed near Pioneer Park in Yalta after rains</t>
        </is>
      </c>
      <c r="C121" s="177" t="inlineStr">
        <is>
          <t>Infrastructure &amp; the Underground City</t>
        </is>
      </c>
      <c r="D121" s="162" t="n">
        <v>4</v>
      </c>
      <c r="E121" s="178" t="inlineStr">
        <is>
          <t>Regional insight</t>
        </is>
      </c>
      <c r="F121" s="164" t="inlineStr">
        <is>
          <t>To review</t>
        </is>
      </c>
      <c r="G121" s="165" t="n"/>
      <c r="H121" s="166" t="n"/>
      <c r="I121" s="167" t="inlineStr">
        <is>
          <t>Why did this retaining wall fail after heavy rain, and what drainage and wall design checks should coastal slopes receive?</t>
        </is>
      </c>
      <c r="J121" s="167" t="inlineStr">
        <is>
          <t>Крыминформ</t>
        </is>
      </c>
      <c r="K121" s="168" t="n">
        <v>46319</v>
      </c>
      <c r="L121" s="167" t="inlineStr">
        <is>
          <t>После ливней у Пионерского парка в Ялте обрушилась часть подпорной стены</t>
        </is>
      </c>
      <c r="M121" s="167" t="n"/>
      <c r="N121" s="169" t="inlineStr">
        <is>
          <t>Ukraine</t>
        </is>
      </c>
      <c r="O121" s="167" t="inlineStr">
        <is>
          <t>Yalta, Pioneer Park</t>
        </is>
      </c>
      <c r="P121" s="167" t="n"/>
      <c r="Q121" s="170" t="inlineStr">
        <is>
          <t>Russia</t>
        </is>
      </c>
      <c r="R121" s="168" t="n">
        <v>46317</v>
      </c>
      <c r="S121" s="169" t="inlineStr">
        <is>
          <t>2026-Q4</t>
        </is>
      </c>
      <c r="T121" s="171" t="inlineStr">
        <is>
          <t>retaining wall, collapse</t>
        </is>
      </c>
      <c r="U121" s="159" t="n">
        <v>5</v>
      </c>
      <c r="V121" s="172" t="inlineStr">
        <is>
          <t>https://news.google.com/rss/articles/CBMiUkFVX3lxTFBBaDhzbmpCUVV6Y1lGN3hyYllJRGRHNkUta1M3SVpkamJ5MGktVWZHdDJqLWloWW40SmVzTldUSWc0UXliVXJOVWR2VmJoWUtGc0E?oc=5</t>
        </is>
      </c>
      <c r="W121" s="173">
        <f>IF($B121="",0,IF(AND(OR(OR(Dashboard!$B$5="All themes",Dashboard!$B$5=""),$C121=Dashboard!$B$5),OR(OR(Dashboard!$G$5="All uses",Dashboard!$G$5=""),$E121=Dashboard!$G$5),N($D121)&gt;=Lists!$H$2,OR(OR(Dashboard!$N$5="All windows",Dashboard!$N$5=""),$S121=Dashboard!$N$5)),1,0))</f>
        <v/>
      </c>
      <c r="X121" s="174">
        <f>IF($W121=1,N($D121)*1E14+MIN(MAX(N($U121),0),9999)*1E10+MIN(N($K121),99999)*1E5+99999-MIN(ROW(),99999),"")</f>
        <v/>
      </c>
    </row>
    <row r="122" ht="40.5" customHeight="1">
      <c r="A122" s="159" t="n">
        <v>119</v>
      </c>
      <c r="B122" s="160" t="inlineStr">
        <is>
          <t>Two houses collapse due to Tien River bank erosion</t>
        </is>
      </c>
      <c r="C122" s="179" t="inlineStr">
        <is>
          <t>Offshore, Coasts &amp; Water</t>
        </is>
      </c>
      <c r="D122" s="162" t="n">
        <v>4</v>
      </c>
      <c r="E122" s="180" t="inlineStr">
        <is>
          <t>News brief</t>
        </is>
      </c>
      <c r="F122" s="164" t="inlineStr">
        <is>
          <t>To review</t>
        </is>
      </c>
      <c r="G122" s="165" t="n"/>
      <c r="H122" s="166" t="n"/>
      <c r="I122" s="167" t="inlineStr">
        <is>
          <t>What riverbank erosion processes undermined these houses, and how can bank stability be assessed near settlements?</t>
        </is>
      </c>
      <c r="J122" s="167" t="inlineStr">
        <is>
          <t>VTV.vn</t>
        </is>
      </c>
      <c r="K122" s="168" t="n">
        <v>46319</v>
      </c>
      <c r="L122" s="167" t="inlineStr">
        <is>
          <t>Hai căn nhà đổ sập do sạt lở bờ sông Tiền</t>
        </is>
      </c>
      <c r="M122" s="167" t="n"/>
      <c r="N122" s="169" t="inlineStr">
        <is>
          <t>Vietnam</t>
        </is>
      </c>
      <c r="O122" s="167" t="inlineStr">
        <is>
          <t>Tien River</t>
        </is>
      </c>
      <c r="P122" s="167" t="n"/>
      <c r="Q122" s="170" t="inlineStr">
        <is>
          <t>Vietnam</t>
        </is>
      </c>
      <c r="R122" s="168" t="n">
        <v>46318</v>
      </c>
      <c r="S122" s="169" t="inlineStr">
        <is>
          <t>2026-Q4</t>
        </is>
      </c>
      <c r="T122" s="171" t="inlineStr">
        <is>
          <t>landslide, collapse</t>
        </is>
      </c>
      <c r="U122" s="159" t="n">
        <v>5</v>
      </c>
      <c r="V122" s="172" t="inlineStr">
        <is>
          <t>https://news.google.com/rss/articles/CBMihgFBVV95cUxNZlBjUzdTUHFfNm9fQnZtclVPRG1ZdWtERFVpMHRYYzRrTGV1alZYeU4yR240ZnM4bFZEMkhFMEtJbk1fakR3dzgyRm12YkZZdkpnTjE4UGNBR2otMlpsbkVpdDdGbXBPbUdYaU5ldjBqUnA1c1hwcFF4Yjl3NXVFcHRacHlTZw?oc=5</t>
        </is>
      </c>
      <c r="W122" s="173">
        <f>IF($B122="",0,IF(AND(OR(OR(Dashboard!$B$5="All themes",Dashboard!$B$5=""),$C122=Dashboard!$B$5),OR(OR(Dashboard!$G$5="All uses",Dashboard!$G$5=""),$E122=Dashboard!$G$5),N($D122)&gt;=Lists!$H$2,OR(OR(Dashboard!$N$5="All windows",Dashboard!$N$5=""),$S122=Dashboard!$N$5)),1,0))</f>
        <v/>
      </c>
      <c r="X122" s="174">
        <f>IF($W122=1,N($D122)*1E14+MIN(MAX(N($U122),0),9999)*1E10+MIN(N($K122),99999)*1E5+99999-MIN(ROW(),99999),"")</f>
        <v/>
      </c>
    </row>
    <row r="123" ht="53" customHeight="1">
      <c r="A123" s="159" t="n">
        <v>120</v>
      </c>
      <c r="B123" s="160" t="inlineStr">
        <is>
          <t>Gochang-Buan Noeuldaegyo Enters Geotechnical Survey Phase; Construction Targeted for January 2028</t>
        </is>
      </c>
      <c r="C123" s="177" t="inlineStr">
        <is>
          <t>Infrastructure &amp; the Underground City</t>
        </is>
      </c>
      <c r="D123" s="162" t="n">
        <v>4</v>
      </c>
      <c r="E123" s="180" t="inlineStr">
        <is>
          <t>News brief</t>
        </is>
      </c>
      <c r="F123" s="164" t="inlineStr">
        <is>
          <t>To review</t>
        </is>
      </c>
      <c r="G123" s="165" t="n"/>
      <c r="H123" s="166" t="n"/>
      <c r="I123" s="167" t="inlineStr">
        <is>
          <t>What ground conditions will the geotechnical survey reveal for this Korean nuclear-related or major construction project, and how will they shape the 2028 schedule?</t>
        </is>
      </c>
      <c r="J123" s="167" t="inlineStr">
        <is>
          <t>아시아경제</t>
        </is>
      </c>
      <c r="K123" s="168" t="n">
        <v>46319</v>
      </c>
      <c r="L123" s="167" t="n"/>
      <c r="M123" s="167" t="n"/>
      <c r="N123" s="169" t="inlineStr">
        <is>
          <t>South Korea</t>
        </is>
      </c>
      <c r="O123" s="167" t="inlineStr">
        <is>
          <t>Gochang-Buan</t>
        </is>
      </c>
      <c r="P123" s="167" t="n"/>
      <c r="Q123" s="170" t="inlineStr">
        <is>
          <t>United Kingdom</t>
        </is>
      </c>
      <c r="R123" s="168" t="n">
        <v>46317</v>
      </c>
      <c r="S123" s="169" t="inlineStr">
        <is>
          <t>2026-Q4</t>
        </is>
      </c>
      <c r="T123" s="171" t="inlineStr">
        <is>
          <t>geotechnical</t>
        </is>
      </c>
      <c r="U123" s="159" t="n">
        <v>5</v>
      </c>
      <c r="V123" s="172" t="inlineStr">
        <is>
          <t>https://news.google.com/rss/articles/CBMibEFVX3lxTE9qd0p2T2p3a1lzbEg5TnFXNDZ2VXRhLWIzbGk1U0pnQlFCUk1RU2tqdFFXeEt4RkM3bThuVUUyelBfNHJMdlFmMThyZG9UakhLLTFqTGJBTDBKVmN1bXlqQmYyX1U3eHIyWTNfTw?oc=5</t>
        </is>
      </c>
      <c r="W123" s="173">
        <f>IF($B123="",0,IF(AND(OR(OR(Dashboard!$B$5="All themes",Dashboard!$B$5=""),$C123=Dashboard!$B$5),OR(OR(Dashboard!$G$5="All uses",Dashboard!$G$5=""),$E123=Dashboard!$G$5),N($D123)&gt;=Lists!$H$2,OR(OR(Dashboard!$N$5="All windows",Dashboard!$N$5=""),$S123=Dashboard!$N$5)),1,0))</f>
        <v/>
      </c>
      <c r="X123" s="174">
        <f>IF($W123=1,N($D123)*1E14+MIN(MAX(N($U123),0),9999)*1E10+MIN(N($K123),99999)*1E5+99999-MIN(ROW(),99999),"")</f>
        <v/>
      </c>
    </row>
    <row r="124" ht="53" customHeight="1">
      <c r="A124" s="159" t="n">
        <v>121</v>
      </c>
      <c r="B124" s="160" t="inlineStr">
        <is>
          <t>Se ha descubierto un socavón del tamaño de casi tres campos de fútbol en Phong Nha Ke Bang.</t>
        </is>
      </c>
      <c r="C124" s="184" t="inlineStr">
        <is>
          <t>Characterisation &amp; Modelling</t>
        </is>
      </c>
      <c r="D124" s="162" t="n">
        <v>4</v>
      </c>
      <c r="E124" s="163" t="inlineStr">
        <is>
          <t>Feature lead</t>
        </is>
      </c>
      <c r="F124" s="164" t="inlineStr">
        <is>
          <t>To review</t>
        </is>
      </c>
      <c r="G124" s="165" t="n"/>
      <c r="H124" s="166" t="n"/>
      <c r="I124" s="167" t="inlineStr">
        <is>
          <t>How do karst dissolution and roof collapse produce giant dolines like the one in Phong Nha Ke Bang, and how can such cavities be characterised?</t>
        </is>
      </c>
      <c r="J124" s="167" t="inlineStr">
        <is>
          <t>Vietnam.vn</t>
        </is>
      </c>
      <c r="K124" s="168" t="n">
        <v>46319</v>
      </c>
      <c r="L124" s="167" t="n"/>
      <c r="M124" s="167" t="n"/>
      <c r="N124" s="169" t="inlineStr">
        <is>
          <t>Vietnam</t>
        </is>
      </c>
      <c r="O124" s="167" t="inlineStr">
        <is>
          <t>Phong Nha Ke Bang</t>
        </is>
      </c>
      <c r="P124" s="167" t="n"/>
      <c r="Q124" s="170" t="inlineStr">
        <is>
          <t>Colombia</t>
        </is>
      </c>
      <c r="R124" s="168" t="n">
        <v>46318</v>
      </c>
      <c r="S124" s="169" t="inlineStr">
        <is>
          <t>2026-Q4</t>
        </is>
      </c>
      <c r="T124" s="171" t="inlineStr">
        <is>
          <t>sinkhole</t>
        </is>
      </c>
      <c r="U124" s="159" t="n">
        <v>4</v>
      </c>
      <c r="V124" s="172" t="inlineStr">
        <is>
          <t>https://news.google.com/rss/articles/CBMilgFBVV95cUxPaWJCQW9La1Z3UklqdWVaNWVLV3l0TFplUEg0R3h5ZzBSNlJtZnpNb2FONml5V3FqbnJGTnZvQ2JZSllHZGRoX3NWR0l6Q0oyWE02RXlncnRfREVCa0xBRnVMTDNhcWRxLURrVTNJUEl5UkdlU0RtdU9UcUpVdVFzblQ0UmdOVlR0YTBfTVpDbjZud2p5d1E?oc=5</t>
        </is>
      </c>
      <c r="W124" s="173">
        <f>IF($B124="",0,IF(AND(OR(OR(Dashboard!$B$5="All themes",Dashboard!$B$5=""),$C124=Dashboard!$B$5),OR(OR(Dashboard!$G$5="All uses",Dashboard!$G$5=""),$E124=Dashboard!$G$5),N($D124)&gt;=Lists!$H$2,OR(OR(Dashboard!$N$5="All windows",Dashboard!$N$5=""),$S124=Dashboard!$N$5)),1,0))</f>
        <v/>
      </c>
      <c r="X124" s="174">
        <f>IF($W124=1,N($D124)*1E14+MIN(MAX(N($U124),0),9999)*1E10+MIN(N($K124),99999)*1E5+99999-MIN(ROW(),99999),"")</f>
        <v/>
      </c>
    </row>
    <row r="125" ht="53" customHeight="1">
      <c r="A125" s="159" t="n">
        <v>122</v>
      </c>
      <c r="B125" s="160" t="inlineStr">
        <is>
          <t>CEDH finds negligence by Guasave municipality in death of teacher who fell into sinkhole</t>
        </is>
      </c>
      <c r="C125" s="183" t="inlineStr">
        <is>
          <t>Geotechnics &amp; Society</t>
        </is>
      </c>
      <c r="D125" s="162" t="n">
        <v>4</v>
      </c>
      <c r="E125" s="163" t="inlineStr">
        <is>
          <t>Feature lead</t>
        </is>
      </c>
      <c r="F125" s="164" t="inlineStr">
        <is>
          <t>To review</t>
        </is>
      </c>
      <c r="G125" s="165" t="n"/>
      <c r="H125" s="166" t="n"/>
      <c r="I125" s="167" t="inlineStr">
        <is>
          <t>What duty of care should municipalities meet in managing known ground-collapse hazards in urban areas, as the Guasave case suggests?</t>
        </is>
      </c>
      <c r="J125" s="167" t="inlineStr">
        <is>
          <t>www.noroeste.com.mx</t>
        </is>
      </c>
      <c r="K125" s="168" t="n">
        <v>46319</v>
      </c>
      <c r="L125" s="167" t="inlineStr">
        <is>
          <t>CEDH acredita negligencia del Ayuntamiento de Guasave por muerte de profesor que cayó en socavón</t>
        </is>
      </c>
      <c r="M125" s="167" t="n"/>
      <c r="N125" s="169" t="inlineStr">
        <is>
          <t>Mexico</t>
        </is>
      </c>
      <c r="O125" s="167" t="inlineStr">
        <is>
          <t>Guasave, Sinaloa</t>
        </is>
      </c>
      <c r="P125" s="167" t="n"/>
      <c r="Q125" s="170" t="inlineStr">
        <is>
          <t>Colombia</t>
        </is>
      </c>
      <c r="R125" s="168" t="n">
        <v>46317</v>
      </c>
      <c r="S125" s="169" t="inlineStr">
        <is>
          <t>2026-Q4</t>
        </is>
      </c>
      <c r="T125" s="171" t="inlineStr">
        <is>
          <t>sinkhole</t>
        </is>
      </c>
      <c r="U125" s="159" t="n">
        <v>4</v>
      </c>
      <c r="V125" s="172" t="inlineStr">
        <is>
          <t>https://news.google.com/rss/articles/CBMi4gFBVV95cUxObEFsSlpBN09veGl1WXBBcWNHZFplTFFzQlIzSVZJUFVYdGdwcV9OZVY5TTBSM2JZbTdOd2liZFJyX3lscDU5VU1iVmZwaVU0bnZTSnk3ektFWm9QNEF4Y2ZMRldYdWVabGdKaW5yc21qQWxGNWcxOVZFNkRCLS14ZHpLc29Mel9vZENjazdLRWdMRm5uUEhob0pUS09pSVJEWXNjSlV4SE9ESFZyUVdEaENkUFpRTkt2SUZWb1FDRXAyMEd2LVhHTXhiODEwa3dwV1BvVXpQc2E3aUJXc1ZtQ3d30gHiAUFVX3lxTE5sQWxKWkE3T294aXVZcEFxY0dkWmVMUXNCUjNJVklQVVh0Z3BxX05lVjlNMFIzYlltN053aWJkUnJfeWxwNTlVTWJWZnBpVTRudlNKeTd6S0Vab1A0QXhjZkxGV1h1ZVpsZ0ppbnJzbWpBbEY1ZzE5VkU2REItLXhkektzb0x6X29kQ2NrN0tFZ0xGbm5QSGhvSlRLT2lJUkRZc2NKVXhIT0RIVnJRV0RoQ2RQWlFOS3ZJRlZvUUNFcDIwR3YtWEdNeGI4MTBrd3BXUG9VelBzYTdpQldzVm1Dd3c?oc=5</t>
        </is>
      </c>
      <c r="W125" s="173">
        <f>IF($B125="",0,IF(AND(OR(OR(Dashboard!$B$5="All themes",Dashboard!$B$5=""),$C125=Dashboard!$B$5),OR(OR(Dashboard!$G$5="All uses",Dashboard!$G$5=""),$E125=Dashboard!$G$5),N($D125)&gt;=Lists!$H$2,OR(OR(Dashboard!$N$5="All windows",Dashboard!$N$5=""),$S125=Dashboard!$N$5)),1,0))</f>
        <v/>
      </c>
      <c r="X125" s="174">
        <f>IF($W125=1,N($D125)*1E14+MIN(MAX(N($U125),0),9999)*1E10+MIN(N($K125),99999)*1E5+99999-MIN(ROW(),99999),"")</f>
        <v/>
      </c>
    </row>
    <row r="126" ht="53" customHeight="1">
      <c r="A126" s="159" t="n">
        <v>123</v>
      </c>
      <c r="B126" s="160" t="inlineStr">
        <is>
          <t>Vista de cerca del gigantesco socavón de 120 metros de profundidad descubierto recientemente en Vietnam.</t>
        </is>
      </c>
      <c r="C126" s="184" t="inlineStr">
        <is>
          <t>Characterisation &amp; Modelling</t>
        </is>
      </c>
      <c r="D126" s="162" t="n">
        <v>4</v>
      </c>
      <c r="E126" s="163" t="inlineStr">
        <is>
          <t>Feature lead</t>
        </is>
      </c>
      <c r="F126" s="164" t="inlineStr">
        <is>
          <t>To review</t>
        </is>
      </c>
      <c r="G126" s="165" t="n"/>
      <c r="H126" s="166" t="n"/>
      <c r="I126" s="167" t="inlineStr">
        <is>
          <t>Which geomorphological and hydrogeological processes produced a 120 m deep collapse, and how can the stability of its steep walls be assessed?</t>
        </is>
      </c>
      <c r="J126" s="167" t="inlineStr">
        <is>
          <t>Vietnam.vn</t>
        </is>
      </c>
      <c r="K126" s="168" t="n">
        <v>46319</v>
      </c>
      <c r="L126" s="167" t="n"/>
      <c r="M126" s="167" t="n"/>
      <c r="N126" s="169" t="inlineStr">
        <is>
          <t>Vietnam</t>
        </is>
      </c>
      <c r="O126" s="167" t="inlineStr">
        <is>
          <t>Quang Binh</t>
        </is>
      </c>
      <c r="P126" s="167" t="n"/>
      <c r="Q126" s="170" t="inlineStr">
        <is>
          <t>Colombia</t>
        </is>
      </c>
      <c r="R126" s="168" t="n">
        <v>46318</v>
      </c>
      <c r="S126" s="169" t="inlineStr">
        <is>
          <t>2026-Q4</t>
        </is>
      </c>
      <c r="T126" s="171" t="inlineStr">
        <is>
          <t>sinkhole</t>
        </is>
      </c>
      <c r="U126" s="159" t="n">
        <v>4</v>
      </c>
      <c r="V126" s="172" t="inlineStr">
        <is>
          <t>https://news.google.com/rss/articles/CBMijgFBVV95cUxORHhvYWNuVVRGRXIybWtsektBWDRYYkhhLWlYd2FwS0pBV2wzWklDdzN3UGxXLWZpa1ZLT0lWM0RZa1RXY0ZDRS1HYUdDV1RJU2dWWFpWalZ3cEhkaGJsYjk2WUZrWXQ3M2hXTWFVSGxSYjFhUzBOVlNnSUYxdVhtMGNBellTcmV4Q295SDJ3?oc=5</t>
        </is>
      </c>
      <c r="W126" s="173">
        <f>IF($B126="",0,IF(AND(OR(OR(Dashboard!$B$5="All themes",Dashboard!$B$5=""),$C126=Dashboard!$B$5),OR(OR(Dashboard!$G$5="All uses",Dashboard!$G$5=""),$E126=Dashboard!$G$5),N($D126)&gt;=Lists!$H$2,OR(OR(Dashboard!$N$5="All windows",Dashboard!$N$5=""),$S126=Dashboard!$N$5)),1,0))</f>
        <v/>
      </c>
      <c r="X126" s="174">
        <f>IF($W126=1,N($D126)*1E14+MIN(MAX(N($U126),0),9999)*1E10+MIN(N($K126),99999)*1E5+99999-MIN(ROW(),99999),"")</f>
        <v/>
      </c>
    </row>
    <row r="127" ht="53" customHeight="1">
      <c r="A127" s="159" t="n">
        <v>124</v>
      </c>
      <c r="B127" s="160" t="inlineStr">
        <is>
          <t>Primeval forest grows at bottom of 120-meter-deep sinkhole in central Vietnam</t>
        </is>
      </c>
      <c r="C127" s="184" t="inlineStr">
        <is>
          <t>Characterisation &amp; Modelling</t>
        </is>
      </c>
      <c r="D127" s="162" t="n">
        <v>4</v>
      </c>
      <c r="E127" s="163" t="inlineStr">
        <is>
          <t>Feature lead</t>
        </is>
      </c>
      <c r="F127" s="164" t="inlineStr">
        <is>
          <t>To review</t>
        </is>
      </c>
      <c r="G127" s="165" t="n"/>
      <c r="H127" s="166" t="n"/>
      <c r="I127" s="167" t="inlineStr">
        <is>
          <t>How do karst collapse sinkholes form in limestone terrain, and what do such deep features reveal about cave ground stability and hazard mapping?</t>
        </is>
      </c>
      <c r="J127" s="167" t="inlineStr">
        <is>
          <t>VnExpress International</t>
        </is>
      </c>
      <c r="K127" s="168" t="n">
        <v>46319</v>
      </c>
      <c r="L127" s="167" t="n"/>
      <c r="M127" s="167" t="n"/>
      <c r="N127" s="169" t="inlineStr">
        <is>
          <t>Vietnam</t>
        </is>
      </c>
      <c r="O127" s="167" t="inlineStr">
        <is>
          <t>Quang Binh</t>
        </is>
      </c>
      <c r="P127" s="167" t="inlineStr">
        <is>
          <t>Phong Nha-Ke Bang 120 m sinkhole discovery, Vietnam · Event · 4 reports</t>
        </is>
      </c>
      <c r="Q127" s="170" t="inlineStr">
        <is>
          <t>United Kingdom</t>
        </is>
      </c>
      <c r="R127" s="168" t="n">
        <v>46319</v>
      </c>
      <c r="S127" s="169" t="inlineStr">
        <is>
          <t>2026-Q4</t>
        </is>
      </c>
      <c r="T127" s="171" t="inlineStr">
        <is>
          <t>sinkhole</t>
        </is>
      </c>
      <c r="U127" s="159" t="n">
        <v>4</v>
      </c>
      <c r="V127" s="172" t="inlineStr">
        <is>
          <t>https://news.google.com/rss/articles/CBMizAFBVV95cUxNd2dFendqYTRDcVVfLTVONjFFenlXV3pwTHVkVEJhb2ZfYzdKbF9XTDgxVXJqY1d4QWo3bi1CR250aUV6Y2FmQTktNUtTbU1FRnA2WUVzdFRiU2lRa3M1VzdwRUxzbWF0eUJmMER5Y2Yxb1V2aVdta0M4OGpjWmV6VGFnUVFLNjlQand3S3hSaTBFTUJZQ0JfNVBvZmF6NVpLSkdEMVlBLWt5VW5wYlhSOHBrdHVjU1FVMm41cW4tN0MwbTZ2Z2dULUZJemk?oc=5</t>
        </is>
      </c>
      <c r="W127" s="173">
        <f>IF($B127="",0,IF(AND(OR(OR(Dashboard!$B$5="All themes",Dashboard!$B$5=""),$C127=Dashboard!$B$5),OR(OR(Dashboard!$G$5="All uses",Dashboard!$G$5=""),$E127=Dashboard!$G$5),N($D127)&gt;=Lists!$H$2,OR(OR(Dashboard!$N$5="All windows",Dashboard!$N$5=""),$S127=Dashboard!$N$5)),1,0))</f>
        <v/>
      </c>
      <c r="X127" s="174">
        <f>IF($W127=1,N($D127)*1E14+MIN(MAX(N($U127),0),9999)*1E10+MIN(N($K127),99999)*1E5+99999-MIN(ROW(),99999),"")</f>
        <v/>
      </c>
    </row>
    <row r="128" ht="53" customHeight="1">
      <c r="A128" s="159" t="n">
        <v>125</v>
      </c>
      <c r="B128" s="160" t="inlineStr">
        <is>
          <t>Mystery in El Bosque: sinkhole appears amid rain and swallows a car</t>
        </is>
      </c>
      <c r="C128" s="177" t="inlineStr">
        <is>
          <t>Infrastructure &amp; the Underground City</t>
        </is>
      </c>
      <c r="D128" s="162" t="n">
        <v>4</v>
      </c>
      <c r="E128" s="180" t="inlineStr">
        <is>
          <t>News brief</t>
        </is>
      </c>
      <c r="F128" s="164" t="inlineStr">
        <is>
          <t>To review</t>
        </is>
      </c>
      <c r="G128" s="165" t="n"/>
      <c r="H128" s="166" t="n"/>
      <c r="I128" s="167" t="inlineStr">
        <is>
          <t>How do rainfall, leaking pipes and soil erosion combine to create sudden road sinkholes that swallow vehicles, as in El Bosque?</t>
        </is>
      </c>
      <c r="J128" s="167" t="inlineStr">
        <is>
          <t>BioBioChile</t>
        </is>
      </c>
      <c r="K128" s="168" t="n">
        <v>46319</v>
      </c>
      <c r="L128" s="167" t="inlineStr">
        <is>
          <t>Misterio en El Bosque: socavón aparece en medio de la lluvia y se traga un auto</t>
        </is>
      </c>
      <c r="M128" s="167" t="n"/>
      <c r="N128" s="169" t="inlineStr">
        <is>
          <t>Chile</t>
        </is>
      </c>
      <c r="O128" s="167" t="inlineStr">
        <is>
          <t>El Bosque, Santiago</t>
        </is>
      </c>
      <c r="P128" s="167" t="n"/>
      <c r="Q128" s="170" t="inlineStr">
        <is>
          <t>Colombia</t>
        </is>
      </c>
      <c r="R128" s="168" t="n">
        <v>46317</v>
      </c>
      <c r="S128" s="169" t="inlineStr">
        <is>
          <t>2026-Q4</t>
        </is>
      </c>
      <c r="T128" s="171" t="inlineStr">
        <is>
          <t>sinkhole</t>
        </is>
      </c>
      <c r="U128" s="159" t="n">
        <v>4</v>
      </c>
      <c r="V128" s="172" t="inlineStr">
        <is>
          <t>https://news.google.com/rss/articles/CBMi8wFBVV95cUxNNlBCakVVSHBHTXI5UXNfdFF4SmtBTHZaWWhZaF9TYklINTZFZVpuNHlSbE5HNHBIUmJyd1BQSlJtamZ1ZGxBU1lxVmVib2RHRVFPRmszbmFtWVNxenlGeVk2TGRpaXJRNUdPbklLUXRCY1E1ZGhhQVB2Q0pHSU9VMTZJMkVfRnh2ZHJ3V3JJTmtqUDhUX1lMMk1GX3IxVGRDY0VNbHpmY0pWcmJVN1p6eWFzLWQ5ZmdoOEZrRXBNRHNaRDFlYkpXdDZORU5iek80RHBwUzdBb1A3OF9DTExya013WnpwYTRuWjJLeFhXc3ZCUlk?oc=5</t>
        </is>
      </c>
      <c r="W128" s="173">
        <f>IF($B128="",0,IF(AND(OR(OR(Dashboard!$B$5="All themes",Dashboard!$B$5=""),$C128=Dashboard!$B$5),OR(OR(Dashboard!$G$5="All uses",Dashboard!$G$5=""),$E128=Dashboard!$G$5),N($D128)&gt;=Lists!$H$2,OR(OR(Dashboard!$N$5="All windows",Dashboard!$N$5=""),$S128=Dashboard!$N$5)),1,0))</f>
        <v/>
      </c>
      <c r="X128" s="174">
        <f>IF($W128=1,N($D128)*1E14+MIN(MAX(N($U128),0),9999)*1E10+MIN(N($K128),99999)*1E5+99999-MIN(ROW(),99999),"")</f>
        <v/>
      </c>
    </row>
    <row r="129" ht="53" customHeight="1">
      <c r="A129" s="159" t="n">
        <v>126</v>
      </c>
      <c r="B129" s="160" t="inlineStr">
        <is>
          <t>More than 300 neighbourhoods at risk from rain; Eloy Alfaro sinkhole casts doubt on Quito's underground infrastructure</t>
        </is>
      </c>
      <c r="C129" s="177" t="inlineStr">
        <is>
          <t>Infrastructure &amp; the Underground City</t>
        </is>
      </c>
      <c r="D129" s="162" t="n">
        <v>4</v>
      </c>
      <c r="E129" s="163" t="inlineStr">
        <is>
          <t>Feature lead</t>
        </is>
      </c>
      <c r="F129" s="164" t="inlineStr">
        <is>
          <t>To review</t>
        </is>
      </c>
      <c r="G129" s="165" t="n"/>
      <c r="H129" s="166" t="n"/>
      <c r="I129" s="167" t="inlineStr">
        <is>
          <t>What does the Eloy Alfaro sinkhole reveal about the condition of Quito's buried infrastructure and the ground beneath rain-affected neighbourhoods?</t>
        </is>
      </c>
      <c r="J129" s="167" t="inlineStr">
        <is>
          <t>El Universo</t>
        </is>
      </c>
      <c r="K129" s="168" t="n">
        <v>46319</v>
      </c>
      <c r="L129" s="167" t="inlineStr">
        <is>
          <t>Más de 300 barrios en riesgo por las lluvias, socavón en la Eloy Alfaro pone en duda la infraestructura subterránea de Quito</t>
        </is>
      </c>
      <c r="M129" s="167" t="n"/>
      <c r="N129" s="169" t="inlineStr">
        <is>
          <t>Ecuador</t>
        </is>
      </c>
      <c r="O129" s="167" t="inlineStr">
        <is>
          <t>Eloy Alfaro, Quito</t>
        </is>
      </c>
      <c r="P129" s="167" t="n"/>
      <c r="Q129" s="170" t="inlineStr">
        <is>
          <t>Colombia</t>
        </is>
      </c>
      <c r="R129" s="168" t="n">
        <v>46318</v>
      </c>
      <c r="S129" s="169" t="inlineStr">
        <is>
          <t>2026-Q4</t>
        </is>
      </c>
      <c r="T129" s="171" t="inlineStr">
        <is>
          <t>sinkhole</t>
        </is>
      </c>
      <c r="U129" s="159" t="n">
        <v>4</v>
      </c>
      <c r="V129" s="172" t="inlineStr">
        <is>
          <t>https://news.google.com/rss/articles/CBMi6AJBVV95cUxPTTNxbUF2ODR0d0dfM2ZBb3B0Y0lvRElsVjNPbk1aV0JSMF9SeHFfbGk1cFNVTTZ2TjhlTW5ldEVCcmVmdHNSM0xxN0hIbjFveHdxdVBJSl9FLUNDOUJ6a0tWcy1SQTltUWJuUHl3SDNmbzlEc2NSWW5JemxmOVJidVZBUjhwYUV2NTc1cnBKUkw4Zlg4bzJlbkJaTzA3Y1Rvel9zbVFEZ1lRVUdsaTNRLU9YZG9RbXZLcXZTQ3BaUXJLcV9BMlYxRU9DZl91YVV6OExlSnU4bnh5V0wxVWVvV29jWVdlQ2x5dTVXT202T1JTek5nbEhkdkZlMHFPd3UxZ0hUdXl0cVUxYXBybmNNcmFkS0VmeGhhNDc1V3dMRGpQelpZSDZGaFZIRnpFVGRKZTV3VURCTkNaMW5WZnpGcUd2VjlsZzd0VjJRa1BCUE1IWXNCSHZ5VHNrQlhUZUlFWjYxWHpmbzPSAfwCQVVfeXFMUEN6dkx4WFpjY3ozMFFuZnZiNEc4ZFlsSUNhemhCMXdKQi1DbEhMS1gwdzBwZTBjME9ZdjJaX2FhM0JmcWx5MnNDMHNsZC1iTDBkbmdjZHhLZjZaSVBfWGZZUmVONnpWU0RucGM4a0lKNjVsWVdyd1BJMG1mdm5lRHMyU3lhTW84am52eVJTMjNzZ2duTGpScGN0NlA0QkdBV1hTV3E0WllEc182YXE1Y1lvOUhEWHhNUXpRcHRfbGtXZFFReXZXSnE1Z3MtVWc2YXNfT0JWLW1OSkRaYWJrdWtiRU9JRU1EQjUwcTNSem1obGNocHYyV2pLQVhlbGJBZDM1RGx2UkNJVUY0VV9jR1VBZUtGOEs1OVdOQzVkZU1sYVU4RkpxSkNpdUpyeS10QmZiX0xwSUs2U0FFd0JFckY1SElKZEptMHhwUklKN0YwekFCTkpFLXRuZjBmUFpYc3pGWVQtMG9uajhwOXlUN295QllOaE9tazdSbEc?oc=5</t>
        </is>
      </c>
      <c r="W129" s="173">
        <f>IF($B129="",0,IF(AND(OR(OR(Dashboard!$B$5="All themes",Dashboard!$B$5=""),$C129=Dashboard!$B$5),OR(OR(Dashboard!$G$5="All uses",Dashboard!$G$5=""),$E129=Dashboard!$G$5),N($D129)&gt;=Lists!$H$2,OR(OR(Dashboard!$N$5="All windows",Dashboard!$N$5=""),$S129=Dashboard!$N$5)),1,0))</f>
        <v/>
      </c>
      <c r="X129" s="174">
        <f>IF($W129=1,N($D129)*1E14+MIN(MAX(N($U129),0),9999)*1E10+MIN(N($K129),99999)*1E5+99999-MIN(ROW(),99999),"")</f>
        <v/>
      </c>
    </row>
    <row r="130" ht="53" customHeight="1">
      <c r="A130" s="159" t="n">
        <v>127</v>
      </c>
      <c r="B130" s="160" t="inlineStr">
        <is>
          <t>Presidential delegate on Arauco sinkhole: 'It was built on land that was not optimal'</t>
        </is>
      </c>
      <c r="C130" s="177" t="inlineStr">
        <is>
          <t>Infrastructure &amp; the Underground City</t>
        </is>
      </c>
      <c r="D130" s="162" t="n">
        <v>4</v>
      </c>
      <c r="E130" s="163" t="inlineStr">
        <is>
          <t>Feature lead</t>
        </is>
      </c>
      <c r="F130" s="164" t="inlineStr">
        <is>
          <t>To review</t>
        </is>
      </c>
      <c r="G130" s="165" t="n"/>
      <c r="H130" s="166" t="n"/>
      <c r="I130" s="167" t="inlineStr">
        <is>
          <t>What ground investigation and foundation decisions should be scrutinised when a structure is built on unsuitable terrain, as officials claim in Arauco?</t>
        </is>
      </c>
      <c r="J130" s="167" t="inlineStr">
        <is>
          <t>Cooperativa</t>
        </is>
      </c>
      <c r="K130" s="168" t="n">
        <v>46319</v>
      </c>
      <c r="L130" s="167" t="inlineStr">
        <is>
          <t>Delegado presidencial y el socavón en Arauco: "Aquí se construyó en un terreno que no era óptimo"</t>
        </is>
      </c>
      <c r="M130" s="167" t="n"/>
      <c r="N130" s="169" t="inlineStr">
        <is>
          <t>Chile</t>
        </is>
      </c>
      <c r="O130" s="167" t="inlineStr">
        <is>
          <t>Arauco</t>
        </is>
      </c>
      <c r="P130" s="167" t="n"/>
      <c r="Q130" s="170" t="inlineStr">
        <is>
          <t>Colombia</t>
        </is>
      </c>
      <c r="R130" s="168" t="n">
        <v>46319</v>
      </c>
      <c r="S130" s="169" t="inlineStr">
        <is>
          <t>2026-Q4</t>
        </is>
      </c>
      <c r="T130" s="171" t="inlineStr">
        <is>
          <t>sinkhole</t>
        </is>
      </c>
      <c r="U130" s="159" t="n">
        <v>4</v>
      </c>
      <c r="V130" s="172" t="inlineStr">
        <is>
          <t>https://news.google.com/rss/articles/CBMi5AFBVV95cUxQN2dkNUMtV1kwNUFwMFA0VWRsUmN6Q3RhTDhyTWtHODFmSHhEWWdtT0Jwazg3Nk54S0ZnRF82OHpybVI2OVhIbkp0c1dQX3N1Ny1OTkZhR2hHQUMzYXJfT3BzX3I2Y3d6WndQNno2QTloWDFESzVxUTRMZDZOSDNQUzJYVTBsTks2Mll4SjZRYkZxbWxjOHByeGVkUkg5d1d3UWxmQUtBTG1lWDRTMGNOQWZnRGRtR3c4a2xiRUFHY3laMDJzX0VYUk9GZkR2akQ3bkNKeGU1aVYwb1F0WE14WVVVQ0bSAYwBQVVfeXFMT2I5Zk9zQW9sMnMteVFacFllV19JRWVQT0JfUGNTSTJ0R2FLYmpjTEhkQ3EzWTVmRDRWUWxJcTF3WmxDNnJIaUV2amNuNm5sSTJJV08wb184aWR0czBDRm5qdnN5WEM3ak5zQl9mendjUDhHaU0tbzVjQTNwY1dzNUUxT3pVU3kxeVpXa2k?oc=5</t>
        </is>
      </c>
      <c r="W130" s="173">
        <f>IF($B130="",0,IF(AND(OR(OR(Dashboard!$B$5="All themes",Dashboard!$B$5=""),$C130=Dashboard!$B$5),OR(OR(Dashboard!$G$5="All uses",Dashboard!$G$5=""),$E130=Dashboard!$G$5),N($D130)&gt;=Lists!$H$2,OR(OR(Dashboard!$N$5="All windows",Dashboard!$N$5=""),$S130=Dashboard!$N$5)),1,0))</f>
        <v/>
      </c>
      <c r="X130" s="174">
        <f>IF($W130=1,N($D130)*1E14+MIN(MAX(N($U130),0),9999)*1E10+MIN(N($K130),99999)*1E5+99999-MIN(ROW(),99999),"")</f>
        <v/>
      </c>
    </row>
    <row r="131" ht="40.5" customHeight="1">
      <c r="A131" s="159" t="n">
        <v>128</v>
      </c>
      <c r="B131" s="160" t="inlineStr">
        <is>
          <t>JUMAPAM and Pemex evaluate underground network after sinkhole on Emilio Barragán avenue in Mazatlán</t>
        </is>
      </c>
      <c r="C131" s="177" t="inlineStr">
        <is>
          <t>Infrastructure &amp; the Underground City</t>
        </is>
      </c>
      <c r="D131" s="162" t="n">
        <v>4</v>
      </c>
      <c r="E131" s="163" t="inlineStr">
        <is>
          <t>Feature lead</t>
        </is>
      </c>
      <c r="F131" s="164" t="inlineStr">
        <is>
          <t>To review</t>
        </is>
      </c>
      <c r="G131" s="165" t="n"/>
      <c r="H131" s="166" t="n"/>
      <c r="I131" s="167" t="inlineStr">
        <is>
          <t>How can utilities mapping and leak detection clarify whether pipe defects caused the Emilio Barragán sinkhole in Mazatlán?</t>
        </is>
      </c>
      <c r="J131" s="167" t="inlineStr">
        <is>
          <t>Debate</t>
        </is>
      </c>
      <c r="K131" s="168" t="n">
        <v>46319</v>
      </c>
      <c r="L131" s="167" t="inlineStr">
        <is>
          <t>JUMAPAM y Pemex evalúan red subterránea tras socavón en la avenida Emilio Barragán en Mazatlán</t>
        </is>
      </c>
      <c r="M131" s="167" t="n"/>
      <c r="N131" s="169" t="inlineStr">
        <is>
          <t>Mexico</t>
        </is>
      </c>
      <c r="O131" s="167" t="inlineStr">
        <is>
          <t>Mazatlan, Emilio Barragan avenue</t>
        </is>
      </c>
      <c r="P131" s="167" t="n"/>
      <c r="Q131" s="170" t="inlineStr">
        <is>
          <t>Colombia</t>
        </is>
      </c>
      <c r="R131" s="168" t="n">
        <v>46317</v>
      </c>
      <c r="S131" s="169" t="inlineStr">
        <is>
          <t>2026-Q4</t>
        </is>
      </c>
      <c r="T131" s="171" t="inlineStr">
        <is>
          <t>sinkhole</t>
        </is>
      </c>
      <c r="U131" s="159" t="n">
        <v>4</v>
      </c>
      <c r="V131" s="172" t="inlineStr">
        <is>
          <t>https://news.google.com/rss/articles/CBMi7AFBVV95cUxON0hLN3oxMFdMX0dlRUtVNHhVQ2Y2Nk00NHlEUUVSb1N0bmRXakNHcUNOcFcyVWl1UXp1Wm5ObjE1X0RDdThWSWJZazE2WVA5MTR0ckM0OV9BeHVOUFoySjUyRFdrN1FiVDVzd253R0JKSE9yN3ZzN0NHS1hJSGwxNmVQUzVyZlNsbURWQ3ZBdktrTkdYWElFcVBpVm5FU3pFeGZpNkl4V08zMkpGOTM2R0czXzJVS1NTcXBGcnViOXZmTmJJRFJkNXpSUTNEanFWeWpDdU9xbE9mVXFndU1zNVh2TC0zcHpuWEcwcg?oc=5</t>
        </is>
      </c>
      <c r="W131" s="173">
        <f>IF($B131="",0,IF(AND(OR(OR(Dashboard!$B$5="All themes",Dashboard!$B$5=""),$C131=Dashboard!$B$5),OR(OR(Dashboard!$G$5="All uses",Dashboard!$G$5=""),$E131=Dashboard!$G$5),N($D131)&gt;=Lists!$H$2,OR(OR(Dashboard!$N$5="All windows",Dashboard!$N$5=""),$S131=Dashboard!$N$5)),1,0))</f>
        <v/>
      </c>
      <c r="X131" s="174">
        <f>IF($W131=1,N($D131)*1E14+MIN(MAX(N($U131),0),9999)*1E10+MIN(N($K131),99999)*1E5+99999-MIN(ROW(),99999),"")</f>
        <v/>
      </c>
    </row>
    <row r="132" ht="65.5" customHeight="1">
      <c r="A132" s="159" t="n">
        <v>129</v>
      </c>
      <c r="B132" s="160" t="inlineStr">
        <is>
          <t>What lies inside the hole over two hectares wide in the middle of Phong Nha-Ke Bang forest?</t>
        </is>
      </c>
      <c r="C132" s="184" t="inlineStr">
        <is>
          <t>Characterisation &amp; Modelling</t>
        </is>
      </c>
      <c r="D132" s="162" t="n">
        <v>4</v>
      </c>
      <c r="E132" s="163" t="inlineStr">
        <is>
          <t>Feature lead</t>
        </is>
      </c>
      <c r="F132" s="164" t="inlineStr">
        <is>
          <t>To review</t>
        </is>
      </c>
      <c r="G132" s="165" t="n"/>
      <c r="H132" s="166" t="n"/>
      <c r="I132" s="167" t="inlineStr">
        <is>
          <t>What karst processes, such as collapse or dissolution, could create a large sinkhole of over two hectares in a tropical forest, and how should it be investigated and monitored?</t>
        </is>
      </c>
      <c r="J132" s="167" t="inlineStr">
        <is>
          <t>Vietnam.vn</t>
        </is>
      </c>
      <c r="K132" s="168" t="n">
        <v>46319</v>
      </c>
      <c r="L132" s="167" t="inlineStr">
        <is>
          <t>ما الذي يوجد داخل الحفرة التي تزيد مساحتها عن هكتارين في وسط غابة فونغ نها - كي بانغ؟</t>
        </is>
      </c>
      <c r="M132" s="167" t="n"/>
      <c r="N132" s="169" t="inlineStr">
        <is>
          <t>Vietnam</t>
        </is>
      </c>
      <c r="O132" s="167" t="inlineStr">
        <is>
          <t>Phong Nha-Ke Bang</t>
        </is>
      </c>
      <c r="P132" s="167" t="n"/>
      <c r="Q132" s="170" t="inlineStr">
        <is>
          <t>Egypt</t>
        </is>
      </c>
      <c r="R132" s="168" t="n">
        <v>46319</v>
      </c>
      <c r="S132" s="169" t="inlineStr">
        <is>
          <t>2026-Q4</t>
        </is>
      </c>
      <c r="T132" s="171" t="n"/>
      <c r="U132" s="159" t="n">
        <v>0</v>
      </c>
      <c r="V132" s="172" t="inlineStr">
        <is>
          <t>https://news.google.com/rss/articles/CBMijAFBVV95cUxOLWcwOXFBTWY2NnVDYW5EVi1yMldxeWpKd3NNTjB6SjMtS2FFRjBYQUd6ek1FYkVnVndOX0J3YXk1a3dVZW9KRWFCaV9KaHc4a25tdDBTWmFXc2hnU09sWEtNb2gxVjFhQ3RJaEJpVWhURWowRjNwVlV6ZG9RWVRlb1lpYXBrUV9YU0dDOQ?oc=5</t>
        </is>
      </c>
      <c r="W132" s="173">
        <f>IF($B132="",0,IF(AND(OR(OR(Dashboard!$B$5="All themes",Dashboard!$B$5=""),$C132=Dashboard!$B$5),OR(OR(Dashboard!$G$5="All uses",Dashboard!$G$5=""),$E132=Dashboard!$G$5),N($D132)&gt;=Lists!$H$2,OR(OR(Dashboard!$N$5="All windows",Dashboard!$N$5=""),$S132=Dashboard!$N$5)),1,0))</f>
        <v/>
      </c>
      <c r="X132" s="174">
        <f>IF($W132=1,N($D132)*1E14+MIN(MAX(N($U132),0),9999)*1E10+MIN(N($K132),99999)*1E5+99999-MIN(ROW(),99999),"")</f>
        <v/>
      </c>
    </row>
    <row r="133" ht="53" customHeight="1">
      <c r="A133" s="159" t="n">
        <v>130</v>
      </c>
      <c r="B133" s="160" t="inlineStr">
        <is>
          <t>Analytical study of 3D transient dynamic response of a cylindrical cavity in an elastic medium under triangular pulse load.</t>
        </is>
      </c>
      <c r="C133" s="184" t="inlineStr">
        <is>
          <t>Characterisation &amp; Modelling</t>
        </is>
      </c>
      <c r="D133" s="162" t="n">
        <v>4</v>
      </c>
      <c r="E133" s="182" t="inlineStr">
        <is>
          <t>Academia-to-Industry topic</t>
        </is>
      </c>
      <c r="F133" s="164" t="inlineStr">
        <is>
          <t>To review</t>
        </is>
      </c>
      <c r="G133" s="165" t="n"/>
      <c r="H133" s="166" t="n"/>
      <c r="I133" s="167" t="inlineStr">
        <is>
          <t>How do analytical solutions for a cylindrical cavity under triangular pulse loads inform the validation of numerical models for underground openings under impact?</t>
        </is>
      </c>
      <c r="J133" s="167" t="inlineStr">
        <is>
          <t>生物通</t>
        </is>
      </c>
      <c r="K133" s="168" t="n">
        <v>46319</v>
      </c>
      <c r="L133" s="167" t="inlineStr">
        <is>
          <t>弹性介质中圆柱形空腔受三角形脉冲冲击载荷的三维瞬态动力响应解析研究</t>
        </is>
      </c>
      <c r="M133" s="167" t="n"/>
      <c r="N133" s="169" t="n"/>
      <c r="O133" s="167" t="n"/>
      <c r="P133" s="167" t="n"/>
      <c r="Q133" s="170" t="inlineStr">
        <is>
          <t>China</t>
        </is>
      </c>
      <c r="R133" s="168" t="n">
        <v>46318</v>
      </c>
      <c r="S133" s="169" t="inlineStr">
        <is>
          <t>2026-Q4</t>
        </is>
      </c>
      <c r="T133" s="171" t="n"/>
      <c r="U133" s="159" t="n">
        <v>0</v>
      </c>
      <c r="V133" s="172" t="inlineStr">
        <is>
          <t>https://news.google.com/rss/articles/CBMibkFVX3lxTE5PclBzMHZTYkNxbkRYVWFacWgzMjRTdE1JdmNYSi1xbTlBaVZLRTVjTHpCTlQ4c2lEQ2xoMk9kcEdROGxBOFI4Zk9YV3JGSXdUZDg1blVlelJzbU54VjkzTkUySEV5Z2x2aHY5R0xB?oc=5</t>
        </is>
      </c>
      <c r="W133" s="173">
        <f>IF($B133="",0,IF(AND(OR(OR(Dashboard!$B$5="All themes",Dashboard!$B$5=""),$C133=Dashboard!$B$5),OR(OR(Dashboard!$G$5="All uses",Dashboard!$G$5=""),$E133=Dashboard!$G$5),N($D133)&gt;=Lists!$H$2,OR(OR(Dashboard!$N$5="All windows",Dashboard!$N$5=""),$S133=Dashboard!$N$5)),1,0))</f>
        <v/>
      </c>
      <c r="X133" s="174">
        <f>IF($W133=1,N($D133)*1E14+MIN(MAX(N($U133),0),9999)*1E10+MIN(N($K133),99999)*1E5+99999-MIN(ROW(),99999),"")</f>
        <v/>
      </c>
    </row>
    <row r="134" ht="53" customHeight="1">
      <c r="A134" s="159" t="n">
        <v>131</v>
      </c>
      <c r="B134" s="160" t="inlineStr">
        <is>
          <t>Concerns over riverbank erosion leading to loss of farmland</t>
        </is>
      </c>
      <c r="C134" s="179" t="inlineStr">
        <is>
          <t>Offshore, Coasts &amp; Water</t>
        </is>
      </c>
      <c r="D134" s="162" t="n">
        <v>4</v>
      </c>
      <c r="E134" s="163" t="inlineStr">
        <is>
          <t>Feature lead</t>
        </is>
      </c>
      <c r="F134" s="164" t="inlineStr">
        <is>
          <t>To review</t>
        </is>
      </c>
      <c r="G134" s="165" t="n"/>
      <c r="H134" s="166" t="n"/>
      <c r="I134" s="167" t="inlineStr">
        <is>
          <t>What bank erosion mechanisms and protection measures are effective for riverbanks threatening farmland, and how can they be monitored over time?</t>
        </is>
      </c>
      <c r="J134" s="167" t="inlineStr">
        <is>
          <t>Vietnam.vn</t>
        </is>
      </c>
      <c r="K134" s="168" t="n">
        <v>46319</v>
      </c>
      <c r="L134" s="167" t="inlineStr">
        <is>
          <t>مخاوف بشأن تآكل ضفاف الأنهار مما يؤدي إلى فقدان الأراضي الزراعية.</t>
        </is>
      </c>
      <c r="M134" s="167" t="n"/>
      <c r="N134" s="169" t="inlineStr">
        <is>
          <t>Vietnam</t>
        </is>
      </c>
      <c r="O134" s="167" t="n"/>
      <c r="P134" s="167" t="n"/>
      <c r="Q134" s="170" t="inlineStr">
        <is>
          <t>Egypt</t>
        </is>
      </c>
      <c r="R134" s="168" t="n">
        <v>46318</v>
      </c>
      <c r="S134" s="169" t="inlineStr">
        <is>
          <t>2026-Q4</t>
        </is>
      </c>
      <c r="T134" s="171" t="n"/>
      <c r="U134" s="159" t="n">
        <v>0</v>
      </c>
      <c r="V134" s="172" t="inlineStr">
        <is>
          <t>https://news.google.com/rss/articles/CBMic0FVX3lxTE85MmNnNDd2QkUzaFV4QTZmTmJXNTAzbUZfMjdpdlNaSjEyODN0eW51ZUp0RzE3SHY2NzRuQlZtOHdtcnFQLWlBOGQ5eVQ3QTU1REJMWTRvZm1qTFZHZWZ0ZU9WTGRiYkhJNGVEaEliZW9GZWc?oc=5</t>
        </is>
      </c>
      <c r="W134" s="173">
        <f>IF($B134="",0,IF(AND(OR(OR(Dashboard!$B$5="All themes",Dashboard!$B$5=""),$C134=Dashboard!$B$5),OR(OR(Dashboard!$G$5="All uses",Dashboard!$G$5=""),$E134=Dashboard!$G$5),N($D134)&gt;=Lists!$H$2,OR(OR(Dashboard!$N$5="All windows",Dashboard!$N$5=""),$S134=Dashboard!$N$5)),1,0))</f>
        <v/>
      </c>
      <c r="X134" s="174">
        <f>IF($W134=1,N($D134)*1E14+MIN(MAX(N($U134),0),9999)*1E10+MIN(N($K134),99999)*1E5+99999-MIN(ROW(),99999),"")</f>
        <v/>
      </c>
    </row>
    <row r="135" ht="53" customHeight="1">
      <c r="A135" s="159" t="n">
        <v>132</v>
      </c>
      <c r="B135" s="160" t="inlineStr">
        <is>
          <t>Quang Tri: Severe sea erosion threatens dykes and residents' livelihoods</t>
        </is>
      </c>
      <c r="C135" s="179" t="inlineStr">
        <is>
          <t>Offshore, Coasts &amp; Water</t>
        </is>
      </c>
      <c r="D135" s="162" t="n">
        <v>4</v>
      </c>
      <c r="E135" s="163" t="inlineStr">
        <is>
          <t>Feature lead</t>
        </is>
      </c>
      <c r="F135" s="164" t="inlineStr">
        <is>
          <t>To review</t>
        </is>
      </c>
      <c r="G135" s="165" t="n"/>
      <c r="H135" s="166" t="n"/>
      <c r="I135" s="167" t="inlineStr">
        <is>
          <t>How do sea-level-driven erosion and scour undermine sea dyke foundations in Quang Tri, and which revetment and foundation designs suit eroding sandy coastal soils?</t>
        </is>
      </c>
      <c r="J135" s="167" t="inlineStr">
        <is>
          <t>Người Đưa Tin</t>
        </is>
      </c>
      <c r="K135" s="168" t="n">
        <v>46319</v>
      </c>
      <c r="L135" s="167" t="inlineStr">
        <is>
          <t>Quảng Trị: Biển xâm thực nghiêm trọng đe dọa đê kè và đời sống người dân</t>
        </is>
      </c>
      <c r="M135" s="167" t="n"/>
      <c r="N135" s="169" t="inlineStr">
        <is>
          <t>Vietnam</t>
        </is>
      </c>
      <c r="O135" s="167" t="inlineStr">
        <is>
          <t>Quang Tri</t>
        </is>
      </c>
      <c r="P135" s="167" t="n"/>
      <c r="Q135" s="170" t="inlineStr">
        <is>
          <t>Vietnam</t>
        </is>
      </c>
      <c r="R135" s="168" t="n">
        <v>46318</v>
      </c>
      <c r="S135" s="169" t="inlineStr">
        <is>
          <t>2026-Q4</t>
        </is>
      </c>
      <c r="T135" s="171" t="n"/>
      <c r="U135" s="159" t="n">
        <v>0</v>
      </c>
      <c r="V135" s="172" t="inlineStr">
        <is>
          <t>https://news.google.com/rss/articles/CBMivgFBVV95cUxOeUJHRExHRm0xT2ZMLXFqWWFjaXRUWDFrY2FpaDdYc3dlVy1tYy1GQ1hZSDk1OFZFVElOOU5NMVVia21KM2xPSUhWdnk3ZHRkTWV1emJBZkhQclp3aUtiUzRiX0dVZUZhaGRpUWlJUE8tUmhha1ZLUS1TRGM2dGlxRWJ2UWFkNGNsakZ6S1NTMWw0NGp0V0Zlc0xXTzBTRkJKaGZPT2tNcExKRHBaZXN2U3pIMkVKNTRVdy1mUkxB?oc=5</t>
        </is>
      </c>
      <c r="W135" s="173">
        <f>IF($B135="",0,IF(AND(OR(OR(Dashboard!$B$5="All themes",Dashboard!$B$5=""),$C135=Dashboard!$B$5),OR(OR(Dashboard!$G$5="All uses",Dashboard!$G$5=""),$E135=Dashboard!$G$5),N($D135)&gt;=Lists!$H$2,OR(OR(Dashboard!$N$5="All windows",Dashboard!$N$5=""),$S135=Dashboard!$N$5)),1,0))</f>
        <v/>
      </c>
      <c r="X135" s="174">
        <f>IF($W135=1,N($D135)*1E14+MIN(MAX(N($U135),0),9999)*1E10+MIN(N($K135),99999)*1E5+99999-MIN(ROW(),99999),"")</f>
        <v/>
      </c>
    </row>
    <row r="136" ht="65.5" customHeight="1">
      <c r="A136" s="159" t="n">
        <v>133</v>
      </c>
      <c r="B136" s="160" t="inlineStr">
        <is>
          <t>Ben Thanh - Tham Luong metro to have all 11 stations completed by end of 2026</t>
        </is>
      </c>
      <c r="C136" s="177" t="inlineStr">
        <is>
          <t>Infrastructure &amp; the Underground City</t>
        </is>
      </c>
      <c r="D136" s="162" t="n">
        <v>4</v>
      </c>
      <c r="E136" s="163" t="inlineStr">
        <is>
          <t>Feature lead</t>
        </is>
      </c>
      <c r="F136" s="164" t="inlineStr">
        <is>
          <t>To review</t>
        </is>
      </c>
      <c r="G136" s="165" t="n"/>
      <c r="H136" s="166" t="n"/>
      <c r="I136" s="167" t="inlineStr">
        <is>
          <t>What ground conditions and deep excavation and tunnelling methods are used for metro stations in soft Ho Chi Minh City clays with high groundwater, and what risks follow?</t>
        </is>
      </c>
      <c r="J136" s="167" t="inlineStr">
        <is>
          <t>VOH</t>
        </is>
      </c>
      <c r="K136" s="168" t="n">
        <v>46319</v>
      </c>
      <c r="L136" s="167" t="inlineStr">
        <is>
          <t>Metro Bến Thành - Tham Lương cuối năm 2026 làm cả 11 nhà ga</t>
        </is>
      </c>
      <c r="M136" s="167" t="n"/>
      <c r="N136" s="169" t="inlineStr">
        <is>
          <t>Vietnam</t>
        </is>
      </c>
      <c r="O136" s="167" t="inlineStr">
        <is>
          <t>Ho Chi Minh City</t>
        </is>
      </c>
      <c r="P136" s="167" t="n"/>
      <c r="Q136" s="170" t="inlineStr">
        <is>
          <t>Vietnam</t>
        </is>
      </c>
      <c r="R136" s="168" t="n">
        <v>46318</v>
      </c>
      <c r="S136" s="169" t="inlineStr">
        <is>
          <t>2026-Q4</t>
        </is>
      </c>
      <c r="T136" s="171" t="n"/>
      <c r="U136" s="159" t="n">
        <v>0</v>
      </c>
      <c r="V136" s="172" t="inlineStr">
        <is>
          <t>https://news.google.com/rss/articles/CBMioAFBVV95cUxQdGo5XzZaLXUtaGVxUE5qb0ltRENoMjhVWlN4b0dqZFpPREJTNGw4Rld2bmtEX2VnSlB4TkJYVkxPUjdzZXYxZ2tWOG5kaWpUSFF1UGRjaUNKY3NOTkpVeFZpOFhMOW1QYkZIQXZ0ZTV4NjBseUVBYzdBdDNPTGNtc0pMRXFSWWM0SmVhS05Ld2hVemp5bHdkX290ZFltU3NC?oc=5</t>
        </is>
      </c>
      <c r="W136" s="173">
        <f>IF($B136="",0,IF(AND(OR(OR(Dashboard!$B$5="All themes",Dashboard!$B$5=""),$C136=Dashboard!$B$5),OR(OR(Dashboard!$G$5="All uses",Dashboard!$G$5=""),$E136=Dashboard!$G$5),N($D136)&gt;=Lists!$H$2,OR(OR(Dashboard!$N$5="All windows",Dashboard!$N$5=""),$S136=Dashboard!$N$5)),1,0))</f>
        <v/>
      </c>
      <c r="X136" s="174">
        <f>IF($W136=1,N($D136)*1E14+MIN(MAX(N($U136),0),9999)*1E10+MIN(N($K136),99999)*1E5+99999-MIN(ROW(),99999),"")</f>
        <v/>
      </c>
    </row>
    <row r="137" ht="40.5" customHeight="1">
      <c r="A137" s="159" t="n">
        <v>134</v>
      </c>
      <c r="B137" s="160" t="inlineStr">
        <is>
          <t>Snowy 2.0 cost and completion date revised</t>
        </is>
      </c>
      <c r="C137" s="176" t="inlineStr">
        <is>
          <t>Sustainability &amp; the Energy Transition</t>
        </is>
      </c>
      <c r="D137" s="162" t="n">
        <v>3</v>
      </c>
      <c r="E137" s="180" t="inlineStr">
        <is>
          <t>News brief</t>
        </is>
      </c>
      <c r="F137" s="164" t="inlineStr">
        <is>
          <t>To review</t>
        </is>
      </c>
      <c r="G137" s="165" t="n"/>
      <c r="H137" s="166" t="n"/>
      <c r="I137" s="167" t="inlineStr">
        <is>
          <t>What ground-related risks drive cost and schedule overruns in large pumped hydro cavern and tunnel excavations?</t>
        </is>
      </c>
      <c r="J137" s="167" t="inlineStr">
        <is>
          <t>Tunnels &amp; Tunnelling</t>
        </is>
      </c>
      <c r="K137" s="168" t="n">
        <v>46319</v>
      </c>
      <c r="L137" s="167" t="n"/>
      <c r="M137" s="167" t="n"/>
      <c r="N137" s="169" t="inlineStr">
        <is>
          <t>Australia</t>
        </is>
      </c>
      <c r="O137" s="167" t="inlineStr">
        <is>
          <t>Snowy Mountains</t>
        </is>
      </c>
      <c r="P137" s="167" t="n"/>
      <c r="Q137" s="170" t="n"/>
      <c r="R137" s="168" t="n">
        <v>46318</v>
      </c>
      <c r="S137" s="169" t="inlineStr">
        <is>
          <t>2026-Q4</t>
        </is>
      </c>
      <c r="T137" s="171" t="inlineStr">
        <is>
          <t>excavation, tbm, tunnelling, tunnel</t>
        </is>
      </c>
      <c r="U137" s="159" t="n">
        <v>10</v>
      </c>
      <c r="V137" s="172" t="inlineStr">
        <is>
          <t>https://www.tunnelsandtunnelling.com/news/snowy-2-0-cost-and-completion-date-revised/</t>
        </is>
      </c>
      <c r="W137" s="173">
        <f>IF($B137="",0,IF(AND(OR(OR(Dashboard!$B$5="All themes",Dashboard!$B$5=""),$C137=Dashboard!$B$5),OR(OR(Dashboard!$G$5="All uses",Dashboard!$G$5=""),$E137=Dashboard!$G$5),N($D137)&gt;=Lists!$H$2,OR(OR(Dashboard!$N$5="All windows",Dashboard!$N$5=""),$S137=Dashboard!$N$5)),1,0))</f>
        <v/>
      </c>
      <c r="X137" s="174">
        <f>IF($W137=1,N($D137)*1E14+MIN(MAX(N($U137),0),9999)*1E10+MIN(N($K137),99999)*1E5+99999-MIN(ROW(),99999),"")</f>
        <v/>
      </c>
    </row>
    <row r="138" ht="53" customHeight="1">
      <c r="A138" s="159" t="n">
        <v>135</v>
      </c>
      <c r="B138" s="160" t="inlineStr">
        <is>
          <t>Mobile shield deployed for A14 Vinci Tunnel reconstruction</t>
        </is>
      </c>
      <c r="C138" s="177" t="inlineStr">
        <is>
          <t>Infrastructure &amp; the Underground City</t>
        </is>
      </c>
      <c r="D138" s="162" t="n">
        <v>3</v>
      </c>
      <c r="E138" s="180" t="inlineStr">
        <is>
          <t>News brief</t>
        </is>
      </c>
      <c r="F138" s="164" t="inlineStr">
        <is>
          <t>To review</t>
        </is>
      </c>
      <c r="G138" s="165" t="n"/>
      <c r="H138" s="166" t="n"/>
      <c r="I138" s="167" t="inlineStr">
        <is>
          <t>How does a mobile shield enable tunnel reconstruction within an operating motorway tunnel, and what ground support issues arise?</t>
        </is>
      </c>
      <c r="J138" s="167" t="inlineStr">
        <is>
          <t>Tunnelling Journal</t>
        </is>
      </c>
      <c r="K138" s="168" t="n">
        <v>46319</v>
      </c>
      <c r="L138" s="167" t="n"/>
      <c r="M138" s="167" t="n"/>
      <c r="N138" s="169" t="inlineStr">
        <is>
          <t>Italy</t>
        </is>
      </c>
      <c r="O138" s="167" t="inlineStr">
        <is>
          <t>A14 Vinci Tunnel</t>
        </is>
      </c>
      <c r="P138" s="167" t="n"/>
      <c r="Q138" s="170" t="n"/>
      <c r="R138" s="168" t="n">
        <v>46317</v>
      </c>
      <c r="S138" s="169" t="inlineStr">
        <is>
          <t>2026-Q4</t>
        </is>
      </c>
      <c r="T138" s="171" t="inlineStr">
        <is>
          <t>tunnelling, tunnel</t>
        </is>
      </c>
      <c r="U138" s="159" t="n">
        <v>7</v>
      </c>
      <c r="V138" s="172" t="inlineStr">
        <is>
          <t>https://tunnellingjournal.com/mobile-shield-deployed-for-a14-vinci-tunnel-reconstruction/</t>
        </is>
      </c>
      <c r="W138" s="173">
        <f>IF($B138="",0,IF(AND(OR(OR(Dashboard!$B$5="All themes",Dashboard!$B$5=""),$C138=Dashboard!$B$5),OR(OR(Dashboard!$G$5="All uses",Dashboard!$G$5=""),$E138=Dashboard!$G$5),N($D138)&gt;=Lists!$H$2,OR(OR(Dashboard!$N$5="All windows",Dashboard!$N$5=""),$S138=Dashboard!$N$5)),1,0))</f>
        <v/>
      </c>
      <c r="X138" s="174">
        <f>IF($W138=1,N($D138)*1E14+MIN(MAX(N($U138),0),9999)*1E10+MIN(N($K138),99999)*1E5+99999-MIN(ROW(),99999),"")</f>
        <v/>
      </c>
    </row>
    <row r="139" ht="53" customHeight="1">
      <c r="A139" s="159" t="n">
        <v>136</v>
      </c>
      <c r="B139" s="160" t="inlineStr">
        <is>
          <t>What options exist for Mot Mountain in Quy Nhon: levelling it or preserving the historic site?</t>
        </is>
      </c>
      <c r="C139" s="177" t="inlineStr">
        <is>
          <t>Infrastructure &amp; the Underground City</t>
        </is>
      </c>
      <c r="D139" s="162" t="n">
        <v>3</v>
      </c>
      <c r="E139" s="163" t="inlineStr">
        <is>
          <t>Feature lead</t>
        </is>
      </c>
      <c r="F139" s="164" t="inlineStr">
        <is>
          <t>To review</t>
        </is>
      </c>
      <c r="G139" s="165" t="n"/>
      <c r="H139" s="166" t="n"/>
      <c r="I139" s="167" t="inlineStr">
        <is>
          <t>What geotechnical and heritage considerations should guide levelling versus preserving a rocky hill site in an urban coastal city?</t>
        </is>
      </c>
      <c r="J139" s="167" t="inlineStr">
        <is>
          <t>Vietnam.vn</t>
        </is>
      </c>
      <c r="K139" s="168" t="n">
        <v>46319</v>
      </c>
      <c r="L139" s="167" t="inlineStr">
        <is>
          <t>Apa saja pilihan yang tersedia untuk Gunung Mot di Quy Nhon: meratakannya atau melestarikan situs bersejarah tersebut?</t>
        </is>
      </c>
      <c r="M139" s="167" t="n"/>
      <c r="N139" s="169" t="inlineStr">
        <is>
          <t>Vietnam</t>
        </is>
      </c>
      <c r="O139" s="167" t="inlineStr">
        <is>
          <t>Mot Mountain, Quy Nhon</t>
        </is>
      </c>
      <c r="P139" s="167" t="inlineStr">
        <is>
          <t>Mot Mountain levelling proposal, Quy Nhon, Vietnam · Event · 2 reports</t>
        </is>
      </c>
      <c r="Q139" s="170" t="inlineStr">
        <is>
          <t>Indonesia</t>
        </is>
      </c>
      <c r="R139" s="168" t="n">
        <v>46319</v>
      </c>
      <c r="S139" s="169" t="inlineStr">
        <is>
          <t>2026-Q4</t>
        </is>
      </c>
      <c r="T139" s="171" t="n"/>
      <c r="U139" s="159" t="n">
        <v>6</v>
      </c>
      <c r="V139" s="172" t="inlineStr">
        <is>
          <t>https://news.google.com/rss/articles/CBMilgFBVV95cUxPbVV1NmdrOGFidElfXzZzV1ppbDBCOEc5V0luUWxOSTAwMXNGdmhVMkoxMjUwSUpmbU5lQlBuNkFVTXZGMk5IRzd5Y0taREt0ckRUT3VqSjBfbGFPTmRjUTZFS18wLTQ5Wi1ZdnFtYWd1QmN0U0Nsekx4ZzR0YVk0dmhhTXVpTW1rdEpCbGlKLTZNVXVzMEE?oc=5</t>
        </is>
      </c>
      <c r="W139" s="173">
        <f>IF($B139="",0,IF(AND(OR(OR(Dashboard!$B$5="All themes",Dashboard!$B$5=""),$C139=Dashboard!$B$5),OR(OR(Dashboard!$G$5="All uses",Dashboard!$G$5=""),$E139=Dashboard!$G$5),N($D139)&gt;=Lists!$H$2,OR(OR(Dashboard!$N$5="All windows",Dashboard!$N$5=""),$S139=Dashboard!$N$5)),1,0))</f>
        <v/>
      </c>
      <c r="X139" s="174">
        <f>IF($W139=1,N($D139)*1E14+MIN(MAX(N($U139),0),9999)*1E10+MIN(N($K139),99999)*1E5+99999-MIN(ROW(),99999),"")</f>
        <v/>
      </c>
    </row>
    <row r="140" ht="40.5" customHeight="1">
      <c r="A140" s="159" t="n">
        <v>137</v>
      </c>
      <c r="B140" s="160" t="inlineStr">
        <is>
          <t>Abergeldie awarded patent for underground hydrogen storage solution</t>
        </is>
      </c>
      <c r="C140" s="176" t="inlineStr">
        <is>
          <t>Sustainability &amp; the Energy Transition</t>
        </is>
      </c>
      <c r="D140" s="162" t="n">
        <v>3</v>
      </c>
      <c r="E140" s="182" t="inlineStr">
        <is>
          <t>Academia-to-Industry topic</t>
        </is>
      </c>
      <c r="F140" s="164" t="inlineStr">
        <is>
          <t>To review</t>
        </is>
      </c>
      <c r="G140" s="165" t="n"/>
      <c r="H140" s="166" t="n"/>
      <c r="I140" s="167" t="inlineStr">
        <is>
          <t>What ground conditions and geomechanical criteria govern underground hydrogen storage, and how does blind boring apply?</t>
        </is>
      </c>
      <c r="J140" s="167" t="inlineStr">
        <is>
          <t>Tunnels &amp; Tunnelling</t>
        </is>
      </c>
      <c r="K140" s="168" t="n">
        <v>46319</v>
      </c>
      <c r="L140" s="167" t="n"/>
      <c r="M140" s="167" t="n"/>
      <c r="N140" s="169" t="n"/>
      <c r="O140" s="167" t="n"/>
      <c r="P140" s="167" t="n"/>
      <c r="Q140" s="170" t="n"/>
      <c r="R140" s="168" t="n">
        <v>46318</v>
      </c>
      <c r="S140" s="169" t="inlineStr">
        <is>
          <t>2026-Q4</t>
        </is>
      </c>
      <c r="T140" s="171" t="inlineStr">
        <is>
          <t>tunnelling, tunnel</t>
        </is>
      </c>
      <c r="U140" s="159" t="n">
        <v>5</v>
      </c>
      <c r="V140" s="172" t="inlineStr">
        <is>
          <t>https://www.tunnelsandtunnelling.com/news/abergeldie-awarded-patent-for-underground-hydrogen-storage-solution/</t>
        </is>
      </c>
      <c r="W140" s="173">
        <f>IF($B140="",0,IF(AND(OR(OR(Dashboard!$B$5="All themes",Dashboard!$B$5=""),$C140=Dashboard!$B$5),OR(OR(Dashboard!$G$5="All uses",Dashboard!$G$5=""),$E140=Dashboard!$G$5),N($D140)&gt;=Lists!$H$2,OR(OR(Dashboard!$N$5="All windows",Dashboard!$N$5=""),$S140=Dashboard!$N$5)),1,0))</f>
        <v/>
      </c>
      <c r="X140" s="174">
        <f>IF($W140=1,N($D140)*1E14+MIN(MAX(N($U140),0),9999)*1E10+MIN(N($K140),99999)*1E5+99999-MIN(ROW(),99999),"")</f>
        <v/>
      </c>
    </row>
    <row r="141" ht="40.5" customHeight="1">
      <c r="A141" s="159" t="n">
        <v>138</v>
      </c>
      <c r="B141" s="160" t="inlineStr">
        <is>
          <t>Snowy 2.0 cost rises to A$22.2bn</t>
        </is>
      </c>
      <c r="C141" s="176" t="inlineStr">
        <is>
          <t>Sustainability &amp; the Energy Transition</t>
        </is>
      </c>
      <c r="D141" s="162" t="n">
        <v>3</v>
      </c>
      <c r="E141" s="180" t="inlineStr">
        <is>
          <t>News brief</t>
        </is>
      </c>
      <c r="F141" s="164" t="inlineStr">
        <is>
          <t>To review</t>
        </is>
      </c>
      <c r="G141" s="165" t="n"/>
      <c r="H141" s="166" t="n"/>
      <c r="I141" s="167" t="inlineStr">
        <is>
          <t>What ground-related factors drive repeated cost increases in large underground pumped hydro projects?</t>
        </is>
      </c>
      <c r="J141" s="167" t="inlineStr">
        <is>
          <t>Tunnelling Journal</t>
        </is>
      </c>
      <c r="K141" s="168" t="n">
        <v>46319</v>
      </c>
      <c r="L141" s="167" t="n"/>
      <c r="M141" s="167" t="n"/>
      <c r="N141" s="169" t="inlineStr">
        <is>
          <t>Australia</t>
        </is>
      </c>
      <c r="O141" s="167" t="inlineStr">
        <is>
          <t>Snowy Mountains</t>
        </is>
      </c>
      <c r="P141" s="167" t="n"/>
      <c r="Q141" s="170" t="n"/>
      <c r="R141" s="168" t="n">
        <v>46318</v>
      </c>
      <c r="S141" s="169" t="inlineStr">
        <is>
          <t>2026-Q4</t>
        </is>
      </c>
      <c r="T141" s="171" t="inlineStr">
        <is>
          <t>tunnelling</t>
        </is>
      </c>
      <c r="U141" s="159" t="n">
        <v>5</v>
      </c>
      <c r="V141" s="172" t="inlineStr">
        <is>
          <t>https://tunnellingjournal.com/snowy-2-0-cost-rises-to-a22-2bn-as-tunnelling-reaches-65-completion/</t>
        </is>
      </c>
      <c r="W141" s="173">
        <f>IF($B141="",0,IF(AND(OR(OR(Dashboard!$B$5="All themes",Dashboard!$B$5=""),$C141=Dashboard!$B$5),OR(OR(Dashboard!$G$5="All uses",Dashboard!$G$5=""),$E141=Dashboard!$G$5),N($D141)&gt;=Lists!$H$2,OR(OR(Dashboard!$N$5="All windows",Dashboard!$N$5=""),$S141=Dashboard!$N$5)),1,0))</f>
        <v/>
      </c>
      <c r="X141" s="174">
        <f>IF($W141=1,N($D141)*1E14+MIN(MAX(N($U141),0),9999)*1E10+MIN(N($K141),99999)*1E5+99999-MIN(ROW(),99999),"")</f>
        <v/>
      </c>
    </row>
    <row r="142" ht="53" customHeight="1">
      <c r="A142" s="159" t="n">
        <v>139</v>
      </c>
      <c r="B142" s="160" t="inlineStr">
        <is>
          <t>Minvu advances 121 housing support cases in Villa El Mirador, Arauco, and prepares soil study</t>
        </is>
      </c>
      <c r="C142" s="184" t="inlineStr">
        <is>
          <t>Characterisation &amp; Modelling</t>
        </is>
      </c>
      <c r="D142" s="162" t="n">
        <v>3</v>
      </c>
      <c r="E142" s="180" t="inlineStr">
        <is>
          <t>News brief</t>
        </is>
      </c>
      <c r="F142" s="164" t="inlineStr">
        <is>
          <t>To review</t>
        </is>
      </c>
      <c r="G142" s="165" t="n"/>
      <c r="H142" s="166" t="n"/>
      <c r="I142" s="167" t="inlineStr">
        <is>
          <t>What soil investigation is needed before housing support works on this site, and how should ground conditions shape foundation choice?</t>
        </is>
      </c>
      <c r="J142" s="167" t="inlineStr">
        <is>
          <t>Trade-news.cl</t>
        </is>
      </c>
      <c r="K142" s="168" t="n">
        <v>46319</v>
      </c>
      <c r="L142" s="167" t="inlineStr">
        <is>
          <t>Minvu avanza en 121 casos de apoyo habitacional en la Villa El Mirador de Arauco y prepara estudio de suelos</t>
        </is>
      </c>
      <c r="M142" s="167" t="n"/>
      <c r="N142" s="169" t="inlineStr">
        <is>
          <t>Chile</t>
        </is>
      </c>
      <c r="O142" s="167" t="inlineStr">
        <is>
          <t>Villa El Mirador, Arauco</t>
        </is>
      </c>
      <c r="P142" s="167" t="inlineStr">
        <is>
          <t>Arauco sinkhole, Chile (Oct 2026) · Event · 2 reports</t>
        </is>
      </c>
      <c r="Q142" s="170" t="inlineStr">
        <is>
          <t>Peru</t>
        </is>
      </c>
      <c r="R142" s="168" t="n">
        <v>46318</v>
      </c>
      <c r="S142" s="169" t="inlineStr">
        <is>
          <t>2026-Q4</t>
        </is>
      </c>
      <c r="T142" s="171" t="inlineStr">
        <is>
          <t>site investigation, soil</t>
        </is>
      </c>
      <c r="U142" s="159" t="n">
        <v>5</v>
      </c>
      <c r="V142" s="172" t="inlineStr">
        <is>
          <t>https://news.google.com/rss/articles/CBMiygFBVV95cUxNYnltUmU0VEdCNDdXUG4xWjNBYXRMUEdlU2dIanhJeHFBalFBOG9DaWx0Tk5KVnZqeGZSMkxZQTNNSkdzWTJHZl9oSDRRWXZOb2YwNFVLNWw5ZjBUY0ZZdTNpOWg5RlQ3M2xDMkt6bkRvMFhXc1k3bTZmVmpVLU9zdTEtQ1R6U1hvWmlPVHA3WjFwc1IwNldOSHV6UGI5VldtdS01bjQ4ZXl4d0N2bjBtWVFqRktLUkZtMFhtVmhrUUVkSEhBbmtJMjJ3?oc=5</t>
        </is>
      </c>
      <c r="W142" s="173">
        <f>IF($B142="",0,IF(AND(OR(OR(Dashboard!$B$5="All themes",Dashboard!$B$5=""),$C142=Dashboard!$B$5),OR(OR(Dashboard!$G$5="All uses",Dashboard!$G$5=""),$E142=Dashboard!$G$5),N($D142)&gt;=Lists!$H$2,OR(OR(Dashboard!$N$5="All windows",Dashboard!$N$5=""),$S142=Dashboard!$N$5)),1,0))</f>
        <v/>
      </c>
      <c r="X142" s="174">
        <f>IF($W142=1,N($D142)*1E14+MIN(MAX(N($U142),0),9999)*1E10+MIN(N($K142),99999)*1E5+99999-MIN(ROW(),99999),"")</f>
        <v/>
      </c>
    </row>
    <row r="143" ht="53" customHeight="1">
      <c r="A143" s="159" t="n">
        <v>140</v>
      </c>
      <c r="B143" s="160" t="inlineStr">
        <is>
          <t>Body of miner trapped in a tunnel collapse in Gámeza recovered</t>
        </is>
      </c>
      <c r="C143" s="183" t="inlineStr">
        <is>
          <t>Geotechnics &amp; Society</t>
        </is>
      </c>
      <c r="D143" s="162" t="n">
        <v>3</v>
      </c>
      <c r="E143" s="180" t="inlineStr">
        <is>
          <t>News brief</t>
        </is>
      </c>
      <c r="F143" s="164" t="inlineStr">
        <is>
          <t>To review</t>
        </is>
      </c>
      <c r="G143" s="165" t="n"/>
      <c r="H143" s="166" t="n"/>
      <c r="I143" s="167" t="inlineStr">
        <is>
          <t>What ground and support conditions lead to tunnel collapses in small mines, and how can rescue operations account for ground instability?</t>
        </is>
      </c>
      <c r="J143" s="167" t="inlineStr">
        <is>
          <t>Boyacá 7 Días</t>
        </is>
      </c>
      <c r="K143" s="168" t="n">
        <v>46319</v>
      </c>
      <c r="L143" s="167" t="inlineStr">
        <is>
          <t>Rescatan el cuerpo sin vida del minero que había quedado atrapado en un socavón en Gámeza</t>
        </is>
      </c>
      <c r="M143" s="167" t="n"/>
      <c r="N143" s="169" t="inlineStr">
        <is>
          <t>Colombia</t>
        </is>
      </c>
      <c r="O143" s="167" t="inlineStr">
        <is>
          <t>Gámeza, Boyacá</t>
        </is>
      </c>
      <c r="P143" s="167" t="n"/>
      <c r="Q143" s="170" t="inlineStr">
        <is>
          <t>Colombia</t>
        </is>
      </c>
      <c r="R143" s="168" t="n">
        <v>46317</v>
      </c>
      <c r="S143" s="169" t="inlineStr">
        <is>
          <t>2026-Q4</t>
        </is>
      </c>
      <c r="T143" s="171" t="inlineStr">
        <is>
          <t>sinkhole</t>
        </is>
      </c>
      <c r="U143" s="159" t="n">
        <v>4</v>
      </c>
      <c r="V143" s="172" t="inlineStr">
        <is>
          <t>https://news.google.com/rss/articles/CBMixwFBVV95cUxPZGJXSXRVamN6M3Z6Ymc2NnU0ODdaRThOc2tqRWNRQ0VLeklmMTViYzh1RVZESzNZOUlwVkZBUS0zcDB5UFFXdlB1TUM0N0NSU1BJZFNSRERhdnBSeS1jU1B3aVFUQmh6bkxCbUFROEJ1NS0wUDVuMUhFeGNleWtCVUxBendKR0dFekxHQVFNejlTN0hOcGZadDZmWGRiZHdGZ0xNZVRuc21BYnpUWHg3LWx4UzJPbHNxVUJpWWxLdUtWVEhBcnBr?oc=5</t>
        </is>
      </c>
      <c r="W143" s="173">
        <f>IF($B143="",0,IF(AND(OR(OR(Dashboard!$B$5="All themes",Dashboard!$B$5=""),$C143=Dashboard!$B$5),OR(OR(Dashboard!$G$5="All uses",Dashboard!$G$5=""),$E143=Dashboard!$G$5),N($D143)&gt;=Lists!$H$2,OR(OR(Dashboard!$N$5="All windows",Dashboard!$N$5=""),$S143=Dashboard!$N$5)),1,0))</f>
        <v/>
      </c>
      <c r="X143" s="174">
        <f>IF($W143=1,N($D143)*1E14+MIN(MAX(N($U143),0),9999)*1E10+MIN(N($K143),99999)*1E5+99999-MIN(ROW(),99999),"")</f>
        <v/>
      </c>
    </row>
    <row r="144" ht="40.5" customHeight="1">
      <c r="A144" s="159" t="n">
        <v>141</v>
      </c>
      <c r="B144" s="160" t="inlineStr">
        <is>
          <t>Strong waves on Mazatlán beaches form sinkhole in monument</t>
        </is>
      </c>
      <c r="C144" s="179" t="inlineStr">
        <is>
          <t>Offshore, Coasts &amp; Water</t>
        </is>
      </c>
      <c r="D144" s="162" t="n">
        <v>3</v>
      </c>
      <c r="E144" s="180" t="inlineStr">
        <is>
          <t>News brief</t>
        </is>
      </c>
      <c r="F144" s="164" t="inlineStr">
        <is>
          <t>To review</t>
        </is>
      </c>
      <c r="G144" s="165" t="n"/>
      <c r="H144" s="166" t="n"/>
      <c r="I144" s="167" t="inlineStr">
        <is>
          <t>How do wave action and beach sand erosion undermine coastal monuments and promenade ground in Mazatlán?</t>
        </is>
      </c>
      <c r="J144" s="167" t="inlineStr">
        <is>
          <t>El Universal</t>
        </is>
      </c>
      <c r="K144" s="168" t="n">
        <v>46319</v>
      </c>
      <c r="L144" s="167" t="inlineStr">
        <is>
          <t>Fuerte oleaje en playas de Mazatlán forma socavón en monumento</t>
        </is>
      </c>
      <c r="M144" s="167" t="n"/>
      <c r="N144" s="169" t="inlineStr">
        <is>
          <t>Mexico</t>
        </is>
      </c>
      <c r="O144" s="167" t="inlineStr">
        <is>
          <t>Mazatlan beaches</t>
        </is>
      </c>
      <c r="P144" s="167" t="inlineStr">
        <is>
          <t>Mazatlán malecón wave sinkhole, Mexico (Oct 2026) · Event · 3 reports</t>
        </is>
      </c>
      <c r="Q144" s="170" t="inlineStr">
        <is>
          <t>Colombia</t>
        </is>
      </c>
      <c r="R144" s="168" t="n">
        <v>46319</v>
      </c>
      <c r="S144" s="169" t="inlineStr">
        <is>
          <t>2026-Q4</t>
        </is>
      </c>
      <c r="T144" s="171" t="inlineStr">
        <is>
          <t>sinkhole</t>
        </is>
      </c>
      <c r="U144" s="159" t="n">
        <v>4</v>
      </c>
      <c r="V144" s="172" t="inlineStr">
        <is>
          <t>https://news.google.com/rss/articles/CBMi0gFBVV95cUxNcGZlMTE5MjVLdXpRZjFKNzcxQnZ5YmFUQ0xkeGljcmdESFNjZE1xai1JR196X3BEcTl6eWZmWjlPU3ZpQktHM3hWSmJvVEtUaGlSb2hNUWtmcjNpbV9hZXhRdVR1UEdMeC1fMTducHM4bElIOGFLZFhvZnZIMXM5OHRYdEJ4N2NVNGhGa181Qm8zTTd6d2dTQjVkSUZrRHdwcE5LVUxxY3JhSnN2di15NFVXWXJDU011NW5uejZQVmNtcHpvOU9NOXFzbVJNVU9TdnfSAeYBQVVfeXFMTXdwTjRSMVRXVjFOUGJEU1dkVDB2c1dCc0c0MnZIN1hZVHl4Z24taWFocko0SldESnk3LWltclY2TU94d0liMXM3YkxiVndZQVhCWFc5ZEROYjdCNFRCVmlEaTl0X2ZOXzRJQmtKSTFPWTVsNjZncVBudnBmckRjX1M3OEUwSVNYT2RtUF9SYzgxQlJHMWgxYVRkcUYwck9IOXBzeUE2Yi01QXRVeG1IQTFvOUxsaU9TNlVobzJROUhFVmV3bng5NFZnSlV3SFNiQXFkTGFMVFBwZUp2dUhIV1Z1RU5rNFE?oc=5</t>
        </is>
      </c>
      <c r="W144" s="173">
        <f>IF($B144="",0,IF(AND(OR(OR(Dashboard!$B$5="All themes",Dashboard!$B$5=""),$C144=Dashboard!$B$5),OR(OR(Dashboard!$G$5="All uses",Dashboard!$G$5=""),$E144=Dashboard!$G$5),N($D144)&gt;=Lists!$H$2,OR(OR(Dashboard!$N$5="All windows",Dashboard!$N$5=""),$S144=Dashboard!$N$5)),1,0))</f>
        <v/>
      </c>
      <c r="X144" s="174">
        <f>IF($W144=1,N($D144)*1E14+MIN(MAX(N($U144),0),9999)*1E10+MIN(N($K144),99999)*1E5+99999-MIN(ROW(),99999),"")</f>
        <v/>
      </c>
    </row>
    <row r="145" ht="53" customHeight="1">
      <c r="A145" s="159" t="n">
        <v>142</v>
      </c>
      <c r="B145" s="160" t="inlineStr">
        <is>
          <t>Ivan Noskov announced restoration of a retaining wall on Vladimirskaya Street in Samara</t>
        </is>
      </c>
      <c r="C145" s="177" t="inlineStr">
        <is>
          <t>Infrastructure &amp; the Underground City</t>
        </is>
      </c>
      <c r="D145" s="162" t="n">
        <v>3</v>
      </c>
      <c r="E145" s="180" t="inlineStr">
        <is>
          <t>News brief</t>
        </is>
      </c>
      <c r="F145" s="164" t="inlineStr">
        <is>
          <t>To review</t>
        </is>
      </c>
      <c r="G145" s="165" t="n"/>
      <c r="H145" s="166" t="n"/>
      <c r="I145" s="167" t="inlineStr">
        <is>
          <t>What causes retaining-wall deterioration on urban slopes like Samara's, and how should restoration design address overall slope stability?</t>
        </is>
      </c>
      <c r="J145" s="167" t="inlineStr">
        <is>
          <t>Самарская газета</t>
        </is>
      </c>
      <c r="K145" s="168" t="n">
        <v>46319</v>
      </c>
      <c r="L145" s="167" t="inlineStr">
        <is>
          <t>Иван Носков анонсировал восстановление подпорной стены на Владимирской в Самаре</t>
        </is>
      </c>
      <c r="M145" s="167" t="n"/>
      <c r="N145" s="169" t="inlineStr">
        <is>
          <t>Russia</t>
        </is>
      </c>
      <c r="O145" s="167" t="inlineStr">
        <is>
          <t>Samara, Vladimirskaya Street</t>
        </is>
      </c>
      <c r="P145" s="167" t="n"/>
      <c r="Q145" s="170" t="inlineStr">
        <is>
          <t>Russia</t>
        </is>
      </c>
      <c r="R145" s="168" t="n">
        <v>46318</v>
      </c>
      <c r="S145" s="169" t="inlineStr">
        <is>
          <t>2026-Q4</t>
        </is>
      </c>
      <c r="T145" s="171" t="inlineStr">
        <is>
          <t>retaining wall</t>
        </is>
      </c>
      <c r="U145" s="159" t="n">
        <v>4</v>
      </c>
      <c r="V145" s="172" t="inlineStr">
        <is>
          <t>https://news.google.com/rss/articles/CBMiREFVX3lxTE9KcGh5bWlxWEhKT3FXdU5qVjNOd3c3clQ1bGw1YWFmaHljV0U3ckZYcndLVTgtakJFSHZZQ3ViYXg2QnV4?oc=5</t>
        </is>
      </c>
      <c r="W145" s="173">
        <f>IF($B145="",0,IF(AND(OR(OR(Dashboard!$B$5="All themes",Dashboard!$B$5=""),$C145=Dashboard!$B$5),OR(OR(Dashboard!$G$5="All uses",Dashboard!$G$5=""),$E145=Dashboard!$G$5),N($D145)&gt;=Lists!$H$2,OR(OR(Dashboard!$N$5="All windows",Dashboard!$N$5=""),$S145=Dashboard!$N$5)),1,0))</f>
        <v/>
      </c>
      <c r="X145" s="174">
        <f>IF($W145=1,N($D145)*1E14+MIN(MAX(N($U145),0),9999)*1E10+MIN(N($K145),99999)*1E5+99999-MIN(ROW(),99999),"")</f>
        <v/>
      </c>
    </row>
    <row r="146" ht="40.5" customHeight="1">
      <c r="A146" s="159" t="n">
        <v>143</v>
      </c>
      <c r="B146" s="160" t="inlineStr">
        <is>
          <t>Escobedo begins repair of sinkhole</t>
        </is>
      </c>
      <c r="C146" s="177" t="inlineStr">
        <is>
          <t>Infrastructure &amp; the Underground City</t>
        </is>
      </c>
      <c r="D146" s="162" t="n">
        <v>3</v>
      </c>
      <c r="E146" s="180" t="inlineStr">
        <is>
          <t>News brief</t>
        </is>
      </c>
      <c r="F146" s="164" t="inlineStr">
        <is>
          <t>To review</t>
        </is>
      </c>
      <c r="G146" s="165" t="n"/>
      <c r="H146" s="166" t="n"/>
      <c r="I146" s="167" t="inlineStr">
        <is>
          <t>What investigation and grouting methods are used to repair urban sinkholes like the one in Escobedo?</t>
        </is>
      </c>
      <c r="J146" s="167" t="inlineStr">
        <is>
          <t>Detona, Real News</t>
        </is>
      </c>
      <c r="K146" s="168" t="n">
        <v>46319</v>
      </c>
      <c r="L146" s="167" t="inlineStr">
        <is>
          <t>Inicia Escobedo reparación de socavón</t>
        </is>
      </c>
      <c r="M146" s="167" t="n"/>
      <c r="N146" s="169" t="inlineStr">
        <is>
          <t>Mexico</t>
        </is>
      </c>
      <c r="O146" s="167" t="inlineStr">
        <is>
          <t>Escobedo</t>
        </is>
      </c>
      <c r="P146" s="167" t="n"/>
      <c r="Q146" s="170" t="inlineStr">
        <is>
          <t>Colombia</t>
        </is>
      </c>
      <c r="R146" s="168" t="n">
        <v>46319</v>
      </c>
      <c r="S146" s="169" t="inlineStr">
        <is>
          <t>2026-Q4</t>
        </is>
      </c>
      <c r="T146" s="171" t="inlineStr">
        <is>
          <t>sinkhole</t>
        </is>
      </c>
      <c r="U146" s="159" t="n">
        <v>4</v>
      </c>
      <c r="V146" s="172" t="inlineStr">
        <is>
          <t>https://news.google.com/rss/articles/CBMijAFBVV95cUxQdDFPZ1hLdVRrLUxWRTkyRWtWTjdrMTlTMi1EdW5meVA1dG5ZUWxNZ09MRThFeTk0OThLTDg4QkhBRlQwMzZkTnRBWnh2ZjdTWkhVWTcxX0QxYnNrMW9XOHNyVFZxeHpJMkthZDJRbGtsV0VuTjkwLXFTN0JSS2k2NU85em9uLWgtTjBjUQ?oc=5</t>
        </is>
      </c>
      <c r="W146" s="173">
        <f>IF($B146="",0,IF(AND(OR(OR(Dashboard!$B$5="All themes",Dashboard!$B$5=""),$C146=Dashboard!$B$5),OR(OR(Dashboard!$G$5="All uses",Dashboard!$G$5=""),$E146=Dashboard!$G$5),N($D146)&gt;=Lists!$H$2,OR(OR(Dashboard!$N$5="All windows",Dashboard!$N$5=""),$S146=Dashboard!$N$5)),1,0))</f>
        <v/>
      </c>
      <c r="X146" s="174">
        <f>IF($W146=1,N($D146)*1E14+MIN(MAX(N($U146),0),9999)*1E10+MIN(N($K146),99999)*1E5+99999-MIN(ROW(),99999),"")</f>
        <v/>
      </c>
    </row>
    <row r="147" ht="40.5" customHeight="1">
      <c r="A147" s="159" t="n">
        <v>144</v>
      </c>
      <c r="B147" s="160" t="inlineStr">
        <is>
          <t>Center attends sinkhole in Casa Blanca</t>
        </is>
      </c>
      <c r="C147" s="177" t="inlineStr">
        <is>
          <t>Infrastructure &amp; the Underground City</t>
        </is>
      </c>
      <c r="D147" s="162" t="n">
        <v>3</v>
      </c>
      <c r="E147" s="180" t="inlineStr">
        <is>
          <t>News brief</t>
        </is>
      </c>
      <c r="F147" s="164" t="inlineStr">
        <is>
          <t>To review</t>
        </is>
      </c>
      <c r="G147" s="165" t="n"/>
      <c r="H147" s="166" t="n"/>
      <c r="I147" s="167" t="inlineStr">
        <is>
          <t>What subsurface causes are likely behind the Casa Blanca sinkhole, and how should emergency response proceed?</t>
        </is>
      </c>
      <c r="J147" s="167" t="inlineStr">
        <is>
          <t>Tabasco HOY</t>
        </is>
      </c>
      <c r="K147" s="168" t="n">
        <v>46319</v>
      </c>
      <c r="L147" s="167" t="inlineStr">
        <is>
          <t>Centro atiende socavón en Casa Blanca</t>
        </is>
      </c>
      <c r="M147" s="167" t="n"/>
      <c r="N147" s="169" t="inlineStr">
        <is>
          <t>Mexico</t>
        </is>
      </c>
      <c r="O147" s="167" t="inlineStr">
        <is>
          <t>Casa Blanca, Tabasco</t>
        </is>
      </c>
      <c r="P147" s="167" t="n"/>
      <c r="Q147" s="170" t="inlineStr">
        <is>
          <t>Colombia</t>
        </is>
      </c>
      <c r="R147" s="168" t="n">
        <v>46319</v>
      </c>
      <c r="S147" s="169" t="inlineStr">
        <is>
          <t>2026-Q4</t>
        </is>
      </c>
      <c r="T147" s="171" t="inlineStr">
        <is>
          <t>sinkhole</t>
        </is>
      </c>
      <c r="U147" s="159" t="n">
        <v>4</v>
      </c>
      <c r="V147" s="172" t="inlineStr">
        <is>
          <t>https://news.google.com/rss/articles/CBMic0FVX3lxTE56eFFxMjNpU2dPWkppM1RsMEJJbThwdXcyYk1id0t2V1RCYUFMQTJzVGRGMFBxODZlSi1IVERlM29jWGtJRUtkb1M5em1ISlMwd1hBVnkwNEVOb1hiWlkzNU9JZUJJbWZXNUFZWTh5YkE5SE0?oc=5</t>
        </is>
      </c>
      <c r="W147" s="173">
        <f>IF($B147="",0,IF(AND(OR(OR(Dashboard!$B$5="All themes",Dashboard!$B$5=""),$C147=Dashboard!$B$5),OR(OR(Dashboard!$G$5="All uses",Dashboard!$G$5=""),$E147=Dashboard!$G$5),N($D147)&gt;=Lists!$H$2,OR(OR(Dashboard!$N$5="All windows",Dashboard!$N$5=""),$S147=Dashboard!$N$5)),1,0))</f>
        <v/>
      </c>
      <c r="X147" s="174">
        <f>IF($W147=1,N($D147)*1E14+MIN(MAX(N($U147),0),9999)*1E10+MIN(N($K147),99999)*1E5+99999-MIN(ROW(),99999),"")</f>
        <v/>
      </c>
    </row>
    <row r="148" ht="40.5" customHeight="1">
      <c r="A148" s="159" t="n">
        <v>145</v>
      </c>
      <c r="B148" s="160" t="inlineStr">
        <is>
          <t>Sinkhole forms at top of underpass in Francisco I. Madero</t>
        </is>
      </c>
      <c r="C148" s="177" t="inlineStr">
        <is>
          <t>Infrastructure &amp; the Underground City</t>
        </is>
      </c>
      <c r="D148" s="162" t="n">
        <v>3</v>
      </c>
      <c r="E148" s="180" t="inlineStr">
        <is>
          <t>News brief</t>
        </is>
      </c>
      <c r="F148" s="164" t="inlineStr">
        <is>
          <t>To review</t>
        </is>
      </c>
      <c r="G148" s="165" t="n"/>
      <c r="H148" s="166" t="n"/>
      <c r="I148" s="167" t="inlineStr">
        <is>
          <t>What ground movements and drainage failures beneath an underpass cause sinkholes at its top surface?</t>
        </is>
      </c>
      <c r="J148" s="167" t="inlineStr">
        <is>
          <t>El Siglo de Torreón</t>
        </is>
      </c>
      <c r="K148" s="168" t="n">
        <v>46319</v>
      </c>
      <c r="L148" s="167" t="inlineStr">
        <is>
          <t>Se origina socavón en la parte superior del paso a desnivel en Francisco I. Madero</t>
        </is>
      </c>
      <c r="M148" s="167" t="n"/>
      <c r="N148" s="169" t="inlineStr">
        <is>
          <t>Mexico</t>
        </is>
      </c>
      <c r="O148" s="167" t="inlineStr">
        <is>
          <t>Francisco I. Madero, Torreon</t>
        </is>
      </c>
      <c r="P148" s="167" t="n"/>
      <c r="Q148" s="170" t="inlineStr">
        <is>
          <t>Colombia</t>
        </is>
      </c>
      <c r="R148" s="168" t="n">
        <v>46318</v>
      </c>
      <c r="S148" s="169" t="inlineStr">
        <is>
          <t>2026-Q4</t>
        </is>
      </c>
      <c r="T148" s="171" t="inlineStr">
        <is>
          <t>sinkhole</t>
        </is>
      </c>
      <c r="U148" s="159" t="n">
        <v>4</v>
      </c>
      <c r="V148" s="172" t="inlineStr">
        <is>
          <t>https://news.google.com/rss/articles/CBMi0AFBVV95cUxNZm5rakRuTlVuWjFiMGV5Z2p4SmRJUTlTc3E4S0g0WnVzaEcwRTVTWjdrVVlBRl84ckNvRUpXQjh2bTY2R2RnNFZGOG5uVnpDZnBpSUM1S3JVd05lQUd0cVNNaG4zYUdNSjUyVmZ5TnZfM2RZN0UxUFFMeUJxSEgxSC16bFBlcG52cEN4RVh3dC1EM3g5R1ZTS2tuNVczZEJNRDdfaTZrMXRXb0cwS1NrdS1lb0VITjU5ajZfeXpINS1PVjNNeTNkNkJlX0o3R3NO?oc=5</t>
        </is>
      </c>
      <c r="W148" s="173">
        <f>IF($B148="",0,IF(AND(OR(OR(Dashboard!$B$5="All themes",Dashboard!$B$5=""),$C148=Dashboard!$B$5),OR(OR(Dashboard!$G$5="All uses",Dashboard!$G$5=""),$E148=Dashboard!$G$5),N($D148)&gt;=Lists!$H$2,OR(OR(Dashboard!$N$5="All windows",Dashboard!$N$5=""),$S148=Dashboard!$N$5)),1,0))</f>
        <v/>
      </c>
      <c r="X148" s="174">
        <f>IF($W148=1,N($D148)*1E14+MIN(MAX(N($U148),0),9999)*1E10+MIN(N($K148),99999)*1E5+99999-MIN(ROW(),99999),"")</f>
        <v/>
      </c>
    </row>
    <row r="149" ht="40.5" customHeight="1">
      <c r="A149" s="159" t="n">
        <v>146</v>
      </c>
      <c r="B149" s="160" t="inlineStr">
        <is>
          <t>Ambulance left hanging in a sinkhole in Aucapán rescued</t>
        </is>
      </c>
      <c r="C149" s="177" t="inlineStr">
        <is>
          <t>Infrastructure &amp; the Underground City</t>
        </is>
      </c>
      <c r="D149" s="162" t="n">
        <v>3</v>
      </c>
      <c r="E149" s="180" t="inlineStr">
        <is>
          <t>News brief</t>
        </is>
      </c>
      <c r="F149" s="164" t="inlineStr">
        <is>
          <t>To review</t>
        </is>
      </c>
      <c r="G149" s="165" t="n"/>
      <c r="H149" s="166" t="n"/>
      <c r="I149" s="167" t="inlineStr">
        <is>
          <t>How do soil loss and void formation under a road lead to vehicles hanging over sinkholes, and what rescue precautions apply?</t>
        </is>
      </c>
      <c r="J149" s="167" t="inlineStr">
        <is>
          <t>Realidad Sanmartinense</t>
        </is>
      </c>
      <c r="K149" s="168" t="n">
        <v>46319</v>
      </c>
      <c r="L149" s="167" t="inlineStr">
        <is>
          <t>Rescatan ambulancia que quedó colgada en un socavón en Aucapán</t>
        </is>
      </c>
      <c r="M149" s="167" t="n"/>
      <c r="N149" s="169" t="inlineStr">
        <is>
          <t>Argentina</t>
        </is>
      </c>
      <c r="O149" s="167" t="inlineStr">
        <is>
          <t>Aucapan, Neuquen</t>
        </is>
      </c>
      <c r="P149" s="167" t="inlineStr">
        <is>
          <t>Aucapán road sinkhole traps ambulance, Argentina (Oct 2026) · Event · 2 reports</t>
        </is>
      </c>
      <c r="Q149" s="170" t="inlineStr">
        <is>
          <t>Colombia</t>
        </is>
      </c>
      <c r="R149" s="168" t="n">
        <v>46318</v>
      </c>
      <c r="S149" s="169" t="inlineStr">
        <is>
          <t>2026-Q4</t>
        </is>
      </c>
      <c r="T149" s="171" t="inlineStr">
        <is>
          <t>sinkhole</t>
        </is>
      </c>
      <c r="U149" s="159" t="n">
        <v>4</v>
      </c>
      <c r="V149" s="172" t="inlineStr">
        <is>
          <t>https://news.google.com/rss/articles/CBMieEFVX3lxTE5YeFpJbnV5Wkk5VGczTmxUT3Vod1U2UWltZHhMQmtKclRjcURMSGpiSjRHSWNNMjJUWmM2Z1JlUkNHNlgwU09XZXFaNEpKWEoyRG5pdzVvMFQ0aGc4VjdfZG1uWl9FWlVpNnJPTGZRam11WUtBaHdwVNIBfkFVX3lxTFBVV01qejl4ci1ZT3FCdDUtc1ppR3Y3UDM2Y0FjZFpYUEN4UUltSWgwd0Y4Y0lJY1UwTkI0Tm9YeFN2N19qMmhKaGpyQXNKN2hvOFpkZ2VWdno5NmFyOVY3WE9PdXNfTGJpVm9xUThadkdmV0xLNGZhTjFjdkFEQQ?oc=5</t>
        </is>
      </c>
      <c r="W149" s="173">
        <f>IF($B149="",0,IF(AND(OR(OR(Dashboard!$B$5="All themes",Dashboard!$B$5=""),$C149=Dashboard!$B$5),OR(OR(Dashboard!$G$5="All uses",Dashboard!$G$5=""),$E149=Dashboard!$G$5),N($D149)&gt;=Lists!$H$2,OR(OR(Dashboard!$N$5="All windows",Dashboard!$N$5=""),$S149=Dashboard!$N$5)),1,0))</f>
        <v/>
      </c>
      <c r="X149" s="174">
        <f>IF($W149=1,N($D149)*1E14+MIN(MAX(N($U149),0),9999)*1E10+MIN(N($K149),99999)*1E5+99999-MIN(ROW(),99999),"")</f>
        <v/>
      </c>
    </row>
    <row r="150" ht="53" customHeight="1">
      <c r="A150" s="159" t="n">
        <v>147</v>
      </c>
      <c r="B150" s="160" t="inlineStr">
        <is>
          <t>Gia Lai province People's Committee chairman discusses proposal to level Mot Mountain.</t>
        </is>
      </c>
      <c r="C150" s="183" t="inlineStr">
        <is>
          <t>Geotechnics &amp; Society</t>
        </is>
      </c>
      <c r="D150" s="162" t="n">
        <v>3</v>
      </c>
      <c r="E150" s="178" t="inlineStr">
        <is>
          <t>Regional insight</t>
        </is>
      </c>
      <c r="F150" s="164" t="inlineStr">
        <is>
          <t>To review</t>
        </is>
      </c>
      <c r="G150" s="165" t="n"/>
      <c r="H150" s="166" t="n"/>
      <c r="I150" s="167" t="inlineStr">
        <is>
          <t>What are the geotechnical feasibility issues of levelling a hill, including rock quality, slope excavation and stability, compared with preservation?</t>
        </is>
      </c>
      <c r="J150" s="167" t="inlineStr">
        <is>
          <t>Vietnam.vn</t>
        </is>
      </c>
      <c r="K150" s="168" t="n">
        <v>46319</v>
      </c>
      <c r="L150" s="167" t="inlineStr">
        <is>
          <t>رئيس اللجنة الشعبية لمقاطعة جيا لاي يتحدث عن اقتراح تسوية جبل موت.</t>
        </is>
      </c>
      <c r="M150" s="167" t="n"/>
      <c r="N150" s="169" t="inlineStr">
        <is>
          <t>Vietnam</t>
        </is>
      </c>
      <c r="O150" s="167" t="inlineStr">
        <is>
          <t>Mot Mountain, Gia Lai</t>
        </is>
      </c>
      <c r="P150" s="167" t="n"/>
      <c r="Q150" s="170" t="inlineStr">
        <is>
          <t>Egypt</t>
        </is>
      </c>
      <c r="R150" s="168" t="n">
        <v>46318</v>
      </c>
      <c r="S150" s="169" t="inlineStr">
        <is>
          <t>2026-Q4</t>
        </is>
      </c>
      <c r="T150" s="171" t="n"/>
      <c r="U150" s="159" t="n">
        <v>0</v>
      </c>
      <c r="V150" s="172" t="inlineStr">
        <is>
          <t>https://news.google.com/rss/articles/CBMijgFBVV95cUxNdzRhVnVlVUVUU1k4S3pUQVo2RFJENXlEM1V6Z2FrVzRMQ2cxb0pZNkJpWUY5UWFHd1ZIUEZmU2x4SGtydEtXN3k2bTBIYWQ3VmZNZkNTRkhfRFctd3JZdThkRW1HTWIxYmVXRDZsazFZVTJsUzVjTWk0R2FIUElZRG5lLUpaeXpHRlZSdFBn?oc=5</t>
        </is>
      </c>
      <c r="W150" s="173">
        <f>IF($B150="",0,IF(AND(OR(OR(Dashboard!$B$5="All themes",Dashboard!$B$5=""),$C150=Dashboard!$B$5),OR(OR(Dashboard!$G$5="All uses",Dashboard!$G$5=""),$E150=Dashboard!$G$5),N($D150)&gt;=Lists!$H$2,OR(OR(Dashboard!$N$5="All windows",Dashboard!$N$5=""),$S150=Dashboard!$N$5)),1,0))</f>
        <v/>
      </c>
      <c r="X150" s="174">
        <f>IF($W150=1,N($D150)*1E14+MIN(MAX(N($U150),0),9999)*1E10+MIN(N($K150),99999)*1E5+99999-MIN(ROW(),99999),"")</f>
        <v/>
      </c>
    </row>
    <row r="151" ht="53" customHeight="1">
      <c r="A151" s="159" t="n">
        <v>148</v>
      </c>
      <c r="B151" s="160" t="inlineStr">
        <is>
          <t>What are the options for Mot Mountain in Quy Nhon: level it or preserve the historic site?</t>
        </is>
      </c>
      <c r="C151" s="183" t="inlineStr">
        <is>
          <t>Geotechnics &amp; Society</t>
        </is>
      </c>
      <c r="D151" s="162" t="n">
        <v>3</v>
      </c>
      <c r="E151" s="178" t="inlineStr">
        <is>
          <t>Regional insight</t>
        </is>
      </c>
      <c r="F151" s="164" t="inlineStr">
        <is>
          <t>To review</t>
        </is>
      </c>
      <c r="G151" s="165" t="n"/>
      <c r="H151" s="166" t="n"/>
      <c r="I151" s="167" t="inlineStr">
        <is>
          <t>What geotechnical assessments would be needed to compare levelling Mot Mountain with conserving its historic site, including rock stability and foundation implications?</t>
        </is>
      </c>
      <c r="J151" s="167" t="inlineStr">
        <is>
          <t>Vietnam.vn</t>
        </is>
      </c>
      <c r="K151" s="168" t="n">
        <v>46319</v>
      </c>
      <c r="L151" s="167" t="inlineStr">
        <is>
          <t>Quais são as opções para o Monte Mot em Quy Nhon: nivelá-lo ou preservar o sítio histórico?</t>
        </is>
      </c>
      <c r="M151" s="167" t="n"/>
      <c r="N151" s="169" t="inlineStr">
        <is>
          <t>Vietnam</t>
        </is>
      </c>
      <c r="O151" s="167" t="inlineStr">
        <is>
          <t>Mot Mountain, Quy Nhon</t>
        </is>
      </c>
      <c r="P151" s="167" t="n"/>
      <c r="Q151" s="170" t="inlineStr">
        <is>
          <t>Brazil</t>
        </is>
      </c>
      <c r="R151" s="168" t="n">
        <v>46319</v>
      </c>
      <c r="S151" s="169" t="inlineStr">
        <is>
          <t>2026-Q4</t>
        </is>
      </c>
      <c r="T151" s="171" t="n"/>
      <c r="U151" s="159" t="n">
        <v>0</v>
      </c>
      <c r="V151" s="172" t="inlineStr">
        <is>
          <t>https://news.google.com/rss/articles/CBMilgFBVV95cUxNS29sd2RXaDlmWXJYMzNQSnJKZGpCWmJpOE9kVEdWQ2RFcUd0UHBGdHdRczJLbFRwTHFDb0ZPY1lHOHNsRGtTLXhTb081eGdyWF9YcmcxZkFrc2VNNzBJOUxNU1ppYnZtWlZBTTlZcXNfa2xNVUZWRTUyMkRlTHRUMmJ4Nk95a1kybUNTTmVPaklQSHktWUE?oc=5</t>
        </is>
      </c>
      <c r="W151" s="173">
        <f>IF($B151="",0,IF(AND(OR(OR(Dashboard!$B$5="All themes",Dashboard!$B$5=""),$C151=Dashboard!$B$5),OR(OR(Dashboard!$G$5="All uses",Dashboard!$G$5=""),$E151=Dashboard!$G$5),N($D151)&gt;=Lists!$H$2,OR(OR(Dashboard!$N$5="All windows",Dashboard!$N$5=""),$S151=Dashboard!$N$5)),1,0))</f>
        <v/>
      </c>
      <c r="X151" s="174">
        <f>IF($W151=1,N($D151)*1E14+MIN(MAX(N($U151),0),9999)*1E10+MIN(N($K151),99999)*1E5+99999-MIN(ROW(),99999),"")</f>
        <v/>
      </c>
    </row>
    <row r="152" ht="53" customHeight="1">
      <c r="A152" s="159" t="n">
        <v>149</v>
      </c>
      <c r="B152" s="160" t="inlineStr">
        <is>
          <t>Cerraron un sector de la costanera de una ciudad correntina por hundimiento</t>
        </is>
      </c>
      <c r="C152" s="179" t="inlineStr">
        <is>
          <t>Offshore, Coasts &amp; Water</t>
        </is>
      </c>
      <c r="D152" s="162" t="n">
        <v>3</v>
      </c>
      <c r="E152" s="180" t="inlineStr">
        <is>
          <t>News brief</t>
        </is>
      </c>
      <c r="F152" s="164" t="inlineStr">
        <is>
          <t>To review</t>
        </is>
      </c>
      <c r="G152" s="165" t="n"/>
      <c r="H152" s="166" t="n"/>
      <c r="I152" s="167" t="inlineStr">
        <is>
          <t>What causes subsidence along a riverfront promenade in Corrientes, and how should ground investigation guide repair of the costanera?</t>
        </is>
      </c>
      <c r="J152" s="167" t="inlineStr">
        <is>
          <t>El Litoral | Novedades de Corrientes</t>
        </is>
      </c>
      <c r="K152" s="168" t="n">
        <v>46319</v>
      </c>
      <c r="L152" s="167" t="n"/>
      <c r="M152" s="167" t="n"/>
      <c r="N152" s="169" t="inlineStr">
        <is>
          <t>Argentina</t>
        </is>
      </c>
      <c r="O152" s="167" t="inlineStr">
        <is>
          <t>Corrientes costanera</t>
        </is>
      </c>
      <c r="P152" s="167" t="inlineStr">
        <is>
          <t>Esquina riverfront promenade subsidence, Argentina (Oct 2026) · Event · 2 reports</t>
        </is>
      </c>
      <c r="Q152" s="170" t="inlineStr">
        <is>
          <t>Argentina</t>
        </is>
      </c>
      <c r="R152" s="168" t="n">
        <v>46317</v>
      </c>
      <c r="S152" s="169" t="inlineStr">
        <is>
          <t>2026-Q4</t>
        </is>
      </c>
      <c r="T152" s="171" t="n"/>
      <c r="U152" s="159" t="n">
        <v>0</v>
      </c>
      <c r="V152" s="172" t="inlineStr">
        <is>
          <t>https://news.google.com/rss/articles/CBMizAFBVV95cUxOX3FrTEZHRzR0dFNpaDRjdm9hSlZqREtnQ0Nhak51bmpSbTdqOWtyeDNxV0RmekhHR1JNRjlOSXNzb295b0ZjdVJRb29aaUJLbE9JbDJlLUFkMHg4MnZpVkVnVE9pMW1pM3U5YlBjVmZGTVBxVlBtTkJOeHNleHBoQldIRGdNQXo5UExaQ2tqYmZ5Rnd1aEtuakUxalItUnk3ak83Nm5YNDFVZXo4bFBETEZ6czd4N2I1aE1jZnB3OE80Ym1EM2prQkZXMTc?oc=5</t>
        </is>
      </c>
      <c r="W152" s="173">
        <f>IF($B152="",0,IF(AND(OR(OR(Dashboard!$B$5="All themes",Dashboard!$B$5=""),$C152=Dashboard!$B$5),OR(OR(Dashboard!$G$5="All uses",Dashboard!$G$5=""),$E152=Dashboard!$G$5),N($D152)&gt;=Lists!$H$2,OR(OR(Dashboard!$N$5="All windows",Dashboard!$N$5=""),$S152=Dashboard!$N$5)),1,0))</f>
        <v/>
      </c>
      <c r="X152" s="174">
        <f>IF($W152=1,N($D152)*1E14+MIN(MAX(N($U152),0),9999)*1E10+MIN(N($K152),99999)*1E5+99999-MIN(ROW(),99999),"")</f>
        <v/>
      </c>
    </row>
    <row r="153" ht="40.5" customHeight="1">
      <c r="A153" s="159" t="n">
        <v>150</v>
      </c>
      <c r="B153" s="160" t="inlineStr">
        <is>
          <t>Inician rehabilitación tras hundimiento de losa en el Malecón Costero de Coatzacoalcos</t>
        </is>
      </c>
      <c r="C153" s="179" t="inlineStr">
        <is>
          <t>Offshore, Coasts &amp; Water</t>
        </is>
      </c>
      <c r="D153" s="162" t="n">
        <v>3</v>
      </c>
      <c r="E153" s="180" t="inlineStr">
        <is>
          <t>News brief</t>
        </is>
      </c>
      <c r="F153" s="164" t="inlineStr">
        <is>
          <t>To review</t>
        </is>
      </c>
      <c r="G153" s="165" t="n"/>
      <c r="H153" s="166" t="n"/>
      <c r="I153" s="167" t="inlineStr">
        <is>
          <t>What causes slab sinking on a coastal promenade exposed to waves, and what foundation and drainage remedies are appropriate?</t>
        </is>
      </c>
      <c r="J153" s="167" t="inlineStr">
        <is>
          <t>:: Foro Coatza ::</t>
        </is>
      </c>
      <c r="K153" s="168" t="n">
        <v>46319</v>
      </c>
      <c r="L153" s="167" t="n"/>
      <c r="M153" s="167" t="n"/>
      <c r="N153" s="169" t="inlineStr">
        <is>
          <t>Mexico</t>
        </is>
      </c>
      <c r="O153" s="167" t="inlineStr">
        <is>
          <t>Coatzacoalcos malecon</t>
        </is>
      </c>
      <c r="P153" s="167" t="n"/>
      <c r="Q153" s="170" t="inlineStr">
        <is>
          <t>Argentina</t>
        </is>
      </c>
      <c r="R153" s="168" t="n">
        <v>46318</v>
      </c>
      <c r="S153" s="169" t="inlineStr">
        <is>
          <t>2026-Q4</t>
        </is>
      </c>
      <c r="T153" s="171" t="n"/>
      <c r="U153" s="159" t="n">
        <v>0</v>
      </c>
      <c r="V153" s="172" t="inlineStr">
        <is>
          <t>https://news.google.com/rss/articles/CBMixgFBVV95cUxOVi1Wa2xtWXg5NW1rUUJDa2xWblVjTVpQY3QwdFdWVzJnQzBFcVJKSUtIdFdlMXZmdVhTX2FETTJOREZwVVJ0Yk5TdHVPdjhfX2tvV08yMVhBYVROS0hlalBzMWtuSHBmTWRNcTJhNTN4a0w3b1BIdnVxajVyOER5OGo4dmthTS1nM2ZqOG5Ja1ZkRTR1MFVvWXNhQ3ctX3FfZF9wdjJ6cEppVmc5OXRlWEp6NmRaWllSdGRDQmF6N2RWR3VVZnc?oc=5</t>
        </is>
      </c>
      <c r="W153" s="173">
        <f>IF($B153="",0,IF(AND(OR(OR(Dashboard!$B$5="All themes",Dashboard!$B$5=""),$C153=Dashboard!$B$5),OR(OR(Dashboard!$G$5="All uses",Dashboard!$G$5=""),$E153=Dashboard!$G$5),N($D153)&gt;=Lists!$H$2,OR(OR(Dashboard!$N$5="All windows",Dashboard!$N$5=""),$S153=Dashboard!$N$5)),1,0))</f>
        <v/>
      </c>
      <c r="X153" s="174">
        <f>IF($W153=1,N($D153)*1E14+MIN(MAX(N($U153),0),9999)*1E10+MIN(N($K153),99999)*1E5+99999-MIN(ROW(),99999),"")</f>
        <v/>
      </c>
    </row>
  </sheetData>
  <conditionalFormatting sqref="F4:F153">
    <cfRule type="cellIs" priority="1" operator="equal" dxfId="16">
      <formula>"To review"</formula>
    </cfRule>
    <cfRule type="cellIs" priority="2" operator="equal" dxfId="17">
      <formula>"Shortlisted"</formula>
    </cfRule>
    <cfRule type="cellIs" priority="3" operator="equal" dxfId="18">
      <formula>"Commissioned"</formula>
    </cfRule>
    <cfRule type="cellIs" priority="4" operator="equal" dxfId="19">
      <formula>"Published"</formula>
    </cfRule>
    <cfRule type="cellIs" priority="5" operator="equal" dxfId="20">
      <formula>"Not used"</formula>
    </cfRule>
  </conditionalFormatting>
  <conditionalFormatting sqref="A4:V153">
    <cfRule type="expression" priority="6" dxfId="15">
      <formula>$F4="Not used"</formula>
    </cfRule>
  </conditionalFormatting>
  <conditionalFormatting sqref="D4:D153">
    <cfRule type="cellIs" priority="7" operator="equal" dxfId="10">
      <formula>5</formula>
    </cfRule>
    <cfRule type="cellIs" priority="8" operator="equal" dxfId="11">
      <formula>4</formula>
    </cfRule>
    <cfRule type="cellIs" priority="9" operator="equal" dxfId="12">
      <formula>3</formula>
    </cfRule>
    <cfRule type="cellIs" priority="10" operator="equal" dxfId="13">
      <formula>2</formula>
    </cfRule>
    <cfRule type="cellIs" priority="11" operator="equal" dxfId="14">
      <formula>1</formula>
    </cfRule>
    <cfRule type="cellIs" priority="12" operator="equal" dxfId="15">
      <formula>0</formula>
    </cfRule>
  </conditionalFormatting>
  <dataValidations count="1">
    <dataValidation sqref="F4:F153" showDropDown="0" showInputMessage="1" showErrorMessage="1" allowBlank="1" errorTitle="Status" error="Choose a status from the list." promptTitle="Status" prompt="Pick: To review, Shortlisted, Commissioned, Published or Not used." type="list">
      <formula1>Lists!$E$2:$E$6</formula1>
    </dataValidation>
  </dataValidations>
  <hyperlinks>
    <hyperlink ref="C1" location="'Dashboard'!A1" display="← Dashboard"/>
    <hyperlink ref="D1" location="'Start here'!A1" display="↑ Start here"/>
    <hyperlink ref="E1" location="'By theme'!A1" display="By theme →"/>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 xmlns:r="http://schemas.openxmlformats.org/officeDocument/2006/relationships" ref="B22" r:id="rId19"/>
    <hyperlink xmlns:r="http://schemas.openxmlformats.org/officeDocument/2006/relationships" ref="B23" r:id="rId20"/>
    <hyperlink xmlns:r="http://schemas.openxmlformats.org/officeDocument/2006/relationships" ref="B24" r:id="rId21"/>
    <hyperlink xmlns:r="http://schemas.openxmlformats.org/officeDocument/2006/relationships" ref="B25" r:id="rId22"/>
    <hyperlink xmlns:r="http://schemas.openxmlformats.org/officeDocument/2006/relationships" ref="B26" r:id="rId23"/>
    <hyperlink xmlns:r="http://schemas.openxmlformats.org/officeDocument/2006/relationships" ref="B27" r:id="rId24"/>
    <hyperlink xmlns:r="http://schemas.openxmlformats.org/officeDocument/2006/relationships" ref="B28" r:id="rId25"/>
    <hyperlink xmlns:r="http://schemas.openxmlformats.org/officeDocument/2006/relationships" ref="B29" r:id="rId26"/>
    <hyperlink xmlns:r="http://schemas.openxmlformats.org/officeDocument/2006/relationships" ref="B30" r:id="rId27"/>
    <hyperlink xmlns:r="http://schemas.openxmlformats.org/officeDocument/2006/relationships" ref="B31" r:id="rId28"/>
    <hyperlink xmlns:r="http://schemas.openxmlformats.org/officeDocument/2006/relationships" ref="B32" r:id="rId29"/>
    <hyperlink xmlns:r="http://schemas.openxmlformats.org/officeDocument/2006/relationships" ref="B33" r:id="rId30"/>
    <hyperlink xmlns:r="http://schemas.openxmlformats.org/officeDocument/2006/relationships" ref="B34" r:id="rId31"/>
    <hyperlink xmlns:r="http://schemas.openxmlformats.org/officeDocument/2006/relationships" ref="B35" r:id="rId32"/>
    <hyperlink xmlns:r="http://schemas.openxmlformats.org/officeDocument/2006/relationships" ref="B36" r:id="rId33"/>
    <hyperlink xmlns:r="http://schemas.openxmlformats.org/officeDocument/2006/relationships" ref="B37" r:id="rId34"/>
    <hyperlink xmlns:r="http://schemas.openxmlformats.org/officeDocument/2006/relationships" ref="B38" r:id="rId35"/>
    <hyperlink xmlns:r="http://schemas.openxmlformats.org/officeDocument/2006/relationships" ref="B39" r:id="rId36"/>
    <hyperlink xmlns:r="http://schemas.openxmlformats.org/officeDocument/2006/relationships" ref="B40" r:id="rId37"/>
    <hyperlink xmlns:r="http://schemas.openxmlformats.org/officeDocument/2006/relationships" ref="B41" r:id="rId38"/>
    <hyperlink xmlns:r="http://schemas.openxmlformats.org/officeDocument/2006/relationships" ref="B42" r:id="rId39"/>
    <hyperlink xmlns:r="http://schemas.openxmlformats.org/officeDocument/2006/relationships" ref="B43" r:id="rId40"/>
    <hyperlink xmlns:r="http://schemas.openxmlformats.org/officeDocument/2006/relationships" ref="B44" r:id="rId41"/>
    <hyperlink xmlns:r="http://schemas.openxmlformats.org/officeDocument/2006/relationships" ref="B45" r:id="rId42"/>
    <hyperlink xmlns:r="http://schemas.openxmlformats.org/officeDocument/2006/relationships" ref="B46" r:id="rId43"/>
    <hyperlink xmlns:r="http://schemas.openxmlformats.org/officeDocument/2006/relationships" ref="B47" r:id="rId44"/>
    <hyperlink xmlns:r="http://schemas.openxmlformats.org/officeDocument/2006/relationships" ref="B48" r:id="rId45"/>
    <hyperlink xmlns:r="http://schemas.openxmlformats.org/officeDocument/2006/relationships" ref="B49" r:id="rId46"/>
    <hyperlink xmlns:r="http://schemas.openxmlformats.org/officeDocument/2006/relationships" ref="B50" r:id="rId47"/>
    <hyperlink xmlns:r="http://schemas.openxmlformats.org/officeDocument/2006/relationships" ref="B51" r:id="rId48"/>
    <hyperlink xmlns:r="http://schemas.openxmlformats.org/officeDocument/2006/relationships" ref="B52" r:id="rId49"/>
    <hyperlink xmlns:r="http://schemas.openxmlformats.org/officeDocument/2006/relationships" ref="B53" r:id="rId50"/>
    <hyperlink xmlns:r="http://schemas.openxmlformats.org/officeDocument/2006/relationships" ref="B54" r:id="rId51"/>
    <hyperlink xmlns:r="http://schemas.openxmlformats.org/officeDocument/2006/relationships" ref="B55" r:id="rId52"/>
    <hyperlink xmlns:r="http://schemas.openxmlformats.org/officeDocument/2006/relationships" ref="B56" r:id="rId53"/>
    <hyperlink xmlns:r="http://schemas.openxmlformats.org/officeDocument/2006/relationships" ref="B57" r:id="rId54"/>
    <hyperlink xmlns:r="http://schemas.openxmlformats.org/officeDocument/2006/relationships" ref="B58" r:id="rId55"/>
    <hyperlink xmlns:r="http://schemas.openxmlformats.org/officeDocument/2006/relationships" ref="B59" r:id="rId56"/>
    <hyperlink xmlns:r="http://schemas.openxmlformats.org/officeDocument/2006/relationships" ref="B60" r:id="rId57"/>
    <hyperlink xmlns:r="http://schemas.openxmlformats.org/officeDocument/2006/relationships" ref="B61" r:id="rId58"/>
    <hyperlink xmlns:r="http://schemas.openxmlformats.org/officeDocument/2006/relationships" ref="B62" r:id="rId59"/>
    <hyperlink xmlns:r="http://schemas.openxmlformats.org/officeDocument/2006/relationships" ref="B63" r:id="rId60"/>
    <hyperlink xmlns:r="http://schemas.openxmlformats.org/officeDocument/2006/relationships" ref="B64" r:id="rId61"/>
    <hyperlink xmlns:r="http://schemas.openxmlformats.org/officeDocument/2006/relationships" ref="B65" r:id="rId62"/>
    <hyperlink xmlns:r="http://schemas.openxmlformats.org/officeDocument/2006/relationships" ref="B66" r:id="rId63"/>
    <hyperlink xmlns:r="http://schemas.openxmlformats.org/officeDocument/2006/relationships" ref="B67" r:id="rId64"/>
    <hyperlink xmlns:r="http://schemas.openxmlformats.org/officeDocument/2006/relationships" ref="B68" r:id="rId65"/>
    <hyperlink xmlns:r="http://schemas.openxmlformats.org/officeDocument/2006/relationships" ref="B69" r:id="rId66"/>
    <hyperlink xmlns:r="http://schemas.openxmlformats.org/officeDocument/2006/relationships" ref="B70" r:id="rId67"/>
    <hyperlink xmlns:r="http://schemas.openxmlformats.org/officeDocument/2006/relationships" ref="B71" r:id="rId68"/>
    <hyperlink xmlns:r="http://schemas.openxmlformats.org/officeDocument/2006/relationships" ref="B72" r:id="rId69"/>
    <hyperlink xmlns:r="http://schemas.openxmlformats.org/officeDocument/2006/relationships" ref="B73" r:id="rId70"/>
    <hyperlink xmlns:r="http://schemas.openxmlformats.org/officeDocument/2006/relationships" ref="B74" r:id="rId71"/>
    <hyperlink xmlns:r="http://schemas.openxmlformats.org/officeDocument/2006/relationships" ref="B75" r:id="rId72"/>
    <hyperlink xmlns:r="http://schemas.openxmlformats.org/officeDocument/2006/relationships" ref="B76" r:id="rId73"/>
    <hyperlink xmlns:r="http://schemas.openxmlformats.org/officeDocument/2006/relationships" ref="B77" r:id="rId74"/>
    <hyperlink xmlns:r="http://schemas.openxmlformats.org/officeDocument/2006/relationships" ref="B78" r:id="rId75"/>
    <hyperlink xmlns:r="http://schemas.openxmlformats.org/officeDocument/2006/relationships" ref="B79" r:id="rId76"/>
    <hyperlink xmlns:r="http://schemas.openxmlformats.org/officeDocument/2006/relationships" ref="B80" r:id="rId77"/>
    <hyperlink xmlns:r="http://schemas.openxmlformats.org/officeDocument/2006/relationships" ref="B81" r:id="rId78"/>
    <hyperlink xmlns:r="http://schemas.openxmlformats.org/officeDocument/2006/relationships" ref="B82" r:id="rId79"/>
    <hyperlink xmlns:r="http://schemas.openxmlformats.org/officeDocument/2006/relationships" ref="B83" r:id="rId80"/>
    <hyperlink xmlns:r="http://schemas.openxmlformats.org/officeDocument/2006/relationships" ref="B84" r:id="rId81"/>
    <hyperlink xmlns:r="http://schemas.openxmlformats.org/officeDocument/2006/relationships" ref="B85" r:id="rId82"/>
    <hyperlink xmlns:r="http://schemas.openxmlformats.org/officeDocument/2006/relationships" ref="B86" r:id="rId83"/>
    <hyperlink xmlns:r="http://schemas.openxmlformats.org/officeDocument/2006/relationships" ref="B87" r:id="rId84"/>
    <hyperlink xmlns:r="http://schemas.openxmlformats.org/officeDocument/2006/relationships" ref="B88" r:id="rId85"/>
    <hyperlink xmlns:r="http://schemas.openxmlformats.org/officeDocument/2006/relationships" ref="B89" r:id="rId86"/>
    <hyperlink xmlns:r="http://schemas.openxmlformats.org/officeDocument/2006/relationships" ref="B90" r:id="rId87"/>
    <hyperlink xmlns:r="http://schemas.openxmlformats.org/officeDocument/2006/relationships" ref="B91" r:id="rId88"/>
    <hyperlink xmlns:r="http://schemas.openxmlformats.org/officeDocument/2006/relationships" ref="B92" r:id="rId89"/>
    <hyperlink xmlns:r="http://schemas.openxmlformats.org/officeDocument/2006/relationships" ref="B93" r:id="rId90"/>
    <hyperlink xmlns:r="http://schemas.openxmlformats.org/officeDocument/2006/relationships" ref="B94" r:id="rId91"/>
    <hyperlink xmlns:r="http://schemas.openxmlformats.org/officeDocument/2006/relationships" ref="B95" r:id="rId92"/>
    <hyperlink xmlns:r="http://schemas.openxmlformats.org/officeDocument/2006/relationships" ref="B96" r:id="rId93"/>
    <hyperlink xmlns:r="http://schemas.openxmlformats.org/officeDocument/2006/relationships" ref="B97" r:id="rId94"/>
    <hyperlink xmlns:r="http://schemas.openxmlformats.org/officeDocument/2006/relationships" ref="B98" r:id="rId95"/>
    <hyperlink xmlns:r="http://schemas.openxmlformats.org/officeDocument/2006/relationships" ref="B99" r:id="rId96"/>
    <hyperlink xmlns:r="http://schemas.openxmlformats.org/officeDocument/2006/relationships" ref="B100" r:id="rId97"/>
    <hyperlink xmlns:r="http://schemas.openxmlformats.org/officeDocument/2006/relationships" ref="B101" r:id="rId98"/>
    <hyperlink xmlns:r="http://schemas.openxmlformats.org/officeDocument/2006/relationships" ref="B102" r:id="rId99"/>
    <hyperlink xmlns:r="http://schemas.openxmlformats.org/officeDocument/2006/relationships" ref="B103" r:id="rId100"/>
    <hyperlink xmlns:r="http://schemas.openxmlformats.org/officeDocument/2006/relationships" ref="B104" r:id="rId101"/>
    <hyperlink xmlns:r="http://schemas.openxmlformats.org/officeDocument/2006/relationships" ref="B105" r:id="rId102"/>
    <hyperlink xmlns:r="http://schemas.openxmlformats.org/officeDocument/2006/relationships" ref="B106" r:id="rId103"/>
    <hyperlink xmlns:r="http://schemas.openxmlformats.org/officeDocument/2006/relationships" ref="B107" r:id="rId104"/>
    <hyperlink xmlns:r="http://schemas.openxmlformats.org/officeDocument/2006/relationships" ref="B108" r:id="rId105"/>
    <hyperlink xmlns:r="http://schemas.openxmlformats.org/officeDocument/2006/relationships" ref="B109" r:id="rId106"/>
    <hyperlink xmlns:r="http://schemas.openxmlformats.org/officeDocument/2006/relationships" ref="B110" r:id="rId107"/>
    <hyperlink xmlns:r="http://schemas.openxmlformats.org/officeDocument/2006/relationships" ref="B111" r:id="rId108"/>
    <hyperlink xmlns:r="http://schemas.openxmlformats.org/officeDocument/2006/relationships" ref="B112" r:id="rId109"/>
    <hyperlink xmlns:r="http://schemas.openxmlformats.org/officeDocument/2006/relationships" ref="B113" r:id="rId110"/>
    <hyperlink xmlns:r="http://schemas.openxmlformats.org/officeDocument/2006/relationships" ref="B114" r:id="rId111"/>
    <hyperlink xmlns:r="http://schemas.openxmlformats.org/officeDocument/2006/relationships" ref="B115" r:id="rId112"/>
    <hyperlink xmlns:r="http://schemas.openxmlformats.org/officeDocument/2006/relationships" ref="B116" r:id="rId113"/>
    <hyperlink xmlns:r="http://schemas.openxmlformats.org/officeDocument/2006/relationships" ref="B117" r:id="rId114"/>
    <hyperlink xmlns:r="http://schemas.openxmlformats.org/officeDocument/2006/relationships" ref="B118" r:id="rId115"/>
    <hyperlink xmlns:r="http://schemas.openxmlformats.org/officeDocument/2006/relationships" ref="B119" r:id="rId116"/>
    <hyperlink xmlns:r="http://schemas.openxmlformats.org/officeDocument/2006/relationships" ref="B120" r:id="rId117"/>
    <hyperlink xmlns:r="http://schemas.openxmlformats.org/officeDocument/2006/relationships" ref="B121" r:id="rId118"/>
    <hyperlink xmlns:r="http://schemas.openxmlformats.org/officeDocument/2006/relationships" ref="B122" r:id="rId119"/>
    <hyperlink xmlns:r="http://schemas.openxmlformats.org/officeDocument/2006/relationships" ref="B123" r:id="rId120"/>
    <hyperlink xmlns:r="http://schemas.openxmlformats.org/officeDocument/2006/relationships" ref="B124" r:id="rId121"/>
    <hyperlink xmlns:r="http://schemas.openxmlformats.org/officeDocument/2006/relationships" ref="B125" r:id="rId122"/>
    <hyperlink xmlns:r="http://schemas.openxmlformats.org/officeDocument/2006/relationships" ref="B126" r:id="rId123"/>
    <hyperlink xmlns:r="http://schemas.openxmlformats.org/officeDocument/2006/relationships" ref="B127" r:id="rId124"/>
    <hyperlink xmlns:r="http://schemas.openxmlformats.org/officeDocument/2006/relationships" ref="B128" r:id="rId125"/>
    <hyperlink xmlns:r="http://schemas.openxmlformats.org/officeDocument/2006/relationships" ref="B129" r:id="rId126"/>
    <hyperlink xmlns:r="http://schemas.openxmlformats.org/officeDocument/2006/relationships" ref="B130" r:id="rId127"/>
    <hyperlink xmlns:r="http://schemas.openxmlformats.org/officeDocument/2006/relationships" ref="B131" r:id="rId128"/>
    <hyperlink xmlns:r="http://schemas.openxmlformats.org/officeDocument/2006/relationships" ref="B132" r:id="rId129"/>
    <hyperlink xmlns:r="http://schemas.openxmlformats.org/officeDocument/2006/relationships" ref="B133" r:id="rId130"/>
    <hyperlink xmlns:r="http://schemas.openxmlformats.org/officeDocument/2006/relationships" ref="B134" r:id="rId131"/>
    <hyperlink xmlns:r="http://schemas.openxmlformats.org/officeDocument/2006/relationships" ref="B135" r:id="rId132"/>
    <hyperlink xmlns:r="http://schemas.openxmlformats.org/officeDocument/2006/relationships" ref="B136" r:id="rId133"/>
    <hyperlink xmlns:r="http://schemas.openxmlformats.org/officeDocument/2006/relationships" ref="B137" r:id="rId134"/>
    <hyperlink xmlns:r="http://schemas.openxmlformats.org/officeDocument/2006/relationships" ref="B138" r:id="rId135"/>
    <hyperlink xmlns:r="http://schemas.openxmlformats.org/officeDocument/2006/relationships" ref="B139" r:id="rId136"/>
    <hyperlink xmlns:r="http://schemas.openxmlformats.org/officeDocument/2006/relationships" ref="B140" r:id="rId137"/>
    <hyperlink xmlns:r="http://schemas.openxmlformats.org/officeDocument/2006/relationships" ref="B141" r:id="rId138"/>
    <hyperlink xmlns:r="http://schemas.openxmlformats.org/officeDocument/2006/relationships" ref="B142" r:id="rId139"/>
    <hyperlink xmlns:r="http://schemas.openxmlformats.org/officeDocument/2006/relationships" ref="B143" r:id="rId140"/>
    <hyperlink xmlns:r="http://schemas.openxmlformats.org/officeDocument/2006/relationships" ref="B144" r:id="rId141"/>
    <hyperlink xmlns:r="http://schemas.openxmlformats.org/officeDocument/2006/relationships" ref="B145" r:id="rId142"/>
    <hyperlink xmlns:r="http://schemas.openxmlformats.org/officeDocument/2006/relationships" ref="B146" r:id="rId143"/>
    <hyperlink xmlns:r="http://schemas.openxmlformats.org/officeDocument/2006/relationships" ref="B147" r:id="rId144"/>
    <hyperlink xmlns:r="http://schemas.openxmlformats.org/officeDocument/2006/relationships" ref="B148" r:id="rId145"/>
    <hyperlink xmlns:r="http://schemas.openxmlformats.org/officeDocument/2006/relationships" ref="B149" r:id="rId146"/>
    <hyperlink xmlns:r="http://schemas.openxmlformats.org/officeDocument/2006/relationships" ref="B150" r:id="rId147"/>
    <hyperlink xmlns:r="http://schemas.openxmlformats.org/officeDocument/2006/relationships" ref="B151" r:id="rId148"/>
    <hyperlink xmlns:r="http://schemas.openxmlformats.org/officeDocument/2006/relationships" ref="B152" r:id="rId149"/>
    <hyperlink xmlns:r="http://schemas.openxmlformats.org/officeDocument/2006/relationships" ref="B153" r:id="rId150"/>
  </hyperlinks>
  <printOptions horizontalCentered="1"/>
  <pageMargins left="0.4" right="0.4" top="0.5" bottom="0.55" header="0.25" footer="0.25"/>
  <pageSetup orientation="landscape" paperSize="9" fitToHeight="0" fitToWidth="1"/>
  <headerFooter>
    <oddHeader/>
    <oddFooter>&amp;L&amp;"Arial"&amp;8 &amp;A&amp;R&amp;"Arial"&amp;8 Page &amp;P of &amp;N</oddFooter>
    <evenHeader/>
    <evenFooter/>
    <firstHeader/>
    <firstFooter/>
  </headerFooter>
  <tableParts count="1">
    <tablePart xmlns:r="http://schemas.openxmlformats.org/officeDocument/2006/relationships" r:id="rId151"/>
  </tableParts>
</worksheet>
</file>

<file path=xl/worksheets/sheet4.xml><?xml version="1.0" encoding="utf-8"?>
<worksheet xmlns="http://schemas.openxmlformats.org/spreadsheetml/2006/main">
  <sheetPr>
    <tabColor rgb="001F9D63"/>
    <outlinePr applyStyles="0" summaryBelow="0" summaryRight="1"/>
    <pageSetUpPr fitToPage="1"/>
  </sheetPr>
  <dimension ref="A1:I176"/>
  <sheetViews>
    <sheetView showGridLines="0" tabSelected="0" workbookViewId="0">
      <pane ySplit="2" topLeftCell="A3" activePane="bottomLeft" state="frozen"/>
      <selection pane="bottomLeft" activeCell="A1" sqref="A1"/>
    </sheetView>
  </sheetViews>
  <sheetFormatPr baseColWidth="8" defaultRowHeight="15" outlineLevelRow="1"/>
  <cols>
    <col width="6" customWidth="1" min="1" max="1"/>
    <col width="10" customWidth="1" min="2" max="2"/>
    <col width="56" customWidth="1" min="3" max="3"/>
    <col width="12" customWidth="1" min="4" max="4"/>
    <col width="17" customWidth="1" min="5" max="5"/>
    <col width="14" customWidth="1" min="6" max="6"/>
    <col width="20" customWidth="1" min="7" max="7"/>
    <col width="12" customWidth="1" min="8" max="8"/>
    <col width="50" customWidth="1" min="9" max="9"/>
  </cols>
  <sheetData>
    <row r="1" ht="26" customHeight="1">
      <c r="A1" s="153" t="inlineStr">
        <is>
          <t>Stories by theme</t>
        </is>
      </c>
      <c r="D1" s="154" t="inlineStr">
        <is>
          <t>← Dashboard</t>
        </is>
      </c>
      <c r="E1" s="154" t="inlineStr">
        <is>
          <t>↑ Start here</t>
        </is>
      </c>
      <c r="F1" s="154" t="inlineStr">
        <is>
          <t>Stories →</t>
        </is>
      </c>
    </row>
    <row r="2" ht="16" customHeight="1">
      <c r="A2" s="155" t="inlineStr">
        <is>
          <t>Read-only view, best stories first. Click − / + in the margin on the left to collapse or expand a theme (or the 1 / 2 buttons for all). Status comes from the Stories sheet.</t>
        </is>
      </c>
    </row>
    <row r="4" ht="26" customHeight="1">
      <c r="A4" s="186" t="inlineStr">
        <is>
          <t>Sustainability &amp; the Energy Transition   ·   4 stories   ·   1 rated 5 / 5   ·   1 feature lead</t>
        </is>
      </c>
      <c r="B4" s="187" t="n"/>
      <c r="C4" s="187" t="n"/>
      <c r="D4" s="187" t="n"/>
      <c r="E4" s="187" t="n"/>
      <c r="F4" s="187" t="n"/>
      <c r="G4" s="187" t="n"/>
      <c r="H4" s="187" t="n"/>
      <c r="I4" s="187" t="n"/>
    </row>
    <row r="5" outlineLevel="1">
      <c r="A5" s="188" t="inlineStr">
        <is>
          <t>No.</t>
        </is>
      </c>
      <c r="B5" s="188" t="inlineStr">
        <is>
          <t>Relevance</t>
        </is>
      </c>
      <c r="C5" s="189" t="inlineStr">
        <is>
          <t>Headline</t>
        </is>
      </c>
      <c r="D5" s="188" t="inlineStr">
        <is>
          <t>Link</t>
        </is>
      </c>
      <c r="E5" s="189" t="inlineStr">
        <is>
          <t>Suggested use</t>
        </is>
      </c>
      <c r="F5" s="188" t="inlineStr">
        <is>
          <t>Status</t>
        </is>
      </c>
      <c r="G5" s="189" t="inlineStr">
        <is>
          <t>Source</t>
        </is>
      </c>
      <c r="H5" s="188" t="inlineStr">
        <is>
          <t>Digest</t>
        </is>
      </c>
      <c r="I5" s="189" t="inlineStr">
        <is>
          <t>Magazine angle · check with</t>
        </is>
      </c>
    </row>
    <row r="6" outlineLevel="1" ht="79" customHeight="1">
      <c r="A6" s="190" t="n">
        <v>6</v>
      </c>
      <c r="B6" s="191" t="n">
        <v>5</v>
      </c>
      <c r="C6" s="192" t="inlineStr">
        <is>
          <t>Ground crumbles and gas escapes: thousands of dangerous sites identified in Yamal
(English headline translated by Claude · Original: Грунт рушится, а газ рвётся наружу: На Ямале выявили тысячи опасных участков)</t>
        </is>
      </c>
      <c r="D6" s="193" t="inlineStr">
        <is>
          <t>Open article</t>
        </is>
      </c>
      <c r="E6" s="194" t="inlineStr">
        <is>
          <t>Feature lead</t>
        </is>
      </c>
      <c r="F6" s="195">
        <f>IFERROR(INDEX(Stories!$F$4:$F$153,MATCH($A6,Stories!$A$4:$A$153,0))&amp;"","")</f>
        <v/>
      </c>
      <c r="G6" s="196" t="inlineStr">
        <is>
          <t>Life.ru</t>
        </is>
      </c>
      <c r="H6" s="197" t="n">
        <v>46321</v>
      </c>
      <c r="I6" s="196" t="inlineStr">
        <is>
          <t>How is permafrost thaw and gas migration causing ground collapse and craters across Yamal, and what monitoring and foundation strategies can manage thousands of hazardous sites?
Check with: Yamal regional authorities and the gas operators</t>
        </is>
      </c>
    </row>
    <row r="7" outlineLevel="1" ht="41.5" customHeight="1">
      <c r="A7" s="190" t="n">
        <v>134</v>
      </c>
      <c r="B7" s="191" t="n">
        <v>3</v>
      </c>
      <c r="C7" s="192" t="inlineStr">
        <is>
          <t>Snowy 2.0 cost and completion date revised</t>
        </is>
      </c>
      <c r="D7" s="193" t="inlineStr">
        <is>
          <t>Open article</t>
        </is>
      </c>
      <c r="E7" s="198" t="inlineStr">
        <is>
          <t>News brief</t>
        </is>
      </c>
      <c r="F7" s="195">
        <f>IFERROR(INDEX(Stories!$F$4:$F$153,MATCH($A7,Stories!$A$4:$A$153,0))&amp;"","")</f>
        <v/>
      </c>
      <c r="G7" s="196" t="inlineStr">
        <is>
          <t>Tunnels &amp; Tunnelling</t>
        </is>
      </c>
      <c r="H7" s="197" t="n">
        <v>46319</v>
      </c>
      <c r="I7" s="196" t="inlineStr">
        <is>
          <t>What ground-related risks drive cost and schedule overruns in large pumped hydro cavern and tunnel excavations?</t>
        </is>
      </c>
    </row>
    <row r="8" outlineLevel="1" ht="41.5" customHeight="1">
      <c r="A8" s="190" t="n">
        <v>137</v>
      </c>
      <c r="B8" s="191" t="n">
        <v>3</v>
      </c>
      <c r="C8" s="192" t="inlineStr">
        <is>
          <t>Abergeldie awarded patent for underground hydrogen storage solution</t>
        </is>
      </c>
      <c r="D8" s="193" t="inlineStr">
        <is>
          <t>Open article</t>
        </is>
      </c>
      <c r="E8" s="199" t="inlineStr">
        <is>
          <t>Academia-to-Industry topic</t>
        </is>
      </c>
      <c r="F8" s="195">
        <f>IFERROR(INDEX(Stories!$F$4:$F$153,MATCH($A8,Stories!$A$4:$A$153,0))&amp;"","")</f>
        <v/>
      </c>
      <c r="G8" s="196" t="inlineStr">
        <is>
          <t>Tunnels &amp; Tunnelling</t>
        </is>
      </c>
      <c r="H8" s="197" t="n">
        <v>46319</v>
      </c>
      <c r="I8" s="196" t="inlineStr">
        <is>
          <t>What ground conditions and geomechanical criteria govern underground hydrogen storage, and how does blind boring apply?</t>
        </is>
      </c>
    </row>
    <row r="9" outlineLevel="1" ht="29" customHeight="1">
      <c r="A9" s="190" t="n">
        <v>138</v>
      </c>
      <c r="B9" s="191" t="n">
        <v>3</v>
      </c>
      <c r="C9" s="192" t="inlineStr">
        <is>
          <t>Snowy 2.0 cost rises to A$22.2bn</t>
        </is>
      </c>
      <c r="D9" s="193" t="inlineStr">
        <is>
          <t>Open article</t>
        </is>
      </c>
      <c r="E9" s="198" t="inlineStr">
        <is>
          <t>News brief</t>
        </is>
      </c>
      <c r="F9" s="195">
        <f>IFERROR(INDEX(Stories!$F$4:$F$153,MATCH($A9,Stories!$A$4:$A$153,0))&amp;"","")</f>
        <v/>
      </c>
      <c r="G9" s="196" t="inlineStr">
        <is>
          <t>Tunnelling Journal</t>
        </is>
      </c>
      <c r="H9" s="197" t="n">
        <v>46319</v>
      </c>
      <c r="I9" s="196" t="inlineStr">
        <is>
          <t>What ground-related factors drive repeated cost increases in large underground pumped hydro projects?</t>
        </is>
      </c>
    </row>
    <row r="10" outlineLevel="1" ht="10" customHeight="1"/>
    <row r="11" ht="26" customHeight="1">
      <c r="A11" s="200" t="inlineStr">
        <is>
          <t>Digital Geotechnics   ·   5 stories   ·   1 rated 5 / 5   ·   2 feature leads</t>
        </is>
      </c>
      <c r="B11" s="201" t="n"/>
      <c r="C11" s="201" t="n"/>
      <c r="D11" s="201" t="n"/>
      <c r="E11" s="201" t="n"/>
      <c r="F11" s="201" t="n"/>
      <c r="G11" s="201" t="n"/>
      <c r="H11" s="201" t="n"/>
      <c r="I11" s="201" t="n"/>
    </row>
    <row r="12" outlineLevel="1">
      <c r="A12" s="202" t="inlineStr">
        <is>
          <t>No.</t>
        </is>
      </c>
      <c r="B12" s="202" t="inlineStr">
        <is>
          <t>Relevance</t>
        </is>
      </c>
      <c r="C12" s="203" t="inlineStr">
        <is>
          <t>Headline</t>
        </is>
      </c>
      <c r="D12" s="202" t="inlineStr">
        <is>
          <t>Link</t>
        </is>
      </c>
      <c r="E12" s="203" t="inlineStr">
        <is>
          <t>Suggested use</t>
        </is>
      </c>
      <c r="F12" s="202" t="inlineStr">
        <is>
          <t>Status</t>
        </is>
      </c>
      <c r="G12" s="203" t="inlineStr">
        <is>
          <t>Source</t>
        </is>
      </c>
      <c r="H12" s="202" t="inlineStr">
        <is>
          <t>Digest</t>
        </is>
      </c>
      <c r="I12" s="203" t="inlineStr">
        <is>
          <t>Magazine angle · check with</t>
        </is>
      </c>
    </row>
    <row r="13" outlineLevel="1" ht="66.5" customHeight="1">
      <c r="A13" s="190" t="n">
        <v>96</v>
      </c>
      <c r="B13" s="191" t="n">
        <v>5</v>
      </c>
      <c r="C13" s="192" t="inlineStr">
        <is>
          <t>Automatic segmentation of rock mass fracture networks from UAV imagery using cross-domain transfer learning under scarce labels.
(English headline translated by Claude · Original: 标签稀缺条件下基于跨域迁移学习的无人机岩体裂隙网络自动分割方法)</t>
        </is>
      </c>
      <c r="D13" s="193" t="inlineStr">
        <is>
          <t>Open article</t>
        </is>
      </c>
      <c r="E13" s="199" t="inlineStr">
        <is>
          <t>Academia-to-Industry topic</t>
        </is>
      </c>
      <c r="F13" s="195">
        <f>IFERROR(INDEX(Stories!$F$4:$F$153,MATCH($A13,Stories!$A$4:$A$153,0))&amp;"","")</f>
        <v/>
      </c>
      <c r="G13" s="196" t="inlineStr">
        <is>
          <t>生物通</t>
        </is>
      </c>
      <c r="H13" s="197" t="n">
        <v>46319</v>
      </c>
      <c r="I13" s="196" t="inlineStr">
        <is>
          <t>Can transfer learning from related image domains reliably segment rock fracture networks in UAV imagery when labelled data are scarce, and how accurate are the results?</t>
        </is>
      </c>
    </row>
    <row r="14" outlineLevel="1" ht="29" customHeight="1">
      <c r="A14" s="190" t="n">
        <v>55</v>
      </c>
      <c r="B14" s="191" t="n">
        <v>4</v>
      </c>
      <c r="C14" s="192" t="inlineStr">
        <is>
          <t>Using AI to provide early warning of landslide risks.</t>
        </is>
      </c>
      <c r="D14" s="193" t="inlineStr">
        <is>
          <t>Open article</t>
        </is>
      </c>
      <c r="E14" s="194" t="inlineStr">
        <is>
          <t>Feature lead</t>
        </is>
      </c>
      <c r="F14" s="195">
        <f>IFERROR(INDEX(Stories!$F$4:$F$153,MATCH($A14,Stories!$A$4:$A$153,0))&amp;"","")</f>
        <v/>
      </c>
      <c r="G14" s="196" t="inlineStr">
        <is>
          <t>Vietnam.vn</t>
        </is>
      </c>
      <c r="H14" s="197" t="n">
        <v>46320</v>
      </c>
      <c r="I14" s="196" t="inlineStr">
        <is>
          <t>How reliable are AI-based landslide early-warning models when trained on sparse ground monitoring data?</t>
        </is>
      </c>
    </row>
    <row r="15" outlineLevel="1" ht="79" customHeight="1">
      <c r="A15" s="190" t="n">
        <v>26</v>
      </c>
      <c r="B15" s="191" t="n">
        <v>4</v>
      </c>
      <c r="C15" s="192" t="inlineStr">
        <is>
          <t>Zero cycle: how Setl Group creates 3D excavation models for residential buildings using nanoCAD GeoniCS
(English headline translated by Claude · Original: Нулевой цикл: как в Setl Group создают 3D модели котлованов жилых зданий при помощи nanoCAD GeoniCS)</t>
        </is>
      </c>
      <c r="D15" s="193" t="inlineStr">
        <is>
          <t>Open article</t>
        </is>
      </c>
      <c r="E15" s="194" t="inlineStr">
        <is>
          <t>Feature lead</t>
        </is>
      </c>
      <c r="F15" s="195">
        <f>IFERROR(INDEX(Stories!$F$4:$F$153,MATCH($A15,Stories!$A$4:$A$153,0))&amp;"","")</f>
        <v/>
      </c>
      <c r="G15" s="196" t="inlineStr">
        <is>
          <t>ComNews.ru</t>
        </is>
      </c>
      <c r="H15" s="197" t="n">
        <v>46321</v>
      </c>
      <c r="I15" s="196" t="inlineStr">
        <is>
          <t>How reliable are 3D excavation models built from site investigation data for deep pits in dense urban sites, and how should their accuracy be verified before construction?
Check with: Setl Group (developer) and the nanoCAD GeoniCS software vendor</t>
        </is>
      </c>
    </row>
    <row r="16" outlineLevel="1" ht="54" customHeight="1">
      <c r="A16" s="190" t="n">
        <v>31</v>
      </c>
      <c r="B16" s="191" t="n">
        <v>3</v>
      </c>
      <c r="C16" s="192" t="inlineStr">
        <is>
          <t>Using AI to detect landslide risks early.
(English headline translated by Claude · Original: Utiliser l'IA pour détecter précocement les risques de glissements de terrain.)</t>
        </is>
      </c>
      <c r="D16" s="193" t="inlineStr">
        <is>
          <t>Open article</t>
        </is>
      </c>
      <c r="E16" s="199" t="inlineStr">
        <is>
          <t>Academia-to-Industry topic</t>
        </is>
      </c>
      <c r="F16" s="195">
        <f>IFERROR(INDEX(Stories!$F$4:$F$153,MATCH($A16,Stories!$A$4:$A$153,0))&amp;"","")</f>
        <v/>
      </c>
      <c r="G16" s="196" t="inlineStr">
        <is>
          <t>Vietnam.vn</t>
        </is>
      </c>
      <c r="H16" s="197" t="n">
        <v>46321</v>
      </c>
      <c r="I16" s="196" t="inlineStr">
        <is>
          <t>Can machine learning on rainfall and monitoring data reliably predict landslide initiation, and what validation would engineers need?</t>
        </is>
      </c>
    </row>
    <row r="17" outlineLevel="1" ht="66.5" customHeight="1">
      <c r="A17" s="190" t="n">
        <v>32</v>
      </c>
      <c r="B17" s="191" t="n">
        <v>3</v>
      </c>
      <c r="C17" s="192" t="inlineStr">
        <is>
          <t>Using artificial intelligence to provide early warnings of landslide risk.
(English headline translated by Claude · Original: Utilizar la inteligencia artificial para proporcionar alertas tempranas sobre riesgos de deslizamientos de tierra.)</t>
        </is>
      </c>
      <c r="D17" s="193" t="inlineStr">
        <is>
          <t>Open article</t>
        </is>
      </c>
      <c r="E17" s="204" t="inlineStr">
        <is>
          <t>Watch only</t>
        </is>
      </c>
      <c r="F17" s="195">
        <f>IFERROR(INDEX(Stories!$F$4:$F$153,MATCH($A17,Stories!$A$4:$A$153,0))&amp;"","")</f>
        <v/>
      </c>
      <c r="G17" s="196" t="inlineStr">
        <is>
          <t>Vietnam.vn</t>
        </is>
      </c>
      <c r="H17" s="197" t="n">
        <v>46321</v>
      </c>
      <c r="I17" s="196" t="inlineStr">
        <is>
          <t>Can machine learning on rainfall and monitoring data reliably predict landslide initiation, and what validation would engineers need?</t>
        </is>
      </c>
    </row>
    <row r="18" outlineLevel="1" ht="10" customHeight="1"/>
    <row r="19" ht="26" customHeight="1">
      <c r="A19" s="205" t="inlineStr">
        <is>
          <t>Hazards &amp; Resilience   ·   53 stories   ·   13 rated 5 / 5   ·   34 feature leads</t>
        </is>
      </c>
      <c r="B19" s="206" t="n"/>
      <c r="C19" s="206" t="n"/>
      <c r="D19" s="206" t="n"/>
      <c r="E19" s="206" t="n"/>
      <c r="F19" s="206" t="n"/>
      <c r="G19" s="206" t="n"/>
      <c r="H19" s="206" t="n"/>
      <c r="I19" s="206" t="n"/>
    </row>
    <row r="20" outlineLevel="1">
      <c r="A20" s="207" t="inlineStr">
        <is>
          <t>No.</t>
        </is>
      </c>
      <c r="B20" s="207" t="inlineStr">
        <is>
          <t>Relevance</t>
        </is>
      </c>
      <c r="C20" s="208" t="inlineStr">
        <is>
          <t>Headline</t>
        </is>
      </c>
      <c r="D20" s="207" t="inlineStr">
        <is>
          <t>Link</t>
        </is>
      </c>
      <c r="E20" s="208" t="inlineStr">
        <is>
          <t>Suggested use</t>
        </is>
      </c>
      <c r="F20" s="207" t="inlineStr">
        <is>
          <t>Status</t>
        </is>
      </c>
      <c r="G20" s="208" t="inlineStr">
        <is>
          <t>Source</t>
        </is>
      </c>
      <c r="H20" s="207" t="inlineStr">
        <is>
          <t>Digest</t>
        </is>
      </c>
      <c r="I20" s="208" t="inlineStr">
        <is>
          <t>Magazine angle · check with</t>
        </is>
      </c>
    </row>
    <row r="21" outlineLevel="1" ht="66.5" customHeight="1">
      <c r="A21" s="190" t="n">
        <v>1</v>
      </c>
      <c r="B21" s="191" t="n">
        <v>5</v>
      </c>
      <c r="C21" s="192" t="inlineStr">
        <is>
          <t>Kumamoto earthquake: 96% of liquefaction sites reoccurred
(English headline translated by Claude · Original: 熊本地震 液状化地点の96%で再発)</t>
        </is>
      </c>
      <c r="D21" s="193" t="inlineStr">
        <is>
          <t>Open article</t>
        </is>
      </c>
      <c r="E21" s="194" t="inlineStr">
        <is>
          <t>Feature lead</t>
        </is>
      </c>
      <c r="F21" s="195">
        <f>IFERROR(INDEX(Stories!$F$4:$F$153,MATCH($A21,Stories!$A$4:$A$153,0))&amp;"","")</f>
        <v/>
      </c>
      <c r="G21" s="196" t="inlineStr">
        <is>
          <t>Yahoo!ニュース</t>
        </is>
      </c>
      <c r="H21" s="197" t="n">
        <v>46321</v>
      </c>
      <c r="I21" s="196" t="inlineStr">
        <is>
          <t>Why do the same sites re-liquefy in repeated earthquakes, and which ground improvement or site-specific measures actually stop recurrence?
Check with: Kumamoto Prefectural Government and the research team behind the liquefaction survey</t>
        </is>
      </c>
    </row>
    <row r="22" outlineLevel="1" ht="66.5" customHeight="1">
      <c r="A22" s="190" t="n">
        <v>2</v>
      </c>
      <c r="B22" s="191" t="n">
        <v>5</v>
      </c>
      <c r="C22" s="192" t="inlineStr">
        <is>
          <t>96% of sites with upper seismic intensity 6 in the Kumamoto earthquake re-liquefied; experts urge advance countermeasures.
(English headline translated by Claude · Original: 熊本地震「震度６強」の９６％が再液状化…繰り返される被害、専門家は事前対策訴え)</t>
        </is>
      </c>
      <c r="D22" s="193" t="inlineStr">
        <is>
          <t>Open article</t>
        </is>
      </c>
      <c r="E22" s="204" t="inlineStr">
        <is>
          <t>Watch only</t>
        </is>
      </c>
      <c r="F22" s="195">
        <f>IFERROR(INDEX(Stories!$F$4:$F$153,MATCH($A22,Stories!$A$4:$A$153,0))&amp;"","")</f>
        <v/>
      </c>
      <c r="G22" s="196" t="inlineStr">
        <is>
          <t>読売新聞</t>
        </is>
      </c>
      <c r="H22" s="197" t="n">
        <v>46321</v>
      </c>
      <c r="I22" s="196" t="inlineStr">
        <is>
          <t>Why do the same sites re-liquefy in repeated earthquakes, and which ground improvement or site-specific measures actually stop recurrence?
Check with: Kumamoto Prefectural Government and the research team behind the liquefaction survey</t>
        </is>
      </c>
    </row>
    <row r="23" outlineLevel="1" ht="66.5" customHeight="1">
      <c r="A23" s="190" t="n">
        <v>3</v>
      </c>
      <c r="B23" s="191" t="n">
        <v>5</v>
      </c>
      <c r="C23" s="192" t="inlineStr">
        <is>
          <t>Ancient Earthquakes Triggered Massive 10,000-Year-Old Landslides In Kashmir Himalaya, New Study Reveals</t>
        </is>
      </c>
      <c r="D23" s="193" t="inlineStr">
        <is>
          <t>Open article</t>
        </is>
      </c>
      <c r="E23" s="194" t="inlineStr">
        <is>
          <t>Feature lead</t>
        </is>
      </c>
      <c r="F23" s="195">
        <f>IFERROR(INDEX(Stories!$F$4:$F$153,MATCH($A23,Stories!$A$4:$A$153,0))&amp;"","")</f>
        <v/>
      </c>
      <c r="G23" s="196" t="inlineStr">
        <is>
          <t>Kashmir Life</t>
        </is>
      </c>
      <c r="H23" s="197" t="n">
        <v>46321</v>
      </c>
      <c r="I23" s="196" t="inlineStr">
        <is>
          <t>Can dating of ancient landslide deposits be used to infer earthquake recurrence and slope hazard in tectonically active Himalayan terrain?
Check with: the study's lead research institution (check the journal paper)</t>
        </is>
      </c>
    </row>
    <row r="24" outlineLevel="1" ht="41.5" customHeight="1">
      <c r="A24" s="190" t="n">
        <v>44</v>
      </c>
      <c r="B24" s="191" t="n">
        <v>5</v>
      </c>
      <c r="C24" s="192" t="inlineStr">
        <is>
          <t>More than 100 days after Kalladi landslip, twin-tunnel road project awaits safety reports</t>
        </is>
      </c>
      <c r="D24" s="193" t="inlineStr">
        <is>
          <t>Open article</t>
        </is>
      </c>
      <c r="E24" s="194" t="inlineStr">
        <is>
          <t>Feature lead</t>
        </is>
      </c>
      <c r="F24" s="195">
        <f>IFERROR(INDEX(Stories!$F$4:$F$153,MATCH($A24,Stories!$A$4:$A$153,0))&amp;"","")</f>
        <v/>
      </c>
      <c r="G24" s="196" t="inlineStr">
        <is>
          <t>Onmanorama</t>
        </is>
      </c>
      <c r="H24" s="197" t="n">
        <v>46320</v>
      </c>
      <c r="I24" s="196" t="inlineStr">
        <is>
          <t>How should twin-tunnel road projects be geotechnically assessed and safety-verified in landslide-prone hill terrain after a major slope failure?</t>
        </is>
      </c>
    </row>
    <row r="25" outlineLevel="1" ht="54" customHeight="1">
      <c r="A25" s="190" t="n">
        <v>45</v>
      </c>
      <c r="B25" s="191" t="n">
        <v>5</v>
      </c>
      <c r="C25" s="192" t="inlineStr">
        <is>
          <t>Fragility of port disaster prevention exposed: liquefaction halts logistics at Yatsushiro
(English headline translated by Claude · Original: 港湾防災のもろさ露呈 八代、液状化で物流停止)</t>
        </is>
      </c>
      <c r="D25" s="193" t="inlineStr">
        <is>
          <t>Open article</t>
        </is>
      </c>
      <c r="E25" s="194" t="inlineStr">
        <is>
          <t>Feature lead</t>
        </is>
      </c>
      <c r="F25" s="195">
        <f>IFERROR(INDEX(Stories!$F$4:$F$153,MATCH($A25,Stories!$A$4:$A$153,0))&amp;"","")</f>
        <v/>
      </c>
      <c r="G25" s="196" t="inlineStr">
        <is>
          <t>山陽新聞</t>
        </is>
      </c>
      <c r="H25" s="197" t="n">
        <v>46320</v>
      </c>
      <c r="I25" s="196" t="inlineStr">
        <is>
          <t>Why do reclaimed port areas liquefy during earthquakes, and how can quay and yard design reduce the risk of losing logistics function after shaking?</t>
        </is>
      </c>
    </row>
    <row r="26" outlineLevel="1" ht="79" customHeight="1">
      <c r="A26" s="190" t="n">
        <v>4</v>
      </c>
      <c r="B26" s="191" t="n">
        <v>5</v>
      </c>
      <c r="C26" s="192" t="inlineStr">
        <is>
          <t>Niscemi, nine months after the landslide: the town hanging over the void and thirty years of broken promises.
(English headline translated by Claude · Original: Niscemi, nove mesi dopo la frana: la città sospesa sul vuoto e trent'anni di promesse tradite)</t>
        </is>
      </c>
      <c r="D26" s="193" t="inlineStr">
        <is>
          <t>Open article</t>
        </is>
      </c>
      <c r="E26" s="194" t="inlineStr">
        <is>
          <t>Feature lead</t>
        </is>
      </c>
      <c r="F26" s="195">
        <f>IFERROR(INDEX(Stories!$F$4:$F$153,MATCH($A26,Stories!$A$4:$A$153,0))&amp;"","")</f>
        <v/>
      </c>
      <c r="G26" s="196" t="inlineStr">
        <is>
          <t>la Repubblica</t>
        </is>
      </c>
      <c r="H26" s="197" t="n">
        <v>46321</v>
      </c>
      <c r="I26" s="196" t="inlineStr">
        <is>
          <t>Why does a large landslide keep a hilltop town in limbo months later, and what geotechnical monitoring and stabilisation strategy could justify either remaining or relocating residents?
Check with: Italian Civil Protection Department and Comune di Niscemi</t>
        </is>
      </c>
    </row>
    <row r="27" outlineLevel="1" ht="66.5" customHeight="1">
      <c r="A27" s="190" t="n">
        <v>46</v>
      </c>
      <c r="B27" s="191" t="n">
        <v>5</v>
      </c>
      <c r="C27" s="192" t="inlineStr">
        <is>
          <t>Arauco sinkhole: government acknowledges earlier warnings about unstable land and keeps 152 families evacuated
(English headline translated by Claude · Original: Socavón de Arauco: Gobierno reconoce advertencias previas sobre terrenos inestables y mantiene evacuación de 152 familias)</t>
        </is>
      </c>
      <c r="D27" s="193" t="inlineStr">
        <is>
          <t>Open article</t>
        </is>
      </c>
      <c r="E27" s="194" t="inlineStr">
        <is>
          <t>Feature lead</t>
        </is>
      </c>
      <c r="F27" s="195">
        <f>IFERROR(INDEX(Stories!$F$4:$F$153,MATCH($A27,Stories!$A$4:$A$153,0))&amp;"","")</f>
        <v/>
      </c>
      <c r="G27" s="196" t="inlineStr">
        <is>
          <t>Publimicro</t>
        </is>
      </c>
      <c r="H27" s="197" t="n">
        <v>46320</v>
      </c>
      <c r="I27" s="196" t="inlineStr">
        <is>
          <t>How should authorities act on prior geotechnical warnings about unstable ground, and what criteria should govern long-term evacuation and land reuse?</t>
        </is>
      </c>
    </row>
    <row r="28" outlineLevel="1" ht="66.5" customHeight="1">
      <c r="A28" s="190" t="n">
        <v>47</v>
      </c>
      <c r="B28" s="191" t="n">
        <v>5</v>
      </c>
      <c r="C28" s="192" t="inlineStr">
        <is>
          <t>Up to 1.20 metres of ground moved during the 7.5 earthquake that shook Panama
(English headline translated by Claude · Original: Hasta 1.20 metros se desplazó el suelo durante el terremoto de 7.5 que sacudió Panamá)</t>
        </is>
      </c>
      <c r="D28" s="193" t="inlineStr">
        <is>
          <t>Open article</t>
        </is>
      </c>
      <c r="E28" s="194" t="inlineStr">
        <is>
          <t>Feature lead</t>
        </is>
      </c>
      <c r="F28" s="195">
        <f>IFERROR(INDEX(Stories!$F$4:$F$153,MATCH($A28,Stories!$A$4:$A$153,0))&amp;"","")</f>
        <v/>
      </c>
      <c r="G28" s="196" t="inlineStr">
        <is>
          <t>Infobae</t>
        </is>
      </c>
      <c r="H28" s="197" t="n">
        <v>46320</v>
      </c>
      <c r="I28" s="196" t="inlineStr">
        <is>
          <t>What mechanisms produced metre-scale ground displacement during this magnitude 7.5 earthquake, and what do they imply for fault-zone hazard assessment in Panama?</t>
        </is>
      </c>
    </row>
    <row r="29" outlineLevel="1" ht="66.5" customHeight="1">
      <c r="A29" s="190" t="n">
        <v>5</v>
      </c>
      <c r="B29" s="191" t="n">
        <v>5</v>
      </c>
      <c r="C29" s="192" t="inlineStr">
        <is>
          <t>Liu Yushui garden earth collapse kills; SAM says it warned repeatedly about hillside development risks
(English headline translated by Claude · Original: 刘玉水花园土崩夺命 SAM：已多次警告 山坡发展风险)</t>
        </is>
      </c>
      <c r="D29" s="193" t="inlineStr">
        <is>
          <t>Open article</t>
        </is>
      </c>
      <c r="E29" s="194" t="inlineStr">
        <is>
          <t>Feature lead</t>
        </is>
      </c>
      <c r="F29" s="195">
        <f>IFERROR(INDEX(Stories!$F$4:$F$153,MATCH($A29,Stories!$A$4:$A$153,0))&amp;"","")</f>
        <v/>
      </c>
      <c r="G29" s="196" t="inlineStr">
        <is>
          <t>China Press</t>
        </is>
      </c>
      <c r="H29" s="197" t="n">
        <v>46321</v>
      </c>
      <c r="I29" s="196" t="inlineStr">
        <is>
          <t>How do hillside development practices and repeated unheeded warnings contribute to fatal slope failures, and what geotechnical due diligence should apply to hillside housing?
Check with: Penang state government and the police</t>
        </is>
      </c>
    </row>
    <row r="30" outlineLevel="1" ht="66.5" customHeight="1">
      <c r="A30" s="190" t="n">
        <v>8</v>
      </c>
      <c r="B30" s="191" t="n">
        <v>5</v>
      </c>
      <c r="C30" s="192" t="inlineStr">
        <is>
          <t>Rock blocks over 500 tonnes threaten Turkey–Georgia road; experts demand inspection of 50 km
(English headline translated by Claude · Original: كتل صخرية تتجاوز 500 طن تهدد طريق تركيا-جورجيا.. خبراء يطالبون بفحص 50 كيلومترًا)</t>
        </is>
      </c>
      <c r="D30" s="193" t="inlineStr">
        <is>
          <t>Open article</t>
        </is>
      </c>
      <c r="E30" s="194" t="inlineStr">
        <is>
          <t>Feature lead</t>
        </is>
      </c>
      <c r="F30" s="195">
        <f>IFERROR(INDEX(Stories!$F$4:$F$153,MATCH($A30,Stories!$A$4:$A$153,0))&amp;"","")</f>
        <v/>
      </c>
      <c r="G30" s="196" t="inlineStr">
        <is>
          <t>تركيا عاجل</t>
        </is>
      </c>
      <c r="H30" s="197" t="n">
        <v>46321</v>
      </c>
      <c r="I30" s="196" t="inlineStr">
        <is>
          <t>How can rockfall hazard along a mountain highway be assessed for very large blocks, and what slope-scaling and stabilisation approach suits a 50 km stretch?
Check with: the General Directorate of Highways (KGM)</t>
        </is>
      </c>
    </row>
    <row r="31" outlineLevel="1" ht="54" customHeight="1">
      <c r="A31" s="190" t="n">
        <v>9</v>
      </c>
      <c r="B31" s="191" t="n">
        <v>5</v>
      </c>
      <c r="C31" s="192" t="inlineStr">
        <is>
          <t>Longwei earth collapse death: autopsy report released, cause is traumatic asphyxia
(English headline translated by Claude · Original: 垄尾土崩酿一死｜死者解剖报告出炉 死因是创伤性窒息)</t>
        </is>
      </c>
      <c r="D31" s="193" t="inlineStr">
        <is>
          <t>Open article</t>
        </is>
      </c>
      <c r="E31" s="194" t="inlineStr">
        <is>
          <t>Feature lead</t>
        </is>
      </c>
      <c r="F31" s="195">
        <f>IFERROR(INDEX(Stories!$F$4:$F$153,MATCH($A31,Stories!$A$4:$A$153,0))&amp;"","")</f>
        <v/>
      </c>
      <c r="G31" s="196" t="inlineStr">
        <is>
          <t>China Press</t>
        </is>
      </c>
      <c r="H31" s="197" t="n">
        <v>46321</v>
      </c>
      <c r="I31" s="196" t="inlineStr">
        <is>
          <t>What does the post-mortem finding of a traumatic death reveal about the safety of hillside collapse rescue and the failure of earlier slope warnings?
Check with: Penang state government and the police</t>
        </is>
      </c>
    </row>
    <row r="32" outlineLevel="1" ht="66.5" customHeight="1">
      <c r="A32" s="190" t="n">
        <v>48</v>
      </c>
      <c r="B32" s="191" t="n">
        <v>5</v>
      </c>
      <c r="C32" s="192" t="inlineStr">
        <is>
          <t>Zaruma sits on old gold galleries: where is the sinkhole risk concentrated?
(English headline translated by Claude · Original: Zaruma está sobre antiguas galerías de oro: ¿Dónde se concentra el riesgo de hundimiento?)</t>
        </is>
      </c>
      <c r="D32" s="193" t="inlineStr">
        <is>
          <t>Open article</t>
        </is>
      </c>
      <c r="E32" s="194" t="inlineStr">
        <is>
          <t>Feature lead</t>
        </is>
      </c>
      <c r="F32" s="195">
        <f>IFERROR(INDEX(Stories!$F$4:$F$153,MATCH($A32,Stories!$A$4:$A$153,0))&amp;"","")</f>
        <v/>
      </c>
      <c r="G32" s="196" t="inlineStr">
        <is>
          <t>Revista Digital Minera REDIMIN</t>
        </is>
      </c>
      <c r="H32" s="197" t="n">
        <v>46320</v>
      </c>
      <c r="I32" s="196" t="inlineStr">
        <is>
          <t>How do abandoned shallow gold mine galleries affect ground stability beneath an urban area, and how can the sinkhole risk be mapped and managed?</t>
        </is>
      </c>
    </row>
    <row r="33" outlineLevel="1" ht="54" customHeight="1">
      <c r="A33" s="190" t="n">
        <v>95</v>
      </c>
      <c r="B33" s="191" t="n">
        <v>5</v>
      </c>
      <c r="C33" s="192" t="inlineStr">
        <is>
          <t>Serious landslides in South Gia Nghia
(English headline translated by Claude · Original: Sụt trượt đất nghiêm trọng ở Nam Gia Nghĩa)</t>
        </is>
      </c>
      <c r="D33" s="193" t="inlineStr">
        <is>
          <t>Open article</t>
        </is>
      </c>
      <c r="E33" s="194" t="inlineStr">
        <is>
          <t>Feature lead</t>
        </is>
      </c>
      <c r="F33" s="195">
        <f>IFERROR(INDEX(Stories!$F$4:$F$153,MATCH($A33,Stories!$A$4:$A$153,0))&amp;"","")</f>
        <v/>
      </c>
      <c r="G33" s="196" t="inlineStr">
        <is>
          <t>Vietnam.vn</t>
        </is>
      </c>
      <c r="H33" s="197" t="n">
        <v>46319</v>
      </c>
      <c r="I33" s="196" t="inlineStr">
        <is>
          <t>What rainfall and slope geometry triggered this serious landslide in Nam Gia Nghia, and how should weathered residual soils on such slopes be investigated and stabilised?</t>
        </is>
      </c>
    </row>
    <row r="34" outlineLevel="1" ht="41.5" customHeight="1">
      <c r="A34" s="190" t="n">
        <v>97</v>
      </c>
      <c r="B34" s="191" t="n">
        <v>4</v>
      </c>
      <c r="C34" s="192" t="inlineStr">
        <is>
          <t>M4 landslip work begins as part of wider repair programme</t>
        </is>
      </c>
      <c r="D34" s="193" t="inlineStr">
        <is>
          <t>Open article</t>
        </is>
      </c>
      <c r="E34" s="194" t="inlineStr">
        <is>
          <t>Feature lead</t>
        </is>
      </c>
      <c r="F34" s="195">
        <f>IFERROR(INDEX(Stories!$F$4:$F$153,MATCH($A34,Stories!$A$4:$A$153,0))&amp;"","")</f>
        <v/>
      </c>
      <c r="G34" s="196" t="inlineStr">
        <is>
          <t>Ground Engineering</t>
        </is>
      </c>
      <c r="H34" s="197" t="n">
        <v>46319</v>
      </c>
      <c r="I34" s="196" t="inlineStr">
        <is>
          <t>How should engineers diagnose and stabilise a landslipped motorway embankment, and what drainage and monitoring measures prevent recurrence?</t>
        </is>
      </c>
    </row>
    <row r="35" outlineLevel="1" ht="54" customHeight="1">
      <c r="A35" s="190" t="n">
        <v>98</v>
      </c>
      <c r="B35" s="191" t="n">
        <v>4</v>
      </c>
      <c r="C35" s="192" t="inlineStr">
        <is>
          <t>Landslide-prevention embankment threatens residential area
(English headline translated by Claude · Original: Tanggul pencegah tanah longsor 'mengancam' kawasan permukiman.)</t>
        </is>
      </c>
      <c r="D35" s="193" t="inlineStr">
        <is>
          <t>Open article</t>
        </is>
      </c>
      <c r="E35" s="194" t="inlineStr">
        <is>
          <t>Feature lead</t>
        </is>
      </c>
      <c r="F35" s="195">
        <f>IFERROR(INDEX(Stories!$F$4:$F$153,MATCH($A35,Stories!$A$4:$A$153,0))&amp;"","")</f>
        <v/>
      </c>
      <c r="G35" s="196" t="inlineStr">
        <is>
          <t>Vietnam.vn</t>
        </is>
      </c>
      <c r="H35" s="197" t="n">
        <v>46319</v>
      </c>
      <c r="I35" s="196" t="inlineStr">
        <is>
          <t>Can retaining and protective embankments be designed to resist landslide loading from upslope slopes beside settlements, and how should such risk be assessed?</t>
        </is>
      </c>
    </row>
    <row r="36" outlineLevel="1" ht="66.5" customHeight="1">
      <c r="A36" s="190" t="n">
        <v>99</v>
      </c>
      <c r="B36" s="191" t="n">
        <v>4</v>
      </c>
      <c r="C36" s="192" t="inlineStr">
        <is>
          <t>Storms in Liguria, major landslide in Savona: the collapse destroyed a city road
(English headline translated by Claude · Original: RAINEWS * CRONACA: «MALTEMPO IN LIGURIA, GRANDE FRANA A SAVONA: IL CROLLO HA DISTRUTTO UNA STRADA CITTADINA)</t>
        </is>
      </c>
      <c r="D36" s="193" t="inlineStr">
        <is>
          <t>Open article</t>
        </is>
      </c>
      <c r="E36" s="198" t="inlineStr">
        <is>
          <t>News brief</t>
        </is>
      </c>
      <c r="F36" s="195">
        <f>IFERROR(INDEX(Stories!$F$4:$F$153,MATCH($A36,Stories!$A$4:$A$153,0))&amp;"","")</f>
        <v/>
      </c>
      <c r="G36" s="196" t="inlineStr">
        <is>
          <t>agenzia giornalistica opinione</t>
        </is>
      </c>
      <c r="H36" s="197" t="n">
        <v>46319</v>
      </c>
      <c r="I36" s="196" t="inlineStr">
        <is>
          <t>What triggered this large rock or soil slope failure in Savona during heavy rain, and what does the collapse reveal about slope stability in Liguria?</t>
        </is>
      </c>
    </row>
    <row r="37" outlineLevel="1" ht="104" customHeight="1">
      <c r="A37" s="190" t="n">
        <v>100</v>
      </c>
      <c r="B37" s="191" t="n">
        <v>4</v>
      </c>
      <c r="C37" s="192" t="inlineStr">
        <is>
          <t>At Khanh Le pass, traffic will be interrupted at 30-minute intervals to deal with landslides; road users should plan accordingly
(English headline translated by Claude · Original: En el paso de Khanh Le, el tráfico se interrumpirá a intervalos de 30 minutos para hacer frente a los deslizamientos de tierra; los usuarios de la carretera deben tenerlo en cuenta.)</t>
        </is>
      </c>
      <c r="D37" s="193" t="inlineStr">
        <is>
          <t>Open article</t>
        </is>
      </c>
      <c r="E37" s="194" t="inlineStr">
        <is>
          <t>Feature lead</t>
        </is>
      </c>
      <c r="F37" s="195">
        <f>IFERROR(INDEX(Stories!$F$4:$F$153,MATCH($A37,Stories!$A$4:$A$153,0))&amp;"","")</f>
        <v/>
      </c>
      <c r="G37" s="196" t="inlineStr">
        <is>
          <t>Vietnam.vn</t>
        </is>
      </c>
      <c r="H37" s="197" t="n">
        <v>46319</v>
      </c>
      <c r="I37" s="196" t="inlineStr">
        <is>
          <t>How should traffic management and monitoring be combined with slope stabilisation on mountain passes subject to recurrent landslides?</t>
        </is>
      </c>
    </row>
    <row r="38" outlineLevel="1" ht="66.5" customHeight="1">
      <c r="A38" s="190" t="n">
        <v>101</v>
      </c>
      <c r="B38" s="191" t="n">
        <v>4</v>
      </c>
      <c r="C38" s="192" t="inlineStr">
        <is>
          <t>Valmontone, bad weather: tuff slope collapses onto Prenestina road, road partially closed
(English headline translated by Claude · Original: Valmontone, maltempo: frana costone di tufo sulla via Prenestina, strada parzialmente chiusa)</t>
        </is>
      </c>
      <c r="D38" s="193" t="inlineStr">
        <is>
          <t>Open article</t>
        </is>
      </c>
      <c r="E38" s="198" t="inlineStr">
        <is>
          <t>News brief</t>
        </is>
      </c>
      <c r="F38" s="195">
        <f>IFERROR(INDEX(Stories!$F$4:$F$153,MATCH($A38,Stories!$A$4:$A$153,0))&amp;"","")</f>
        <v/>
      </c>
      <c r="G38" s="196" t="inlineStr">
        <is>
          <t>Il Giornale dei Castelli Romani</t>
        </is>
      </c>
      <c r="H38" s="197" t="n">
        <v>46319</v>
      </c>
      <c r="I38" s="196" t="inlineStr">
        <is>
          <t>What causes tuff cliff collapse in volcanic deposits under rainfall, and how can such slopes be assessed and stabilised near roads?</t>
        </is>
      </c>
    </row>
    <row r="39" outlineLevel="1" ht="66.5" customHeight="1">
      <c r="A39" s="190" t="n">
        <v>102</v>
      </c>
      <c r="B39" s="191" t="n">
        <v>4</v>
      </c>
      <c r="C39" s="192" t="inlineStr">
        <is>
          <t>Bonea, landslide in Capo locality: mayor closes three roads by urgent order
(English headline translated by Claude · Original: BONEA, FRANA IN LOCALITÀ CAPO: IL SINDACO CHIUDE TRE STRADE CON ORDINANZA URGENTE)</t>
        </is>
      </c>
      <c r="D39" s="193" t="inlineStr">
        <is>
          <t>Open article</t>
        </is>
      </c>
      <c r="E39" s="198" t="inlineStr">
        <is>
          <t>News brief</t>
        </is>
      </c>
      <c r="F39" s="195">
        <f>IFERROR(INDEX(Stories!$F$4:$F$153,MATCH($A39,Stories!$A$4:$A$153,0))&amp;"","")</f>
        <v/>
      </c>
      <c r="G39" s="196" t="inlineStr">
        <is>
          <t>Tv7 Benevento</t>
        </is>
      </c>
      <c r="H39" s="197" t="n">
        <v>46319</v>
      </c>
      <c r="I39" s="196" t="inlineStr">
        <is>
          <t>What ground investigation would confirm the landslide mechanism at Capo locality and guide safe reopening of the three closed roads?</t>
        </is>
      </c>
    </row>
    <row r="40" outlineLevel="1" ht="41.5" customHeight="1">
      <c r="A40" s="190" t="n">
        <v>103</v>
      </c>
      <c r="B40" s="191" t="n">
        <v>4</v>
      </c>
      <c r="C40" s="192" t="inlineStr">
        <is>
          <t>La frana del Cencione Tra fango e polemiche Le ruspe sono al lavoro</t>
        </is>
      </c>
      <c r="D40" s="193" t="inlineStr">
        <is>
          <t>Open article</t>
        </is>
      </c>
      <c r="E40" s="194" t="inlineStr">
        <is>
          <t>Feature lead</t>
        </is>
      </c>
      <c r="F40" s="195">
        <f>IFERROR(INDEX(Stories!$F$4:$F$153,MATCH($A40,Stories!$A$4:$A$153,0))&amp;"","")</f>
        <v/>
      </c>
      <c r="G40" s="196" t="inlineStr">
        <is>
          <t>Zazoom Social News</t>
        </is>
      </c>
      <c r="H40" s="197" t="n">
        <v>46319</v>
      </c>
      <c r="I40" s="196" t="inlineStr">
        <is>
          <t>How should authorities balance urgent earthworks with geotechnical investigation and accountability when a landslide site becomes politically contested?</t>
        </is>
      </c>
    </row>
    <row r="41" outlineLevel="1" ht="41.5" customHeight="1">
      <c r="A41" s="190" t="n">
        <v>104</v>
      </c>
      <c r="B41" s="191" t="n">
        <v>4</v>
      </c>
      <c r="C41" s="192" t="inlineStr">
        <is>
          <t>TNI helps landslide victims in Lae Ikan, Subulussalam
(English headline translated by Claude · Original: TNI Bantu Korban Longsor di Lae Ikan Subulussalam)</t>
        </is>
      </c>
      <c r="D41" s="193" t="inlineStr">
        <is>
          <t>Open article</t>
        </is>
      </c>
      <c r="E41" s="198" t="inlineStr">
        <is>
          <t>News brief</t>
        </is>
      </c>
      <c r="F41" s="195">
        <f>IFERROR(INDEX(Stories!$F$4:$F$153,MATCH($A41,Stories!$A$4:$A$153,0))&amp;"","")</f>
        <v/>
      </c>
      <c r="G41" s="196" t="inlineStr">
        <is>
          <t>RRI.co.id</t>
        </is>
      </c>
      <c r="H41" s="197" t="n">
        <v>46319</v>
      </c>
      <c r="I41" s="196" t="inlineStr">
        <is>
          <t>What role can emergency response and rapid geotechnical assessment play after a landslide in a mountainous Indonesian village?</t>
        </is>
      </c>
    </row>
    <row r="42" outlineLevel="1" ht="66.5" customHeight="1">
      <c r="A42" s="190" t="n">
        <v>10</v>
      </c>
      <c r="B42" s="191" t="n">
        <v>4</v>
      </c>
      <c r="C42" s="192" t="inlineStr">
        <is>
          <t>Deslizamiento de talud afecta sótanos y locales de plaza comercial en Cuajimalpa</t>
        </is>
      </c>
      <c r="D42" s="193" t="inlineStr">
        <is>
          <t>Open article</t>
        </is>
      </c>
      <c r="E42" s="194" t="inlineStr">
        <is>
          <t>Feature lead</t>
        </is>
      </c>
      <c r="F42" s="195">
        <f>IFERROR(INDEX(Stories!$F$4:$F$153,MATCH($A42,Stories!$A$4:$A$153,0))&amp;"","")</f>
        <v/>
      </c>
      <c r="G42" s="196" t="inlineStr">
        <is>
          <t>El Universal</t>
        </is>
      </c>
      <c r="H42" s="197" t="n">
        <v>46321</v>
      </c>
      <c r="I42" s="196" t="inlineStr">
        <is>
          <t>How should basements and retail excavations beside unstable natural slopes be designed and monitored so that slope movement does not reach occupied spaces?
Check with: Mexico City Protección Civil and the borough's building authority</t>
        </is>
      </c>
    </row>
    <row r="43" outlineLevel="1" ht="66.5" customHeight="1">
      <c r="A43" s="190" t="n">
        <v>11</v>
      </c>
      <c r="B43" s="191" t="n">
        <v>4</v>
      </c>
      <c r="C43" s="192" t="inlineStr">
        <is>
          <t>Fuerte deslave en Centro Santa Fe: colapsa talud de 30 metros y afecta locales</t>
        </is>
      </c>
      <c r="D43" s="193" t="inlineStr">
        <is>
          <t>Open article</t>
        </is>
      </c>
      <c r="E43" s="194" t="inlineStr">
        <is>
          <t>Feature lead</t>
        </is>
      </c>
      <c r="F43" s="195">
        <f>IFERROR(INDEX(Stories!$F$4:$F$153,MATCH($A43,Stories!$A$4:$A$153,0))&amp;"","")</f>
        <v/>
      </c>
      <c r="G43" s="196" t="inlineStr">
        <is>
          <t>PostaMx</t>
        </is>
      </c>
      <c r="H43" s="197" t="n">
        <v>46321</v>
      </c>
      <c r="I43" s="196" t="inlineStr">
        <is>
          <t>What failure mechanisms could bring down a 30 m cut slope in a dense urban business district, and what monitoring would have given early warning?
Check with: Mexico City Protección Civil and the developer's geotechnical consultant</t>
        </is>
      </c>
    </row>
    <row r="44" outlineLevel="1" ht="54" customHeight="1">
      <c r="A44" s="190" t="n">
        <v>49</v>
      </c>
      <c r="B44" s="191" t="n">
        <v>4</v>
      </c>
      <c r="C44" s="192" t="inlineStr">
        <is>
          <t>Rockfall and landslide on the mountain of the Noah's Ark legend captured on camera; climbers escape unhurt
(English headline translated by Claude · Original: 「ノアの箱舟」伝説の山で落石・土砂崩れ 「来るぞ！走れ！逃げろ！」カメラが捉えた発生の瞬間 “間一髪”の登山者らけがなし トルコ)</t>
        </is>
      </c>
      <c r="D44" s="193" t="inlineStr">
        <is>
          <t>Open article</t>
        </is>
      </c>
      <c r="E44" s="198" t="inlineStr">
        <is>
          <t>News brief</t>
        </is>
      </c>
      <c r="F44" s="195">
        <f>IFERROR(INDEX(Stories!$F$4:$F$153,MATCH($A44,Stories!$A$4:$A$153,0))&amp;"","")</f>
        <v/>
      </c>
      <c r="G44" s="196" t="inlineStr">
        <is>
          <t>FNNプライムオンライン</t>
        </is>
      </c>
      <c r="H44" s="197" t="n">
        <v>46320</v>
      </c>
      <c r="I44" s="196" t="inlineStr">
        <is>
          <t>What triggers rockfall and debris slides on steep volcanic-sedimentary mountain slopes, and how should hazard zoning account for such events near visitor routes?</t>
        </is>
      </c>
    </row>
    <row r="45" outlineLevel="1" ht="66.5" customHeight="1">
      <c r="A45" s="190" t="n">
        <v>105</v>
      </c>
      <c r="B45" s="191" t="n">
        <v>4</v>
      </c>
      <c r="C45" s="192" t="inlineStr">
        <is>
          <t>Intense rains cause alluvion in rural sector of Concepción: residents fear new landslides
(English headline translated by Claude · Original: Intensas lluvias provocan aluvión en sector rural de Concepción: Vecinos temen nuevos deslizamientos)</t>
        </is>
      </c>
      <c r="D45" s="193" t="inlineStr">
        <is>
          <t>Open article</t>
        </is>
      </c>
      <c r="E45" s="194" t="inlineStr">
        <is>
          <t>Feature lead</t>
        </is>
      </c>
      <c r="F45" s="195">
        <f>IFERROR(INDEX(Stories!$F$4:$F$153,MATCH($A45,Stories!$A$4:$A$153,0))&amp;"","")</f>
        <v/>
      </c>
      <c r="G45" s="196" t="inlineStr">
        <is>
          <t>Meganoticias</t>
        </is>
      </c>
      <c r="H45" s="197" t="n">
        <v>46319</v>
      </c>
      <c r="I45" s="196" t="inlineStr">
        <is>
          <t>What triggered the rain-induced debris flow and slope failure in this rural hillside, and how can residents' risk of further slides be assessed?</t>
        </is>
      </c>
    </row>
    <row r="46" outlineLevel="1" ht="66.5" customHeight="1">
      <c r="A46" s="190" t="n">
        <v>106</v>
      </c>
      <c r="B46" s="191" t="n">
        <v>4</v>
      </c>
      <c r="C46" s="192" t="inlineStr">
        <is>
          <t>Rockfall onto houses in Chi Lang commune, Lang Son province
(English headline translated by Claude · Original: Sạt lở đá xuống nhà dân tại xã Chi Lăng - Báo và Phát thanh, Truyền hình Lạng Sơn)</t>
        </is>
      </c>
      <c r="D46" s="193" t="inlineStr">
        <is>
          <t>Open article</t>
        </is>
      </c>
      <c r="E46" s="198" t="inlineStr">
        <is>
          <t>News brief</t>
        </is>
      </c>
      <c r="F46" s="195">
        <f>IFERROR(INDEX(Stories!$F$4:$F$153,MATCH($A46,Stories!$A$4:$A$153,0))&amp;"","")</f>
        <v/>
      </c>
      <c r="G46" s="196" t="inlineStr">
        <is>
          <t>Baolangson.vn</t>
        </is>
      </c>
      <c r="H46" s="197" t="n">
        <v>46319</v>
      </c>
      <c r="I46" s="196" t="inlineStr">
        <is>
          <t>What mechanisms cause rockfall onto houses below steep slopes, and how should hazard mitigation be designed for rural settlements?</t>
        </is>
      </c>
    </row>
    <row r="47" outlineLevel="1" ht="66.5" customHeight="1">
      <c r="A47" s="190" t="n">
        <v>107</v>
      </c>
      <c r="B47" s="191" t="n">
        <v>4</v>
      </c>
      <c r="C47" s="192" t="inlineStr">
        <is>
          <t>Close-up of a 500-metre street section in Lam Dong province severely damaged by subsidence and landslides
(English headline translated by Claude · Original: Крупный план участка улицы длиной 500 метров в провинции Ламдонг, сильно пострадавшего от проседания грунта и оползней.)</t>
        </is>
      </c>
      <c r="D47" s="193" t="inlineStr">
        <is>
          <t>Open article</t>
        </is>
      </c>
      <c r="E47" s="209" t="inlineStr">
        <is>
          <t>Regional insight</t>
        </is>
      </c>
      <c r="F47" s="195">
        <f>IFERROR(INDEX(Stories!$F$4:$F$153,MATCH($A47,Stories!$A$4:$A$153,0))&amp;"","")</f>
        <v/>
      </c>
      <c r="G47" s="196" t="inlineStr">
        <is>
          <t>Vietnam.vn</t>
        </is>
      </c>
      <c r="H47" s="197" t="n">
        <v>46319</v>
      </c>
      <c r="I47" s="196" t="inlineStr">
        <is>
          <t>What combination of subsidence and landslide processes damaged this 500 m road, and how should such ground be investigated and repaired?</t>
        </is>
      </c>
    </row>
    <row r="48" outlineLevel="1" ht="79" customHeight="1">
      <c r="A48" s="190" t="n">
        <v>12</v>
      </c>
      <c r="B48" s="191" t="n">
        <v>4</v>
      </c>
      <c r="C48" s="192" t="inlineStr">
        <is>
          <t>Progress review of dyke and retaining wall packages to prevent landslides along the Tien River.
(English headline translated by Claude · Original: Meninjau kemajuan paket konstruksi dalam Proyek peningkatan tanggul dan dinding penahan untuk mencegah tanah longsor di sepanjang Sungai Tien.)</t>
        </is>
      </c>
      <c r="D48" s="193" t="inlineStr">
        <is>
          <t>Open article</t>
        </is>
      </c>
      <c r="E48" s="209" t="inlineStr">
        <is>
          <t>Regional insight</t>
        </is>
      </c>
      <c r="F48" s="195">
        <f>IFERROR(INDEX(Stories!$F$4:$F$153,MATCH($A48,Stories!$A$4:$A$153,0))&amp;"","")</f>
        <v/>
      </c>
      <c r="G48" s="196" t="inlineStr">
        <is>
          <t>Vietnam.vn</t>
        </is>
      </c>
      <c r="H48" s="197" t="n">
        <v>46321</v>
      </c>
      <c r="I48" s="196" t="inlineStr">
        <is>
          <t>What design and construction sequencing issues arise when riverbank dykes and retaining walls are upgraded in stages along an active erosion-prone river?
Check with: the provincial project management board for the Tien River dyke works</t>
        </is>
      </c>
    </row>
    <row r="49" outlineLevel="1" ht="66.5" customHeight="1">
      <c r="A49" s="190" t="n">
        <v>110</v>
      </c>
      <c r="B49" s="191" t="n">
        <v>4</v>
      </c>
      <c r="C49" s="192" t="inlineStr">
        <is>
          <t>57-billion-dong erosion revetment in Thanh Hoa subsides and cracks right after completion
(English headline translated by Claude · Original: Kè chống sạt lở hơn 57 tỉ đồng ở Thanh Hóa vừa làm xong đã sụt lún, đứt gãy)</t>
        </is>
      </c>
      <c r="D49" s="193" t="inlineStr">
        <is>
          <t>Open article</t>
        </is>
      </c>
      <c r="E49" s="194" t="inlineStr">
        <is>
          <t>Feature lead</t>
        </is>
      </c>
      <c r="F49" s="195">
        <f>IFERROR(INDEX(Stories!$F$4:$F$153,MATCH($A49,Stories!$A$4:$A$153,0))&amp;"","")</f>
        <v/>
      </c>
      <c r="G49" s="196" t="inlineStr">
        <is>
          <t>Báo Thanh Niên</t>
        </is>
      </c>
      <c r="H49" s="197" t="n">
        <v>46319</v>
      </c>
      <c r="I49" s="196" t="inlineStr">
        <is>
          <t>Why did a newly completed revetment subside and crack so soon, and what foundation or design checks could have prevented it?</t>
        </is>
      </c>
    </row>
    <row r="50" outlineLevel="1" ht="54" customHeight="1">
      <c r="A50" s="190" t="n">
        <v>111</v>
      </c>
      <c r="B50" s="191" t="n">
        <v>4</v>
      </c>
      <c r="C50" s="192" t="inlineStr">
        <is>
          <t>Lam Dong warns of serious subsidence and sliding on city streets
(English headline translated by Claude · Original: Lâm Đồng: Cảnh báo sụt lún, sạt trượt nghiêm trọng đường phố)</t>
        </is>
      </c>
      <c r="D50" s="193" t="inlineStr">
        <is>
          <t>Open article</t>
        </is>
      </c>
      <c r="E50" s="209" t="inlineStr">
        <is>
          <t>Regional insight</t>
        </is>
      </c>
      <c r="F50" s="195">
        <f>IFERROR(INDEX(Stories!$F$4:$F$153,MATCH($A50,Stories!$A$4:$A$153,0))&amp;"","")</f>
        <v/>
      </c>
      <c r="G50" s="196" t="inlineStr">
        <is>
          <t>Báo và phát thanh, truyền hình Đồng Tháp</t>
        </is>
      </c>
      <c r="H50" s="197" t="n">
        <v>46319</v>
      </c>
      <c r="I50" s="196" t="inlineStr">
        <is>
          <t>What causes urban street subsidence and sliding in this highland city, and how should authorities monitor and warn residents?</t>
        </is>
      </c>
    </row>
    <row r="51" outlineLevel="1" ht="66.5" customHeight="1">
      <c r="A51" s="190" t="n">
        <v>112</v>
      </c>
      <c r="B51" s="191" t="n">
        <v>4</v>
      </c>
      <c r="C51" s="192" t="inlineStr">
        <is>
          <t>Identifying a huge sinkhole in Phong Nha-Ke Bang National Park; exploring Thien Ha cave in Ninh Binh
(English headline translated by Claude · Original: Xác định hố sụt lún “khủng” ở Vườn quốc gia Phong Nha-Kẻ Bàng Khám phá hang động Thiên Hà huyền ảo ở Ninh Bình)</t>
        </is>
      </c>
      <c r="D51" s="193" t="inlineStr">
        <is>
          <t>Open article</t>
        </is>
      </c>
      <c r="E51" s="194" t="inlineStr">
        <is>
          <t>Feature lead</t>
        </is>
      </c>
      <c r="F51" s="195">
        <f>IFERROR(INDEX(Stories!$F$4:$F$153,MATCH($A51,Stories!$A$4:$A$153,0))&amp;"","")</f>
        <v/>
      </c>
      <c r="G51" s="196" t="inlineStr">
        <is>
          <t>Kenh14.vn</t>
        </is>
      </c>
      <c r="H51" s="197" t="n">
        <v>46319</v>
      </c>
      <c r="I51" s="196" t="inlineStr">
        <is>
          <t>What karst processes produce giant sinkholes, and how can they be detected and assessed in limestone terrain?</t>
        </is>
      </c>
    </row>
    <row r="52" outlineLevel="1" ht="79" customHeight="1">
      <c r="A52" s="190" t="n">
        <v>113</v>
      </c>
      <c r="B52" s="191" t="n">
        <v>4</v>
      </c>
      <c r="C52" s="192" t="inlineStr">
        <is>
          <t>Close-up of a 500-metre street in Lam Dong province, badly hit by subsidence and landslides
(English headline translated by Claude · Original: Gros plan sur 500 mètres de rue dans la province de Lam Dong, gravement touchée par des affaissements et des glissements de terrain.)</t>
        </is>
      </c>
      <c r="D52" s="193" t="inlineStr">
        <is>
          <t>Open article</t>
        </is>
      </c>
      <c r="E52" s="209" t="inlineStr">
        <is>
          <t>Regional insight</t>
        </is>
      </c>
      <c r="F52" s="195">
        <f>IFERROR(INDEX(Stories!$F$4:$F$153,MATCH($A52,Stories!$A$4:$A$153,0))&amp;"","")</f>
        <v/>
      </c>
      <c r="G52" s="196" t="inlineStr">
        <is>
          <t>Vietnam.vn</t>
        </is>
      </c>
      <c r="H52" s="197" t="n">
        <v>46319</v>
      </c>
      <c r="I52" s="196" t="inlineStr">
        <is>
          <t>What combination of subsidence and landslide processes damaged this 500 m road, and how should such ground be investigated and repaired?</t>
        </is>
      </c>
    </row>
    <row r="53" outlineLevel="1" ht="41.5" customHeight="1">
      <c r="A53" s="190" t="n">
        <v>114</v>
      </c>
      <c r="B53" s="191" t="n">
        <v>4</v>
      </c>
      <c r="C53" s="192" t="inlineStr">
        <is>
          <t>Anti-landslide embankment threatens residential area
(English headline translated by Claude · Original: 산사태 방지 제방이 주거 지역을 위협하고 있다.)</t>
        </is>
      </c>
      <c r="D53" s="193" t="inlineStr">
        <is>
          <t>Open article</t>
        </is>
      </c>
      <c r="E53" s="209" t="inlineStr">
        <is>
          <t>Regional insight</t>
        </is>
      </c>
      <c r="F53" s="195">
        <f>IFERROR(INDEX(Stories!$F$4:$F$153,MATCH($A53,Stories!$A$4:$A$153,0))&amp;"","")</f>
        <v/>
      </c>
      <c r="G53" s="196" t="inlineStr">
        <is>
          <t>Vietnam.vn</t>
        </is>
      </c>
      <c r="H53" s="197" t="n">
        <v>46319</v>
      </c>
      <c r="I53" s="196" t="inlineStr">
        <is>
          <t>Why does this anti-landslide embankment threaten housing, and what stability checks should apply to embankments near settlements?</t>
        </is>
      </c>
    </row>
    <row r="54" outlineLevel="1" ht="54" customHeight="1">
      <c r="A54" s="190" t="n">
        <v>13</v>
      </c>
      <c r="B54" s="191" t="n">
        <v>4</v>
      </c>
      <c r="C54" s="192" t="inlineStr">
        <is>
          <t>No signs of further slope movement at Paya Terubong landslide site, says MBPP</t>
        </is>
      </c>
      <c r="D54" s="193" t="inlineStr">
        <is>
          <t>Open article</t>
        </is>
      </c>
      <c r="E54" s="194" t="inlineStr">
        <is>
          <t>Feature lead</t>
        </is>
      </c>
      <c r="F54" s="195">
        <f>IFERROR(INDEX(Stories!$F$4:$F$153,MATCH($A54,Stories!$A$4:$A$153,0))&amp;"","")</f>
        <v/>
      </c>
      <c r="G54" s="196" t="inlineStr">
        <is>
          <t>The Star</t>
        </is>
      </c>
      <c r="H54" s="197" t="n">
        <v>46321</v>
      </c>
      <c r="I54" s="196" t="inlineStr">
        <is>
          <t>How should a landslide site be judged stable again after movement stops, and what monitoring period is needed before reoccupation?
Check with: Penang Municipal Council (MBPP)</t>
        </is>
      </c>
    </row>
    <row r="55" outlineLevel="1" ht="66.5" customHeight="1">
      <c r="A55" s="190" t="n">
        <v>14</v>
      </c>
      <c r="B55" s="191" t="n">
        <v>4</v>
      </c>
      <c r="C55" s="192" t="inlineStr">
        <is>
          <t>State Govt urged to act on slope safety after landslide kills 73-year-old doctor</t>
        </is>
      </c>
      <c r="D55" s="193" t="inlineStr">
        <is>
          <t>Open article</t>
        </is>
      </c>
      <c r="E55" s="194" t="inlineStr">
        <is>
          <t>Feature lead</t>
        </is>
      </c>
      <c r="F55" s="195">
        <f>IFERROR(INDEX(Stories!$F$4:$F$153,MATCH($A55,Stories!$A$4:$A$153,0))&amp;"","")</f>
        <v/>
      </c>
      <c r="G55" s="196" t="inlineStr">
        <is>
          <t>The Vibes</t>
        </is>
      </c>
      <c r="H55" s="197" t="n">
        <v>46321</v>
      </c>
      <c r="I55" s="196" t="inlineStr">
        <is>
          <t>What would a credible state-wide slope inventory and maintenance regime look like for hill-slope housing in tropical, rain-driven terrain?
Check with: Penang state government and its slope safety authority</t>
        </is>
      </c>
    </row>
    <row r="56" outlineLevel="1" ht="66.5" customHeight="1">
      <c r="A56" s="190" t="n">
        <v>16</v>
      </c>
      <c r="B56" s="191" t="n">
        <v>4</v>
      </c>
      <c r="C56" s="192" t="inlineStr">
        <is>
          <t>В Пенанге оползень обрушился на дом, погиб 73-летний мужчина — Channel NewsAsia</t>
        </is>
      </c>
      <c r="D56" s="193" t="inlineStr">
        <is>
          <t>Open article</t>
        </is>
      </c>
      <c r="E56" s="204" t="inlineStr">
        <is>
          <t>Watch only</t>
        </is>
      </c>
      <c r="F56" s="195">
        <f>IFERROR(INDEX(Stories!$F$4:$F$153,MATCH($A56,Stories!$A$4:$A$153,0))&amp;"","")</f>
        <v/>
      </c>
      <c r="G56" s="196" t="inlineStr">
        <is>
          <t>UA.NEWS</t>
        </is>
      </c>
      <c r="H56" s="197" t="n">
        <v>46321</v>
      </c>
      <c r="I56" s="196" t="inlineStr">
        <is>
          <t>What slope failure mechanisms and early warning gaps are behind landslides that reach occupied homes on hillside sites?
Check with: Penang state authorities and Penang Municipal Council (MBPP)</t>
        </is>
      </c>
    </row>
    <row r="57" outlineLevel="1" ht="66.5" customHeight="1">
      <c r="A57" s="190" t="n">
        <v>52</v>
      </c>
      <c r="B57" s="191" t="n">
        <v>4</v>
      </c>
      <c r="C57" s="192" t="inlineStr">
        <is>
          <t>Survived against the odds: home destroyed in typhoon No. 25 landslide in Kamogawa; Iimura Hiroshi says fear comes with consciousness
(English headline translated by Claude · Original: 自宅崩壊“九死に一生” 台風２５号 鴨川で土砂崩れ多発 生き埋めから生還 飯村浩さん 意識あるからこそ恐怖)</t>
        </is>
      </c>
      <c r="D57" s="193" t="inlineStr">
        <is>
          <t>Open article</t>
        </is>
      </c>
      <c r="E57" s="198" t="inlineStr">
        <is>
          <t>News brief</t>
        </is>
      </c>
      <c r="F57" s="195">
        <f>IFERROR(INDEX(Stories!$F$4:$F$153,MATCH($A57,Stories!$A$4:$A$153,0))&amp;"","")</f>
        <v/>
      </c>
      <c r="G57" s="196" t="inlineStr">
        <is>
          <t>千葉日報オンライン</t>
        </is>
      </c>
      <c r="H57" s="197" t="n">
        <v>46320</v>
      </c>
      <c r="I57" s="196" t="inlineStr">
        <is>
          <t>What slope and saturation conditions cause houses on hillsides to be destroyed by debris slides during typhoon rainfall, and how can early warning address them?</t>
        </is>
      </c>
    </row>
    <row r="58" outlineLevel="1" ht="66.5" customHeight="1">
      <c r="A58" s="190" t="n">
        <v>21</v>
      </c>
      <c r="B58" s="191" t="n">
        <v>4</v>
      </c>
      <c r="C58" s="192" t="inlineStr">
        <is>
          <t>Panamá interviene antigua mina de oro tras deslizamiento que amenaza fuentes de agua</t>
        </is>
      </c>
      <c r="D58" s="193" t="inlineStr">
        <is>
          <t>Open article</t>
        </is>
      </c>
      <c r="E58" s="194" t="inlineStr">
        <is>
          <t>Feature lead</t>
        </is>
      </c>
      <c r="F58" s="195">
        <f>IFERROR(INDEX(Stories!$F$4:$F$153,MATCH($A58,Stories!$A$4:$A$153,0))&amp;"","")</f>
        <v/>
      </c>
      <c r="G58" s="196" t="inlineStr">
        <is>
          <t>Infobae</t>
        </is>
      </c>
      <c r="H58" s="197" t="n">
        <v>46321</v>
      </c>
      <c r="I58" s="196" t="inlineStr">
        <is>
          <t>How should slope and waste-material stability in an abandoned mine be assessed where failure threatens downstream water supplies?
Check with: Panama's environment ministry (MiAmbiente)</t>
        </is>
      </c>
    </row>
    <row r="59" outlineLevel="1" ht="66.5" customHeight="1">
      <c r="A59" s="190" t="n">
        <v>22</v>
      </c>
      <c r="B59" s="191" t="n">
        <v>4</v>
      </c>
      <c r="C59" s="192" t="inlineStr">
        <is>
          <t>Socavón amenaza con dejar incomunicadas a dos barriadas en Arraiján</t>
        </is>
      </c>
      <c r="D59" s="193" t="inlineStr">
        <is>
          <t>Open article</t>
        </is>
      </c>
      <c r="E59" s="194" t="inlineStr">
        <is>
          <t>Feature lead</t>
        </is>
      </c>
      <c r="F59" s="195">
        <f>IFERROR(INDEX(Stories!$F$4:$F$153,MATCH($A59,Stories!$A$4:$A$153,0))&amp;"","")</f>
        <v/>
      </c>
      <c r="G59" s="196" t="inlineStr">
        <is>
          <t>Telemetro</t>
        </is>
      </c>
      <c r="H59" s="197" t="n">
        <v>46321</v>
      </c>
      <c r="I59" s="196" t="inlineStr">
        <is>
          <t>What causes a sinkhole to threaten access roads serving residential areas, and how should geotechnical investigation and emergency stabilisation be prioritised to keep communities connected?
Check with: Arraiján municipality and Panama's public works ministry (MOP)</t>
        </is>
      </c>
    </row>
    <row r="60" outlineLevel="1" ht="66.5" customHeight="1">
      <c r="A60" s="190" t="n">
        <v>23</v>
      </c>
      <c r="B60" s="191" t="n">
        <v>4</v>
      </c>
      <c r="C60" s="192" t="inlineStr">
        <is>
          <t>Reportan caída de cuatro huéspedes en socavón de hotel Occidental de Cozumel</t>
        </is>
      </c>
      <c r="D60" s="193" t="inlineStr">
        <is>
          <t>Open article</t>
        </is>
      </c>
      <c r="E60" s="198" t="inlineStr">
        <is>
          <t>News brief</t>
        </is>
      </c>
      <c r="F60" s="195">
        <f>IFERROR(INDEX(Stories!$F$4:$F$153,MATCH($A60,Stories!$A$4:$A$153,0))&amp;"","")</f>
        <v/>
      </c>
      <c r="G60" s="196" t="inlineStr">
        <is>
          <t>Quinta Fuerza</t>
        </is>
      </c>
      <c r="H60" s="197" t="n">
        <v>46321</v>
      </c>
      <c r="I60" s="196" t="inlineStr">
        <is>
          <t>What subsurface conditions in coastal limestone, such as cenotes and dissolution cavities, lead to sudden ground collapse beneath resort buildings, and how should such sites be surveyed?
Check with: Hotel Occidental Cozumel management and Quintana Roo civil protection</t>
        </is>
      </c>
    </row>
    <row r="61" outlineLevel="1" ht="66.5" customHeight="1">
      <c r="A61" s="190" t="n">
        <v>24</v>
      </c>
      <c r="B61" s="191" t="n">
        <v>4</v>
      </c>
      <c r="C61" s="192" t="inlineStr">
        <is>
          <t>Alertas SMS, señaléticas y rutas de evacuación: el plan de La Reina ante futuros aluviones</t>
        </is>
      </c>
      <c r="D61" s="193" t="inlineStr">
        <is>
          <t>Open article</t>
        </is>
      </c>
      <c r="E61" s="194" t="inlineStr">
        <is>
          <t>Feature lead</t>
        </is>
      </c>
      <c r="F61" s="195">
        <f>IFERROR(INDEX(Stories!$F$4:$F$153,MATCH($A61,Stories!$A$4:$A$153,0))&amp;"","")</f>
        <v/>
      </c>
      <c r="G61" s="196" t="inlineStr">
        <is>
          <t>Cooperativa</t>
        </is>
      </c>
      <c r="H61" s="197" t="n">
        <v>46321</v>
      </c>
      <c r="I61" s="196" t="inlineStr">
        <is>
          <t>Beyond warning systems, what ground-based hazard mapping and debris-flow control measures should a municipality in an Andean foothill commune use to plan evacuation and reduce aluvión exposure?
Check with: La Reina municipality and Senapred</t>
        </is>
      </c>
    </row>
    <row r="62" outlineLevel="1" ht="66.5" customHeight="1">
      <c r="A62" s="190" t="n">
        <v>25</v>
      </c>
      <c r="B62" s="191" t="n">
        <v>4</v>
      </c>
      <c r="C62" s="192" t="inlineStr">
        <is>
          <t>ANA instala 12 barreras para reducir el impacto de huaicos en Lima y Huarochirí</t>
        </is>
      </c>
      <c r="D62" s="193" t="inlineStr">
        <is>
          <t>Open article</t>
        </is>
      </c>
      <c r="E62" s="194" t="inlineStr">
        <is>
          <t>Feature lead</t>
        </is>
      </c>
      <c r="F62" s="195">
        <f>IFERROR(INDEX(Stories!$F$4:$F$153,MATCH($A62,Stories!$A$4:$A$153,0))&amp;"","")</f>
        <v/>
      </c>
      <c r="G62" s="196" t="inlineStr">
        <is>
          <t>TVPerú</t>
        </is>
      </c>
      <c r="H62" s="197" t="n">
        <v>46321</v>
      </c>
      <c r="I62" s="196" t="inlineStr">
        <is>
          <t>Can check dams and barrier structures in steep Andean gullies meaningfully reduce debris-flow impacts, and how should their design and maintenance be evaluated?
Check with: Autoridad Nacional del Agua (ANA)</t>
        </is>
      </c>
    </row>
    <row r="63" outlineLevel="1" ht="79" customHeight="1">
      <c r="A63" s="190" t="n">
        <v>60</v>
      </c>
      <c r="B63" s="191" t="n">
        <v>4</v>
      </c>
      <c r="C63" s="192" t="inlineStr">
        <is>
          <t>Accelerating clean-up work after landslides on Provincial Road 160 along the Chay River.
(English headline translated by Claude · Original: Agilizar las labores de saneamiento tras los deslizamientos de tierra ocurridos en la carretera provincial 160 a lo largo del río Chay.)</t>
        </is>
      </c>
      <c r="D63" s="193" t="inlineStr">
        <is>
          <t>Open article</t>
        </is>
      </c>
      <c r="E63" s="198" t="inlineStr">
        <is>
          <t>News brief</t>
        </is>
      </c>
      <c r="F63" s="195">
        <f>IFERROR(INDEX(Stories!$F$4:$F$153,MATCH($A63,Stories!$A$4:$A$153,0))&amp;"","")</f>
        <v/>
      </c>
      <c r="G63" s="196" t="inlineStr">
        <is>
          <t>Vietnam.vn</t>
        </is>
      </c>
      <c r="H63" s="197" t="n">
        <v>46320</v>
      </c>
      <c r="I63" s="196" t="inlineStr">
        <is>
          <t>What slope stabilisation and post-failure assessment methods are suited to repeated landslides along a road built beside a river valley?</t>
        </is>
      </c>
    </row>
    <row r="64" outlineLevel="1" ht="66.5" customHeight="1">
      <c r="A64" s="190" t="n">
        <v>61</v>
      </c>
      <c r="B64" s="191" t="n">
        <v>4</v>
      </c>
      <c r="C64" s="192" t="inlineStr">
        <is>
          <t>Tragedy in Tecate: a worker dies after being buried by an earth slope on 23 October.
(English headline translated by Claude · Original: Tragedia en Tecate: un trabajador muere tras ser sepultado por un talud de tierra el 23 de octubre.)</t>
        </is>
      </c>
      <c r="D64" s="193" t="inlineStr">
        <is>
          <t>Open article</t>
        </is>
      </c>
      <c r="E64" s="194" t="inlineStr">
        <is>
          <t>Feature lead</t>
        </is>
      </c>
      <c r="F64" s="195">
        <f>IFERROR(INDEX(Stories!$F$4:$F$153,MATCH($A64,Stories!$A$4:$A$153,0))&amp;"","")</f>
        <v/>
      </c>
      <c r="G64" s="196" t="inlineStr">
        <is>
          <t>El Congresista</t>
        </is>
      </c>
      <c r="H64" s="197" t="n">
        <v>46320</v>
      </c>
      <c r="I64" s="196" t="inlineStr">
        <is>
          <t>What failure mechanisms and excavation safety controls would have prevented a worker being buried by an earth slope during construction?</t>
        </is>
      </c>
    </row>
    <row r="65" outlineLevel="1" ht="66.5" customHeight="1">
      <c r="A65" s="190" t="n">
        <v>62</v>
      </c>
      <c r="B65" s="191" t="n">
        <v>4</v>
      </c>
      <c r="C65" s="192" t="inlineStr">
        <is>
          <t>Three homes destroyed after landslide in rural area of Moniquirá.
(English headline translated by Claude · Original: Tres viviendas quedaron destruidas tras deslizamiento en zona rural de Moniquirá)</t>
        </is>
      </c>
      <c r="D65" s="193" t="inlineStr">
        <is>
          <t>Open article</t>
        </is>
      </c>
      <c r="E65" s="198" t="inlineStr">
        <is>
          <t>News brief</t>
        </is>
      </c>
      <c r="F65" s="195">
        <f>IFERROR(INDEX(Stories!$F$4:$F$153,MATCH($A65,Stories!$A$4:$A$153,0))&amp;"","")</f>
        <v/>
      </c>
      <c r="G65" s="196" t="inlineStr">
        <is>
          <t>Noticias Caracol</t>
        </is>
      </c>
      <c r="H65" s="197" t="n">
        <v>46320</v>
      </c>
      <c r="I65" s="196" t="inlineStr">
        <is>
          <t>What triggering conditions and hazard mapping would identify rural slopes at risk of landslides destroying housing?</t>
        </is>
      </c>
    </row>
    <row r="66" outlineLevel="1" ht="54" customHeight="1">
      <c r="A66" s="190" t="n">
        <v>63</v>
      </c>
      <c r="B66" s="191" t="n">
        <v>4</v>
      </c>
      <c r="C66" s="192" t="inlineStr">
        <is>
          <t>Large landslide on Tofana di Dentro. No hikers involved.
(English headline translated by Claude · Original: Frana di grandi dimensioni sulla Tofana di Dentro. Nessun escursionista coinvolto)</t>
        </is>
      </c>
      <c r="D66" s="193" t="inlineStr">
        <is>
          <t>Open article</t>
        </is>
      </c>
      <c r="E66" s="194" t="inlineStr">
        <is>
          <t>Feature lead</t>
        </is>
      </c>
      <c r="F66" s="195">
        <f>IFERROR(INDEX(Stories!$F$4:$F$153,MATCH($A66,Stories!$A$4:$A$153,0))&amp;"","")</f>
        <v/>
      </c>
      <c r="G66" s="196" t="inlineStr">
        <is>
          <t>Giornale Nord Est</t>
        </is>
      </c>
      <c r="H66" s="197" t="n">
        <v>46320</v>
      </c>
      <c r="I66" s="196" t="inlineStr">
        <is>
          <t>What controls rock slope instability in Dolomite mountains, and how can monitoring reduce risk to hikers from large rockfalls?</t>
        </is>
      </c>
    </row>
    <row r="67" outlineLevel="1" ht="66.5" customHeight="1">
      <c r="A67" s="190" t="n">
        <v>64</v>
      </c>
      <c r="B67" s="191" t="n">
        <v>4</v>
      </c>
      <c r="C67" s="192" t="inlineStr">
        <is>
          <t>Sicily, from the Niscemi landslide to Cyclone Harry: the Army rewards the Engineer Sappers.
(English headline translated by Claude · Original: Sicilia, dalla frana di Niscemi al ciclone Harry: l’Esercito premia il Genio Guastatori)</t>
        </is>
      </c>
      <c r="D67" s="193" t="inlineStr">
        <is>
          <t>Open article</t>
        </is>
      </c>
      <c r="E67" s="194" t="inlineStr">
        <is>
          <t>Feature lead</t>
        </is>
      </c>
      <c r="F67" s="195">
        <f>IFERROR(INDEX(Stories!$F$4:$F$153,MATCH($A67,Stories!$A$4:$A$153,0))&amp;"","")</f>
        <v/>
      </c>
      <c r="G67" s="196" t="inlineStr">
        <is>
          <t>StrettoWeb</t>
        </is>
      </c>
      <c r="H67" s="197" t="n">
        <v>46320</v>
      </c>
      <c r="I67" s="196" t="inlineStr">
        <is>
          <t>What lessons do the Niscemi landslide and Cyclone Harry offer about slope instability and engineering response in Sicily?</t>
        </is>
      </c>
    </row>
    <row r="68" outlineLevel="1" ht="54" customHeight="1">
      <c r="A68" s="190" t="n">
        <v>65</v>
      </c>
      <c r="B68" s="191" t="n">
        <v>4</v>
      </c>
      <c r="C68" s="192" t="inlineStr">
        <is>
          <t>Rapidly advancing clean-up work for landslides on Provincial Road 160 along the Chay River.
(English headline translated by Claude · Original: チャイ川沿いの州道160号線における土砂崩れの復旧作業を迅速に進める。)</t>
        </is>
      </c>
      <c r="D68" s="193" t="inlineStr">
        <is>
          <t>Open article</t>
        </is>
      </c>
      <c r="E68" s="204" t="inlineStr">
        <is>
          <t>Watch only</t>
        </is>
      </c>
      <c r="F68" s="195">
        <f>IFERROR(INDEX(Stories!$F$4:$F$153,MATCH($A68,Stories!$A$4:$A$153,0))&amp;"","")</f>
        <v/>
      </c>
      <c r="G68" s="196" t="inlineStr">
        <is>
          <t>Vietnam.vn</t>
        </is>
      </c>
      <c r="H68" s="197" t="n">
        <v>46320</v>
      </c>
      <c r="I68" s="196" t="inlineStr">
        <is>
          <t>Duplicate of the Chay River road landslide clean-up story; monitor for follow-up on repair methods.</t>
        </is>
      </c>
    </row>
    <row r="69" outlineLevel="1" ht="66.5" customHeight="1">
      <c r="A69" s="190" t="n">
        <v>66</v>
      </c>
      <c r="B69" s="191" t="n">
        <v>4</v>
      </c>
      <c r="C69" s="192" t="inlineStr">
        <is>
          <t>Special feature: landslides frequent after Typhoon 25; hidden danger in Chiba's Bōsō Peninsula terrain, 'high valley density'.
(English headline translated by Claude · Original: 【特集】台風25号で土砂崩れ多発 千葉・房総半島の地形に潜む危険 「谷密度が高い」 (チバテレ))</t>
        </is>
      </c>
      <c r="D69" s="193" t="inlineStr">
        <is>
          <t>Open article</t>
        </is>
      </c>
      <c r="E69" s="194" t="inlineStr">
        <is>
          <t>Feature lead</t>
        </is>
      </c>
      <c r="F69" s="195">
        <f>IFERROR(INDEX(Stories!$F$4:$F$153,MATCH($A69,Stories!$A$4:$A$153,0))&amp;"","")</f>
        <v/>
      </c>
      <c r="G69" s="196" t="inlineStr">
        <is>
          <t>Yahoo!ニュース</t>
        </is>
      </c>
      <c r="H69" s="197" t="n">
        <v>46320</v>
      </c>
      <c r="I69" s="196" t="inlineStr">
        <is>
          <t>Why does valley density in the Bōsō Peninsula terrain increase landslide hazard during typhoon rainfall, and how should it be mapped?</t>
        </is>
      </c>
    </row>
    <row r="70" outlineLevel="1" ht="66.5" customHeight="1">
      <c r="A70" s="190" t="n">
        <v>67</v>
      </c>
      <c r="B70" s="191" t="n">
        <v>4</v>
      </c>
      <c r="C70" s="192" t="inlineStr">
        <is>
          <t>Forestry expert with 20 years' experience: newly found sinkhole in Pong Nha–Ke Bang is a 'difficult problem to solve'.
(English headline translated by Claude · Original: 20년 경력의 산림 전문가: 퐁냐-케방에서 새로 발견된 싱크홀은 "해결하기 어려운 문제"다.)</t>
        </is>
      </c>
      <c r="D70" s="193" t="inlineStr">
        <is>
          <t>Open article</t>
        </is>
      </c>
      <c r="E70" s="194" t="inlineStr">
        <is>
          <t>Feature lead</t>
        </is>
      </c>
      <c r="F70" s="195">
        <f>IFERROR(INDEX(Stories!$F$4:$F$153,MATCH($A70,Stories!$A$4:$A$153,0))&amp;"","")</f>
        <v/>
      </c>
      <c r="G70" s="196" t="inlineStr">
        <is>
          <t>Vietnam.vn</t>
        </is>
      </c>
      <c r="H70" s="197" t="n">
        <v>46320</v>
      </c>
      <c r="I70" s="196" t="inlineStr">
        <is>
          <t>Why are sinkholes in karst or soluble terrain so difficult to resolve, and what investigation methods identify them early?</t>
        </is>
      </c>
    </row>
    <row r="71" outlineLevel="1" ht="41.5" customHeight="1">
      <c r="A71" s="190" t="n">
        <v>68</v>
      </c>
      <c r="B71" s="191" t="n">
        <v>4</v>
      </c>
      <c r="C71" s="192" t="inlineStr">
        <is>
          <t>Body of doctor pulled from rubble, residents evacuated after Paya Terubong landslide</t>
        </is>
      </c>
      <c r="D71" s="193" t="inlineStr">
        <is>
          <t>Open article</t>
        </is>
      </c>
      <c r="E71" s="194" t="inlineStr">
        <is>
          <t>Feature lead</t>
        </is>
      </c>
      <c r="F71" s="195">
        <f>IFERROR(INDEX(Stories!$F$4:$F$153,MATCH($A71,Stories!$A$4:$A$153,0))&amp;"","")</f>
        <v/>
      </c>
      <c r="G71" s="196" t="inlineStr">
        <is>
          <t>Malay Mail</t>
        </is>
      </c>
      <c r="H71" s="197" t="n">
        <v>46320</v>
      </c>
      <c r="I71" s="196" t="inlineStr">
        <is>
          <t>What triggered the fatal Paya Terubong hillside failure, and how should residential slopes be assessed before evacuation and recovery?</t>
        </is>
      </c>
    </row>
    <row r="72" outlineLevel="1" ht="41.5" customHeight="1">
      <c r="A72" s="190" t="n">
        <v>69</v>
      </c>
      <c r="B72" s="191" t="n">
        <v>4</v>
      </c>
      <c r="C72" s="192" t="inlineStr">
        <is>
          <t>Penang council halts hillside construction, roadworks after fatal landslide</t>
        </is>
      </c>
      <c r="D72" s="193" t="inlineStr">
        <is>
          <t>Open article</t>
        </is>
      </c>
      <c r="E72" s="194" t="inlineStr">
        <is>
          <t>Feature lead</t>
        </is>
      </c>
      <c r="F72" s="195">
        <f>IFERROR(INDEX(Stories!$F$4:$F$153,MATCH($A72,Stories!$A$4:$A$153,0))&amp;"","")</f>
        <v/>
      </c>
      <c r="G72" s="196" t="inlineStr">
        <is>
          <t>The Sun Malaysia</t>
        </is>
      </c>
      <c r="H72" s="197" t="n">
        <v>46320</v>
      </c>
      <c r="I72" s="196" t="inlineStr">
        <is>
          <t>Should hillside development be halted after a fatal landslide, and what slope stability criteria should govern such construction?</t>
        </is>
      </c>
    </row>
    <row r="73" outlineLevel="1" ht="41.5" customHeight="1">
      <c r="A73" s="190" t="n">
        <v>70</v>
      </c>
      <c r="B73" s="191" t="n">
        <v>4</v>
      </c>
      <c r="C73" s="192" t="inlineStr">
        <is>
          <t>Rain batters Nilgiris; landslide buries government bus, driver loses life</t>
        </is>
      </c>
      <c r="D73" s="193" t="inlineStr">
        <is>
          <t>Open article</t>
        </is>
      </c>
      <c r="E73" s="198" t="inlineStr">
        <is>
          <t>News brief</t>
        </is>
      </c>
      <c r="F73" s="195">
        <f>IFERROR(INDEX(Stories!$F$4:$F$153,MATCH($A73,Stories!$A$4:$A$153,0))&amp;"","")</f>
        <v/>
      </c>
      <c r="G73" s="196" t="inlineStr">
        <is>
          <t>The New Indian Express</t>
        </is>
      </c>
      <c r="H73" s="197" t="n">
        <v>46320</v>
      </c>
      <c r="I73" s="196" t="inlineStr">
        <is>
          <t>How can landslide risk on hill-road corridors be managed when a government bus is buried during heavy rain?</t>
        </is>
      </c>
    </row>
    <row r="74" outlineLevel="1" ht="10" customHeight="1"/>
    <row r="75" ht="26" customHeight="1">
      <c r="A75" s="210" t="inlineStr">
        <is>
          <t>Ground Improvement &amp; Innovation   ·   2 stories   ·   2 rated 5 / 5   ·   1 feature lead</t>
        </is>
      </c>
      <c r="B75" s="211" t="n"/>
      <c r="C75" s="211" t="n"/>
      <c r="D75" s="211" t="n"/>
      <c r="E75" s="211" t="n"/>
      <c r="F75" s="211" t="n"/>
      <c r="G75" s="211" t="n"/>
      <c r="H75" s="211" t="n"/>
      <c r="I75" s="211" t="n"/>
    </row>
    <row r="76" outlineLevel="1">
      <c r="A76" s="212" t="inlineStr">
        <is>
          <t>No.</t>
        </is>
      </c>
      <c r="B76" s="212" t="inlineStr">
        <is>
          <t>Relevance</t>
        </is>
      </c>
      <c r="C76" s="213" t="inlineStr">
        <is>
          <t>Headline</t>
        </is>
      </c>
      <c r="D76" s="212" t="inlineStr">
        <is>
          <t>Link</t>
        </is>
      </c>
      <c r="E76" s="213" t="inlineStr">
        <is>
          <t>Suggested use</t>
        </is>
      </c>
      <c r="F76" s="212" t="inlineStr">
        <is>
          <t>Status</t>
        </is>
      </c>
      <c r="G76" s="213" t="inlineStr">
        <is>
          <t>Source</t>
        </is>
      </c>
      <c r="H76" s="212" t="inlineStr">
        <is>
          <t>Digest</t>
        </is>
      </c>
      <c r="I76" s="213" t="inlineStr">
        <is>
          <t>Magazine angle · check with</t>
        </is>
      </c>
    </row>
    <row r="77" outlineLevel="1" ht="41.5" customHeight="1">
      <c r="A77" s="190" t="n">
        <v>91</v>
      </c>
      <c r="B77" s="191" t="n">
        <v>5</v>
      </c>
      <c r="C77" s="192" t="inlineStr">
        <is>
          <t>Behavior of Square-Round Shaft Combination Helical Piles and Anchors</t>
        </is>
      </c>
      <c r="D77" s="193" t="inlineStr">
        <is>
          <t>Open article</t>
        </is>
      </c>
      <c r="E77" s="199" t="inlineStr">
        <is>
          <t>Academia-to-Industry topic</t>
        </is>
      </c>
      <c r="F77" s="195">
        <f>IFERROR(INDEX(Stories!$F$4:$F$153,MATCH($A77,Stories!$A$4:$A$153,0))&amp;"","")</f>
        <v/>
      </c>
      <c r="G77" s="196" t="inlineStr">
        <is>
          <t>Geoengineer.org</t>
        </is>
      </c>
      <c r="H77" s="197" t="n">
        <v>46319</v>
      </c>
      <c r="I77" s="196" t="inlineStr">
        <is>
          <t>How do square-round shaft combination helical piles and anchors behave under load, and how can their capacity be predicted reliably?</t>
        </is>
      </c>
    </row>
    <row r="78" outlineLevel="1" ht="79" customHeight="1">
      <c r="A78" s="190" t="n">
        <v>94</v>
      </c>
      <c r="B78" s="191" t="n">
        <v>5</v>
      </c>
      <c r="C78" s="192" t="inlineStr">
        <is>
          <t>Mussolini's engineers drilled 361 holes under Pisa's foundations in 1934 to straighten it, making it lean more.
(English headline translated by Claude · Original: En perçant 361 trous dans ses fondations en 1934 pour la redresser, les ingénieurs de Mussolini ont littéralement fait pencher la tour de Pise encore plus)</t>
        </is>
      </c>
      <c r="D78" s="193" t="inlineStr">
        <is>
          <t>Open article</t>
        </is>
      </c>
      <c r="E78" s="194" t="inlineStr">
        <is>
          <t>Feature lead</t>
        </is>
      </c>
      <c r="F78" s="195">
        <f>IFERROR(INDEX(Stories!$F$4:$F$153,MATCH($A78,Stories!$A$4:$A$153,0))&amp;"","")</f>
        <v/>
      </c>
      <c r="G78" s="196" t="inlineStr">
        <is>
          <t>Sciencepost</t>
        </is>
      </c>
      <c r="H78" s="197" t="n">
        <v>46319</v>
      </c>
      <c r="I78" s="196" t="inlineStr">
        <is>
          <t>Why did drilling holes beneath Pisa's foundations to correct its tilt backfire, and what does this teach about controlled soil removal and differential settlement in stabilisation works?</t>
        </is>
      </c>
    </row>
    <row r="79" outlineLevel="1" ht="10" customHeight="1"/>
    <row r="80" ht="26" customHeight="1">
      <c r="A80" s="214" t="inlineStr">
        <is>
          <t>Infrastructure &amp; the Underground City   ·   50 stories   ·   2 rated 5 / 5   ·   14 feature leads</t>
        </is>
      </c>
      <c r="B80" s="215" t="n"/>
      <c r="C80" s="215" t="n"/>
      <c r="D80" s="215" t="n"/>
      <c r="E80" s="215" t="n"/>
      <c r="F80" s="215" t="n"/>
      <c r="G80" s="215" t="n"/>
      <c r="H80" s="215" t="n"/>
      <c r="I80" s="215" t="n"/>
    </row>
    <row r="81" outlineLevel="1">
      <c r="A81" s="216" t="inlineStr">
        <is>
          <t>No.</t>
        </is>
      </c>
      <c r="B81" s="216" t="inlineStr">
        <is>
          <t>Relevance</t>
        </is>
      </c>
      <c r="C81" s="217" t="inlineStr">
        <is>
          <t>Headline</t>
        </is>
      </c>
      <c r="D81" s="216" t="inlineStr">
        <is>
          <t>Link</t>
        </is>
      </c>
      <c r="E81" s="217" t="inlineStr">
        <is>
          <t>Suggested use</t>
        </is>
      </c>
      <c r="F81" s="216" t="inlineStr">
        <is>
          <t>Status</t>
        </is>
      </c>
      <c r="G81" s="217" t="inlineStr">
        <is>
          <t>Source</t>
        </is>
      </c>
      <c r="H81" s="216" t="inlineStr">
        <is>
          <t>Digest</t>
        </is>
      </c>
      <c r="I81" s="217" t="inlineStr">
        <is>
          <t>Magazine angle · check with</t>
        </is>
      </c>
    </row>
    <row r="82" outlineLevel="1" ht="54" customHeight="1">
      <c r="A82" s="190" t="n">
        <v>93</v>
      </c>
      <c r="B82" s="191" t="n">
        <v>5</v>
      </c>
      <c r="C82" s="192" t="inlineStr">
        <is>
          <t>Sinkhole at excavation site: ground sank even after underground safety assessment
(English headline translated by Claude · Original: 장종태, "굴착 현장 싱크홀...지하안전평가 받고도 땅 꺼졌다")</t>
        </is>
      </c>
      <c r="D82" s="193" t="inlineStr">
        <is>
          <t>Open article</t>
        </is>
      </c>
      <c r="E82" s="194" t="inlineStr">
        <is>
          <t>Feature lead</t>
        </is>
      </c>
      <c r="F82" s="195">
        <f>IFERROR(INDEX(Stories!$F$4:$F$153,MATCH($A82,Stories!$A$4:$A$153,0))&amp;"","")</f>
        <v/>
      </c>
      <c r="G82" s="196" t="inlineStr">
        <is>
          <t>충청신문</t>
        </is>
      </c>
      <c r="H82" s="197" t="n">
        <v>46319</v>
      </c>
      <c r="I82" s="196" t="inlineStr">
        <is>
          <t>Why did ground sink at an excavation despite a completed underground safety assessment, and what gaps exist in such assessments?</t>
        </is>
      </c>
    </row>
    <row r="83" outlineLevel="1" ht="79" customHeight="1">
      <c r="A83" s="190" t="n">
        <v>7</v>
      </c>
      <c r="B83" s="191" t="n">
        <v>5</v>
      </c>
      <c r="C83" s="192" t="inlineStr">
        <is>
          <t>Silkyara tunnel may open before the upcoming Char Dham yatra, company claims; Yamunotri distance to shrink by 26 km
(English headline translated by Claude · Original: सिलक्यारा टनल आगामी चारधाम यात्रा तक खुल सकती है: कंपनी का दावा; यमुनोत्री धाम की 26 किमी दूरी घटेगी, समय औ...)</t>
        </is>
      </c>
      <c r="D83" s="193" t="inlineStr">
        <is>
          <t>Open article</t>
        </is>
      </c>
      <c r="E83" s="194" t="inlineStr">
        <is>
          <t>Feature lead</t>
        </is>
      </c>
      <c r="F83" s="195">
        <f>IFERROR(INDEX(Stories!$F$4:$F$153,MATCH($A83,Stories!$A$4:$A$153,0))&amp;"","")</f>
        <v/>
      </c>
      <c r="G83" s="196" t="inlineStr">
        <is>
          <t>Dainik Bhaskar</t>
        </is>
      </c>
      <c r="H83" s="197" t="n">
        <v>46321</v>
      </c>
      <c r="I83" s="196" t="inlineStr">
        <is>
          <t>What ground stabilisation and rock mass conditions must be verified before a collapsed Himalayan tunnel can safely reopen, and how credible is the proposed schedule?
Check with: NHIDCL (the project owner) and the contractor</t>
        </is>
      </c>
    </row>
    <row r="84" outlineLevel="1" ht="66.5" customHeight="1">
      <c r="A84" s="190" t="n">
        <v>15</v>
      </c>
      <c r="B84" s="191" t="n">
        <v>4</v>
      </c>
      <c r="C84" s="192" t="inlineStr">
        <is>
          <t>Four Tourists Injured After Poolside Patio Collapses Into Sinkhole At Cozumel Resort</t>
        </is>
      </c>
      <c r="D84" s="193" t="inlineStr">
        <is>
          <t>Open article</t>
        </is>
      </c>
      <c r="E84" s="194" t="inlineStr">
        <is>
          <t>Feature lead</t>
        </is>
      </c>
      <c r="F84" s="195">
        <f>IFERROR(INDEX(Stories!$F$4:$F$153,MATCH($A84,Stories!$A$4:$A$153,0))&amp;"","")</f>
        <v/>
      </c>
      <c r="G84" s="196" t="inlineStr">
        <is>
          <t>Cancun Sun</t>
        </is>
      </c>
      <c r="H84" s="197" t="n">
        <v>46321</v>
      </c>
      <c r="I84" s="196" t="inlineStr">
        <is>
          <t>How can shallow cavities in karst limestone be detected under resort paving and foundations before a patio collapses into a sinkhole?
Check with: Quintana Roo state civil protection and the resort's engineering consultant</t>
        </is>
      </c>
    </row>
    <row r="85" outlineLevel="1" ht="54" customHeight="1">
      <c r="A85" s="190" t="n">
        <v>116</v>
      </c>
      <c r="B85" s="191" t="n">
        <v>4</v>
      </c>
      <c r="C85" s="192" t="inlineStr">
        <is>
          <t>Osan: Jo Yong-ho's restoration of Seobu-ro retaining wall after road collapse, aiming to restore public trust
(English headline translated by Claude · Original: [강대웅의 정문일침(頂門一鍼)] 조용호 시장의 오산시 서부로 옹벽 복구...무너진 도로 넘어 시민 신뢰 회복)</t>
        </is>
      </c>
      <c r="D85" s="193" t="inlineStr">
        <is>
          <t>Open article</t>
        </is>
      </c>
      <c r="E85" s="194" t="inlineStr">
        <is>
          <t>Feature lead</t>
        </is>
      </c>
      <c r="F85" s="195">
        <f>IFERROR(INDEX(Stories!$F$4:$F$153,MATCH($A85,Stories!$A$4:$A$153,0))&amp;"","")</f>
        <v/>
      </c>
      <c r="G85" s="196" t="inlineStr">
        <is>
          <t>아주경제</t>
        </is>
      </c>
      <c r="H85" s="197" t="n">
        <v>46319</v>
      </c>
      <c r="I85" s="196" t="inlineStr">
        <is>
          <t>What caused the road collapse behind this retaining wall, and how should wall reconstruction address backfill and drainage?</t>
        </is>
      </c>
    </row>
    <row r="86" outlineLevel="1" ht="79" customHeight="1">
      <c r="A86" s="190" t="n">
        <v>117</v>
      </c>
      <c r="B86" s="191" t="n">
        <v>4</v>
      </c>
      <c r="C86" s="192" t="inlineStr">
        <is>
          <t>Lawmakers warn of major accidents as retaining wall near apartments repeatedly collapses; drainage and private land issues
(English headline translated by Claude · Original: 반주영 의원 “인명피해로 이어지면 큰 사고”…황성석 의원도 고촌 옹벽 안전대책 촉구 | 아파트 인접 옹벽 반복 붕괴 우려…상부 배수로·사유지 문제에 시의 적극적인 협의 주문)</t>
        </is>
      </c>
      <c r="D86" s="193" t="inlineStr">
        <is>
          <t>Open article</t>
        </is>
      </c>
      <c r="E86" s="209" t="inlineStr">
        <is>
          <t>Regional insight</t>
        </is>
      </c>
      <c r="F86" s="195">
        <f>IFERROR(INDEX(Stories!$F$4:$F$153,MATCH($A86,Stories!$A$4:$A$153,0))&amp;"","")</f>
        <v/>
      </c>
      <c r="G86" s="196" t="inlineStr">
        <is>
          <t>Naver Blog</t>
        </is>
      </c>
      <c r="H86" s="197" t="n">
        <v>46319</v>
      </c>
      <c r="I86" s="196" t="inlineStr">
        <is>
          <t>Why do retaining walls beside apartments collapse repeatedly, and how do drainage and private land ownership complicate remediation?</t>
        </is>
      </c>
    </row>
    <row r="87" outlineLevel="1" ht="66.5" customHeight="1">
      <c r="A87" s="190" t="n">
        <v>118</v>
      </c>
      <c r="B87" s="191" t="n">
        <v>4</v>
      </c>
      <c r="C87" s="192" t="inlineStr">
        <is>
          <t>Part of a retaining wall collapsed near Pioneer Park in Yalta after rains
(English headline translated by Claude · Original: После ливней у Пионерского парка в Ялте обрушилась часть подпорной стены)</t>
        </is>
      </c>
      <c r="D87" s="193" t="inlineStr">
        <is>
          <t>Open article</t>
        </is>
      </c>
      <c r="E87" s="209" t="inlineStr">
        <is>
          <t>Regional insight</t>
        </is>
      </c>
      <c r="F87" s="195">
        <f>IFERROR(INDEX(Stories!$F$4:$F$153,MATCH($A87,Stories!$A$4:$A$153,0))&amp;"","")</f>
        <v/>
      </c>
      <c r="G87" s="196" t="inlineStr">
        <is>
          <t>Крыминформ</t>
        </is>
      </c>
      <c r="H87" s="197" t="n">
        <v>46319</v>
      </c>
      <c r="I87" s="196" t="inlineStr">
        <is>
          <t>Why did this retaining wall fail after heavy rain, and what drainage and wall design checks should coastal slopes receive?</t>
        </is>
      </c>
    </row>
    <row r="88" outlineLevel="1" ht="54" customHeight="1">
      <c r="A88" s="190" t="n">
        <v>120</v>
      </c>
      <c r="B88" s="191" t="n">
        <v>4</v>
      </c>
      <c r="C88" s="192" t="inlineStr">
        <is>
          <t>Gochang-Buan Noeuldaegyo Enters Geotechnical Survey Phase; Construction Targeted for January 2028</t>
        </is>
      </c>
      <c r="D88" s="193" t="inlineStr">
        <is>
          <t>Open article</t>
        </is>
      </c>
      <c r="E88" s="198" t="inlineStr">
        <is>
          <t>News brief</t>
        </is>
      </c>
      <c r="F88" s="195">
        <f>IFERROR(INDEX(Stories!$F$4:$F$153,MATCH($A88,Stories!$A$4:$A$153,0))&amp;"","")</f>
        <v/>
      </c>
      <c r="G88" s="196" t="inlineStr">
        <is>
          <t>아시아경제</t>
        </is>
      </c>
      <c r="H88" s="197" t="n">
        <v>46319</v>
      </c>
      <c r="I88" s="196" t="inlineStr">
        <is>
          <t>What ground conditions will the geotechnical survey reveal for this Korean nuclear-related or major construction project, and how will they shape the 2028 schedule?</t>
        </is>
      </c>
    </row>
    <row r="89" outlineLevel="1" ht="66.5" customHeight="1">
      <c r="A89" s="190" t="n">
        <v>19</v>
      </c>
      <c r="B89" s="191" t="n">
        <v>4</v>
      </c>
      <c r="C89" s="192" t="inlineStr">
        <is>
          <t>Ayuntamiento atiende más de 50 socavones su reparación cuesta hasta 700 mil pesos por punto</t>
        </is>
      </c>
      <c r="D89" s="193" t="inlineStr">
        <is>
          <t>Open article</t>
        </is>
      </c>
      <c r="E89" s="194" t="inlineStr">
        <is>
          <t>Feature lead</t>
        </is>
      </c>
      <c r="F89" s="195">
        <f>IFERROR(INDEX(Stories!$F$4:$F$153,MATCH($A89,Stories!$A$4:$A$153,0))&amp;"","")</f>
        <v/>
      </c>
      <c r="G89" s="196" t="inlineStr">
        <is>
          <t>Pulso Diario San Luis</t>
        </is>
      </c>
      <c r="H89" s="197" t="n">
        <v>46321</v>
      </c>
      <c r="I89" s="196" t="inlineStr">
        <is>
          <t>Why do dozens of urban sinkholes appear in one city, and what are the economics and engineering options for locating leaking buried pipes and rehabilitating ground before repairs become recurrent?
Check with: San Luis Potosí municipal government</t>
        </is>
      </c>
    </row>
    <row r="90" outlineLevel="1" ht="66.5" customHeight="1">
      <c r="A90" s="190" t="n">
        <v>20</v>
      </c>
      <c r="B90" s="191" t="n">
        <v>4</v>
      </c>
      <c r="C90" s="192" t="inlineStr">
        <is>
          <t>Ica: nuevo huaico podría repetir el bloqueo de la Panamericana Sur por falta de puente en Ocucaje</t>
        </is>
      </c>
      <c r="D90" s="193" t="inlineStr">
        <is>
          <t>Open article</t>
        </is>
      </c>
      <c r="E90" s="194" t="inlineStr">
        <is>
          <t>Feature lead</t>
        </is>
      </c>
      <c r="F90" s="195">
        <f>IFERROR(INDEX(Stories!$F$4:$F$153,MATCH($A90,Stories!$A$4:$A$153,0))&amp;"","")</f>
        <v/>
      </c>
      <c r="G90" s="196" t="inlineStr">
        <is>
          <t>Diario Correo</t>
        </is>
      </c>
      <c r="H90" s="197" t="n">
        <v>46321</v>
      </c>
      <c r="I90" s="196" t="inlineStr">
        <is>
          <t>How do debris flows crossing desert valleys threaten highway embankments and crossings, and what design choices should guide replacement of a missing bridge on this corridor?
Check with: Provías Nacional (MTC)</t>
        </is>
      </c>
    </row>
    <row r="91" outlineLevel="1" ht="41.5" customHeight="1">
      <c r="A91" s="190" t="n">
        <v>53</v>
      </c>
      <c r="B91" s="191" t="n">
        <v>4</v>
      </c>
      <c r="C91" s="192" t="inlineStr">
        <is>
          <t>Four guests fall into sinkhole at Occidental Cozumel hotel
(English headline translated by Claude · Original: Cuatro huéspedes caen en socavón del hotel Occidental Cozumel)</t>
        </is>
      </c>
      <c r="D91" s="193" t="inlineStr">
        <is>
          <t>Open article</t>
        </is>
      </c>
      <c r="E91" s="198" t="inlineStr">
        <is>
          <t>News brief</t>
        </is>
      </c>
      <c r="F91" s="195">
        <f>IFERROR(INDEX(Stories!$F$4:$F$153,MATCH($A91,Stories!$A$4:$A$153,0))&amp;"","")</f>
        <v/>
      </c>
      <c r="G91" s="196" t="inlineStr">
        <is>
          <t>Quintana Roo Hoy</t>
        </is>
      </c>
      <c r="H91" s="197" t="n">
        <v>46320</v>
      </c>
      <c r="I91" s="196" t="inlineStr">
        <is>
          <t>How do karst cavities and dissolution features in coastal limestone create sudden collapses beneath hotel and tourist structures?</t>
        </is>
      </c>
    </row>
    <row r="92" outlineLevel="1" ht="66.5" customHeight="1">
      <c r="A92" s="190" t="n">
        <v>56</v>
      </c>
      <c r="B92" s="191" t="n">
        <v>4</v>
      </c>
      <c r="C92" s="192" t="inlineStr">
        <is>
          <t>Reconstruction of the Terrazas del Valle bridge begins after sinkhole
(English headline translated by Claude · Original: Inician reconstrucción del puente de Terrazas del Valle tras socavón)</t>
        </is>
      </c>
      <c r="D92" s="193" t="inlineStr">
        <is>
          <t>Open article</t>
        </is>
      </c>
      <c r="E92" s="198" t="inlineStr">
        <is>
          <t>News brief</t>
        </is>
      </c>
      <c r="F92" s="195">
        <f>IFERROR(INDEX(Stories!$F$4:$F$153,MATCH($A92,Stories!$A$4:$A$153,0))&amp;"","")</f>
        <v/>
      </c>
      <c r="G92" s="196" t="inlineStr">
        <is>
          <t>NDT Noticias de Tijuana</t>
        </is>
      </c>
      <c r="H92" s="197" t="n">
        <v>46320</v>
      </c>
      <c r="I92" s="196" t="inlineStr">
        <is>
          <t>What investigation and foundation design are needed to rebuild a bridge whose support ground has collapsed into a sinkhole?</t>
        </is>
      </c>
    </row>
    <row r="93" outlineLevel="1" ht="66.5" customHeight="1">
      <c r="A93" s="190" t="n">
        <v>125</v>
      </c>
      <c r="B93" s="191" t="n">
        <v>4</v>
      </c>
      <c r="C93" s="192" t="inlineStr">
        <is>
          <t>Mystery in El Bosque: sinkhole appears amid rain and swallows a car
(English headline translated by Claude · Original: Misterio en El Bosque: socavón aparece en medio de la lluvia y se traga un auto)</t>
        </is>
      </c>
      <c r="D93" s="193" t="inlineStr">
        <is>
          <t>Open article</t>
        </is>
      </c>
      <c r="E93" s="198" t="inlineStr">
        <is>
          <t>News brief</t>
        </is>
      </c>
      <c r="F93" s="195">
        <f>IFERROR(INDEX(Stories!$F$4:$F$153,MATCH($A93,Stories!$A$4:$A$153,0))&amp;"","")</f>
        <v/>
      </c>
      <c r="G93" s="196" t="inlineStr">
        <is>
          <t>BioBioChile</t>
        </is>
      </c>
      <c r="H93" s="197" t="n">
        <v>46319</v>
      </c>
      <c r="I93" s="196" t="inlineStr">
        <is>
          <t>How do rainfall, leaking pipes and soil erosion combine to create sudden road sinkholes that swallow vehicles, as in El Bosque?</t>
        </is>
      </c>
    </row>
    <row r="94" outlineLevel="1" ht="91.5" customHeight="1">
      <c r="A94" s="190" t="n">
        <v>126</v>
      </c>
      <c r="B94" s="191" t="n">
        <v>4</v>
      </c>
      <c r="C94" s="192" t="inlineStr">
        <is>
          <t>More than 300 neighbourhoods at risk from rain; Eloy Alfaro sinkhole casts doubt on Quito's underground infrastructure
(English headline translated by Claude · Original: Más de 300 barrios en riesgo por las lluvias, socavón en la Eloy Alfaro pone en duda la infraestructura subterránea de Quito)</t>
        </is>
      </c>
      <c r="D94" s="193" t="inlineStr">
        <is>
          <t>Open article</t>
        </is>
      </c>
      <c r="E94" s="194" t="inlineStr">
        <is>
          <t>Feature lead</t>
        </is>
      </c>
      <c r="F94" s="195">
        <f>IFERROR(INDEX(Stories!$F$4:$F$153,MATCH($A94,Stories!$A$4:$A$153,0))&amp;"","")</f>
        <v/>
      </c>
      <c r="G94" s="196" t="inlineStr">
        <is>
          <t>El Universo</t>
        </is>
      </c>
      <c r="H94" s="197" t="n">
        <v>46319</v>
      </c>
      <c r="I94" s="196" t="inlineStr">
        <is>
          <t>What does the Eloy Alfaro sinkhole reveal about the condition of Quito's buried infrastructure and the ground beneath rain-affected neighbourhoods?</t>
        </is>
      </c>
    </row>
    <row r="95" outlineLevel="1" ht="66.5" customHeight="1">
      <c r="A95" s="190" t="n">
        <v>127</v>
      </c>
      <c r="B95" s="191" t="n">
        <v>4</v>
      </c>
      <c r="C95" s="192" t="inlineStr">
        <is>
          <t>Presidential delegate on Arauco sinkhole: 'It was built on land that was not optimal'
(English headline translated by Claude · Original: Delegado presidencial y el socavón en Arauco: "Aquí se construyó en un terreno que no era óptimo")</t>
        </is>
      </c>
      <c r="D95" s="193" t="inlineStr">
        <is>
          <t>Open article</t>
        </is>
      </c>
      <c r="E95" s="194" t="inlineStr">
        <is>
          <t>Feature lead</t>
        </is>
      </c>
      <c r="F95" s="195">
        <f>IFERROR(INDEX(Stories!$F$4:$F$153,MATCH($A95,Stories!$A$4:$A$153,0))&amp;"","")</f>
        <v/>
      </c>
      <c r="G95" s="196" t="inlineStr">
        <is>
          <t>Cooperativa</t>
        </is>
      </c>
      <c r="H95" s="197" t="n">
        <v>46319</v>
      </c>
      <c r="I95" s="196" t="inlineStr">
        <is>
          <t>What ground investigation and foundation decisions should be scrutinised when a structure is built on unsuitable terrain, as officials claim in Arauco?</t>
        </is>
      </c>
    </row>
    <row r="96" outlineLevel="1" ht="66.5" customHeight="1">
      <c r="A96" s="190" t="n">
        <v>128</v>
      </c>
      <c r="B96" s="191" t="n">
        <v>4</v>
      </c>
      <c r="C96" s="192" t="inlineStr">
        <is>
          <t>JUMAPAM and Pemex evaluate underground network after sinkhole on Emilio Barragán avenue in Mazatlán
(English headline translated by Claude · Original: JUMAPAM y Pemex evalúan red subterránea tras socavón en la avenida Emilio Barragán en Mazatlán)</t>
        </is>
      </c>
      <c r="D96" s="193" t="inlineStr">
        <is>
          <t>Open article</t>
        </is>
      </c>
      <c r="E96" s="194" t="inlineStr">
        <is>
          <t>Feature lead</t>
        </is>
      </c>
      <c r="F96" s="195">
        <f>IFERROR(INDEX(Stories!$F$4:$F$153,MATCH($A96,Stories!$A$4:$A$153,0))&amp;"","")</f>
        <v/>
      </c>
      <c r="G96" s="196" t="inlineStr">
        <is>
          <t>Debate</t>
        </is>
      </c>
      <c r="H96" s="197" t="n">
        <v>46319</v>
      </c>
      <c r="I96" s="196" t="inlineStr">
        <is>
          <t>How can utilities mapping and leak detection clarify whether pipe defects caused the Emilio Barragán sinkhole in Mazatlán?</t>
        </is>
      </c>
    </row>
    <row r="97" outlineLevel="1" ht="66.5" customHeight="1">
      <c r="A97" s="190" t="n">
        <v>72</v>
      </c>
      <c r="B97" s="191" t="n">
        <v>4</v>
      </c>
      <c r="C97" s="192" t="inlineStr">
        <is>
          <t>Shield 'Nadezhda' completes tunnelling to future metro stations in Primorsky district
(English headline translated by Claude · Original: Щит "Надежда" завершил проходку тоннеля к будущим станциям метро Приморского района)</t>
        </is>
      </c>
      <c r="D97" s="193" t="inlineStr">
        <is>
          <t>Open article</t>
        </is>
      </c>
      <c r="E97" s="198" t="inlineStr">
        <is>
          <t>News brief</t>
        </is>
      </c>
      <c r="F97" s="195">
        <f>IFERROR(INDEX(Stories!$F$4:$F$153,MATCH($A97,Stories!$A$4:$A$153,0))&amp;"","")</f>
        <v/>
      </c>
      <c r="G97" s="196" t="inlineStr">
        <is>
          <t>Piter.tv</t>
        </is>
      </c>
      <c r="H97" s="197" t="n">
        <v>46320</v>
      </c>
      <c r="I97" s="196" t="inlineStr">
        <is>
          <t>How did the shield tunnelling through the local soils, with groundwater and face-stability conditions, shape the progress of the St Petersburg metro extension?</t>
        </is>
      </c>
    </row>
    <row r="98" outlineLevel="1" ht="54" customHeight="1">
      <c r="A98" s="190" t="n">
        <v>27</v>
      </c>
      <c r="B98" s="191" t="n">
        <v>4</v>
      </c>
      <c r="C98" s="192" t="inlineStr">
        <is>
          <t>Anuncia Ayuntamiento de Cuernavaca cierre temporal de Avenida Universidad por revisión de hundimiento</t>
        </is>
      </c>
      <c r="D98" s="193" t="inlineStr">
        <is>
          <t>Open article</t>
        </is>
      </c>
      <c r="E98" s="198" t="inlineStr">
        <is>
          <t>News brief</t>
        </is>
      </c>
      <c r="F98" s="195">
        <f>IFERROR(INDEX(Stories!$F$4:$F$153,MATCH($A98,Stories!$A$4:$A$153,0))&amp;"","")</f>
        <v/>
      </c>
      <c r="G98" s="196" t="inlineStr">
        <is>
          <t>La Jornada Morelos</t>
        </is>
      </c>
      <c r="H98" s="197" t="n">
        <v>46321</v>
      </c>
      <c r="I98" s="196" t="inlineStr">
        <is>
          <t>What ground or utility causes are behind the subsidence on Avenida Universidad, and what investigation should determine whether the road can safely reopen?
Check with: the Cuernavaca city council</t>
        </is>
      </c>
    </row>
    <row r="99" outlineLevel="1" ht="66.5" customHeight="1">
      <c r="A99" s="190" t="n">
        <v>28</v>
      </c>
      <c r="B99" s="191" t="n">
        <v>4</v>
      </c>
      <c r="C99" s="192" t="inlineStr">
        <is>
          <t>India's first bullet train: station to be built 100 feet underground, high-speed train to pass beneath the sea
(English headline translated by Claude · Original: भारत की पहली बुलेट ट्रेन: 100 फीट नीचे बनेगा स्टेशन, समुद्र के नीचे से गुजरेगी हाई-स्पीड ट्रेन)</t>
        </is>
      </c>
      <c r="D99" s="193" t="inlineStr">
        <is>
          <t>Open article</t>
        </is>
      </c>
      <c r="E99" s="194" t="inlineStr">
        <is>
          <t>Feature lead</t>
        </is>
      </c>
      <c r="F99" s="195">
        <f>IFERROR(INDEX(Stories!$F$4:$F$153,MATCH($A99,Stories!$A$4:$A$153,0))&amp;"","")</f>
        <v/>
      </c>
      <c r="G99" s="196" t="inlineStr">
        <is>
          <t>Inh News</t>
        </is>
      </c>
      <c r="H99" s="197" t="n">
        <v>46321</v>
      </c>
      <c r="I99" s="196" t="inlineStr">
        <is>
          <t>What ground conditions and deep excavation methods are needed for a 30 m deep station and an undersea tunnel on India's first bullet train route?
Check with: NHSRCL (National High Speed Rail Corporation)</t>
        </is>
      </c>
    </row>
    <row r="100" outlineLevel="1" ht="66.5" customHeight="1">
      <c r="A100" s="190" t="n">
        <v>73</v>
      </c>
      <c r="B100" s="191" t="n">
        <v>4</v>
      </c>
      <c r="C100" s="192" t="inlineStr">
        <is>
          <t>Experts comment on the plan to level Mot mountain in Quy Nhon
(English headline translated by Claude · Original: Des experts s'expriment sur le projet de rasage du mont Mot à Quy Nhon.)</t>
        </is>
      </c>
      <c r="D100" s="193" t="inlineStr">
        <is>
          <t>Open article</t>
        </is>
      </c>
      <c r="E100" s="194" t="inlineStr">
        <is>
          <t>Feature lead</t>
        </is>
      </c>
      <c r="F100" s="195">
        <f>IFERROR(INDEX(Stories!$F$4:$F$153,MATCH($A100,Stories!$A$4:$A$153,0))&amp;"","")</f>
        <v/>
      </c>
      <c r="G100" s="196" t="inlineStr">
        <is>
          <t>Vietnam.vn</t>
        </is>
      </c>
      <c r="H100" s="197" t="n">
        <v>46320</v>
      </c>
      <c r="I100" s="196" t="inlineStr">
        <is>
          <t>What are the slope stability, rock-cutting and environmental trade-offs in levelling a granite mountain inside an urban area, and how should experts weigh them?</t>
        </is>
      </c>
    </row>
    <row r="101" outlineLevel="1" ht="66.5" customHeight="1">
      <c r="A101" s="190" t="n">
        <v>74</v>
      </c>
      <c r="B101" s="191" t="n">
        <v>4</v>
      </c>
      <c r="C101" s="192" t="inlineStr">
        <is>
          <t>Imperial advances planning of block caving method at Red Chris mine
(English headline translated by Claude · Original: Imperial avanza en la planificación del método de hundimiento por bloques en la mina Red Chris)</t>
        </is>
      </c>
      <c r="D101" s="193" t="inlineStr">
        <is>
          <t>Open article</t>
        </is>
      </c>
      <c r="E101" s="199" t="inlineStr">
        <is>
          <t>Academia-to-Industry topic</t>
        </is>
      </c>
      <c r="F101" s="195">
        <f>IFERROR(INDEX(Stories!$F$4:$F$153,MATCH($A101,Stories!$A$4:$A$153,0))&amp;"","")</f>
        <v/>
      </c>
      <c r="G101" s="196" t="inlineStr">
        <is>
          <t>MarketScreener España</t>
        </is>
      </c>
      <c r="H101" s="197" t="n">
        <v>46320</v>
      </c>
      <c r="I101" s="196" t="inlineStr">
        <is>
          <t>What geomechanical data and rock mass characterisation are needed to plan block caving sequences safely in a large porphyry copper mine?</t>
        </is>
      </c>
    </row>
    <row r="102" outlineLevel="1" ht="54" customHeight="1">
      <c r="A102" s="190" t="n">
        <v>133</v>
      </c>
      <c r="B102" s="191" t="n">
        <v>4</v>
      </c>
      <c r="C102" s="192" t="inlineStr">
        <is>
          <t>Ben Thanh - Tham Luong metro to have all 11 stations completed by end of 2026
(English headline translated by Claude · Original: Metro Bến Thành - Tham Lương cuối năm 2026 làm cả 11 nhà ga)</t>
        </is>
      </c>
      <c r="D102" s="193" t="inlineStr">
        <is>
          <t>Open article</t>
        </is>
      </c>
      <c r="E102" s="194" t="inlineStr">
        <is>
          <t>Feature lead</t>
        </is>
      </c>
      <c r="F102" s="195">
        <f>IFERROR(INDEX(Stories!$F$4:$F$153,MATCH($A102,Stories!$A$4:$A$153,0))&amp;"","")</f>
        <v/>
      </c>
      <c r="G102" s="196" t="inlineStr">
        <is>
          <t>VOH</t>
        </is>
      </c>
      <c r="H102" s="197" t="n">
        <v>46319</v>
      </c>
      <c r="I102" s="196" t="inlineStr">
        <is>
          <t>What ground conditions and deep excavation and tunnelling methods are used for metro stations in soft Ho Chi Minh City clays with high groundwater, and what risks follow?</t>
        </is>
      </c>
    </row>
    <row r="103" outlineLevel="1" ht="41.5" customHeight="1">
      <c r="A103" s="190" t="n">
        <v>135</v>
      </c>
      <c r="B103" s="191" t="n">
        <v>3</v>
      </c>
      <c r="C103" s="192" t="inlineStr">
        <is>
          <t>Mobile shield deployed for A14 Vinci Tunnel reconstruction</t>
        </is>
      </c>
      <c r="D103" s="193" t="inlineStr">
        <is>
          <t>Open article</t>
        </is>
      </c>
      <c r="E103" s="198" t="inlineStr">
        <is>
          <t>News brief</t>
        </is>
      </c>
      <c r="F103" s="195">
        <f>IFERROR(INDEX(Stories!$F$4:$F$153,MATCH($A103,Stories!$A$4:$A$153,0))&amp;"","")</f>
        <v/>
      </c>
      <c r="G103" s="196" t="inlineStr">
        <is>
          <t>Tunnelling Journal</t>
        </is>
      </c>
      <c r="H103" s="197" t="n">
        <v>46319</v>
      </c>
      <c r="I103" s="196" t="inlineStr">
        <is>
          <t>How does a mobile shield enable tunnel reconstruction within an operating motorway tunnel, and what ground support issues arise?</t>
        </is>
      </c>
    </row>
    <row r="104" outlineLevel="1" ht="66.5" customHeight="1">
      <c r="A104" s="190" t="n">
        <v>136</v>
      </c>
      <c r="B104" s="191" t="n">
        <v>3</v>
      </c>
      <c r="C104" s="192" t="inlineStr">
        <is>
          <t>What options exist for Mot Mountain in Quy Nhon: levelling it or preserving the historic site?
(English headline translated by Claude · Original: Apa saja pilihan yang tersedia untuk Gunung Mot di Quy Nhon: meratakannya atau melestarikan situs bersejarah tersebut?)</t>
        </is>
      </c>
      <c r="D104" s="193" t="inlineStr">
        <is>
          <t>Open article</t>
        </is>
      </c>
      <c r="E104" s="194" t="inlineStr">
        <is>
          <t>Feature lead</t>
        </is>
      </c>
      <c r="F104" s="195">
        <f>IFERROR(INDEX(Stories!$F$4:$F$153,MATCH($A104,Stories!$A$4:$A$153,0))&amp;"","")</f>
        <v/>
      </c>
      <c r="G104" s="196" t="inlineStr">
        <is>
          <t>Vietnam.vn</t>
        </is>
      </c>
      <c r="H104" s="197" t="n">
        <v>46319</v>
      </c>
      <c r="I104" s="196" t="inlineStr">
        <is>
          <t>What geotechnical and heritage considerations should guide levelling versus preserving a rocky hill site in an urban coastal city?</t>
        </is>
      </c>
    </row>
    <row r="105" outlineLevel="1" ht="79" customHeight="1">
      <c r="A105" s="190" t="n">
        <v>29</v>
      </c>
      <c r="B105" s="191" t="n">
        <v>3</v>
      </c>
      <c r="C105" s="192" t="inlineStr">
        <is>
          <t>Disaster R&amp;D to prevent sinkhole and ageing elevated structure collapses using veteran field technology.
(English headline translated by Claude · Original: 싱크홀·노후 고가 붕괴 사고 막는다... 현장 베테랑 기술력 접목해 재난재해 해결 R&amp;D)</t>
        </is>
      </c>
      <c r="D105" s="193" t="inlineStr">
        <is>
          <t>Open article</t>
        </is>
      </c>
      <c r="E105" s="199" t="inlineStr">
        <is>
          <t>Academia-to-Industry topic</t>
        </is>
      </c>
      <c r="F105" s="195">
        <f>IFERROR(INDEX(Stories!$F$4:$F$153,MATCH($A105,Stories!$A$4:$A$153,0))&amp;"","")</f>
        <v/>
      </c>
      <c r="G105" s="196" t="inlineStr">
        <is>
          <t>한국일보</t>
        </is>
      </c>
      <c r="H105" s="197" t="n">
        <v>46321</v>
      </c>
      <c r="I105" s="196" t="inlineStr">
        <is>
          <t>Which field-proven ground investigation techniques could detect cavities and deteriorating foundations before sinkholes or elevated structure collapses occur?
Check with: the government ministry funding the disaster R&amp;D programme</t>
        </is>
      </c>
    </row>
    <row r="106" outlineLevel="1" ht="66.5" customHeight="1">
      <c r="A106" s="190" t="n">
        <v>33</v>
      </c>
      <c r="B106" s="191" t="n">
        <v>3</v>
      </c>
      <c r="C106" s="192" t="inlineStr">
        <is>
          <t>Earthworks begin on second section of damaged collector in Voronezh
(English headline translated by Claude · Original: В Воронеже начали земляные работы на втором участке поврежденного коллектора)</t>
        </is>
      </c>
      <c r="D106" s="193" t="inlineStr">
        <is>
          <t>Open article</t>
        </is>
      </c>
      <c r="E106" s="198" t="inlineStr">
        <is>
          <t>News brief</t>
        </is>
      </c>
      <c r="F106" s="195">
        <f>IFERROR(INDEX(Stories!$F$4:$F$153,MATCH($A106,Stories!$A$4:$A$153,0))&amp;"","")</f>
        <v/>
      </c>
      <c r="G106" s="196" t="inlineStr">
        <is>
          <t>Новости Воронежа интернет-газета</t>
        </is>
      </c>
      <c r="H106" s="197" t="n">
        <v>46321</v>
      </c>
      <c r="I106" s="196" t="inlineStr">
        <is>
          <t>What ground conditions and excavation support measures govern safe repair of a buried collector in soft urban soils?
Check with: Voronezh city water utility (Voronezhvodokanal)</t>
        </is>
      </c>
    </row>
    <row r="107" outlineLevel="1" ht="54" customHeight="1">
      <c r="A107" s="190" t="n">
        <v>34</v>
      </c>
      <c r="B107" s="191" t="n">
        <v>3</v>
      </c>
      <c r="C107" s="192" t="inlineStr">
        <is>
          <t>Vía Alóag-Santo Domingo tiene paso controlado tras deslizamiento en el km 35</t>
        </is>
      </c>
      <c r="D107" s="193" t="inlineStr">
        <is>
          <t>Open article</t>
        </is>
      </c>
      <c r="E107" s="198" t="inlineStr">
        <is>
          <t>News brief</t>
        </is>
      </c>
      <c r="F107" s="195">
        <f>IFERROR(INDEX(Stories!$F$4:$F$153,MATCH($A107,Stories!$A$4:$A$153,0))&amp;"","")</f>
        <v/>
      </c>
      <c r="G107" s="196" t="inlineStr">
        <is>
          <t>El Comercio</t>
        </is>
      </c>
      <c r="H107" s="197" t="n">
        <v>46321</v>
      </c>
      <c r="I107" s="196" t="inlineStr">
        <is>
          <t>What slope monitoring and remediation are needed on a major highway section where slides repeatedly force controlled traffic?
Check with: Ecuador's transport ministry (MTOP)</t>
        </is>
      </c>
    </row>
    <row r="108" outlineLevel="1" ht="54" customHeight="1">
      <c r="A108" s="190" t="n">
        <v>35</v>
      </c>
      <c r="B108" s="191" t="n">
        <v>3</v>
      </c>
      <c r="C108" s="192" t="inlineStr">
        <is>
          <t>Vía Riobamba–Penipe–Baños fue habilitada tras deslizamiento</t>
        </is>
      </c>
      <c r="D108" s="193" t="inlineStr">
        <is>
          <t>Open article</t>
        </is>
      </c>
      <c r="E108" s="198" t="inlineStr">
        <is>
          <t>News brief</t>
        </is>
      </c>
      <c r="F108" s="195">
        <f>IFERROR(INDEX(Stories!$F$4:$F$153,MATCH($A108,Stories!$A$4:$A$153,0))&amp;"","")</f>
        <v/>
      </c>
      <c r="G108" s="196" t="inlineStr">
        <is>
          <t>diariolosandes.com.ec</t>
        </is>
      </c>
      <c r="H108" s="197" t="n">
        <v>46321</v>
      </c>
      <c r="I108" s="196" t="inlineStr">
        <is>
          <t>How should a mountain road reopened after a slide be assessed for residual hazard and re-failure risk?
Check with: Chimborazo provincial road authority (MTOP)</t>
        </is>
      </c>
    </row>
    <row r="109" outlineLevel="1" ht="66.5" customHeight="1">
      <c r="A109" s="190" t="n">
        <v>36</v>
      </c>
      <c r="B109" s="191" t="n">
        <v>3</v>
      </c>
      <c r="C109" s="192" t="inlineStr">
        <is>
          <t>Áncash: deslizamiento de tierra dañó 15 metros de vía vecinal en Shupluy -</t>
        </is>
      </c>
      <c r="D109" s="193" t="inlineStr">
        <is>
          <t>Open article</t>
        </is>
      </c>
      <c r="E109" s="198" t="inlineStr">
        <is>
          <t>News brief</t>
        </is>
      </c>
      <c r="F109" s="195">
        <f>IFERROR(INDEX(Stories!$F$4:$F$153,MATCH($A109,Stories!$A$4:$A$153,0))&amp;"","")</f>
        <v/>
      </c>
      <c r="G109" s="196" t="inlineStr">
        <is>
          <t>luminanoticias.pe</t>
        </is>
      </c>
      <c r="H109" s="197" t="n">
        <v>46321</v>
      </c>
      <c r="I109" s="196" t="inlineStr">
        <is>
          <t>What drainage and slope protection would keep a rural access road operational during Andean rainy seasons?
Check with: Áncash regional government road authority</t>
        </is>
      </c>
    </row>
    <row r="110" outlineLevel="1" ht="66.5" customHeight="1">
      <c r="A110" s="190" t="n">
        <v>37</v>
      </c>
      <c r="B110" s="191" t="n">
        <v>3</v>
      </c>
      <c r="C110" s="192" t="inlineStr">
        <is>
          <t>Camioneta varada en socavón de la colonia Fronteriza en Juárez</t>
        </is>
      </c>
      <c r="D110" s="193" t="inlineStr">
        <is>
          <t>Open article</t>
        </is>
      </c>
      <c r="E110" s="198" t="inlineStr">
        <is>
          <t>News brief</t>
        </is>
      </c>
      <c r="F110" s="195">
        <f>IFERROR(INDEX(Stories!$F$4:$F$153,MATCH($A110,Stories!$A$4:$A$153,0))&amp;"","")</f>
        <v/>
      </c>
      <c r="G110" s="196" t="inlineStr">
        <is>
          <t>Netnoticias.mx</t>
        </is>
      </c>
      <c r="H110" s="197" t="n">
        <v>46321</v>
      </c>
      <c r="I110" s="196" t="inlineStr">
        <is>
          <t>What failure mechanisms allow a road surface to collapse under a vehicle in a neighbourhood with poor drainage, and what subsurface survey would identify such voids before vehicles are trapped?
Check with: Ciudad Juárez municipal government</t>
        </is>
      </c>
    </row>
    <row r="111" outlineLevel="1" ht="66.5" customHeight="1">
      <c r="A111" s="190" t="n">
        <v>38</v>
      </c>
      <c r="B111" s="191" t="n">
        <v>3</v>
      </c>
      <c r="C111" s="192" t="inlineStr">
        <is>
          <t>Mañana inicia la reparación del socavón en el puente Terrazas del Valle</t>
        </is>
      </c>
      <c r="D111" s="193" t="inlineStr">
        <is>
          <t>Open article</t>
        </is>
      </c>
      <c r="E111" s="198" t="inlineStr">
        <is>
          <t>News brief</t>
        </is>
      </c>
      <c r="F111" s="195">
        <f>IFERROR(INDEX(Stories!$F$4:$F$153,MATCH($A111,Stories!$A$4:$A$153,0))&amp;"","")</f>
        <v/>
      </c>
      <c r="G111" s="196" t="inlineStr">
        <is>
          <t>Punto Norte</t>
        </is>
      </c>
      <c r="H111" s="197" t="n">
        <v>46321</v>
      </c>
      <c r="I111" s="196" t="inlineStr">
        <is>
          <t>What causes a sinkhole to form at a bridge abutment or approach, and what foundation and backfill investigation should precede a repair to prevent recurrence?
Check with: municipal public works department</t>
        </is>
      </c>
    </row>
    <row r="112" outlineLevel="1" ht="66.5" customHeight="1">
      <c r="A112" s="190" t="n">
        <v>39</v>
      </c>
      <c r="B112" s="191" t="n">
        <v>3</v>
      </c>
      <c r="C112" s="192" t="inlineStr">
        <is>
          <t>Fortes chuvas provocam deslizamento de terra em acesso da SP-294 em Garça</t>
        </is>
      </c>
      <c r="D112" s="193" t="inlineStr">
        <is>
          <t>Open article</t>
        </is>
      </c>
      <c r="E112" s="198" t="inlineStr">
        <is>
          <t>News brief</t>
        </is>
      </c>
      <c r="F112" s="195">
        <f>IFERROR(INDEX(Stories!$F$4:$F$153,MATCH($A112,Stories!$A$4:$A$153,0))&amp;"","")</f>
        <v/>
      </c>
      <c r="G112" s="196" t="inlineStr">
        <is>
          <t>Marília Notícia</t>
        </is>
      </c>
      <c r="H112" s="197" t="n">
        <v>46321</v>
      </c>
      <c r="I112" s="196" t="inlineStr">
        <is>
          <t>What causes a cut or embankment on a state highway access road to fail under heavy rain, and what stabilisation is appropriate for such slopes?
Check with: DER-SP (São Paulo state roads department)</t>
        </is>
      </c>
    </row>
    <row r="113" outlineLevel="1" ht="66.5" customHeight="1">
      <c r="A113" s="190" t="n">
        <v>40</v>
      </c>
      <c r="B113" s="191" t="n">
        <v>3</v>
      </c>
      <c r="C113" s="192" t="inlineStr">
        <is>
          <t>Deslizamento de terra e árvores bloqueia rodovia entre Tatuí e Boituva</t>
        </is>
      </c>
      <c r="D113" s="193" t="inlineStr">
        <is>
          <t>Open article</t>
        </is>
      </c>
      <c r="E113" s="198" t="inlineStr">
        <is>
          <t>News brief</t>
        </is>
      </c>
      <c r="F113" s="195">
        <f>IFERROR(INDEX(Stories!$F$4:$F$153,MATCH($A113,Stories!$A$4:$A$153,0))&amp;"","")</f>
        <v/>
      </c>
      <c r="G113" s="196" t="inlineStr">
        <is>
          <t>G1</t>
        </is>
      </c>
      <c r="H113" s="197" t="n">
        <v>46321</v>
      </c>
      <c r="I113" s="196" t="inlineStr">
        <is>
          <t>What triggered a slope to shed soil and vegetation onto a regional highway, and what slope inspection would prevent repeated closures on this route?
Check with: DER-SP (São Paulo state roads department)</t>
        </is>
      </c>
    </row>
    <row r="114" outlineLevel="1" ht="54" customHeight="1">
      <c r="A114" s="190" t="n">
        <v>41</v>
      </c>
      <c r="B114" s="191" t="n">
        <v>3</v>
      </c>
      <c r="C114" s="192" t="inlineStr">
        <is>
          <t>Deslizamento de terra interdita rodovia entre Realeza e Planalto</t>
        </is>
      </c>
      <c r="D114" s="193" t="inlineStr">
        <is>
          <t>Open article</t>
        </is>
      </c>
      <c r="E114" s="198" t="inlineStr">
        <is>
          <t>News brief</t>
        </is>
      </c>
      <c r="F114" s="195">
        <f>IFERROR(INDEX(Stories!$F$4:$F$153,MATCH($A114,Stories!$A$4:$A$153,0))&amp;"","")</f>
        <v/>
      </c>
      <c r="G114" s="196" t="inlineStr">
        <is>
          <t>Jornal Novo Tempo</t>
        </is>
      </c>
      <c r="H114" s="197" t="n">
        <v>46321</v>
      </c>
      <c r="I114" s="196" t="inlineStr">
        <is>
          <t>Why do rural highway cuts in this region fail during rain, and what slope stability assessment would inform repair and prevent future interdictions?
Check with: DER-PR (Paraná state roads department)</t>
        </is>
      </c>
    </row>
    <row r="115" outlineLevel="1" ht="54" customHeight="1">
      <c r="A115" s="190" t="n">
        <v>42</v>
      </c>
      <c r="B115" s="191" t="n">
        <v>3</v>
      </c>
      <c r="C115" s="192" t="inlineStr">
        <is>
          <t>BR-277 é liberada após deslizamento de terra na Serra da Esperança, em Guarapuava</t>
        </is>
      </c>
      <c r="D115" s="193" t="inlineStr">
        <is>
          <t>Open article</t>
        </is>
      </c>
      <c r="E115" s="198" t="inlineStr">
        <is>
          <t>News brief</t>
        </is>
      </c>
      <c r="F115" s="195">
        <f>IFERROR(INDEX(Stories!$F$4:$F$153,MATCH($A115,Stories!$A$4:$A$153,0))&amp;"","")</f>
        <v/>
      </c>
      <c r="G115" s="196" t="inlineStr">
        <is>
          <t>Catve</t>
        </is>
      </c>
      <c r="H115" s="197" t="n">
        <v>46321</v>
      </c>
      <c r="I115" s="196" t="inlineStr">
        <is>
          <t>What triggered the mountain slope failure on this highway, and what monitoring and remediation would reduce the time the route is closed after storms?
Check with: DNIT and the BR-277 concessionaire</t>
        </is>
      </c>
    </row>
    <row r="116" outlineLevel="1" ht="54" customHeight="1">
      <c r="A116" s="190" t="n">
        <v>43</v>
      </c>
      <c r="B116" s="191" t="n">
        <v>3</v>
      </c>
      <c r="C116" s="192" t="inlineStr">
        <is>
          <t>Deslizamento de terra no Km 43, em Cajamar, coloca motoristas em alerta</t>
        </is>
      </c>
      <c r="D116" s="193" t="inlineStr">
        <is>
          <t>Open article</t>
        </is>
      </c>
      <c r="E116" s="198" t="inlineStr">
        <is>
          <t>News brief</t>
        </is>
      </c>
      <c r="F116" s="195">
        <f>IFERROR(INDEX(Stories!$F$4:$F$153,MATCH($A116,Stories!$A$4:$A$153,0))&amp;"","")</f>
        <v/>
      </c>
      <c r="G116" s="196" t="inlineStr">
        <is>
          <t>JORNAL DA REGIÃO</t>
        </is>
      </c>
      <c r="H116" s="197" t="n">
        <v>46321</v>
      </c>
      <c r="I116" s="196" t="inlineStr">
        <is>
          <t>What caused soil to slide onto this highway cut, and what slope inspection and drainage check should follow before traffic is fully normal?
Check with: DER-SP and the road concessionaire</t>
        </is>
      </c>
    </row>
    <row r="117" outlineLevel="1" ht="41.5" customHeight="1">
      <c r="A117" s="190" t="n">
        <v>79</v>
      </c>
      <c r="B117" s="191" t="n">
        <v>3</v>
      </c>
      <c r="C117" s="192" t="inlineStr">
        <is>
          <t>Un socavón en Cerro se llena de agua y amenaza a peatones y conductores tras las lluvias</t>
        </is>
      </c>
      <c r="D117" s="193" t="inlineStr">
        <is>
          <t>Open article</t>
        </is>
      </c>
      <c r="E117" s="198" t="inlineStr">
        <is>
          <t>News brief</t>
        </is>
      </c>
      <c r="F117" s="195">
        <f>IFERROR(INDEX(Stories!$F$4:$F$153,MATCH($A117,Stories!$A$4:$A$153,0))&amp;"","")</f>
        <v/>
      </c>
      <c r="G117" s="196" t="inlineStr">
        <is>
          <t>Infobae</t>
        </is>
      </c>
      <c r="H117" s="197" t="n">
        <v>46320</v>
      </c>
      <c r="I117" s="196" t="inlineStr">
        <is>
          <t>What causes water-filled sinkholes to form in urban ground after rainfall, and how should pedestrian and traffic exclusion zones be set?</t>
        </is>
      </c>
    </row>
    <row r="118" outlineLevel="1" ht="54" customHeight="1">
      <c r="A118" s="190" t="n">
        <v>80</v>
      </c>
      <c r="B118" s="191" t="n">
        <v>3</v>
      </c>
      <c r="C118" s="192" t="inlineStr">
        <is>
          <t>A sinkhole trapped an ambulance transporting a patient
(English headline translated by Claude · Original: Un socavón dejó atrapada a una ambulancia que trasladaba a una paciente)</t>
        </is>
      </c>
      <c r="D118" s="193" t="inlineStr">
        <is>
          <t>Open article</t>
        </is>
      </c>
      <c r="E118" s="198" t="inlineStr">
        <is>
          <t>News brief</t>
        </is>
      </c>
      <c r="F118" s="195">
        <f>IFERROR(INDEX(Stories!$F$4:$F$153,MATCH($A118,Stories!$A$4:$A$153,0))&amp;"","")</f>
        <v/>
      </c>
      <c r="G118" s="196" t="inlineStr">
        <is>
          <t>Diario 7 lagos</t>
        </is>
      </c>
      <c r="H118" s="197" t="n">
        <v>46320</v>
      </c>
      <c r="I118" s="196" t="inlineStr">
        <is>
          <t>What ground investigation is needed to explain sudden road sinkholes that trap emergency vehicles on mountain-road pavements?</t>
        </is>
      </c>
    </row>
    <row r="119" outlineLevel="1" ht="66.5" customHeight="1">
      <c r="A119" s="190" t="n">
        <v>81</v>
      </c>
      <c r="B119" s="191" t="n">
        <v>3</v>
      </c>
      <c r="C119" s="192" t="inlineStr">
        <is>
          <t>Sinkhole endangers motorists and pedestrians in the 21 de Marzo neighbourhood
(English headline translated by Claude · Original: Socavón pone en riesgo a automovilistas y peatones en la colonia 21 de Marzo)</t>
        </is>
      </c>
      <c r="D119" s="193" t="inlineStr">
        <is>
          <t>Open article</t>
        </is>
      </c>
      <c r="E119" s="198" t="inlineStr">
        <is>
          <t>News brief</t>
        </is>
      </c>
      <c r="F119" s="195">
        <f>IFERROR(INDEX(Stories!$F$4:$F$153,MATCH($A119,Stories!$A$4:$A$153,0))&amp;"","")</f>
        <v/>
      </c>
      <c r="G119" s="196" t="inlineStr">
        <is>
          <t>El Sol de México</t>
        </is>
      </c>
      <c r="H119" s="197" t="n">
        <v>46320</v>
      </c>
      <c r="I119" s="196" t="inlineStr">
        <is>
          <t>What are the likely causes of urban road sinkholes, such as leaking pipes or subsurface erosion, and how should they be detected early?</t>
        </is>
      </c>
    </row>
    <row r="120" outlineLevel="1" ht="41.5" customHeight="1">
      <c r="A120" s="190" t="n">
        <v>82</v>
      </c>
      <c r="B120" s="191" t="n">
        <v>3</v>
      </c>
      <c r="C120" s="192" t="inlineStr">
        <is>
          <t>Government abandons community with an enormous sinkhole
(English headline translated by Claude · Original: Gobierno abandona comunidad con un enorme socavón)</t>
        </is>
      </c>
      <c r="D120" s="193" t="inlineStr">
        <is>
          <t>Open article</t>
        </is>
      </c>
      <c r="E120" s="204" t="inlineStr">
        <is>
          <t>Watch only</t>
        </is>
      </c>
      <c r="F120" s="195">
        <f>IFERROR(INDEX(Stories!$F$4:$F$153,MATCH($A120,Stories!$A$4:$A$153,0))&amp;"","")</f>
        <v/>
      </c>
      <c r="G120" s="196" t="inlineStr">
        <is>
          <t>emsavalles.com</t>
        </is>
      </c>
      <c r="H120" s="197" t="n">
        <v>46320</v>
      </c>
      <c r="I120" s="196" t="inlineStr">
        <is>
          <t>Large community sinkhole left without official remediation; the geotechnical cause and responsibility for investigation remain open.</t>
        </is>
      </c>
    </row>
    <row r="121" outlineLevel="1" ht="41.5" customHeight="1">
      <c r="A121" s="190" t="n">
        <v>83</v>
      </c>
      <c r="B121" s="191" t="n">
        <v>3</v>
      </c>
      <c r="C121" s="192" t="inlineStr">
        <is>
          <t>Sinkhole repair will close Route 241 in Lebanon County for a week</t>
        </is>
      </c>
      <c r="D121" s="193" t="inlineStr">
        <is>
          <t>Open article</t>
        </is>
      </c>
      <c r="E121" s="198" t="inlineStr">
        <is>
          <t>News brief</t>
        </is>
      </c>
      <c r="F121" s="195">
        <f>IFERROR(INDEX(Stories!$F$4:$F$153,MATCH($A121,Stories!$A$4:$A$153,0))&amp;"","")</f>
        <v/>
      </c>
      <c r="G121" s="196" t="inlineStr">
        <is>
          <t>ABC27</t>
        </is>
      </c>
      <c r="H121" s="197" t="n">
        <v>46320</v>
      </c>
      <c r="I121" s="196" t="inlineStr">
        <is>
          <t>What causes sinkholes under pavement in karst or mined ground, and which investigation methods would have identified the void before the road failed?</t>
        </is>
      </c>
    </row>
    <row r="122" outlineLevel="1" ht="66.5" customHeight="1">
      <c r="A122" s="190" t="n">
        <v>142</v>
      </c>
      <c r="B122" s="191" t="n">
        <v>3</v>
      </c>
      <c r="C122" s="192" t="inlineStr">
        <is>
          <t>Ivan Noskov announced restoration of a retaining wall on Vladimirskaya Street in Samara
(English headline translated by Claude · Original: Иван Носков анонсировал восстановление подпорной стены на Владимирской в Самаре)</t>
        </is>
      </c>
      <c r="D122" s="193" t="inlineStr">
        <is>
          <t>Open article</t>
        </is>
      </c>
      <c r="E122" s="198" t="inlineStr">
        <is>
          <t>News brief</t>
        </is>
      </c>
      <c r="F122" s="195">
        <f>IFERROR(INDEX(Stories!$F$4:$F$153,MATCH($A122,Stories!$A$4:$A$153,0))&amp;"","")</f>
        <v/>
      </c>
      <c r="G122" s="196" t="inlineStr">
        <is>
          <t>Самарская газета</t>
        </is>
      </c>
      <c r="H122" s="197" t="n">
        <v>46319</v>
      </c>
      <c r="I122" s="196" t="inlineStr">
        <is>
          <t>What causes retaining-wall deterioration on urban slopes like Samara's, and how should restoration design address overall slope stability?</t>
        </is>
      </c>
    </row>
    <row r="123" outlineLevel="1" ht="41.5" customHeight="1">
      <c r="A123" s="190" t="n">
        <v>143</v>
      </c>
      <c r="B123" s="191" t="n">
        <v>3</v>
      </c>
      <c r="C123" s="192" t="inlineStr">
        <is>
          <t>Escobedo begins repair of sinkhole
(English headline translated by Claude · Original: Inicia Escobedo reparación de socavón)</t>
        </is>
      </c>
      <c r="D123" s="193" t="inlineStr">
        <is>
          <t>Open article</t>
        </is>
      </c>
      <c r="E123" s="198" t="inlineStr">
        <is>
          <t>News brief</t>
        </is>
      </c>
      <c r="F123" s="195">
        <f>IFERROR(INDEX(Stories!$F$4:$F$153,MATCH($A123,Stories!$A$4:$A$153,0))&amp;"","")</f>
        <v/>
      </c>
      <c r="G123" s="196" t="inlineStr">
        <is>
          <t>Detona, Real News</t>
        </is>
      </c>
      <c r="H123" s="197" t="n">
        <v>46319</v>
      </c>
      <c r="I123" s="196" t="inlineStr">
        <is>
          <t>What investigation and grouting methods are used to repair urban sinkholes like the one in Escobedo?</t>
        </is>
      </c>
    </row>
    <row r="124" outlineLevel="1" ht="41.5" customHeight="1">
      <c r="A124" s="190" t="n">
        <v>144</v>
      </c>
      <c r="B124" s="191" t="n">
        <v>3</v>
      </c>
      <c r="C124" s="192" t="inlineStr">
        <is>
          <t>Center attends sinkhole in Casa Blanca
(English headline translated by Claude · Original: Centro atiende socavón en Casa Blanca)</t>
        </is>
      </c>
      <c r="D124" s="193" t="inlineStr">
        <is>
          <t>Open article</t>
        </is>
      </c>
      <c r="E124" s="198" t="inlineStr">
        <is>
          <t>News brief</t>
        </is>
      </c>
      <c r="F124" s="195">
        <f>IFERROR(INDEX(Stories!$F$4:$F$153,MATCH($A124,Stories!$A$4:$A$153,0))&amp;"","")</f>
        <v/>
      </c>
      <c r="G124" s="196" t="inlineStr">
        <is>
          <t>Tabasco HOY</t>
        </is>
      </c>
      <c r="H124" s="197" t="n">
        <v>46319</v>
      </c>
      <c r="I124" s="196" t="inlineStr">
        <is>
          <t>What subsurface causes are likely behind the Casa Blanca sinkhole, and how should emergency response proceed?</t>
        </is>
      </c>
    </row>
    <row r="125" outlineLevel="1" ht="54" customHeight="1">
      <c r="A125" s="190" t="n">
        <v>145</v>
      </c>
      <c r="B125" s="191" t="n">
        <v>3</v>
      </c>
      <c r="C125" s="192" t="inlineStr">
        <is>
          <t>Sinkhole forms at top of underpass in Francisco I. Madero
(English headline translated by Claude · Original: Se origina socavón en la parte superior del paso a desnivel en Francisco I. Madero)</t>
        </is>
      </c>
      <c r="D125" s="193" t="inlineStr">
        <is>
          <t>Open article</t>
        </is>
      </c>
      <c r="E125" s="198" t="inlineStr">
        <is>
          <t>News brief</t>
        </is>
      </c>
      <c r="F125" s="195">
        <f>IFERROR(INDEX(Stories!$F$4:$F$153,MATCH($A125,Stories!$A$4:$A$153,0))&amp;"","")</f>
        <v/>
      </c>
      <c r="G125" s="196" t="inlineStr">
        <is>
          <t>El Siglo de Torreón</t>
        </is>
      </c>
      <c r="H125" s="197" t="n">
        <v>46319</v>
      </c>
      <c r="I125" s="196" t="inlineStr">
        <is>
          <t>What ground movements and drainage failures beneath an underpass cause sinkholes at its top surface?</t>
        </is>
      </c>
    </row>
    <row r="126" outlineLevel="1" ht="41.5" customHeight="1">
      <c r="A126" s="190" t="n">
        <v>146</v>
      </c>
      <c r="B126" s="191" t="n">
        <v>3</v>
      </c>
      <c r="C126" s="192" t="inlineStr">
        <is>
          <t>Ambulance left hanging in a sinkhole in Aucapán rescued
(English headline translated by Claude · Original: Rescatan ambulancia que quedó colgada en un socavón en Aucapán)</t>
        </is>
      </c>
      <c r="D126" s="193" t="inlineStr">
        <is>
          <t>Open article</t>
        </is>
      </c>
      <c r="E126" s="198" t="inlineStr">
        <is>
          <t>News brief</t>
        </is>
      </c>
      <c r="F126" s="195">
        <f>IFERROR(INDEX(Stories!$F$4:$F$153,MATCH($A126,Stories!$A$4:$A$153,0))&amp;"","")</f>
        <v/>
      </c>
      <c r="G126" s="196" t="inlineStr">
        <is>
          <t>Realidad Sanmartinense</t>
        </is>
      </c>
      <c r="H126" s="197" t="n">
        <v>46319</v>
      </c>
      <c r="I126" s="196" t="inlineStr">
        <is>
          <t>How do soil loss and void formation under a road lead to vehicles hanging over sinkholes, and what rescue precautions apply?</t>
        </is>
      </c>
    </row>
    <row r="127" outlineLevel="1" ht="41.5" customHeight="1">
      <c r="A127" s="190" t="n">
        <v>84</v>
      </c>
      <c r="B127" s="191" t="n">
        <v>3</v>
      </c>
      <c r="C127" s="192" t="inlineStr">
        <is>
          <t>TBMs to be produced under Aatmanirbhar Bharat, says Ashwini Vaishnaw</t>
        </is>
      </c>
      <c r="D127" s="193" t="inlineStr">
        <is>
          <t>Open article</t>
        </is>
      </c>
      <c r="E127" s="198" t="inlineStr">
        <is>
          <t>News brief</t>
        </is>
      </c>
      <c r="F127" s="195">
        <f>IFERROR(INDEX(Stories!$F$4:$F$153,MATCH($A127,Stories!$A$4:$A$153,0))&amp;"","")</f>
        <v/>
      </c>
      <c r="G127" s="196" t="inlineStr">
        <is>
          <t>The Hindu</t>
        </is>
      </c>
      <c r="H127" s="197" t="n">
        <v>46320</v>
      </c>
      <c r="I127" s="196" t="inlineStr">
        <is>
          <t>How does local manufacturing of tunnel boring machines affect the technical adaptation of TBMs to varied ground conditions in India's tunnelling projects?</t>
        </is>
      </c>
    </row>
    <row r="128" outlineLevel="1" ht="91.5" customHeight="1">
      <c r="A128" s="190" t="n">
        <v>87</v>
      </c>
      <c r="B128" s="191" t="n">
        <v>3</v>
      </c>
      <c r="C128" s="192" t="inlineStr">
        <is>
          <t>Paving train rehabilitated Prolongación Moctezuma, but a sinkhole remained in front of a private road and vehicles block sidewalks
(English headline translated by Claude · Original: Con el tren de pavimentación rehabilitaron Prolongación Moctezuma, sin embargo quedó un hundimiento frente a la privada y vehículos bloqueando las banquetas)</t>
        </is>
      </c>
      <c r="D128" s="193" t="inlineStr">
        <is>
          <t>Open article</t>
        </is>
      </c>
      <c r="E128" s="198" t="inlineStr">
        <is>
          <t>News brief</t>
        </is>
      </c>
      <c r="F128" s="195">
        <f>IFERROR(INDEX(Stories!$F$4:$F$153,MATCH($A128,Stories!$A$4:$A$153,0))&amp;"","")</f>
        <v/>
      </c>
      <c r="G128" s="196" t="inlineStr">
        <is>
          <t>El Portal de Chicoloapan</t>
        </is>
      </c>
      <c r="H128" s="197" t="n">
        <v>46320</v>
      </c>
      <c r="I128" s="196" t="inlineStr">
        <is>
          <t>Why did the newly paved street develop a subsidence in front of a private road, and how could trench backfill and compaction have prevented it?</t>
        </is>
      </c>
    </row>
    <row r="129" outlineLevel="1" ht="54" customHeight="1">
      <c r="A129" s="190" t="n">
        <v>88</v>
      </c>
      <c r="B129" s="191" t="n">
        <v>3</v>
      </c>
      <c r="C129" s="192" t="inlineStr">
        <is>
          <t>Experts comment on the plan to level Mot Mountain in Quy Nhon
(English headline translated by Claude · Original: 전문가들이 꾸이년의 못산을 평탄화하려는 계획에 대해 의견을 밝혔다.)</t>
        </is>
      </c>
      <c r="D129" s="193" t="inlineStr">
        <is>
          <t>Open article</t>
        </is>
      </c>
      <c r="E129" s="194" t="inlineStr">
        <is>
          <t>Feature lead</t>
        </is>
      </c>
      <c r="F129" s="195">
        <f>IFERROR(INDEX(Stories!$F$4:$F$153,MATCH($A129,Stories!$A$4:$A$153,0))&amp;"","")</f>
        <v/>
      </c>
      <c r="G129" s="196" t="inlineStr">
        <is>
          <t>Vietnam.vn</t>
        </is>
      </c>
      <c r="H129" s="197" t="n">
        <v>46320</v>
      </c>
      <c r="I129" s="196" t="inlineStr">
        <is>
          <t>What geotechnical challenges arise in levelling a hill in Quy Nhon, including slope stability, cut volumes, and the reuse of excavated soil?</t>
        </is>
      </c>
    </row>
    <row r="130" outlineLevel="1" ht="66.5" customHeight="1">
      <c r="A130" s="190" t="n">
        <v>89</v>
      </c>
      <c r="B130" s="191" t="n">
        <v>3</v>
      </c>
      <c r="C130" s="192" t="inlineStr">
        <is>
          <t>Voronezh replaces another six metres of damaged collector on Moskovsky Avenue
(English headline translated by Claude · Original: В Воронеже заменили еще шесть метров поврежденного коллектора на Московском проспекте)</t>
        </is>
      </c>
      <c r="D130" s="193" t="inlineStr">
        <is>
          <t>Open article</t>
        </is>
      </c>
      <c r="E130" s="198" t="inlineStr">
        <is>
          <t>News brief</t>
        </is>
      </c>
      <c r="F130" s="195">
        <f>IFERROR(INDEX(Stories!$F$4:$F$153,MATCH($A130,Stories!$A$4:$A$153,0))&amp;"","")</f>
        <v/>
      </c>
      <c r="G130" s="196" t="inlineStr">
        <is>
          <t>Новости Воронежа интернет-газета</t>
        </is>
      </c>
      <c r="H130" s="197" t="n">
        <v>46320</v>
      </c>
      <c r="I130" s="196" t="inlineStr">
        <is>
          <t>How do ground movements or soil conditions around urban collector pipes cause damage, and what should guide repair and reinstatement works?</t>
        </is>
      </c>
    </row>
    <row r="131" outlineLevel="1" ht="66.5" customHeight="1">
      <c r="A131" s="190" t="n">
        <v>90</v>
      </c>
      <c r="B131" s="191" t="n">
        <v>3</v>
      </c>
      <c r="C131" s="192" t="inlineStr">
        <is>
          <t>Experts weigh in on proposal to level Mot Mountain in Quy Nhon
(English headline translated by Claude · Original: Para ahli angkat bicara tentang usulan untuk meratakan Gunung Mot di Quy Nhon.)</t>
        </is>
      </c>
      <c r="D131" s="193" t="inlineStr">
        <is>
          <t>Open article</t>
        </is>
      </c>
      <c r="E131" s="209" t="inlineStr">
        <is>
          <t>Regional insight</t>
        </is>
      </c>
      <c r="F131" s="195">
        <f>IFERROR(INDEX(Stories!$F$4:$F$153,MATCH($A131,Stories!$A$4:$A$153,0))&amp;"","")</f>
        <v/>
      </c>
      <c r="G131" s="196" t="inlineStr">
        <is>
          <t>Vietnam.vn</t>
        </is>
      </c>
      <c r="H131" s="197" t="n">
        <v>46320</v>
      </c>
      <c r="I131" s="196" t="inlineStr">
        <is>
          <t>How can slope stability, rock cutting and geohazard risks be assessed when a coastal hill is proposed for levelling in an urban area?</t>
        </is>
      </c>
    </row>
    <row r="132" outlineLevel="1" ht="10" customHeight="1"/>
    <row r="133" ht="26" customHeight="1">
      <c r="A133" s="218" t="inlineStr">
        <is>
          <t>Offshore, Coasts &amp; Water   ·   20 stories   ·   1 rated 5 / 5   ·   8 feature leads</t>
        </is>
      </c>
      <c r="B133" s="219" t="n"/>
      <c r="C133" s="219" t="n"/>
      <c r="D133" s="219" t="n"/>
      <c r="E133" s="219" t="n"/>
      <c r="F133" s="219" t="n"/>
      <c r="G133" s="219" t="n"/>
      <c r="H133" s="219" t="n"/>
      <c r="I133" s="219" t="n"/>
    </row>
    <row r="134" outlineLevel="1">
      <c r="A134" s="220" t="inlineStr">
        <is>
          <t>No.</t>
        </is>
      </c>
      <c r="B134" s="220" t="inlineStr">
        <is>
          <t>Relevance</t>
        </is>
      </c>
      <c r="C134" s="221" t="inlineStr">
        <is>
          <t>Headline</t>
        </is>
      </c>
      <c r="D134" s="220" t="inlineStr">
        <is>
          <t>Link</t>
        </is>
      </c>
      <c r="E134" s="221" t="inlineStr">
        <is>
          <t>Suggested use</t>
        </is>
      </c>
      <c r="F134" s="220" t="inlineStr">
        <is>
          <t>Status</t>
        </is>
      </c>
      <c r="G134" s="221" t="inlineStr">
        <is>
          <t>Source</t>
        </is>
      </c>
      <c r="H134" s="220" t="inlineStr">
        <is>
          <t>Digest</t>
        </is>
      </c>
      <c r="I134" s="221" t="inlineStr">
        <is>
          <t>Magazine angle · check with</t>
        </is>
      </c>
    </row>
    <row r="135" outlineLevel="1" ht="41.5" customHeight="1">
      <c r="A135" s="190" t="n">
        <v>92</v>
      </c>
      <c r="B135" s="191" t="n">
        <v>5</v>
      </c>
      <c r="C135" s="192" t="inlineStr">
        <is>
          <t>Floating wind needs grounded solutions</t>
        </is>
      </c>
      <c r="D135" s="193" t="inlineStr">
        <is>
          <t>Open article</t>
        </is>
      </c>
      <c r="E135" s="194" t="inlineStr">
        <is>
          <t>Feature lead</t>
        </is>
      </c>
      <c r="F135" s="195">
        <f>IFERROR(INDEX(Stories!$F$4:$F$153,MATCH($A135,Stories!$A$4:$A$153,0))&amp;"","")</f>
        <v/>
      </c>
      <c r="G135" s="196" t="inlineStr">
        <is>
          <t>Ground Engineering</t>
        </is>
      </c>
      <c r="H135" s="197" t="n">
        <v>46319</v>
      </c>
      <c r="I135" s="196" t="inlineStr">
        <is>
          <t>What geotechnical challenges arise in anchoring floating offshore wind foundations in variable seabed soils under extreme loading?</t>
        </is>
      </c>
    </row>
    <row r="136" outlineLevel="1" ht="54" customHeight="1">
      <c r="A136" s="190" t="n">
        <v>50</v>
      </c>
      <c r="B136" s="191" t="n">
        <v>4</v>
      </c>
      <c r="C136" s="192" t="inlineStr">
        <is>
          <t>Nghe An: urgent measures needed for landslide on the seaside road embankment
(English headline translated by Claude · Original: 응에안성: 해안 도로 제방의 산사태 발생에 대한 긴급 조치가 필요합니다.)</t>
        </is>
      </c>
      <c r="D136" s="193" t="inlineStr">
        <is>
          <t>Open article</t>
        </is>
      </c>
      <c r="E136" s="198" t="inlineStr">
        <is>
          <t>News brief</t>
        </is>
      </c>
      <c r="F136" s="195">
        <f>IFERROR(INDEX(Stories!$F$4:$F$153,MATCH($A136,Stories!$A$4:$A$153,0))&amp;"","")</f>
        <v/>
      </c>
      <c r="G136" s="196" t="inlineStr">
        <is>
          <t>Vietnam.vn</t>
        </is>
      </c>
      <c r="H136" s="197" t="n">
        <v>46320</v>
      </c>
      <c r="I136" s="196" t="inlineStr">
        <is>
          <t>Why do coastal road embankments fail by landslide, and what emergency stabilisation and monitoring are appropriate for dyke slopes exposed to waves and rainfall?</t>
        </is>
      </c>
    </row>
    <row r="137" outlineLevel="1" ht="41.5" customHeight="1">
      <c r="A137" s="190" t="n">
        <v>108</v>
      </c>
      <c r="B137" s="191" t="n">
        <v>4</v>
      </c>
      <c r="C137" s="192" t="inlineStr">
        <is>
          <t>Quang Tri: Severe coastal erosion threatens dikes, embankments, and people's lives.</t>
        </is>
      </c>
      <c r="D137" s="193" t="inlineStr">
        <is>
          <t>Open article</t>
        </is>
      </c>
      <c r="E137" s="209" t="inlineStr">
        <is>
          <t>Regional insight</t>
        </is>
      </c>
      <c r="F137" s="195">
        <f>IFERROR(INDEX(Stories!$F$4:$F$153,MATCH($A137,Stories!$A$4:$A$153,0))&amp;"","")</f>
        <v/>
      </c>
      <c r="G137" s="196" t="inlineStr">
        <is>
          <t>Vietnam.vn</t>
        </is>
      </c>
      <c r="H137" s="197" t="n">
        <v>46319</v>
      </c>
      <c r="I137" s="196" t="inlineStr">
        <is>
          <t>What processes drive severe coastal erosion undermining dikes, and what protection measures suit such shorelines?</t>
        </is>
      </c>
    </row>
    <row r="138" outlineLevel="1" ht="66.5" customHeight="1">
      <c r="A138" s="190" t="n">
        <v>109</v>
      </c>
      <c r="B138" s="191" t="n">
        <v>4</v>
      </c>
      <c r="C138" s="192" t="inlineStr">
        <is>
          <t>Nghe An: urgent measures needed to prevent landslide on embankment along coastal road
(English headline translated by Claude · Original: Нге Ан: Необходимы срочные меры для предотвращения оползня на насыпи вдоль прибрежной дороги.)</t>
        </is>
      </c>
      <c r="D138" s="193" t="inlineStr">
        <is>
          <t>Open article</t>
        </is>
      </c>
      <c r="E138" s="209" t="inlineStr">
        <is>
          <t>Regional insight</t>
        </is>
      </c>
      <c r="F138" s="195">
        <f>IFERROR(INDEX(Stories!$F$4:$F$153,MATCH($A138,Stories!$A$4:$A$153,0))&amp;"","")</f>
        <v/>
      </c>
      <c r="G138" s="196" t="inlineStr">
        <is>
          <t>Vietnam.vn</t>
        </is>
      </c>
      <c r="H138" s="197" t="n">
        <v>46319</v>
      </c>
      <c r="I138" s="196" t="inlineStr">
        <is>
          <t>What urgent stabilisation options suit a failing embankment on a coastal road, and how should slope failure risk be assessed?</t>
        </is>
      </c>
    </row>
    <row r="139" outlineLevel="1" ht="66.5" customHeight="1">
      <c r="A139" s="190" t="n">
        <v>115</v>
      </c>
      <c r="B139" s="191" t="n">
        <v>4</v>
      </c>
      <c r="C139" s="192" t="inlineStr">
        <is>
          <t>Nghe An: early treatment needed for slope failure on coastal road cut
(English headline translated by Claude · Original: Nghệ An: Cần sớm xử lý sạt lở taluy dương trên tuyến đường ven biển)</t>
        </is>
      </c>
      <c r="D139" s="193" t="inlineStr">
        <is>
          <t>Open article</t>
        </is>
      </c>
      <c r="E139" s="209" t="inlineStr">
        <is>
          <t>Regional insight</t>
        </is>
      </c>
      <c r="F139" s="195">
        <f>IFERROR(INDEX(Stories!$F$4:$F$153,MATCH($A139,Stories!$A$4:$A$153,0))&amp;"","")</f>
        <v/>
      </c>
      <c r="G139" s="196" t="inlineStr">
        <is>
          <t>Vietnam.vn</t>
        </is>
      </c>
      <c r="H139" s="197" t="n">
        <v>46319</v>
      </c>
      <c r="I139" s="196" t="inlineStr">
        <is>
          <t>What causes slope failure in coastal road cuts, and which stabilisation methods are most suitable for weathered coastal soils?</t>
        </is>
      </c>
    </row>
    <row r="140" outlineLevel="1" ht="54" customHeight="1">
      <c r="A140" s="190" t="n">
        <v>51</v>
      </c>
      <c r="B140" s="191" t="n">
        <v>4</v>
      </c>
      <c r="C140" s="192" t="inlineStr">
        <is>
          <t>Quang Tri: severe coastal erosion threatens dykes, embankments and residents' lives.
(English headline translated by Claude · Original: 꽝찌: 심각한 해안 침식으로 인해 제방과 둑, 그리고 주민들의 생명이 위협받고 있습니다.)</t>
        </is>
      </c>
      <c r="D140" s="193" t="inlineStr">
        <is>
          <t>Open article</t>
        </is>
      </c>
      <c r="E140" s="194" t="inlineStr">
        <is>
          <t>Feature lead</t>
        </is>
      </c>
      <c r="F140" s="195">
        <f>IFERROR(INDEX(Stories!$F$4:$F$153,MATCH($A140,Stories!$A$4:$A$153,0))&amp;"","")</f>
        <v/>
      </c>
      <c r="G140" s="196" t="inlineStr">
        <is>
          <t>Vietnam.vn</t>
        </is>
      </c>
      <c r="H140" s="197" t="n">
        <v>46320</v>
      </c>
      <c r="I140" s="196" t="inlineStr">
        <is>
          <t>How can coastal erosion monitoring and erosion-resistant embankment design protect dykes and communities when shoreline retreat accelerates?</t>
        </is>
      </c>
    </row>
    <row r="141" outlineLevel="1" ht="41.5" customHeight="1">
      <c r="A141" s="190" t="n">
        <v>119</v>
      </c>
      <c r="B141" s="191" t="n">
        <v>4</v>
      </c>
      <c r="C141" s="192" t="inlineStr">
        <is>
          <t>Two houses collapse due to Tien River bank erosion
(English headline translated by Claude · Original: Hai căn nhà đổ sập do sạt lở bờ sông Tiền)</t>
        </is>
      </c>
      <c r="D141" s="193" t="inlineStr">
        <is>
          <t>Open article</t>
        </is>
      </c>
      <c r="E141" s="198" t="inlineStr">
        <is>
          <t>News brief</t>
        </is>
      </c>
      <c r="F141" s="195">
        <f>IFERROR(INDEX(Stories!$F$4:$F$153,MATCH($A141,Stories!$A$4:$A$153,0))&amp;"","")</f>
        <v/>
      </c>
      <c r="G141" s="196" t="inlineStr">
        <is>
          <t>VTV.vn</t>
        </is>
      </c>
      <c r="H141" s="197" t="n">
        <v>46319</v>
      </c>
      <c r="I141" s="196" t="inlineStr">
        <is>
          <t>What riverbank erosion processes undermined these houses, and how can bank stability be assessed near settlements?</t>
        </is>
      </c>
    </row>
    <row r="142" outlineLevel="1" ht="66.5" customHeight="1">
      <c r="A142" s="190" t="n">
        <v>17</v>
      </c>
      <c r="B142" s="191" t="n">
        <v>4</v>
      </c>
      <c r="C142" s="192" t="inlineStr">
        <is>
          <t>Fuerte oleaje provoca un socavón y daños en un malecón emblemático de México</t>
        </is>
      </c>
      <c r="D142" s="193" t="inlineStr">
        <is>
          <t>Open article</t>
        </is>
      </c>
      <c r="E142" s="194" t="inlineStr">
        <is>
          <t>Feature lead</t>
        </is>
      </c>
      <c r="F142" s="195">
        <f>IFERROR(INDEX(Stories!$F$4:$F$153,MATCH($A142,Stories!$A$4:$A$153,0))&amp;"","")</f>
        <v/>
      </c>
      <c r="G142" s="196" t="inlineStr">
        <is>
          <t>TV Azteca Jalisco</t>
        </is>
      </c>
      <c r="H142" s="197" t="n">
        <v>46321</v>
      </c>
      <c r="I142" s="196" t="inlineStr">
        <is>
          <t>How do storm waves undermine the backfill behind a seafront promenade wall to create sinkholes, and what coastal protection and geotechnical checks should follow such damage?
Check with: Mazatlán municipal government and Sinaloa civil protection</t>
        </is>
      </c>
    </row>
    <row r="143" outlineLevel="1" ht="66.5" customHeight="1">
      <c r="A143" s="190" t="n">
        <v>18</v>
      </c>
      <c r="B143" s="191" t="n">
        <v>4</v>
      </c>
      <c r="C143" s="192" t="inlineStr">
        <is>
          <t>Inician reparación de socavón provocado por fuerte oleaje junto al Monumento a la Mujer Mazatleca</t>
        </is>
      </c>
      <c r="D143" s="193" t="inlineStr">
        <is>
          <t>Open article</t>
        </is>
      </c>
      <c r="E143" s="209" t="inlineStr">
        <is>
          <t>Regional insight</t>
        </is>
      </c>
      <c r="F143" s="195">
        <f>IFERROR(INDEX(Stories!$F$4:$F$153,MATCH($A143,Stories!$A$4:$A$153,0))&amp;"","")</f>
        <v/>
      </c>
      <c r="G143" s="196" t="inlineStr">
        <is>
          <t>Los Noticieristas</t>
        </is>
      </c>
      <c r="H143" s="197" t="n">
        <v>46321</v>
      </c>
      <c r="I143" s="196" t="inlineStr">
        <is>
          <t>What repair approach suits a wave-undermined seafront structure, and how should designers balance scour protection, backfill compaction and monument stability at the shoreline?
Check with: Mazatlán municipal government</t>
        </is>
      </c>
    </row>
    <row r="144" outlineLevel="1" ht="66.5" customHeight="1">
      <c r="A144" s="190" t="n">
        <v>58</v>
      </c>
      <c r="B144" s="191" t="n">
        <v>4</v>
      </c>
      <c r="C144" s="192" t="inlineStr">
        <is>
          <t>Can Tho to invest over 500 billion dong in dykes against erosion at Cu Lao Dung
(English headline translated by Claude · Original: Cần Thơ đầu tư hơn 500 tỷ đồng xây dựng đê phòng, chống sạt lở ở Cù Lao Dung)</t>
        </is>
      </c>
      <c r="D144" s="193" t="inlineStr">
        <is>
          <t>Open article</t>
        </is>
      </c>
      <c r="E144" s="194" t="inlineStr">
        <is>
          <t>Feature lead</t>
        </is>
      </c>
      <c r="F144" s="195">
        <f>IFERROR(INDEX(Stories!$F$4:$F$153,MATCH($A144,Stories!$A$4:$A$153,0))&amp;"","")</f>
        <v/>
      </c>
      <c r="G144" s="196" t="inlineStr">
        <is>
          <t>Báo Nhân Dân điện tử</t>
        </is>
      </c>
      <c r="H144" s="197" t="n">
        <v>46320</v>
      </c>
      <c r="I144" s="196" t="inlineStr">
        <is>
          <t>How should dyke and bank protection balance erosion control against settlement and stability on soft deltaic soils?</t>
        </is>
      </c>
    </row>
    <row r="145" outlineLevel="1" ht="66.5" customHeight="1">
      <c r="A145" s="190" t="n">
        <v>59</v>
      </c>
      <c r="B145" s="191" t="n">
        <v>4</v>
      </c>
      <c r="C145" s="192" t="inlineStr">
        <is>
          <t>Krong No river erosion in Lam Dong threatens irrigation works and farmland
(English headline translated by Claude · Original: Sạt lở sông Krông Nô tại Lâm Đồng đe dọa công trình thủy lợi và đất canh tác)</t>
        </is>
      </c>
      <c r="D145" s="193" t="inlineStr">
        <is>
          <t>Open article</t>
        </is>
      </c>
      <c r="E145" s="194" t="inlineStr">
        <is>
          <t>Feature lead</t>
        </is>
      </c>
      <c r="F145" s="195">
        <f>IFERROR(INDEX(Stories!$F$4:$F$153,MATCH($A145,Stories!$A$4:$A$153,0))&amp;"","")</f>
        <v/>
      </c>
      <c r="G145" s="196" t="inlineStr">
        <is>
          <t>tin.skydoor.net</t>
        </is>
      </c>
      <c r="H145" s="197" t="n">
        <v>46320</v>
      </c>
      <c r="I145" s="196" t="inlineStr">
        <is>
          <t>How can riverbank erosion be assessed and countered to protect irrigation infrastructure and farmland?</t>
        </is>
      </c>
    </row>
    <row r="146" outlineLevel="1" ht="66.5" customHeight="1">
      <c r="A146" s="190" t="n">
        <v>71</v>
      </c>
      <c r="B146" s="191" t="n">
        <v>4</v>
      </c>
      <c r="C146" s="192" t="inlineStr">
        <is>
          <t>[Land disappearing beneath the sea] Double attack of climate-driven sea-level rise and ground subsidence; global lands vanishing from maps.
(English headline translated by Claude · Original: [국토가 바닷속으로 사라진다] 기후변화 발 해수면 상승·지반 침하의 이중 습격, 지도에서 지워지는 지구촌)</t>
        </is>
      </c>
      <c r="D146" s="193" t="inlineStr">
        <is>
          <t>Open article</t>
        </is>
      </c>
      <c r="E146" s="194" t="inlineStr">
        <is>
          <t>Feature lead</t>
        </is>
      </c>
      <c r="F146" s="195">
        <f>IFERROR(INDEX(Stories!$F$4:$F$153,MATCH($A146,Stories!$A$4:$A$153,0))&amp;"","")</f>
        <v/>
      </c>
      <c r="G146" s="196" t="inlineStr">
        <is>
          <t>AI넷</t>
        </is>
      </c>
      <c r="H146" s="197" t="n">
        <v>46320</v>
      </c>
      <c r="I146" s="196" t="inlineStr">
        <is>
          <t>How do sea-level rise and land subsidence combine to lower coastal ground, and what engineering responses can slow the loss of land?</t>
        </is>
      </c>
    </row>
    <row r="147" outlineLevel="1" ht="66.5" customHeight="1">
      <c r="A147" s="190" t="n">
        <v>131</v>
      </c>
      <c r="B147" s="191" t="n">
        <v>4</v>
      </c>
      <c r="C147" s="192" t="inlineStr">
        <is>
          <t>Concerns over riverbank erosion leading to loss of farmland
(English headline translated by Claude · Original: مخاوف بشأن تآكل ضفاف الأنهار مما يؤدي إلى فقدان الأراضي الزراعية.)</t>
        </is>
      </c>
      <c r="D147" s="193" t="inlineStr">
        <is>
          <t>Open article</t>
        </is>
      </c>
      <c r="E147" s="194" t="inlineStr">
        <is>
          <t>Feature lead</t>
        </is>
      </c>
      <c r="F147" s="195">
        <f>IFERROR(INDEX(Stories!$F$4:$F$153,MATCH($A147,Stories!$A$4:$A$153,0))&amp;"","")</f>
        <v/>
      </c>
      <c r="G147" s="196" t="inlineStr">
        <is>
          <t>Vietnam.vn</t>
        </is>
      </c>
      <c r="H147" s="197" t="n">
        <v>46319</v>
      </c>
      <c r="I147" s="196" t="inlineStr">
        <is>
          <t>What bank erosion mechanisms and protection measures are effective for riverbanks threatening farmland, and how can they be monitored over time?</t>
        </is>
      </c>
    </row>
    <row r="148" outlineLevel="1" ht="66.5" customHeight="1">
      <c r="A148" s="190" t="n">
        <v>132</v>
      </c>
      <c r="B148" s="191" t="n">
        <v>4</v>
      </c>
      <c r="C148" s="192" t="inlineStr">
        <is>
          <t>Quang Tri: Severe sea erosion threatens dykes and residents' livelihoods
(English headline translated by Claude · Original: Quảng Trị: Biển xâm thực nghiêm trọng đe dọa đê kè và đời sống người dân)</t>
        </is>
      </c>
      <c r="D148" s="193" t="inlineStr">
        <is>
          <t>Open article</t>
        </is>
      </c>
      <c r="E148" s="194" t="inlineStr">
        <is>
          <t>Feature lead</t>
        </is>
      </c>
      <c r="F148" s="195">
        <f>IFERROR(INDEX(Stories!$F$4:$F$153,MATCH($A148,Stories!$A$4:$A$153,0))&amp;"","")</f>
        <v/>
      </c>
      <c r="G148" s="196" t="inlineStr">
        <is>
          <t>Người Đưa Tin</t>
        </is>
      </c>
      <c r="H148" s="197" t="n">
        <v>46319</v>
      </c>
      <c r="I148" s="196" t="inlineStr">
        <is>
          <t>How do sea-level-driven erosion and scour undermine sea dyke foundations in Quang Tri, and which revetment and foundation designs suit eroding sandy coastal soils?</t>
        </is>
      </c>
    </row>
    <row r="149" outlineLevel="1" ht="66.5" customHeight="1">
      <c r="A149" s="190" t="n">
        <v>78</v>
      </c>
      <c r="B149" s="191" t="n">
        <v>3</v>
      </c>
      <c r="C149" s="192" t="inlineStr">
        <is>
          <t>Dong Thap province spends 330 billion dong to tackle landslide-hit areas
(English headline translated by Claude · Original: La provincia di Dong Thap spende 330 miliardi di dong vietnamiti per affrontare le zone colpite dalle frane.)</t>
        </is>
      </c>
      <c r="D149" s="193" t="inlineStr">
        <is>
          <t>Open article</t>
        </is>
      </c>
      <c r="E149" s="209" t="inlineStr">
        <is>
          <t>Regional insight</t>
        </is>
      </c>
      <c r="F149" s="195">
        <f>IFERROR(INDEX(Stories!$F$4:$F$153,MATCH($A149,Stories!$A$4:$A$153,0))&amp;"","")</f>
        <v/>
      </c>
      <c r="G149" s="196" t="inlineStr">
        <is>
          <t>Vietnam.vn</t>
        </is>
      </c>
      <c r="H149" s="197" t="n">
        <v>46320</v>
      </c>
      <c r="I149" s="196" t="inlineStr">
        <is>
          <t>How does riverbank failure in the Mekong delta drive the cost and design choice between revetments and managed retreat?</t>
        </is>
      </c>
    </row>
    <row r="150" outlineLevel="1" ht="41.5" customHeight="1">
      <c r="A150" s="190" t="n">
        <v>141</v>
      </c>
      <c r="B150" s="191" t="n">
        <v>3</v>
      </c>
      <c r="C150" s="192" t="inlineStr">
        <is>
          <t>Strong waves on Mazatlán beaches form sinkhole in monument
(English headline translated by Claude · Original: Fuerte oleaje en playas de Mazatlán forma socavón en monumento)</t>
        </is>
      </c>
      <c r="D150" s="193" t="inlineStr">
        <is>
          <t>Open article</t>
        </is>
      </c>
      <c r="E150" s="198" t="inlineStr">
        <is>
          <t>News brief</t>
        </is>
      </c>
      <c r="F150" s="195">
        <f>IFERROR(INDEX(Stories!$F$4:$F$153,MATCH($A150,Stories!$A$4:$A$153,0))&amp;"","")</f>
        <v/>
      </c>
      <c r="G150" s="196" t="inlineStr">
        <is>
          <t>El Universal</t>
        </is>
      </c>
      <c r="H150" s="197" t="n">
        <v>46319</v>
      </c>
      <c r="I150" s="196" t="inlineStr">
        <is>
          <t>How do wave action and beach sand erosion undermine coastal monuments and promenade ground in Mazatlán?</t>
        </is>
      </c>
    </row>
    <row r="151" outlineLevel="1" ht="54" customHeight="1">
      <c r="A151" s="190" t="n">
        <v>85</v>
      </c>
      <c r="B151" s="191" t="n">
        <v>3</v>
      </c>
      <c r="C151" s="192" t="inlineStr">
        <is>
          <t>A section of the Esquina waterfront promenade closed due to subsidence
(English headline translated by Claude · Original: Cerraron un sector de la costanera de Esquina por hundimiento)</t>
        </is>
      </c>
      <c r="D151" s="193" t="inlineStr">
        <is>
          <t>Open article</t>
        </is>
      </c>
      <c r="E151" s="198" t="inlineStr">
        <is>
          <t>News brief</t>
        </is>
      </c>
      <c r="F151" s="195">
        <f>IFERROR(INDEX(Stories!$F$4:$F$153,MATCH($A151,Stories!$A$4:$A$153,0))&amp;"","")</f>
        <v/>
      </c>
      <c r="G151" s="196" t="inlineStr">
        <is>
          <t>Diario 1588</t>
        </is>
      </c>
      <c r="H151" s="197" t="n">
        <v>46320</v>
      </c>
      <c r="I151" s="196" t="inlineStr">
        <is>
          <t>What causes subsidence along a riverfront promenade, and what ground investigation would identify the weak or eroded soils behind it?</t>
        </is>
      </c>
    </row>
    <row r="152" outlineLevel="1" ht="54" customHeight="1">
      <c r="A152" s="190" t="n">
        <v>86</v>
      </c>
      <c r="B152" s="191" t="n">
        <v>3</v>
      </c>
      <c r="C152" s="192" t="inlineStr">
        <is>
          <t>Experts from Hong Kong propose solutions to counter sea-level rise in Vietnam
(English headline translated by Claude · Original: 来自中国香港的专家为应对越南海平面上升提出了解决方案。)</t>
        </is>
      </c>
      <c r="D152" s="193" t="inlineStr">
        <is>
          <t>Open article</t>
        </is>
      </c>
      <c r="E152" s="209" t="inlineStr">
        <is>
          <t>Regional insight</t>
        </is>
      </c>
      <c r="F152" s="195">
        <f>IFERROR(INDEX(Stories!$F$4:$F$153,MATCH($A152,Stories!$A$4:$A$153,0))&amp;"","")</f>
        <v/>
      </c>
      <c r="G152" s="196" t="inlineStr">
        <is>
          <t>Vietnam.vn</t>
        </is>
      </c>
      <c r="H152" s="197" t="n">
        <v>46320</v>
      </c>
      <c r="I152" s="196" t="inlineStr">
        <is>
          <t>Which ground-engineering measures, such as seawalls and soft-soil improvement, best protect low-lying deltas and coasts facing sea-level rise and subsidence?</t>
        </is>
      </c>
    </row>
    <row r="153" outlineLevel="1" ht="41.5" customHeight="1">
      <c r="A153" s="190" t="n">
        <v>149</v>
      </c>
      <c r="B153" s="191" t="n">
        <v>3</v>
      </c>
      <c r="C153" s="192" t="inlineStr">
        <is>
          <t>Cerraron un sector de la costanera de una ciudad correntina por hundimiento</t>
        </is>
      </c>
      <c r="D153" s="193" t="inlineStr">
        <is>
          <t>Open article</t>
        </is>
      </c>
      <c r="E153" s="198" t="inlineStr">
        <is>
          <t>News brief</t>
        </is>
      </c>
      <c r="F153" s="195">
        <f>IFERROR(INDEX(Stories!$F$4:$F$153,MATCH($A153,Stories!$A$4:$A$153,0))&amp;"","")</f>
        <v/>
      </c>
      <c r="G153" s="196" t="inlineStr">
        <is>
          <t>El Litoral | Novedades de Corrientes</t>
        </is>
      </c>
      <c r="H153" s="197" t="n">
        <v>46319</v>
      </c>
      <c r="I153" s="196" t="inlineStr">
        <is>
          <t>What causes subsidence along a riverfront promenade in Corrientes, and how should ground investigation guide repair of the costanera?</t>
        </is>
      </c>
    </row>
    <row r="154" outlineLevel="1" ht="41.5" customHeight="1">
      <c r="A154" s="190" t="n">
        <v>150</v>
      </c>
      <c r="B154" s="191" t="n">
        <v>3</v>
      </c>
      <c r="C154" s="192" t="inlineStr">
        <is>
          <t>Inician rehabilitación tras hundimiento de losa en el Malecón Costero de Coatzacoalcos</t>
        </is>
      </c>
      <c r="D154" s="193" t="inlineStr">
        <is>
          <t>Open article</t>
        </is>
      </c>
      <c r="E154" s="198" t="inlineStr">
        <is>
          <t>News brief</t>
        </is>
      </c>
      <c r="F154" s="195">
        <f>IFERROR(INDEX(Stories!$F$4:$F$153,MATCH($A154,Stories!$A$4:$A$153,0))&amp;"","")</f>
        <v/>
      </c>
      <c r="G154" s="196" t="inlineStr">
        <is>
          <t>:: Foro Coatza ::</t>
        </is>
      </c>
      <c r="H154" s="197" t="n">
        <v>46319</v>
      </c>
      <c r="I154" s="196" t="inlineStr">
        <is>
          <t>What causes slab sinking on a coastal promenade exposed to waves, and what foundation and drainage remedies are appropriate?</t>
        </is>
      </c>
    </row>
    <row r="155" outlineLevel="1" ht="10" customHeight="1"/>
    <row r="156" ht="26" customHeight="1">
      <c r="A156" s="222" t="inlineStr">
        <is>
          <t>Characterisation &amp; Modelling   ·   9 stories   ·   0 rated 5 / 5   ·   6 feature leads</t>
        </is>
      </c>
      <c r="B156" s="223" t="n"/>
      <c r="C156" s="223" t="n"/>
      <c r="D156" s="223" t="n"/>
      <c r="E156" s="223" t="n"/>
      <c r="F156" s="223" t="n"/>
      <c r="G156" s="223" t="n"/>
      <c r="H156" s="223" t="n"/>
      <c r="I156" s="223" t="n"/>
    </row>
    <row r="157" outlineLevel="1">
      <c r="A157" s="224" t="inlineStr">
        <is>
          <t>No.</t>
        </is>
      </c>
      <c r="B157" s="224" t="inlineStr">
        <is>
          <t>Relevance</t>
        </is>
      </c>
      <c r="C157" s="225" t="inlineStr">
        <is>
          <t>Headline</t>
        </is>
      </c>
      <c r="D157" s="224" t="inlineStr">
        <is>
          <t>Link</t>
        </is>
      </c>
      <c r="E157" s="225" t="inlineStr">
        <is>
          <t>Suggested use</t>
        </is>
      </c>
      <c r="F157" s="224" t="inlineStr">
        <is>
          <t>Status</t>
        </is>
      </c>
      <c r="G157" s="225" t="inlineStr">
        <is>
          <t>Source</t>
        </is>
      </c>
      <c r="H157" s="224" t="inlineStr">
        <is>
          <t>Digest</t>
        </is>
      </c>
      <c r="I157" s="225" t="inlineStr">
        <is>
          <t>Magazine angle · check with</t>
        </is>
      </c>
    </row>
    <row r="158" outlineLevel="1" ht="54" customHeight="1">
      <c r="A158" s="190" t="n">
        <v>54</v>
      </c>
      <c r="B158" s="191" t="n">
        <v>4</v>
      </c>
      <c r="C158" s="192" t="inlineStr">
        <is>
          <t>Close-up of giant 120 m deep sinkhole just discovered in Phong Nha-Ke Bang
(English headline translated by Claude · Original: 퐁냐케방에서 방금 발견된 깊이 120m의 거대한 싱크홀 근접 촬영)</t>
        </is>
      </c>
      <c r="D158" s="193" t="inlineStr">
        <is>
          <t>Open article</t>
        </is>
      </c>
      <c r="E158" s="194" t="inlineStr">
        <is>
          <t>Feature lead</t>
        </is>
      </c>
      <c r="F158" s="195">
        <f>IFERROR(INDEX(Stories!$F$4:$F$153,MATCH($A158,Stories!$A$4:$A$153,0))&amp;"","")</f>
        <v/>
      </c>
      <c r="G158" s="196" t="inlineStr">
        <is>
          <t>Laodong.vn</t>
        </is>
      </c>
      <c r="H158" s="197" t="n">
        <v>46320</v>
      </c>
      <c r="I158" s="196" t="inlineStr">
        <is>
          <t>How are very deep karst sinkholes investigated, and what does their formation reveal about hazards around cave systems?</t>
        </is>
      </c>
    </row>
    <row r="159" outlineLevel="1" ht="54" customHeight="1">
      <c r="A159" s="190" t="n">
        <v>57</v>
      </c>
      <c r="B159" s="191" t="n">
        <v>4</v>
      </c>
      <c r="C159" s="192" t="inlineStr">
        <is>
          <t>120 m deep sinkhole containing primeval forest discovered in Phong Nha-Ke Bang area
(English headline translated by Claude · Original: 퐁냐-케방 지역에서 원시림이 포함된 깊이 120미터의 싱크홀이 발견되었습니다.)</t>
        </is>
      </c>
      <c r="D159" s="193" t="inlineStr">
        <is>
          <t>Open article</t>
        </is>
      </c>
      <c r="E159" s="194" t="inlineStr">
        <is>
          <t>Feature lead</t>
        </is>
      </c>
      <c r="F159" s="195">
        <f>IFERROR(INDEX(Stories!$F$4:$F$153,MATCH($A159,Stories!$A$4:$A$153,0))&amp;"","")</f>
        <v/>
      </c>
      <c r="G159" s="196" t="inlineStr">
        <is>
          <t>Vietnam.vn</t>
        </is>
      </c>
      <c r="H159" s="197" t="n">
        <v>46320</v>
      </c>
      <c r="I159" s="196" t="inlineStr">
        <is>
          <t>How are very deep karst sinkholes investigated, and what does their formation reveal about hazards around cave systems?</t>
        </is>
      </c>
    </row>
    <row r="160" outlineLevel="1" ht="41.5" customHeight="1">
      <c r="A160" s="190" t="n">
        <v>121</v>
      </c>
      <c r="B160" s="191" t="n">
        <v>4</v>
      </c>
      <c r="C160" s="192" t="inlineStr">
        <is>
          <t>Se ha descubierto un socavón del tamaño de casi tres campos de fútbol en Phong Nha Ke Bang.</t>
        </is>
      </c>
      <c r="D160" s="193" t="inlineStr">
        <is>
          <t>Open article</t>
        </is>
      </c>
      <c r="E160" s="194" t="inlineStr">
        <is>
          <t>Feature lead</t>
        </is>
      </c>
      <c r="F160" s="195">
        <f>IFERROR(INDEX(Stories!$F$4:$F$153,MATCH($A160,Stories!$A$4:$A$153,0))&amp;"","")</f>
        <v/>
      </c>
      <c r="G160" s="196" t="inlineStr">
        <is>
          <t>Vietnam.vn</t>
        </is>
      </c>
      <c r="H160" s="197" t="n">
        <v>46319</v>
      </c>
      <c r="I160" s="196" t="inlineStr">
        <is>
          <t>How do karst dissolution and roof collapse produce giant dolines like the one in Phong Nha Ke Bang, and how can such cavities be characterised?</t>
        </is>
      </c>
    </row>
    <row r="161" outlineLevel="1" ht="41.5" customHeight="1">
      <c r="A161" s="190" t="n">
        <v>123</v>
      </c>
      <c r="B161" s="191" t="n">
        <v>4</v>
      </c>
      <c r="C161" s="192" t="inlineStr">
        <is>
          <t>Vista de cerca del gigantesco socavón de 120 metros de profundidad descubierto recientemente en Vietnam.</t>
        </is>
      </c>
      <c r="D161" s="193" t="inlineStr">
        <is>
          <t>Open article</t>
        </is>
      </c>
      <c r="E161" s="194" t="inlineStr">
        <is>
          <t>Feature lead</t>
        </is>
      </c>
      <c r="F161" s="195">
        <f>IFERROR(INDEX(Stories!$F$4:$F$153,MATCH($A161,Stories!$A$4:$A$153,0))&amp;"","")</f>
        <v/>
      </c>
      <c r="G161" s="196" t="inlineStr">
        <is>
          <t>Vietnam.vn</t>
        </is>
      </c>
      <c r="H161" s="197" t="n">
        <v>46319</v>
      </c>
      <c r="I161" s="196" t="inlineStr">
        <is>
          <t>Which geomorphological and hydrogeological processes produced a 120 m deep collapse, and how can the stability of its steep walls be assessed?</t>
        </is>
      </c>
    </row>
    <row r="162" outlineLevel="1" ht="41.5" customHeight="1">
      <c r="A162" s="190" t="n">
        <v>124</v>
      </c>
      <c r="B162" s="191" t="n">
        <v>4</v>
      </c>
      <c r="C162" s="192" t="inlineStr">
        <is>
          <t>Primeval forest grows at bottom of 120-meter-deep sinkhole in central Vietnam</t>
        </is>
      </c>
      <c r="D162" s="193" t="inlineStr">
        <is>
          <t>Open article</t>
        </is>
      </c>
      <c r="E162" s="194" t="inlineStr">
        <is>
          <t>Feature lead</t>
        </is>
      </c>
      <c r="F162" s="195">
        <f>IFERROR(INDEX(Stories!$F$4:$F$153,MATCH($A162,Stories!$A$4:$A$153,0))&amp;"","")</f>
        <v/>
      </c>
      <c r="G162" s="196" t="inlineStr">
        <is>
          <t>VnExpress International</t>
        </is>
      </c>
      <c r="H162" s="197" t="n">
        <v>46319</v>
      </c>
      <c r="I162" s="196" t="inlineStr">
        <is>
          <t>How do karst collapse sinkholes form in limestone terrain, and what do such deep features reveal about cave ground stability and hazard mapping?</t>
        </is>
      </c>
    </row>
    <row r="163" outlineLevel="1" ht="66.5" customHeight="1">
      <c r="A163" s="190" t="n">
        <v>129</v>
      </c>
      <c r="B163" s="191" t="n">
        <v>4</v>
      </c>
      <c r="C163" s="192" t="inlineStr">
        <is>
          <t>What lies inside the hole over two hectares wide in the middle of Phong Nha-Ke Bang forest?
(English headline translated by Claude · Original: ما الذي يوجد داخل الحفرة التي تزيد مساحتها عن هكتارين في وسط غابة فونغ نها - كي بانغ؟)</t>
        </is>
      </c>
      <c r="D163" s="193" t="inlineStr">
        <is>
          <t>Open article</t>
        </is>
      </c>
      <c r="E163" s="194" t="inlineStr">
        <is>
          <t>Feature lead</t>
        </is>
      </c>
      <c r="F163" s="195">
        <f>IFERROR(INDEX(Stories!$F$4:$F$153,MATCH($A163,Stories!$A$4:$A$153,0))&amp;"","")</f>
        <v/>
      </c>
      <c r="G163" s="196" t="inlineStr">
        <is>
          <t>Vietnam.vn</t>
        </is>
      </c>
      <c r="H163" s="197" t="n">
        <v>46319</v>
      </c>
      <c r="I163" s="196" t="inlineStr">
        <is>
          <t>What karst processes, such as collapse or dissolution, could create a large sinkhole of over two hectares in a tropical forest, and how should it be investigated and monitored?</t>
        </is>
      </c>
    </row>
    <row r="164" outlineLevel="1" ht="66.5" customHeight="1">
      <c r="A164" s="190" t="n">
        <v>130</v>
      </c>
      <c r="B164" s="191" t="n">
        <v>4</v>
      </c>
      <c r="C164" s="192" t="inlineStr">
        <is>
          <t>Analytical study of 3D transient dynamic response of a cylindrical cavity in an elastic medium under triangular pulse load.
(English headline translated by Claude · Original: 弹性介质中圆柱形空腔受三角形脉冲冲击载荷的三维瞬态动力响应解析研究)</t>
        </is>
      </c>
      <c r="D164" s="193" t="inlineStr">
        <is>
          <t>Open article</t>
        </is>
      </c>
      <c r="E164" s="199" t="inlineStr">
        <is>
          <t>Academia-to-Industry topic</t>
        </is>
      </c>
      <c r="F164" s="195">
        <f>IFERROR(INDEX(Stories!$F$4:$F$153,MATCH($A164,Stories!$A$4:$A$153,0))&amp;"","")</f>
        <v/>
      </c>
      <c r="G164" s="196" t="inlineStr">
        <is>
          <t>生物通</t>
        </is>
      </c>
      <c r="H164" s="197" t="n">
        <v>46319</v>
      </c>
      <c r="I164" s="196" t="inlineStr">
        <is>
          <t>How do analytical solutions for a cylindrical cavity under triangular pulse loads inform the validation of numerical models for underground openings under impact?</t>
        </is>
      </c>
    </row>
    <row r="165" outlineLevel="1" ht="66.5" customHeight="1">
      <c r="A165" s="190" t="n">
        <v>139</v>
      </c>
      <c r="B165" s="191" t="n">
        <v>3</v>
      </c>
      <c r="C165" s="192" t="inlineStr">
        <is>
          <t>Minvu advances 121 housing support cases in Villa El Mirador, Arauco, and prepares soil study
(English headline translated by Claude · Original: Minvu avanza en 121 casos de apoyo habitacional en la Villa El Mirador de Arauco y prepara estudio de suelos)</t>
        </is>
      </c>
      <c r="D165" s="193" t="inlineStr">
        <is>
          <t>Open article</t>
        </is>
      </c>
      <c r="E165" s="198" t="inlineStr">
        <is>
          <t>News brief</t>
        </is>
      </c>
      <c r="F165" s="195">
        <f>IFERROR(INDEX(Stories!$F$4:$F$153,MATCH($A165,Stories!$A$4:$A$153,0))&amp;"","")</f>
        <v/>
      </c>
      <c r="G165" s="196" t="inlineStr">
        <is>
          <t>Trade-news.cl</t>
        </is>
      </c>
      <c r="H165" s="197" t="n">
        <v>46319</v>
      </c>
      <c r="I165" s="196" t="inlineStr">
        <is>
          <t>What soil investigation is needed before housing support works on this site, and how should ground conditions shape foundation choice?</t>
        </is>
      </c>
    </row>
    <row r="166" outlineLevel="1" ht="41.5" customHeight="1">
      <c r="A166" s="190" t="n">
        <v>77</v>
      </c>
      <c r="B166" s="191" t="n">
        <v>3</v>
      </c>
      <c r="C166" s="192" t="inlineStr">
        <is>
          <t>Exploring Phong Nha-Ke Bang’s famous sinkholes</t>
        </is>
      </c>
      <c r="D166" s="193" t="inlineStr">
        <is>
          <t>Open article</t>
        </is>
      </c>
      <c r="E166" s="209" t="inlineStr">
        <is>
          <t>Regional insight</t>
        </is>
      </c>
      <c r="F166" s="195">
        <f>IFERROR(INDEX(Stories!$F$4:$F$153,MATCH($A166,Stories!$A$4:$A$153,0))&amp;"","")</f>
        <v/>
      </c>
      <c r="G166" s="196" t="inlineStr">
        <is>
          <t>DTiNews</t>
        </is>
      </c>
      <c r="H166" s="197" t="n">
        <v>46320</v>
      </c>
      <c r="I166" s="196" t="inlineStr">
        <is>
          <t>How can karst cave systems and sinkhole susceptibility be mapped and characterised in tropical limestone terrain for tourism and infrastructure?</t>
        </is>
      </c>
    </row>
    <row r="167" outlineLevel="1" ht="10" customHeight="1"/>
    <row r="168" ht="26" customHeight="1">
      <c r="A168" s="226" t="inlineStr">
        <is>
          <t>Geotechnics &amp; Society   ·   7 stories   ·   0 rated 5 / 5   ·   2 feature leads</t>
        </is>
      </c>
      <c r="B168" s="227" t="n"/>
      <c r="C168" s="227" t="n"/>
      <c r="D168" s="227" t="n"/>
      <c r="E168" s="227" t="n"/>
      <c r="F168" s="227" t="n"/>
      <c r="G168" s="227" t="n"/>
      <c r="H168" s="227" t="n"/>
      <c r="I168" s="227" t="n"/>
    </row>
    <row r="169" outlineLevel="1">
      <c r="A169" s="228" t="inlineStr">
        <is>
          <t>No.</t>
        </is>
      </c>
      <c r="B169" s="228" t="inlineStr">
        <is>
          <t>Relevance</t>
        </is>
      </c>
      <c r="C169" s="229" t="inlineStr">
        <is>
          <t>Headline</t>
        </is>
      </c>
      <c r="D169" s="228" t="inlineStr">
        <is>
          <t>Link</t>
        </is>
      </c>
      <c r="E169" s="229" t="inlineStr">
        <is>
          <t>Suggested use</t>
        </is>
      </c>
      <c r="F169" s="228" t="inlineStr">
        <is>
          <t>Status</t>
        </is>
      </c>
      <c r="G169" s="229" t="inlineStr">
        <is>
          <t>Source</t>
        </is>
      </c>
      <c r="H169" s="228" t="inlineStr">
        <is>
          <t>Digest</t>
        </is>
      </c>
      <c r="I169" s="229" t="inlineStr">
        <is>
          <t>Magazine angle · check with</t>
        </is>
      </c>
    </row>
    <row r="170" outlineLevel="1" ht="66.5" customHeight="1">
      <c r="A170" s="190" t="n">
        <v>122</v>
      </c>
      <c r="B170" s="191" t="n">
        <v>4</v>
      </c>
      <c r="C170" s="192" t="inlineStr">
        <is>
          <t>CEDH finds negligence by Guasave municipality in death of teacher who fell into sinkhole
(English headline translated by Claude · Original: CEDH acredita negligencia del Ayuntamiento de Guasave por muerte de profesor que cayó en socavón)</t>
        </is>
      </c>
      <c r="D170" s="193" t="inlineStr">
        <is>
          <t>Open article</t>
        </is>
      </c>
      <c r="E170" s="194" t="inlineStr">
        <is>
          <t>Feature lead</t>
        </is>
      </c>
      <c r="F170" s="195">
        <f>IFERROR(INDEX(Stories!$F$4:$F$153,MATCH($A170,Stories!$A$4:$A$153,0))&amp;"","")</f>
        <v/>
      </c>
      <c r="G170" s="196" t="inlineStr">
        <is>
          <t>www.noroeste.com.mx</t>
        </is>
      </c>
      <c r="H170" s="197" t="n">
        <v>46319</v>
      </c>
      <c r="I170" s="196" t="inlineStr">
        <is>
          <t>What duty of care should municipalities meet in managing known ground-collapse hazards in urban areas, as the Guasave case suggests?</t>
        </is>
      </c>
    </row>
    <row r="171" outlineLevel="1" ht="66.5" customHeight="1">
      <c r="A171" s="190" t="n">
        <v>30</v>
      </c>
      <c r="B171" s="191" t="n">
        <v>3</v>
      </c>
      <c r="C171" s="192" t="inlineStr">
        <is>
          <t>Concentrer les ressources sur le relogement des personnes vivant dans les zones à risque de glissements de terrain.</t>
        </is>
      </c>
      <c r="D171" s="193" t="inlineStr">
        <is>
          <t>Open article</t>
        </is>
      </c>
      <c r="E171" s="194" t="inlineStr">
        <is>
          <t>Feature lead</t>
        </is>
      </c>
      <c r="F171" s="195">
        <f>IFERROR(INDEX(Stories!$F$4:$F$153,MATCH($A171,Stories!$A$4:$A$153,0))&amp;"","")</f>
        <v/>
      </c>
      <c r="G171" s="196" t="inlineStr">
        <is>
          <t>Vietnam.vn</t>
        </is>
      </c>
      <c r="H171" s="197" t="n">
        <v>46321</v>
      </c>
      <c r="I171" s="196" t="inlineStr">
        <is>
          <t>How should relocation programmes for households in landslide-prone zones be prioritised using ground hazard evidence?
Check with: Vietnam's ministry responsible for disaster prevention</t>
        </is>
      </c>
    </row>
    <row r="172" outlineLevel="1" ht="41.5" customHeight="1">
      <c r="A172" s="190" t="n">
        <v>75</v>
      </c>
      <c r="B172" s="191" t="n">
        <v>3</v>
      </c>
      <c r="C172" s="192" t="inlineStr">
        <is>
          <t>SAM demands answers over fatal Penang landslide which killed doctor</t>
        </is>
      </c>
      <c r="D172" s="193" t="inlineStr">
        <is>
          <t>Open article</t>
        </is>
      </c>
      <c r="E172" s="198" t="inlineStr">
        <is>
          <t>News brief</t>
        </is>
      </c>
      <c r="F172" s="195">
        <f>IFERROR(INDEX(Stories!$F$4:$F$153,MATCH($A172,Stories!$A$4:$A$153,0))&amp;"","")</f>
        <v/>
      </c>
      <c r="G172" s="196" t="inlineStr">
        <is>
          <t>NST Online</t>
        </is>
      </c>
      <c r="H172" s="197" t="n">
        <v>46320</v>
      </c>
      <c r="I172" s="196" t="inlineStr">
        <is>
          <t>What accountability and slope regulation gaps are revealed after a fatal landslide in a hillside urban area?</t>
        </is>
      </c>
    </row>
    <row r="173" outlineLevel="1" ht="66.5" customHeight="1">
      <c r="A173" s="190" t="n">
        <v>76</v>
      </c>
      <c r="B173" s="191" t="n">
        <v>3</v>
      </c>
      <c r="C173" s="192" t="inlineStr">
        <is>
          <t>'The 1956 Landslide and the Church of San Pietro': photographic exhibition extended
(English headline translated by Claude · Original: "La Frana del 1956 e la Chiesa di San Pietro", prorogata la mostra fotografica)</t>
        </is>
      </c>
      <c r="D173" s="193" t="inlineStr">
        <is>
          <t>Open article</t>
        </is>
      </c>
      <c r="E173" s="204" t="inlineStr">
        <is>
          <t>Watch only</t>
        </is>
      </c>
      <c r="F173" s="195">
        <f>IFERROR(INDEX(Stories!$F$4:$F$153,MATCH($A173,Stories!$A$4:$A$153,0))&amp;"","")</f>
        <v/>
      </c>
      <c r="G173" s="196" t="inlineStr">
        <is>
          <t>Trigno.net</t>
        </is>
      </c>
      <c r="H173" s="197" t="n">
        <v>46320</v>
      </c>
      <c r="I173" s="196" t="inlineStr">
        <is>
          <t>How did the 1956 landslide shape settlement decisions and church site safety, and what does that history teach about landslide memory?</t>
        </is>
      </c>
    </row>
    <row r="174" outlineLevel="1" ht="66.5" customHeight="1">
      <c r="A174" s="190" t="n">
        <v>140</v>
      </c>
      <c r="B174" s="191" t="n">
        <v>3</v>
      </c>
      <c r="C174" s="192" t="inlineStr">
        <is>
          <t>Body of miner trapped in a tunnel collapse in Gámeza recovered
(English headline translated by Claude · Original: Rescatan el cuerpo sin vida del minero que había quedado atrapado en un socavón en Gámeza)</t>
        </is>
      </c>
      <c r="D174" s="193" t="inlineStr">
        <is>
          <t>Open article</t>
        </is>
      </c>
      <c r="E174" s="198" t="inlineStr">
        <is>
          <t>News brief</t>
        </is>
      </c>
      <c r="F174" s="195">
        <f>IFERROR(INDEX(Stories!$F$4:$F$153,MATCH($A174,Stories!$A$4:$A$153,0))&amp;"","")</f>
        <v/>
      </c>
      <c r="G174" s="196" t="inlineStr">
        <is>
          <t>Boyacá 7 Días</t>
        </is>
      </c>
      <c r="H174" s="197" t="n">
        <v>46319</v>
      </c>
      <c r="I174" s="196" t="inlineStr">
        <is>
          <t>What ground and support conditions lead to tunnel collapses in small mines, and how can rescue operations account for ground instability?</t>
        </is>
      </c>
    </row>
    <row r="175" outlineLevel="1" ht="66.5" customHeight="1">
      <c r="A175" s="190" t="n">
        <v>147</v>
      </c>
      <c r="B175" s="191" t="n">
        <v>3</v>
      </c>
      <c r="C175" s="192" t="inlineStr">
        <is>
          <t>Gia Lai province People's Committee chairman discusses proposal to level Mot Mountain.
(English headline translated by Claude · Original: رئيس اللجنة الشعبية لمقاطعة جيا لاي يتحدث عن اقتراح تسوية جبل موت.)</t>
        </is>
      </c>
      <c r="D175" s="193" t="inlineStr">
        <is>
          <t>Open article</t>
        </is>
      </c>
      <c r="E175" s="209" t="inlineStr">
        <is>
          <t>Regional insight</t>
        </is>
      </c>
      <c r="F175" s="195">
        <f>IFERROR(INDEX(Stories!$F$4:$F$153,MATCH($A175,Stories!$A$4:$A$153,0))&amp;"","")</f>
        <v/>
      </c>
      <c r="G175" s="196" t="inlineStr">
        <is>
          <t>Vietnam.vn</t>
        </is>
      </c>
      <c r="H175" s="197" t="n">
        <v>46319</v>
      </c>
      <c r="I175" s="196" t="inlineStr">
        <is>
          <t>What are the geotechnical feasibility issues of levelling a hill, including rock quality, slope excavation and stability, compared with preservation?</t>
        </is>
      </c>
    </row>
    <row r="176" outlineLevel="1" ht="66.5" customHeight="1">
      <c r="A176" s="190" t="n">
        <v>148</v>
      </c>
      <c r="B176" s="191" t="n">
        <v>3</v>
      </c>
      <c r="C176" s="192" t="inlineStr">
        <is>
          <t>What are the options for Mot Mountain in Quy Nhon: level it or preserve the historic site?
(English headline translated by Claude · Original: Quais são as opções para o Monte Mot em Quy Nhon: nivelá-lo ou preservar o sítio histórico?)</t>
        </is>
      </c>
      <c r="D176" s="193" t="inlineStr">
        <is>
          <t>Open article</t>
        </is>
      </c>
      <c r="E176" s="209" t="inlineStr">
        <is>
          <t>Regional insight</t>
        </is>
      </c>
      <c r="F176" s="195">
        <f>IFERROR(INDEX(Stories!$F$4:$F$153,MATCH($A176,Stories!$A$4:$A$153,0))&amp;"","")</f>
        <v/>
      </c>
      <c r="G176" s="196" t="inlineStr">
        <is>
          <t>Vietnam.vn</t>
        </is>
      </c>
      <c r="H176" s="197" t="n">
        <v>46319</v>
      </c>
      <c r="I176" s="196" t="inlineStr">
        <is>
          <t>What geotechnical assessments would be needed to compare levelling Mot Mountain with conserving its historic site, including rock stability and foundation implications?</t>
        </is>
      </c>
    </row>
    <row r="177" outlineLevel="1" ht="10" customHeight="1"/>
  </sheetData>
  <mergeCells count="8">
    <mergeCell ref="A156:I156"/>
    <mergeCell ref="A19:I19"/>
    <mergeCell ref="A11:I11"/>
    <mergeCell ref="A75:I75"/>
    <mergeCell ref="A133:I133"/>
    <mergeCell ref="A80:I80"/>
    <mergeCell ref="A168:I168"/>
    <mergeCell ref="A4:I4"/>
  </mergeCells>
  <conditionalFormatting sqref="B6:B9">
    <cfRule type="cellIs" priority="1" operator="equal" dxfId="10">
      <formula>5</formula>
    </cfRule>
    <cfRule type="cellIs" priority="2" operator="equal" dxfId="11">
      <formula>4</formula>
    </cfRule>
    <cfRule type="cellIs" priority="3" operator="equal" dxfId="12">
      <formula>3</formula>
    </cfRule>
    <cfRule type="cellIs" priority="4" operator="equal" dxfId="13">
      <formula>2</formula>
    </cfRule>
    <cfRule type="cellIs" priority="5" operator="equal" dxfId="14">
      <formula>1</formula>
    </cfRule>
    <cfRule type="cellIs" priority="6" operator="equal" dxfId="15">
      <formula>0</formula>
    </cfRule>
  </conditionalFormatting>
  <conditionalFormatting sqref="F6:F9">
    <cfRule type="cellIs" priority="7" operator="equal" dxfId="16">
      <formula>"To review"</formula>
    </cfRule>
    <cfRule type="cellIs" priority="8" operator="equal" dxfId="17">
      <formula>"Shortlisted"</formula>
    </cfRule>
    <cfRule type="cellIs" priority="9" operator="equal" dxfId="18">
      <formula>"Commissioned"</formula>
    </cfRule>
    <cfRule type="cellIs" priority="10" operator="equal" dxfId="19">
      <formula>"Published"</formula>
    </cfRule>
    <cfRule type="cellIs" priority="11" operator="equal" dxfId="20">
      <formula>"Not used"</formula>
    </cfRule>
  </conditionalFormatting>
  <conditionalFormatting sqref="B13:B17">
    <cfRule type="cellIs" priority="12" operator="equal" dxfId="10">
      <formula>5</formula>
    </cfRule>
    <cfRule type="cellIs" priority="13" operator="equal" dxfId="11">
      <formula>4</formula>
    </cfRule>
    <cfRule type="cellIs" priority="14" operator="equal" dxfId="12">
      <formula>3</formula>
    </cfRule>
    <cfRule type="cellIs" priority="15" operator="equal" dxfId="13">
      <formula>2</formula>
    </cfRule>
    <cfRule type="cellIs" priority="16" operator="equal" dxfId="14">
      <formula>1</formula>
    </cfRule>
    <cfRule type="cellIs" priority="17" operator="equal" dxfId="15">
      <formula>0</formula>
    </cfRule>
  </conditionalFormatting>
  <conditionalFormatting sqref="F13:F17">
    <cfRule type="cellIs" priority="18" operator="equal" dxfId="16">
      <formula>"To review"</formula>
    </cfRule>
    <cfRule type="cellIs" priority="19" operator="equal" dxfId="17">
      <formula>"Shortlisted"</formula>
    </cfRule>
    <cfRule type="cellIs" priority="20" operator="equal" dxfId="18">
      <formula>"Commissioned"</formula>
    </cfRule>
    <cfRule type="cellIs" priority="21" operator="equal" dxfId="19">
      <formula>"Published"</formula>
    </cfRule>
    <cfRule type="cellIs" priority="22" operator="equal" dxfId="20">
      <formula>"Not used"</formula>
    </cfRule>
  </conditionalFormatting>
  <conditionalFormatting sqref="B21:B73">
    <cfRule type="cellIs" priority="23" operator="equal" dxfId="10">
      <formula>5</formula>
    </cfRule>
    <cfRule type="cellIs" priority="24" operator="equal" dxfId="11">
      <formula>4</formula>
    </cfRule>
    <cfRule type="cellIs" priority="25" operator="equal" dxfId="12">
      <formula>3</formula>
    </cfRule>
    <cfRule type="cellIs" priority="26" operator="equal" dxfId="13">
      <formula>2</formula>
    </cfRule>
    <cfRule type="cellIs" priority="27" operator="equal" dxfId="14">
      <formula>1</formula>
    </cfRule>
    <cfRule type="cellIs" priority="28" operator="equal" dxfId="15">
      <formula>0</formula>
    </cfRule>
  </conditionalFormatting>
  <conditionalFormatting sqref="F21:F73">
    <cfRule type="cellIs" priority="29" operator="equal" dxfId="16">
      <formula>"To review"</formula>
    </cfRule>
    <cfRule type="cellIs" priority="30" operator="equal" dxfId="17">
      <formula>"Shortlisted"</formula>
    </cfRule>
    <cfRule type="cellIs" priority="31" operator="equal" dxfId="18">
      <formula>"Commissioned"</formula>
    </cfRule>
    <cfRule type="cellIs" priority="32" operator="equal" dxfId="19">
      <formula>"Published"</formula>
    </cfRule>
    <cfRule type="cellIs" priority="33" operator="equal" dxfId="20">
      <formula>"Not used"</formula>
    </cfRule>
  </conditionalFormatting>
  <conditionalFormatting sqref="B77:B78">
    <cfRule type="cellIs" priority="34" operator="equal" dxfId="10">
      <formula>5</formula>
    </cfRule>
    <cfRule type="cellIs" priority="35" operator="equal" dxfId="11">
      <formula>4</formula>
    </cfRule>
    <cfRule type="cellIs" priority="36" operator="equal" dxfId="12">
      <formula>3</formula>
    </cfRule>
    <cfRule type="cellIs" priority="37" operator="equal" dxfId="13">
      <formula>2</formula>
    </cfRule>
    <cfRule type="cellIs" priority="38" operator="equal" dxfId="14">
      <formula>1</formula>
    </cfRule>
    <cfRule type="cellIs" priority="39" operator="equal" dxfId="15">
      <formula>0</formula>
    </cfRule>
  </conditionalFormatting>
  <conditionalFormatting sqref="F77:F78">
    <cfRule type="cellIs" priority="40" operator="equal" dxfId="16">
      <formula>"To review"</formula>
    </cfRule>
    <cfRule type="cellIs" priority="41" operator="equal" dxfId="17">
      <formula>"Shortlisted"</formula>
    </cfRule>
    <cfRule type="cellIs" priority="42" operator="equal" dxfId="18">
      <formula>"Commissioned"</formula>
    </cfRule>
    <cfRule type="cellIs" priority="43" operator="equal" dxfId="19">
      <formula>"Published"</formula>
    </cfRule>
    <cfRule type="cellIs" priority="44" operator="equal" dxfId="20">
      <formula>"Not used"</formula>
    </cfRule>
  </conditionalFormatting>
  <conditionalFormatting sqref="B82:B131">
    <cfRule type="cellIs" priority="45" operator="equal" dxfId="10">
      <formula>5</formula>
    </cfRule>
    <cfRule type="cellIs" priority="46" operator="equal" dxfId="11">
      <formula>4</formula>
    </cfRule>
    <cfRule type="cellIs" priority="47" operator="equal" dxfId="12">
      <formula>3</formula>
    </cfRule>
    <cfRule type="cellIs" priority="48" operator="equal" dxfId="13">
      <formula>2</formula>
    </cfRule>
    <cfRule type="cellIs" priority="49" operator="equal" dxfId="14">
      <formula>1</formula>
    </cfRule>
    <cfRule type="cellIs" priority="50" operator="equal" dxfId="15">
      <formula>0</formula>
    </cfRule>
  </conditionalFormatting>
  <conditionalFormatting sqref="F82:F131">
    <cfRule type="cellIs" priority="51" operator="equal" dxfId="16">
      <formula>"To review"</formula>
    </cfRule>
    <cfRule type="cellIs" priority="52" operator="equal" dxfId="17">
      <formula>"Shortlisted"</formula>
    </cfRule>
    <cfRule type="cellIs" priority="53" operator="equal" dxfId="18">
      <formula>"Commissioned"</formula>
    </cfRule>
    <cfRule type="cellIs" priority="54" operator="equal" dxfId="19">
      <formula>"Published"</formula>
    </cfRule>
    <cfRule type="cellIs" priority="55" operator="equal" dxfId="20">
      <formula>"Not used"</formula>
    </cfRule>
  </conditionalFormatting>
  <conditionalFormatting sqref="B135:B154">
    <cfRule type="cellIs" priority="56" operator="equal" dxfId="10">
      <formula>5</formula>
    </cfRule>
    <cfRule type="cellIs" priority="57" operator="equal" dxfId="11">
      <formula>4</formula>
    </cfRule>
    <cfRule type="cellIs" priority="58" operator="equal" dxfId="12">
      <formula>3</formula>
    </cfRule>
    <cfRule type="cellIs" priority="59" operator="equal" dxfId="13">
      <formula>2</formula>
    </cfRule>
    <cfRule type="cellIs" priority="60" operator="equal" dxfId="14">
      <formula>1</formula>
    </cfRule>
    <cfRule type="cellIs" priority="61" operator="equal" dxfId="15">
      <formula>0</formula>
    </cfRule>
  </conditionalFormatting>
  <conditionalFormatting sqref="F135:F154">
    <cfRule type="cellIs" priority="62" operator="equal" dxfId="16">
      <formula>"To review"</formula>
    </cfRule>
    <cfRule type="cellIs" priority="63" operator="equal" dxfId="17">
      <formula>"Shortlisted"</formula>
    </cfRule>
    <cfRule type="cellIs" priority="64" operator="equal" dxfId="18">
      <formula>"Commissioned"</formula>
    </cfRule>
    <cfRule type="cellIs" priority="65" operator="equal" dxfId="19">
      <formula>"Published"</formula>
    </cfRule>
    <cfRule type="cellIs" priority="66" operator="equal" dxfId="20">
      <formula>"Not used"</formula>
    </cfRule>
  </conditionalFormatting>
  <conditionalFormatting sqref="B158:B166">
    <cfRule type="cellIs" priority="67" operator="equal" dxfId="10">
      <formula>5</formula>
    </cfRule>
    <cfRule type="cellIs" priority="68" operator="equal" dxfId="11">
      <formula>4</formula>
    </cfRule>
    <cfRule type="cellIs" priority="69" operator="equal" dxfId="12">
      <formula>3</formula>
    </cfRule>
    <cfRule type="cellIs" priority="70" operator="equal" dxfId="13">
      <formula>2</formula>
    </cfRule>
    <cfRule type="cellIs" priority="71" operator="equal" dxfId="14">
      <formula>1</formula>
    </cfRule>
    <cfRule type="cellIs" priority="72" operator="equal" dxfId="15">
      <formula>0</formula>
    </cfRule>
  </conditionalFormatting>
  <conditionalFormatting sqref="F158:F166">
    <cfRule type="cellIs" priority="73" operator="equal" dxfId="16">
      <formula>"To review"</formula>
    </cfRule>
    <cfRule type="cellIs" priority="74" operator="equal" dxfId="17">
      <formula>"Shortlisted"</formula>
    </cfRule>
    <cfRule type="cellIs" priority="75" operator="equal" dxfId="18">
      <formula>"Commissioned"</formula>
    </cfRule>
    <cfRule type="cellIs" priority="76" operator="equal" dxfId="19">
      <formula>"Published"</formula>
    </cfRule>
    <cfRule type="cellIs" priority="77" operator="equal" dxfId="20">
      <formula>"Not used"</formula>
    </cfRule>
  </conditionalFormatting>
  <conditionalFormatting sqref="B170:B176">
    <cfRule type="cellIs" priority="78" operator="equal" dxfId="10">
      <formula>5</formula>
    </cfRule>
    <cfRule type="cellIs" priority="79" operator="equal" dxfId="11">
      <formula>4</formula>
    </cfRule>
    <cfRule type="cellIs" priority="80" operator="equal" dxfId="12">
      <formula>3</formula>
    </cfRule>
    <cfRule type="cellIs" priority="81" operator="equal" dxfId="13">
      <formula>2</formula>
    </cfRule>
    <cfRule type="cellIs" priority="82" operator="equal" dxfId="14">
      <formula>1</formula>
    </cfRule>
    <cfRule type="cellIs" priority="83" operator="equal" dxfId="15">
      <formula>0</formula>
    </cfRule>
  </conditionalFormatting>
  <conditionalFormatting sqref="F170:F176">
    <cfRule type="cellIs" priority="84" operator="equal" dxfId="16">
      <formula>"To review"</formula>
    </cfRule>
    <cfRule type="cellIs" priority="85" operator="equal" dxfId="17">
      <formula>"Shortlisted"</formula>
    </cfRule>
    <cfRule type="cellIs" priority="86" operator="equal" dxfId="18">
      <formula>"Commissioned"</formula>
    </cfRule>
    <cfRule type="cellIs" priority="87" operator="equal" dxfId="19">
      <formula>"Published"</formula>
    </cfRule>
    <cfRule type="cellIs" priority="88" operator="equal" dxfId="20">
      <formula>"Not used"</formula>
    </cfRule>
  </conditionalFormatting>
  <hyperlinks>
    <hyperlink ref="D1" location="'Dashboard'!A1" display="← Dashboard"/>
    <hyperlink ref="E1" location="'Start here'!A1" display="↑ Start here"/>
    <hyperlink ref="F1" location="'Stories'!A1" display="Stories →"/>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3" r:id="rId5"/>
    <hyperlink xmlns:r="http://schemas.openxmlformats.org/officeDocument/2006/relationships" ref="D14" r:id="rId6"/>
    <hyperlink xmlns:r="http://schemas.openxmlformats.org/officeDocument/2006/relationships" ref="D15" r:id="rId7"/>
    <hyperlink xmlns:r="http://schemas.openxmlformats.org/officeDocument/2006/relationships" ref="D16" r:id="rId8"/>
    <hyperlink xmlns:r="http://schemas.openxmlformats.org/officeDocument/2006/relationships" ref="D17" r:id="rId9"/>
    <hyperlink xmlns:r="http://schemas.openxmlformats.org/officeDocument/2006/relationships" ref="D21" r:id="rId10"/>
    <hyperlink xmlns:r="http://schemas.openxmlformats.org/officeDocument/2006/relationships" ref="D22" r:id="rId11"/>
    <hyperlink xmlns:r="http://schemas.openxmlformats.org/officeDocument/2006/relationships" ref="D23" r:id="rId12"/>
    <hyperlink xmlns:r="http://schemas.openxmlformats.org/officeDocument/2006/relationships" ref="D24" r:id="rId13"/>
    <hyperlink xmlns:r="http://schemas.openxmlformats.org/officeDocument/2006/relationships" ref="D25" r:id="rId14"/>
    <hyperlink xmlns:r="http://schemas.openxmlformats.org/officeDocument/2006/relationships" ref="D26" r:id="rId15"/>
    <hyperlink xmlns:r="http://schemas.openxmlformats.org/officeDocument/2006/relationships" ref="D27" r:id="rId16"/>
    <hyperlink xmlns:r="http://schemas.openxmlformats.org/officeDocument/2006/relationships" ref="D28" r:id="rId17"/>
    <hyperlink xmlns:r="http://schemas.openxmlformats.org/officeDocument/2006/relationships" ref="D29" r:id="rId18"/>
    <hyperlink xmlns:r="http://schemas.openxmlformats.org/officeDocument/2006/relationships" ref="D30" r:id="rId19"/>
    <hyperlink xmlns:r="http://schemas.openxmlformats.org/officeDocument/2006/relationships" ref="D31" r:id="rId20"/>
    <hyperlink xmlns:r="http://schemas.openxmlformats.org/officeDocument/2006/relationships" ref="D32" r:id="rId21"/>
    <hyperlink xmlns:r="http://schemas.openxmlformats.org/officeDocument/2006/relationships" ref="D33" r:id="rId22"/>
    <hyperlink xmlns:r="http://schemas.openxmlformats.org/officeDocument/2006/relationships" ref="D34" r:id="rId23"/>
    <hyperlink xmlns:r="http://schemas.openxmlformats.org/officeDocument/2006/relationships" ref="D35" r:id="rId24"/>
    <hyperlink xmlns:r="http://schemas.openxmlformats.org/officeDocument/2006/relationships" ref="D36" r:id="rId25"/>
    <hyperlink xmlns:r="http://schemas.openxmlformats.org/officeDocument/2006/relationships" ref="D37" r:id="rId26"/>
    <hyperlink xmlns:r="http://schemas.openxmlformats.org/officeDocument/2006/relationships" ref="D38" r:id="rId27"/>
    <hyperlink xmlns:r="http://schemas.openxmlformats.org/officeDocument/2006/relationships" ref="D39" r:id="rId28"/>
    <hyperlink xmlns:r="http://schemas.openxmlformats.org/officeDocument/2006/relationships" ref="D40" r:id="rId29"/>
    <hyperlink xmlns:r="http://schemas.openxmlformats.org/officeDocument/2006/relationships" ref="D41" r:id="rId30"/>
    <hyperlink xmlns:r="http://schemas.openxmlformats.org/officeDocument/2006/relationships" ref="D42" r:id="rId31"/>
    <hyperlink xmlns:r="http://schemas.openxmlformats.org/officeDocument/2006/relationships" ref="D43" r:id="rId32"/>
    <hyperlink xmlns:r="http://schemas.openxmlformats.org/officeDocument/2006/relationships" ref="D44" r:id="rId33"/>
    <hyperlink xmlns:r="http://schemas.openxmlformats.org/officeDocument/2006/relationships" ref="D45" r:id="rId34"/>
    <hyperlink xmlns:r="http://schemas.openxmlformats.org/officeDocument/2006/relationships" ref="D46" r:id="rId35"/>
    <hyperlink xmlns:r="http://schemas.openxmlformats.org/officeDocument/2006/relationships" ref="D47" r:id="rId36"/>
    <hyperlink xmlns:r="http://schemas.openxmlformats.org/officeDocument/2006/relationships" ref="D48" r:id="rId37"/>
    <hyperlink xmlns:r="http://schemas.openxmlformats.org/officeDocument/2006/relationships" ref="D49" r:id="rId38"/>
    <hyperlink xmlns:r="http://schemas.openxmlformats.org/officeDocument/2006/relationships" ref="D50" r:id="rId39"/>
    <hyperlink xmlns:r="http://schemas.openxmlformats.org/officeDocument/2006/relationships" ref="D51" r:id="rId40"/>
    <hyperlink xmlns:r="http://schemas.openxmlformats.org/officeDocument/2006/relationships" ref="D52" r:id="rId41"/>
    <hyperlink xmlns:r="http://schemas.openxmlformats.org/officeDocument/2006/relationships" ref="D53" r:id="rId42"/>
    <hyperlink xmlns:r="http://schemas.openxmlformats.org/officeDocument/2006/relationships" ref="D54" r:id="rId43"/>
    <hyperlink xmlns:r="http://schemas.openxmlformats.org/officeDocument/2006/relationships" ref="D55" r:id="rId44"/>
    <hyperlink xmlns:r="http://schemas.openxmlformats.org/officeDocument/2006/relationships" ref="D56" r:id="rId45"/>
    <hyperlink xmlns:r="http://schemas.openxmlformats.org/officeDocument/2006/relationships" ref="D57" r:id="rId46"/>
    <hyperlink xmlns:r="http://schemas.openxmlformats.org/officeDocument/2006/relationships" ref="D58" r:id="rId47"/>
    <hyperlink xmlns:r="http://schemas.openxmlformats.org/officeDocument/2006/relationships" ref="D59" r:id="rId48"/>
    <hyperlink xmlns:r="http://schemas.openxmlformats.org/officeDocument/2006/relationships" ref="D60" r:id="rId49"/>
    <hyperlink xmlns:r="http://schemas.openxmlformats.org/officeDocument/2006/relationships" ref="D61" r:id="rId50"/>
    <hyperlink xmlns:r="http://schemas.openxmlformats.org/officeDocument/2006/relationships" ref="D62" r:id="rId51"/>
    <hyperlink xmlns:r="http://schemas.openxmlformats.org/officeDocument/2006/relationships" ref="D63" r:id="rId52"/>
    <hyperlink xmlns:r="http://schemas.openxmlformats.org/officeDocument/2006/relationships" ref="D64" r:id="rId53"/>
    <hyperlink xmlns:r="http://schemas.openxmlformats.org/officeDocument/2006/relationships" ref="D65" r:id="rId54"/>
    <hyperlink xmlns:r="http://schemas.openxmlformats.org/officeDocument/2006/relationships" ref="D66" r:id="rId55"/>
    <hyperlink xmlns:r="http://schemas.openxmlformats.org/officeDocument/2006/relationships" ref="D67" r:id="rId56"/>
    <hyperlink xmlns:r="http://schemas.openxmlformats.org/officeDocument/2006/relationships" ref="D68" r:id="rId57"/>
    <hyperlink xmlns:r="http://schemas.openxmlformats.org/officeDocument/2006/relationships" ref="D69" r:id="rId58"/>
    <hyperlink xmlns:r="http://schemas.openxmlformats.org/officeDocument/2006/relationships" ref="D70" r:id="rId59"/>
    <hyperlink xmlns:r="http://schemas.openxmlformats.org/officeDocument/2006/relationships" ref="D71" r:id="rId60"/>
    <hyperlink xmlns:r="http://schemas.openxmlformats.org/officeDocument/2006/relationships" ref="D72" r:id="rId61"/>
    <hyperlink xmlns:r="http://schemas.openxmlformats.org/officeDocument/2006/relationships" ref="D73" r:id="rId62"/>
    <hyperlink xmlns:r="http://schemas.openxmlformats.org/officeDocument/2006/relationships" ref="D77" r:id="rId63"/>
    <hyperlink xmlns:r="http://schemas.openxmlformats.org/officeDocument/2006/relationships" ref="D78" r:id="rId64"/>
    <hyperlink xmlns:r="http://schemas.openxmlformats.org/officeDocument/2006/relationships" ref="D82" r:id="rId65"/>
    <hyperlink xmlns:r="http://schemas.openxmlformats.org/officeDocument/2006/relationships" ref="D83" r:id="rId66"/>
    <hyperlink xmlns:r="http://schemas.openxmlformats.org/officeDocument/2006/relationships" ref="D84" r:id="rId67"/>
    <hyperlink xmlns:r="http://schemas.openxmlformats.org/officeDocument/2006/relationships" ref="D85" r:id="rId68"/>
    <hyperlink xmlns:r="http://schemas.openxmlformats.org/officeDocument/2006/relationships" ref="D86" r:id="rId69"/>
    <hyperlink xmlns:r="http://schemas.openxmlformats.org/officeDocument/2006/relationships" ref="D87" r:id="rId70"/>
    <hyperlink xmlns:r="http://schemas.openxmlformats.org/officeDocument/2006/relationships" ref="D88" r:id="rId71"/>
    <hyperlink xmlns:r="http://schemas.openxmlformats.org/officeDocument/2006/relationships" ref="D89" r:id="rId72"/>
    <hyperlink xmlns:r="http://schemas.openxmlformats.org/officeDocument/2006/relationships" ref="D90" r:id="rId73"/>
    <hyperlink xmlns:r="http://schemas.openxmlformats.org/officeDocument/2006/relationships" ref="D91" r:id="rId74"/>
    <hyperlink xmlns:r="http://schemas.openxmlformats.org/officeDocument/2006/relationships" ref="D92" r:id="rId75"/>
    <hyperlink xmlns:r="http://schemas.openxmlformats.org/officeDocument/2006/relationships" ref="D93" r:id="rId76"/>
    <hyperlink xmlns:r="http://schemas.openxmlformats.org/officeDocument/2006/relationships" ref="D94" r:id="rId77"/>
    <hyperlink xmlns:r="http://schemas.openxmlformats.org/officeDocument/2006/relationships" ref="D95" r:id="rId78"/>
    <hyperlink xmlns:r="http://schemas.openxmlformats.org/officeDocument/2006/relationships" ref="D96" r:id="rId79"/>
    <hyperlink xmlns:r="http://schemas.openxmlformats.org/officeDocument/2006/relationships" ref="D97" r:id="rId80"/>
    <hyperlink xmlns:r="http://schemas.openxmlformats.org/officeDocument/2006/relationships" ref="D98" r:id="rId81"/>
    <hyperlink xmlns:r="http://schemas.openxmlformats.org/officeDocument/2006/relationships" ref="D99" r:id="rId82"/>
    <hyperlink xmlns:r="http://schemas.openxmlformats.org/officeDocument/2006/relationships" ref="D100" r:id="rId83"/>
    <hyperlink xmlns:r="http://schemas.openxmlformats.org/officeDocument/2006/relationships" ref="D101" r:id="rId84"/>
    <hyperlink xmlns:r="http://schemas.openxmlformats.org/officeDocument/2006/relationships" ref="D102" r:id="rId85"/>
    <hyperlink xmlns:r="http://schemas.openxmlformats.org/officeDocument/2006/relationships" ref="D103" r:id="rId86"/>
    <hyperlink xmlns:r="http://schemas.openxmlformats.org/officeDocument/2006/relationships" ref="D104" r:id="rId87"/>
    <hyperlink xmlns:r="http://schemas.openxmlformats.org/officeDocument/2006/relationships" ref="D105" r:id="rId88"/>
    <hyperlink xmlns:r="http://schemas.openxmlformats.org/officeDocument/2006/relationships" ref="D106" r:id="rId89"/>
    <hyperlink xmlns:r="http://schemas.openxmlformats.org/officeDocument/2006/relationships" ref="D107" r:id="rId90"/>
    <hyperlink xmlns:r="http://schemas.openxmlformats.org/officeDocument/2006/relationships" ref="D108" r:id="rId91"/>
    <hyperlink xmlns:r="http://schemas.openxmlformats.org/officeDocument/2006/relationships" ref="D109" r:id="rId92"/>
    <hyperlink xmlns:r="http://schemas.openxmlformats.org/officeDocument/2006/relationships" ref="D110" r:id="rId93"/>
    <hyperlink xmlns:r="http://schemas.openxmlformats.org/officeDocument/2006/relationships" ref="D111" r:id="rId94"/>
    <hyperlink xmlns:r="http://schemas.openxmlformats.org/officeDocument/2006/relationships" ref="D112" r:id="rId95"/>
    <hyperlink xmlns:r="http://schemas.openxmlformats.org/officeDocument/2006/relationships" ref="D113" r:id="rId96"/>
    <hyperlink xmlns:r="http://schemas.openxmlformats.org/officeDocument/2006/relationships" ref="D114" r:id="rId97"/>
    <hyperlink xmlns:r="http://schemas.openxmlformats.org/officeDocument/2006/relationships" ref="D115" r:id="rId98"/>
    <hyperlink xmlns:r="http://schemas.openxmlformats.org/officeDocument/2006/relationships" ref="D116" r:id="rId99"/>
    <hyperlink xmlns:r="http://schemas.openxmlformats.org/officeDocument/2006/relationships" ref="D117" r:id="rId100"/>
    <hyperlink xmlns:r="http://schemas.openxmlformats.org/officeDocument/2006/relationships" ref="D118" r:id="rId101"/>
    <hyperlink xmlns:r="http://schemas.openxmlformats.org/officeDocument/2006/relationships" ref="D119" r:id="rId102"/>
    <hyperlink xmlns:r="http://schemas.openxmlformats.org/officeDocument/2006/relationships" ref="D120" r:id="rId103"/>
    <hyperlink xmlns:r="http://schemas.openxmlformats.org/officeDocument/2006/relationships" ref="D121" r:id="rId104"/>
    <hyperlink xmlns:r="http://schemas.openxmlformats.org/officeDocument/2006/relationships" ref="D122" r:id="rId105"/>
    <hyperlink xmlns:r="http://schemas.openxmlformats.org/officeDocument/2006/relationships" ref="D123" r:id="rId106"/>
    <hyperlink xmlns:r="http://schemas.openxmlformats.org/officeDocument/2006/relationships" ref="D124" r:id="rId107"/>
    <hyperlink xmlns:r="http://schemas.openxmlformats.org/officeDocument/2006/relationships" ref="D125" r:id="rId108"/>
    <hyperlink xmlns:r="http://schemas.openxmlformats.org/officeDocument/2006/relationships" ref="D126" r:id="rId109"/>
    <hyperlink xmlns:r="http://schemas.openxmlformats.org/officeDocument/2006/relationships" ref="D127" r:id="rId110"/>
    <hyperlink xmlns:r="http://schemas.openxmlformats.org/officeDocument/2006/relationships" ref="D128" r:id="rId111"/>
    <hyperlink xmlns:r="http://schemas.openxmlformats.org/officeDocument/2006/relationships" ref="D129" r:id="rId112"/>
    <hyperlink xmlns:r="http://schemas.openxmlformats.org/officeDocument/2006/relationships" ref="D130" r:id="rId113"/>
    <hyperlink xmlns:r="http://schemas.openxmlformats.org/officeDocument/2006/relationships" ref="D131" r:id="rId114"/>
    <hyperlink xmlns:r="http://schemas.openxmlformats.org/officeDocument/2006/relationships" ref="D135" r:id="rId115"/>
    <hyperlink xmlns:r="http://schemas.openxmlformats.org/officeDocument/2006/relationships" ref="D136" r:id="rId116"/>
    <hyperlink xmlns:r="http://schemas.openxmlformats.org/officeDocument/2006/relationships" ref="D137" r:id="rId117"/>
    <hyperlink xmlns:r="http://schemas.openxmlformats.org/officeDocument/2006/relationships" ref="D138" r:id="rId118"/>
    <hyperlink xmlns:r="http://schemas.openxmlformats.org/officeDocument/2006/relationships" ref="D139" r:id="rId119"/>
    <hyperlink xmlns:r="http://schemas.openxmlformats.org/officeDocument/2006/relationships" ref="D140" r:id="rId120"/>
    <hyperlink xmlns:r="http://schemas.openxmlformats.org/officeDocument/2006/relationships" ref="D141" r:id="rId121"/>
    <hyperlink xmlns:r="http://schemas.openxmlformats.org/officeDocument/2006/relationships" ref="D142" r:id="rId122"/>
    <hyperlink xmlns:r="http://schemas.openxmlformats.org/officeDocument/2006/relationships" ref="D143" r:id="rId123"/>
    <hyperlink xmlns:r="http://schemas.openxmlformats.org/officeDocument/2006/relationships" ref="D144" r:id="rId124"/>
    <hyperlink xmlns:r="http://schemas.openxmlformats.org/officeDocument/2006/relationships" ref="D145" r:id="rId125"/>
    <hyperlink xmlns:r="http://schemas.openxmlformats.org/officeDocument/2006/relationships" ref="D146" r:id="rId126"/>
    <hyperlink xmlns:r="http://schemas.openxmlformats.org/officeDocument/2006/relationships" ref="D147" r:id="rId127"/>
    <hyperlink xmlns:r="http://schemas.openxmlformats.org/officeDocument/2006/relationships" ref="D148" r:id="rId128"/>
    <hyperlink xmlns:r="http://schemas.openxmlformats.org/officeDocument/2006/relationships" ref="D149" r:id="rId129"/>
    <hyperlink xmlns:r="http://schemas.openxmlformats.org/officeDocument/2006/relationships" ref="D150" r:id="rId130"/>
    <hyperlink xmlns:r="http://schemas.openxmlformats.org/officeDocument/2006/relationships" ref="D151" r:id="rId131"/>
    <hyperlink xmlns:r="http://schemas.openxmlformats.org/officeDocument/2006/relationships" ref="D152" r:id="rId132"/>
    <hyperlink xmlns:r="http://schemas.openxmlformats.org/officeDocument/2006/relationships" ref="D153" r:id="rId133"/>
    <hyperlink xmlns:r="http://schemas.openxmlformats.org/officeDocument/2006/relationships" ref="D154" r:id="rId134"/>
    <hyperlink xmlns:r="http://schemas.openxmlformats.org/officeDocument/2006/relationships" ref="D158" r:id="rId135"/>
    <hyperlink xmlns:r="http://schemas.openxmlformats.org/officeDocument/2006/relationships" ref="D159" r:id="rId136"/>
    <hyperlink xmlns:r="http://schemas.openxmlformats.org/officeDocument/2006/relationships" ref="D160" r:id="rId137"/>
    <hyperlink xmlns:r="http://schemas.openxmlformats.org/officeDocument/2006/relationships" ref="D161" r:id="rId138"/>
    <hyperlink xmlns:r="http://schemas.openxmlformats.org/officeDocument/2006/relationships" ref="D162" r:id="rId139"/>
    <hyperlink xmlns:r="http://schemas.openxmlformats.org/officeDocument/2006/relationships" ref="D163" r:id="rId140"/>
    <hyperlink xmlns:r="http://schemas.openxmlformats.org/officeDocument/2006/relationships" ref="D164" r:id="rId141"/>
    <hyperlink xmlns:r="http://schemas.openxmlformats.org/officeDocument/2006/relationships" ref="D165" r:id="rId142"/>
    <hyperlink xmlns:r="http://schemas.openxmlformats.org/officeDocument/2006/relationships" ref="D166" r:id="rId143"/>
    <hyperlink xmlns:r="http://schemas.openxmlformats.org/officeDocument/2006/relationships" ref="D170" r:id="rId144"/>
    <hyperlink xmlns:r="http://schemas.openxmlformats.org/officeDocument/2006/relationships" ref="D171" r:id="rId145"/>
    <hyperlink xmlns:r="http://schemas.openxmlformats.org/officeDocument/2006/relationships" ref="D172" r:id="rId146"/>
    <hyperlink xmlns:r="http://schemas.openxmlformats.org/officeDocument/2006/relationships" ref="D173" r:id="rId147"/>
    <hyperlink xmlns:r="http://schemas.openxmlformats.org/officeDocument/2006/relationships" ref="D174" r:id="rId148"/>
    <hyperlink xmlns:r="http://schemas.openxmlformats.org/officeDocument/2006/relationships" ref="D175" r:id="rId149"/>
    <hyperlink xmlns:r="http://schemas.openxmlformats.org/officeDocument/2006/relationships" ref="D176" r:id="rId150"/>
  </hyperlinks>
  <printOptions horizontalCentered="1"/>
  <pageMargins left="0.4" right="0.4" top="0.5" bottom="0.55" header="0.25" footer="0.25"/>
  <pageSetup orientation="landscape" paperSize="9" fitToHeight="0" fitToWidth="1"/>
  <headerFooter>
    <oddHeader/>
    <oddFooter>&amp;L&amp;"Arial"&amp;8 &amp;A&amp;R&amp;"Arial"&amp;8 Page &amp;P of &amp;N</oddFooter>
    <evenHeader/>
    <evenFooter/>
    <firstHeader/>
    <firstFooter/>
  </headerFooter>
</worksheet>
</file>

<file path=xl/worksheets/sheet5.xml><?xml version="1.0" encoding="utf-8"?>
<worksheet xmlns="http://schemas.openxmlformats.org/spreadsheetml/2006/main">
  <sheetPr>
    <tabColor rgb="006B4FD6"/>
    <outlinePr summaryBelow="1" summaryRight="1"/>
    <pageSetUpPr fitToPage="1"/>
  </sheetPr>
  <dimension ref="A1:M34"/>
  <sheetViews>
    <sheetView showGridLines="0" tabSelected="0"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50" customWidth="1" min="2" max="2"/>
    <col width="21" customWidth="1" min="3" max="3"/>
    <col width="10" customWidth="1" min="4" max="4"/>
    <col width="14" customWidth="1" min="5" max="5"/>
    <col width="28" customWidth="1" min="6" max="6"/>
    <col width="44" customWidth="1" min="7" max="7"/>
    <col width="26" customWidth="1" min="8" max="8"/>
    <col width="22" customWidth="1" min="9" max="9"/>
    <col width="12" customWidth="1" min="10" max="10"/>
    <col width="12" customWidth="1" min="11" max="11"/>
    <col width="26" customWidth="1" min="12" max="12"/>
    <col width="30" customWidth="1" min="13" max="13"/>
  </cols>
  <sheetData>
    <row r="1" ht="26" customHeight="1">
      <c r="A1" s="153" t="inlineStr">
        <is>
          <t>Research · 31 new papers</t>
        </is>
      </c>
      <c r="C1" s="154" t="inlineStr">
        <is>
          <t>← Dashboard</t>
        </is>
      </c>
      <c r="D1" s="154" t="inlineStr">
        <is>
          <t>↑ Start here</t>
        </is>
      </c>
    </row>
    <row r="2" ht="16" customHeight="1">
      <c r="C2" s="155" t="inlineStr">
        <is>
          <t>Papers from geotechnical journals (via Crossref), best rated for use in practice first. Click a title to open the paper, and read it before you write about it. Status and Editor notes are yours, as in Stories.</t>
        </is>
      </c>
    </row>
    <row r="3" ht="32" customHeight="1">
      <c r="A3" s="156" t="inlineStr">
        <is>
          <t>No.</t>
        </is>
      </c>
      <c r="B3" s="157" t="inlineStr">
        <is>
          <t>Paper</t>
        </is>
      </c>
      <c r="C3" s="157" t="inlineStr">
        <is>
          <t>Theme</t>
        </is>
      </c>
      <c r="D3" s="156" t="inlineStr">
        <is>
          <t>Use in practice</t>
        </is>
      </c>
      <c r="E3" s="158" t="inlineStr">
        <is>
          <t>Status</t>
        </is>
      </c>
      <c r="F3" s="158" t="inlineStr">
        <is>
          <t>Editor notes</t>
        </is>
      </c>
      <c r="G3" s="157" t="inlineStr">
        <is>
          <t>Why it matters in practice</t>
        </is>
      </c>
      <c r="H3" s="157" t="inlineStr">
        <is>
          <t>Journal</t>
        </is>
      </c>
      <c r="I3" s="157" t="inlineStr">
        <is>
          <t>Authors</t>
        </is>
      </c>
      <c r="J3" s="156" t="inlineStr">
        <is>
          <t>Published</t>
        </is>
      </c>
      <c r="K3" s="156" t="inlineStr">
        <is>
          <t>Digest date</t>
        </is>
      </c>
      <c r="L3" s="157" t="inlineStr">
        <is>
          <t>Keywords</t>
        </is>
      </c>
      <c r="M3" s="157" t="inlineStr">
        <is>
          <t>DOI link</t>
        </is>
      </c>
    </row>
    <row r="4" ht="53" customHeight="1">
      <c r="A4" s="159" t="n">
        <v>1</v>
      </c>
      <c r="B4" s="160" t="inlineStr">
        <is>
          <t>Seismic performance assessment of high-speed railway track-bridge system with CFRP-repaired piers under near-fault pulse-like ground motions</t>
        </is>
      </c>
      <c r="C4" s="177" t="inlineStr">
        <is>
          <t>Infrastructure &amp; the Underground City</t>
        </is>
      </c>
      <c r="D4" s="162" t="n">
        <v>4</v>
      </c>
      <c r="E4" s="230" t="inlineStr">
        <is>
          <t>To review</t>
        </is>
      </c>
      <c r="F4" s="166" t="n"/>
      <c r="G4" s="167" t="inlineStr">
        <is>
          <t>Seismic response results for CFRP-repaired bridge piers under pulse-like motions help engineers judge whether repair strategies protect high-speed rail track-bridge systems.</t>
        </is>
      </c>
      <c r="H4" s="231" t="inlineStr">
        <is>
          <t>Soil Dynamics and Earthquake Engineering</t>
        </is>
      </c>
      <c r="I4" s="232" t="inlineStr">
        <is>
          <t>Kang Z, Jiang L, Jiang L</t>
        </is>
      </c>
      <c r="J4" s="233" t="n">
        <v>46321</v>
      </c>
      <c r="K4" s="233" t="n">
        <v>46321</v>
      </c>
      <c r="L4" s="171" t="inlineStr">
        <is>
          <t>railway</t>
        </is>
      </c>
      <c r="M4" s="234" t="inlineStr">
        <is>
          <t>https://doi.org/10.1016/j.soildyn.2026.110792</t>
        </is>
      </c>
    </row>
    <row r="5" ht="53" customHeight="1">
      <c r="A5" s="159" t="n">
        <v>2</v>
      </c>
      <c r="B5" s="160" t="inlineStr">
        <is>
          <t>A modified triaxial test for characterising soil–structure interface behaviour</t>
        </is>
      </c>
      <c r="C5" s="184" t="inlineStr">
        <is>
          <t>Characterisation &amp; Modelling</t>
        </is>
      </c>
      <c r="D5" s="162" t="n">
        <v>4</v>
      </c>
      <c r="E5" s="230" t="inlineStr">
        <is>
          <t>To review</t>
        </is>
      </c>
      <c r="F5" s="166" t="n"/>
      <c r="G5" s="167" t="inlineStr">
        <is>
          <t>A modified triaxial set-up that yields interface friction comparable to direct shear lets labs measure soil-structure interface strength with equipment they already own.</t>
        </is>
      </c>
      <c r="H5" s="231" t="inlineStr">
        <is>
          <t>Acta Geotechnica</t>
        </is>
      </c>
      <c r="I5" s="232" t="inlineStr">
        <is>
          <t>Ho CYR, Khoshghalb A, Khalili N</t>
        </is>
      </c>
      <c r="J5" s="233" t="n">
        <v>46320</v>
      </c>
      <c r="K5" s="233" t="n">
        <v>46321</v>
      </c>
      <c r="L5" s="171" t="inlineStr">
        <is>
          <t>soil</t>
        </is>
      </c>
      <c r="M5" s="234" t="inlineStr">
        <is>
          <t>https://doi.org/10.1007/s11440-026-03248-3</t>
        </is>
      </c>
    </row>
    <row r="6" ht="53" customHeight="1">
      <c r="A6" s="159" t="n">
        <v>3</v>
      </c>
      <c r="B6" s="160" t="inlineStr">
        <is>
          <t>Fine particle migration of gravel-sand mixtures under coupled hydraulic gradient and cyclic loading</t>
        </is>
      </c>
      <c r="C6" s="161" t="inlineStr">
        <is>
          <t>Hazards &amp; Resilience</t>
        </is>
      </c>
      <c r="D6" s="162" t="n">
        <v>4</v>
      </c>
      <c r="E6" s="230" t="inlineStr">
        <is>
          <t>To review</t>
        </is>
      </c>
      <c r="F6" s="166" t="n"/>
      <c r="G6" s="167" t="inlineStr">
        <is>
          <t>Showing how fines wash out of gravel-sand mixtures under combined seepage and cyclic loading flags internal erosion risks for dams, levees and filters that engineers must assess.</t>
        </is>
      </c>
      <c r="H6" s="231" t="inlineStr">
        <is>
          <t>Acta Geotechnica</t>
        </is>
      </c>
      <c r="I6" s="232" t="inlineStr">
        <is>
          <t>Li ZQ, Zhang S et al.</t>
        </is>
      </c>
      <c r="J6" s="233" t="n">
        <v>46320</v>
      </c>
      <c r="K6" s="233" t="n">
        <v>46321</v>
      </c>
      <c r="L6" s="171" t="n"/>
      <c r="M6" s="234" t="inlineStr">
        <is>
          <t>https://doi.org/10.1007/s11440-026-03237-6</t>
        </is>
      </c>
    </row>
    <row r="7" ht="65.5" customHeight="1">
      <c r="A7" s="159" t="n">
        <v>4</v>
      </c>
      <c r="B7" s="160" t="inlineStr">
        <is>
          <t>Secondary Compression of Deep Foundations in Carbonate Soils: An InSAR Study of Sunny Isles, Florida</t>
        </is>
      </c>
      <c r="C7" s="177" t="inlineStr">
        <is>
          <t>Infrastructure &amp; the Underground City</t>
        </is>
      </c>
      <c r="D7" s="162" t="n">
        <v>4</v>
      </c>
      <c r="E7" s="230" t="inlineStr">
        <is>
          <t>To review</t>
        </is>
      </c>
      <c r="F7" s="166" t="n"/>
      <c r="G7" s="167" t="inlineStr">
        <is>
          <t>Six years of InSAR data show building-specific settlements in carbonate soils that continue after construction, so engineers should plan for long-term deformation and monitoring of deep foundations.</t>
        </is>
      </c>
      <c r="H7" s="231" t="inlineStr">
        <is>
          <t>Journal of Geotechnical and Geoenvironmental Engineering</t>
        </is>
      </c>
      <c r="I7" s="232" t="inlineStr">
        <is>
          <t>Bardet JP</t>
        </is>
      </c>
      <c r="J7" s="233" t="n">
        <v>46319</v>
      </c>
      <c r="K7" s="233" t="n">
        <v>46319</v>
      </c>
      <c r="L7" s="171" t="inlineStr">
        <is>
          <t>subsidence, settlement, deep foundation, foundation, pile, soil</t>
        </is>
      </c>
      <c r="M7" s="234" t="inlineStr">
        <is>
          <t>https://doi.org/10.1061/jggefk.gteng-15394</t>
        </is>
      </c>
    </row>
    <row r="8" ht="53" customHeight="1">
      <c r="A8" s="159" t="n">
        <v>5</v>
      </c>
      <c r="B8" s="160" t="inlineStr">
        <is>
          <t>Experimental investigation on deformation behavior of pile-supported embankments with geogrid-tire cells reinforcement</t>
        </is>
      </c>
      <c r="C8" s="185" t="inlineStr">
        <is>
          <t>Ground Improvement &amp; Innovation</t>
        </is>
      </c>
      <c r="D8" s="162" t="n">
        <v>4</v>
      </c>
      <c r="E8" s="230" t="inlineStr">
        <is>
          <t>To review</t>
        </is>
      </c>
      <c r="F8" s="166" t="n"/>
      <c r="G8" s="167" t="inlineStr">
        <is>
          <t>Experimental results on pile-supported embankments with geogrid-tire cells give practical guidance on deformation behaviour and load transfer for low-cost reinforced embankment design.</t>
        </is>
      </c>
      <c r="H8" s="231" t="inlineStr">
        <is>
          <t>Transportation Geotechnics</t>
        </is>
      </c>
      <c r="I8" s="232" t="inlineStr">
        <is>
          <t>Zhang H, Jia Y et al.</t>
        </is>
      </c>
      <c r="J8" s="233" t="n">
        <v>46318</v>
      </c>
      <c r="K8" s="233" t="n">
        <v>46319</v>
      </c>
      <c r="L8" s="171" t="inlineStr">
        <is>
          <t>pile, embankment, geogrid</t>
        </is>
      </c>
      <c r="M8" s="234" t="inlineStr">
        <is>
          <t>https://doi.org/10.1016/j.trgeo.2026.102499</t>
        </is>
      </c>
    </row>
    <row r="9" ht="65.5" customHeight="1">
      <c r="A9" s="159" t="n">
        <v>6</v>
      </c>
      <c r="B9" s="160" t="inlineStr">
        <is>
          <t>Stiffness compatibility in geosynthetic-reinforced column-supported embankment widening over soft ground: numerical insights and a design framework</t>
        </is>
      </c>
      <c r="C9" s="185" t="inlineStr">
        <is>
          <t>Ground Improvement &amp; Innovation</t>
        </is>
      </c>
      <c r="D9" s="162" t="n">
        <v>4</v>
      </c>
      <c r="E9" s="230" t="inlineStr">
        <is>
          <t>To review</t>
        </is>
      </c>
      <c r="F9" s="166" t="n"/>
      <c r="G9" s="167" t="inlineStr">
        <is>
          <t>A stiffness-compatibility design framework for geosynthetic-reinforced column-supported embankment widening addresses differential settlement issues that practitioners face when widening existing embankments.</t>
        </is>
      </c>
      <c r="H9" s="231" t="inlineStr">
        <is>
          <t>Soils and Foundations</t>
        </is>
      </c>
      <c r="I9" s="232" t="inlineStr">
        <is>
          <t>Pham TA</t>
        </is>
      </c>
      <c r="J9" s="233" t="n">
        <v>46317</v>
      </c>
      <c r="K9" s="233" t="n">
        <v>46319</v>
      </c>
      <c r="L9" s="171" t="inlineStr">
        <is>
          <t>embankment, geosynthetic</t>
        </is>
      </c>
      <c r="M9" s="234" t="inlineStr">
        <is>
          <t>https://doi.org/10.1016/j.sandf.2026.101892</t>
        </is>
      </c>
    </row>
    <row r="10" ht="65.5" customHeight="1">
      <c r="A10" s="159" t="n">
        <v>7</v>
      </c>
      <c r="B10" s="160" t="inlineStr">
        <is>
          <t>Extended soil-arching analysis for piled embankments with rectangular pile layouts</t>
        </is>
      </c>
      <c r="C10" s="185" t="inlineStr">
        <is>
          <t>Ground Improvement &amp; Innovation</t>
        </is>
      </c>
      <c r="D10" s="162" t="n">
        <v>4</v>
      </c>
      <c r="E10" s="230" t="inlineStr">
        <is>
          <t>To review</t>
        </is>
      </c>
      <c r="F10" s="166" t="n"/>
      <c r="G10" s="167" t="inlineStr">
        <is>
          <t>Extended soil-arching solutions for rectangular pile layouts, with error quantified against the equivalent-square simplification, give designers a more accurate load-transfer method for piled embankments.</t>
        </is>
      </c>
      <c r="H10" s="231" t="inlineStr">
        <is>
          <t>Proceedings of the Institution of Civil Engineers - Geotechnical Engineering</t>
        </is>
      </c>
      <c r="I10" s="232" t="inlineStr">
        <is>
          <t>He X, Li G et al.</t>
        </is>
      </c>
      <c r="J10" s="233" t="n">
        <v>46316</v>
      </c>
      <c r="K10" s="233" t="n">
        <v>46319</v>
      </c>
      <c r="L10" s="171" t="inlineStr">
        <is>
          <t>pile, embankment, soil</t>
        </is>
      </c>
      <c r="M10" s="234" t="inlineStr">
        <is>
          <t>https://doi.org/10.1680/jgeen.26.00025</t>
        </is>
      </c>
    </row>
    <row r="11" ht="65.5" customHeight="1">
      <c r="A11" s="159" t="n">
        <v>8</v>
      </c>
      <c r="B11" s="160" t="inlineStr">
        <is>
          <t>Development and properties of thixotropic cementitious slurry for ultra-long horizontal directional pre-grouting</t>
        </is>
      </c>
      <c r="C11" s="177" t="inlineStr">
        <is>
          <t>Infrastructure &amp; the Underground City</t>
        </is>
      </c>
      <c r="D11" s="162" t="n">
        <v>4</v>
      </c>
      <c r="E11" s="230" t="inlineStr">
        <is>
          <t>To review</t>
        </is>
      </c>
      <c r="F11" s="166" t="n"/>
      <c r="G11" s="167" t="inlineStr">
        <is>
          <t>A thixotropic cementitious slurry for ultra-long horizontal directional pre-grouting offers a practical grout formulation with properties engineers can specify for long drilled crossings.</t>
        </is>
      </c>
      <c r="H11" s="231" t="inlineStr">
        <is>
          <t>Tunnelling and Underground Space Technology</t>
        </is>
      </c>
      <c r="I11" s="232" t="inlineStr">
        <is>
          <t>Gong J, Xi F et al.</t>
        </is>
      </c>
      <c r="J11" s="233" t="n">
        <v>46316</v>
      </c>
      <c r="K11" s="233" t="n">
        <v>46319</v>
      </c>
      <c r="L11" s="171" t="inlineStr">
        <is>
          <t>grouting</t>
        </is>
      </c>
      <c r="M11" s="234" t="inlineStr">
        <is>
          <t>https://doi.org/10.1016/j.tust.2026.108244</t>
        </is>
      </c>
    </row>
    <row r="12" ht="65.5" customHeight="1">
      <c r="A12" s="159" t="n">
        <v>9</v>
      </c>
      <c r="B12" s="160" t="inlineStr">
        <is>
          <t>Probabilistic State Parameter–Based Liquefaction Triggering Model</t>
        </is>
      </c>
      <c r="C12" s="161" t="inlineStr">
        <is>
          <t>Hazards &amp; Resilience</t>
        </is>
      </c>
      <c r="D12" s="162" t="n">
        <v>4</v>
      </c>
      <c r="E12" s="230" t="inlineStr">
        <is>
          <t>To review</t>
        </is>
      </c>
      <c r="F12" s="166" t="n"/>
      <c r="G12" s="167" t="inlineStr">
        <is>
          <t>A lab-anchored, state-parameter liquefaction triggering model offers an alternative to case-history procedures that can be biased, and it is validated against CPTu data practitioners already use.</t>
        </is>
      </c>
      <c r="H12" s="231" t="inlineStr">
        <is>
          <t>Journal of Geotechnical and Geoenvironmental Engineering</t>
        </is>
      </c>
      <c r="I12" s="232" t="inlineStr">
        <is>
          <t>Reyes P, Montalva G et al.</t>
        </is>
      </c>
      <c r="J12" s="233" t="n">
        <v>46315</v>
      </c>
      <c r="K12" s="233" t="n">
        <v>46319</v>
      </c>
      <c r="L12" s="171" t="inlineStr">
        <is>
          <t>geotechnical, liquefaction, earthquake, soil</t>
        </is>
      </c>
      <c r="M12" s="234" t="inlineStr">
        <is>
          <t>https://doi.org/10.1061/jggefk.gteng-15418</t>
        </is>
      </c>
    </row>
    <row r="13" ht="53" customHeight="1">
      <c r="A13" s="159" t="n">
        <v>10</v>
      </c>
      <c r="B13" s="160" t="inlineStr">
        <is>
          <t>From rockfall to landslide: early warning based on video monitoring in open-pit mines</t>
        </is>
      </c>
      <c r="C13" s="161" t="inlineStr">
        <is>
          <t>Hazards &amp; Resilience</t>
        </is>
      </c>
      <c r="D13" s="162" t="n">
        <v>4</v>
      </c>
      <c r="E13" s="230" t="inlineStr">
        <is>
          <t>To review</t>
        </is>
      </c>
      <c r="F13" s="166" t="n"/>
      <c r="G13" s="167" t="inlineStr">
        <is>
          <t>Video monitoring workflows that link rockfall events to developing landslides give open-pit mine operators a practical early-warning approach they could deploy now.</t>
        </is>
      </c>
      <c r="H13" s="231" t="inlineStr">
        <is>
          <t>Landslides</t>
        </is>
      </c>
      <c r="I13" s="232" t="inlineStr">
        <is>
          <t>Liu F, Deng W et al.</t>
        </is>
      </c>
      <c r="J13" s="233" t="n">
        <v>46315</v>
      </c>
      <c r="K13" s="233" t="n">
        <v>46319</v>
      </c>
      <c r="L13" s="171" t="inlineStr">
        <is>
          <t>landslide, rockfall</t>
        </is>
      </c>
      <c r="M13" s="234" t="inlineStr">
        <is>
          <t>https://doi.org/10.1007/s10346-026-02861-3</t>
        </is>
      </c>
    </row>
    <row r="14" ht="53" customHeight="1">
      <c r="A14" s="159" t="n">
        <v>11</v>
      </c>
      <c r="B14" s="160" t="inlineStr">
        <is>
          <t>Stability analysis of geotextile tube tailings dams under inclined stacking: composite failure mechanism and oblique horizontal slice method</t>
        </is>
      </c>
      <c r="C14" s="176" t="inlineStr">
        <is>
          <t>Sustainability &amp; the Energy Transition</t>
        </is>
      </c>
      <c r="D14" s="162" t="n">
        <v>4</v>
      </c>
      <c r="E14" s="230" t="inlineStr">
        <is>
          <t>To review</t>
        </is>
      </c>
      <c r="F14" s="166" t="n"/>
      <c r="G14" s="167" t="inlineStr">
        <is>
          <t>A composite failure mechanism and slice method for geotextile tube tailings dams under inclined stacking provide a stability check that practitioners can use for tailings management.</t>
        </is>
      </c>
      <c r="H14" s="231" t="inlineStr">
        <is>
          <t>Acta Geotechnica</t>
        </is>
      </c>
      <c r="I14" s="232" t="inlineStr">
        <is>
          <t>Wu Z, Liu X et al.</t>
        </is>
      </c>
      <c r="J14" s="233" t="n">
        <v>46315</v>
      </c>
      <c r="K14" s="233" t="n">
        <v>46319</v>
      </c>
      <c r="L14" s="171" t="inlineStr">
        <is>
          <t>tailings, dam</t>
        </is>
      </c>
      <c r="M14" s="234" t="inlineStr">
        <is>
          <t>https://doi.org/10.1007/s11440-026-03261-6</t>
        </is>
      </c>
    </row>
    <row r="15" ht="53" customHeight="1">
      <c r="A15" s="159" t="n">
        <v>12</v>
      </c>
      <c r="B15" s="160" t="inlineStr">
        <is>
          <t>A unified experimental-numerical assessment of Cable, Pile, and Zone solid rockbolt models in FLAC3D: bond-slip, load transfer, and model selection</t>
        </is>
      </c>
      <c r="C15" s="181" t="inlineStr">
        <is>
          <t>Digital Geotechnics</t>
        </is>
      </c>
      <c r="D15" s="162" t="n">
        <v>4</v>
      </c>
      <c r="E15" s="230" t="inlineStr">
        <is>
          <t>To review</t>
        </is>
      </c>
      <c r="F15" s="166" t="n"/>
      <c r="G15" s="167" t="inlineStr">
        <is>
          <t>A combined experimental and numerical comparison of FLAC3D rockbolt models helps engineers select the appropriate bolt model and calibrate bond-slip parameters for support design.</t>
        </is>
      </c>
      <c r="H15" s="231" t="inlineStr">
        <is>
          <t>Computers and Geotechnics</t>
        </is>
      </c>
      <c r="I15" s="232" t="inlineStr">
        <is>
          <t>Chen J, Ma S, Yuan L</t>
        </is>
      </c>
      <c r="J15" s="233" t="n">
        <v>46315</v>
      </c>
      <c r="K15" s="233" t="n">
        <v>46319</v>
      </c>
      <c r="L15" s="171" t="inlineStr">
        <is>
          <t>pile</t>
        </is>
      </c>
      <c r="M15" s="234" t="inlineStr">
        <is>
          <t>https://doi.org/10.1016/j.compgeo.2026.108759</t>
        </is>
      </c>
    </row>
    <row r="16" ht="53" customHeight="1">
      <c r="A16" s="159" t="n">
        <v>13</v>
      </c>
      <c r="B16" s="160" t="inlineStr">
        <is>
          <t>Integrated seismic and electrical imaging with clustering for the hydro-mechanical screening of a high-altitude earthfill dam</t>
        </is>
      </c>
      <c r="C16" s="184" t="inlineStr">
        <is>
          <t>Characterisation &amp; Modelling</t>
        </is>
      </c>
      <c r="D16" s="162" t="n">
        <v>4</v>
      </c>
      <c r="E16" s="230" t="inlineStr">
        <is>
          <t>To review</t>
        </is>
      </c>
      <c r="F16" s="166" t="n"/>
      <c r="G16" s="167" t="inlineStr">
        <is>
          <t>Integrated seismic and electrical imaging with clustering offers a practical screening approach for assessing hydro-mechanical condition in earthfill dams.</t>
        </is>
      </c>
      <c r="H16" s="231" t="inlineStr">
        <is>
          <t>Engineering Geology</t>
        </is>
      </c>
      <c r="I16" s="232" t="inlineStr">
        <is>
          <t>Strallo V, Colombero C, Godio A</t>
        </is>
      </c>
      <c r="J16" s="233" t="n">
        <v>46315</v>
      </c>
      <c r="K16" s="233" t="n">
        <v>46319</v>
      </c>
      <c r="L16" s="171" t="inlineStr">
        <is>
          <t>dam</t>
        </is>
      </c>
      <c r="M16" s="234" t="inlineStr">
        <is>
          <t>https://doi.org/10.1016/j.enggeo.2026.109161</t>
        </is>
      </c>
    </row>
    <row r="17" ht="53" customHeight="1">
      <c r="A17" s="159" t="n">
        <v>14</v>
      </c>
      <c r="B17" s="160" t="inlineStr">
        <is>
          <t>Geophysical site characterization and scenario-based seismic hazard mapping with slope-based topographic amplification factors: case study of the hilltop Trakošćan castle, Croatia</t>
        </is>
      </c>
      <c r="C17" s="161" t="inlineStr">
        <is>
          <t>Hazards &amp; Resilience</t>
        </is>
      </c>
      <c r="D17" s="162" t="n">
        <v>4</v>
      </c>
      <c r="E17" s="230" t="inlineStr">
        <is>
          <t>To review</t>
        </is>
      </c>
      <c r="F17" s="166" t="n"/>
      <c r="G17" s="167" t="inlineStr">
        <is>
          <t>A case study combining geophysical characterisation with slope-based topographic amplification factors shows a practical workflow for seismic hazard mapping at hilltop sites.</t>
        </is>
      </c>
      <c r="H17" s="231" t="inlineStr">
        <is>
          <t>Engineering Geology</t>
        </is>
      </c>
      <c r="I17" s="232" t="inlineStr">
        <is>
          <t>Stanko D, Korbar T, Markušić S</t>
        </is>
      </c>
      <c r="J17" s="233" t="n">
        <v>46315</v>
      </c>
      <c r="K17" s="233" t="n">
        <v>46319</v>
      </c>
      <c r="L17" s="171" t="inlineStr">
        <is>
          <t>slope</t>
        </is>
      </c>
      <c r="M17" s="234" t="inlineStr">
        <is>
          <t>https://doi.org/10.1016/j.enggeo.2026.109162</t>
        </is>
      </c>
    </row>
    <row r="18" ht="53" customHeight="1">
      <c r="A18" s="159" t="n">
        <v>15</v>
      </c>
      <c r="B18" s="160" t="inlineStr">
        <is>
          <t>Evaluation of cyclic response of local subgrade materials in Thailand conforming to Chinese high-speed rail standard</t>
        </is>
      </c>
      <c r="C18" s="177" t="inlineStr">
        <is>
          <t>Infrastructure &amp; the Underground City</t>
        </is>
      </c>
      <c r="D18" s="162" t="n">
        <v>4</v>
      </c>
      <c r="E18" s="230" t="inlineStr">
        <is>
          <t>To review</t>
        </is>
      </c>
      <c r="F18" s="166" t="n"/>
      <c r="G18" s="167" t="inlineStr">
        <is>
          <t>Cyclic testing of Thai subgrade materials against Chinese high-speed rail standards gives engineers local performance data for railway subgrade design.</t>
        </is>
      </c>
      <c r="H18" s="231" t="inlineStr">
        <is>
          <t>Soil Dynamics and Earthquake Engineering</t>
        </is>
      </c>
      <c r="I18" s="232" t="inlineStr">
        <is>
          <t>Kaewdee N, Suddeepong A et al.</t>
        </is>
      </c>
      <c r="J18" s="233" t="n">
        <v>46315</v>
      </c>
      <c r="K18" s="233" t="n">
        <v>46319</v>
      </c>
      <c r="L18" s="171" t="n"/>
      <c r="M18" s="234" t="inlineStr">
        <is>
          <t>https://doi.org/10.1016/j.soildyn.2026.110756</t>
        </is>
      </c>
    </row>
    <row r="19" ht="53" customHeight="1">
      <c r="A19" s="159" t="n">
        <v>16</v>
      </c>
      <c r="B19" s="160" t="inlineStr">
        <is>
          <t>Data-driven approach for stability analysis of river embankments in Bengkulu City, Indonesia</t>
        </is>
      </c>
      <c r="C19" s="161" t="inlineStr">
        <is>
          <t>Hazards &amp; Resilience</t>
        </is>
      </c>
      <c r="D19" s="162" t="n">
        <v>3</v>
      </c>
      <c r="E19" s="230" t="inlineStr">
        <is>
          <t>To review</t>
        </is>
      </c>
      <c r="F19" s="166" t="n"/>
      <c r="G19" s="167" t="inlineStr">
        <is>
          <t>A data-driven stability tool for river embankments could give practitioners a quicker screening method for flood-prone levees, provided it is validated against local failure records.</t>
        </is>
      </c>
      <c r="H19" s="231" t="inlineStr">
        <is>
          <t>Bulletin of Engineering Geology and the Environment</t>
        </is>
      </c>
      <c r="I19" s="232" t="inlineStr">
        <is>
          <t>Apriadi AA, Mase LZ et al.</t>
        </is>
      </c>
      <c r="J19" s="233" t="n">
        <v>46321</v>
      </c>
      <c r="K19" s="233" t="n">
        <v>46321</v>
      </c>
      <c r="L19" s="171" t="inlineStr">
        <is>
          <t>embankment</t>
        </is>
      </c>
      <c r="M19" s="234" t="inlineStr">
        <is>
          <t>https://doi.org/10.1007/s10064-026-05359-3</t>
        </is>
      </c>
    </row>
    <row r="20" ht="65.5" customHeight="1">
      <c r="A20" s="159" t="n">
        <v>17</v>
      </c>
      <c r="B20" s="160" t="inlineStr">
        <is>
          <t>Origin, General Definition, and Implications of Cryosuction in Frozen Soil</t>
        </is>
      </c>
      <c r="C20" s="176" t="inlineStr">
        <is>
          <t>Sustainability &amp; the Energy Transition</t>
        </is>
      </c>
      <c r="D20" s="162" t="n">
        <v>3</v>
      </c>
      <c r="E20" s="230" t="inlineStr">
        <is>
          <t>To review</t>
        </is>
      </c>
      <c r="F20" s="166" t="n"/>
      <c r="G20" s="167" t="inlineStr">
        <is>
          <t>Explaining cryosuction thermodynamically clarifies moisture migration and frost heave mechanisms, which helps engineers judge ice lens risk in cold-region foundations and cut-off design.</t>
        </is>
      </c>
      <c r="H20" s="231" t="inlineStr">
        <is>
          <t>Journal of Geotechnical and Geoenvironmental Engineering</t>
        </is>
      </c>
      <c r="I20" s="232" t="inlineStr">
        <is>
          <t>Gou L, Likos WJ et al.</t>
        </is>
      </c>
      <c r="J20" s="233" t="n">
        <v>46321</v>
      </c>
      <c r="K20" s="233" t="n">
        <v>46321</v>
      </c>
      <c r="L20" s="171" t="inlineStr">
        <is>
          <t>soil</t>
        </is>
      </c>
      <c r="M20" s="234" t="inlineStr">
        <is>
          <t>https://doi.org/10.1061/jggefk.gteng-15318</t>
        </is>
      </c>
    </row>
    <row r="21" ht="53" customHeight="1">
      <c r="A21" s="159" t="n">
        <v>18</v>
      </c>
      <c r="B21" s="160" t="inlineStr">
        <is>
          <t>Eco-friendly urease-independent MICP through bio-stimulation of indigenous soil microorganisms for soil strength improvement: Potential involvement of carbonic anhydrase-associated processes</t>
        </is>
      </c>
      <c r="C21" s="185" t="inlineStr">
        <is>
          <t>Ground Improvement &amp; Innovation</t>
        </is>
      </c>
      <c r="D21" s="162" t="n">
        <v>3</v>
      </c>
      <c r="E21" s="230" t="inlineStr">
        <is>
          <t>To review</t>
        </is>
      </c>
      <c r="F21" s="166" t="n"/>
      <c r="G21" s="167" t="inlineStr">
        <is>
          <t>Stimulating native microbes to cement soil without added urease could make biological ground improvement more acceptable and easier to permit on real sites.</t>
        </is>
      </c>
      <c r="H21" s="231" t="inlineStr">
        <is>
          <t>Bulletin of Engineering Geology and the Environment</t>
        </is>
      </c>
      <c r="I21" s="232" t="inlineStr">
        <is>
          <t>Oulapour M, Ghezelbash GR, Rabeiazadeh M</t>
        </is>
      </c>
      <c r="J21" s="233" t="n">
        <v>46321</v>
      </c>
      <c r="K21" s="233" t="n">
        <v>46321</v>
      </c>
      <c r="L21" s="171" t="inlineStr">
        <is>
          <t>soil</t>
        </is>
      </c>
      <c r="M21" s="234" t="inlineStr">
        <is>
          <t>https://doi.org/10.1007/s10064-026-05357-5</t>
        </is>
      </c>
    </row>
    <row r="22" ht="53" customHeight="1">
      <c r="A22" s="159" t="n">
        <v>19</v>
      </c>
      <c r="B22" s="160" t="inlineStr">
        <is>
          <t>Surrogate models for forward simulation and inverse parameter identification using numerical cone penetration test data</t>
        </is>
      </c>
      <c r="C22" s="181" t="inlineStr">
        <is>
          <t>Digital Geotechnics</t>
        </is>
      </c>
      <c r="D22" s="162" t="n">
        <v>3</v>
      </c>
      <c r="E22" s="230" t="inlineStr">
        <is>
          <t>To review</t>
        </is>
      </c>
      <c r="F22" s="166" t="n"/>
      <c r="G22" s="167" t="inlineStr">
        <is>
          <t>Trained surrogate models can invert CPT data for soil parameters in seconds, offering a fast route to calibrating site-specific models from penetration records.</t>
        </is>
      </c>
      <c r="H22" s="231" t="inlineStr">
        <is>
          <t>Computers and Geotechnics</t>
        </is>
      </c>
      <c r="I22" s="232" t="inlineStr">
        <is>
          <t>Felić H, Wijaya AE et al.</t>
        </is>
      </c>
      <c r="J22" s="233" t="n">
        <v>46320</v>
      </c>
      <c r="K22" s="233" t="n">
        <v>46321</v>
      </c>
      <c r="L22" s="171" t="inlineStr">
        <is>
          <t>cone penetration</t>
        </is>
      </c>
      <c r="M22" s="234" t="inlineStr">
        <is>
          <t>https://doi.org/10.1016/j.compgeo.2026.108749</t>
        </is>
      </c>
    </row>
    <row r="23" ht="53" customHeight="1">
      <c r="A23" s="159" t="n">
        <v>20</v>
      </c>
      <c r="B23" s="160" t="inlineStr">
        <is>
          <t>Temperature-dependent swelling and compressibility behavior of microfiber-reinforced bentonite</t>
        </is>
      </c>
      <c r="C23" s="176" t="inlineStr">
        <is>
          <t>Sustainability &amp; the Energy Transition</t>
        </is>
      </c>
      <c r="D23" s="162" t="n">
        <v>3</v>
      </c>
      <c r="E23" s="230" t="inlineStr">
        <is>
          <t>To review</t>
        </is>
      </c>
      <c r="F23" s="166" t="n"/>
      <c r="G23" s="167" t="inlineStr">
        <is>
          <t>Data on how fibre-reinforced bentonite swells and compresses at elevated temperature informs buffer design for geological repositories where heat loads are significant.</t>
        </is>
      </c>
      <c r="H23" s="231" t="inlineStr">
        <is>
          <t>Acta Geotechnica</t>
        </is>
      </c>
      <c r="I23" s="232" t="inlineStr">
        <is>
          <t>Calaunan JMFV, Feng Y et al.</t>
        </is>
      </c>
      <c r="J23" s="233" t="n">
        <v>46320</v>
      </c>
      <c r="K23" s="233" t="n">
        <v>46321</v>
      </c>
      <c r="L23" s="171" t="n"/>
      <c r="M23" s="234" t="inlineStr">
        <is>
          <t>https://doi.org/10.1007/s11440-026-03269-y</t>
        </is>
      </c>
    </row>
    <row r="24" ht="65.5" customHeight="1">
      <c r="A24" s="159" t="n">
        <v>21</v>
      </c>
      <c r="B24" s="160" t="inlineStr">
        <is>
          <t>Energy-based machine learning models for predicting soil liquefaction potential</t>
        </is>
      </c>
      <c r="C24" s="161" t="inlineStr">
        <is>
          <t>Hazards &amp; Resilience</t>
        </is>
      </c>
      <c r="D24" s="162" t="n">
        <v>3</v>
      </c>
      <c r="E24" s="230" t="inlineStr">
        <is>
          <t>To review</t>
        </is>
      </c>
      <c r="F24" s="166" t="n"/>
      <c r="G24" s="167" t="inlineStr">
        <is>
          <t>Machine learning models trained on energy-based parameters could offer a quicker screening tool for liquefaction potential, though engineers should validate them against local case histories before relying on them.</t>
        </is>
      </c>
      <c r="H24" s="231" t="inlineStr">
        <is>
          <t>Computers and Geotechnics</t>
        </is>
      </c>
      <c r="I24" s="232" t="inlineStr">
        <is>
          <t>Zheng S, Xue X</t>
        </is>
      </c>
      <c r="J24" s="233" t="n">
        <v>46320</v>
      </c>
      <c r="K24" s="233" t="n">
        <v>46320</v>
      </c>
      <c r="L24" s="171" t="inlineStr">
        <is>
          <t>liquefaction, soil</t>
        </is>
      </c>
      <c r="M24" s="234" t="inlineStr">
        <is>
          <t>https://doi.org/10.1016/j.compgeo.2026.108768</t>
        </is>
      </c>
    </row>
    <row r="25" ht="65.5" customHeight="1">
      <c r="A25" s="159" t="n">
        <v>22</v>
      </c>
      <c r="B25" s="160" t="inlineStr">
        <is>
          <t>Particle-scale insights into sand deformation during open-ended pile installation using DIC and X-ray CT</t>
        </is>
      </c>
      <c r="C25" s="184" t="inlineStr">
        <is>
          <t>Characterisation &amp; Modelling</t>
        </is>
      </c>
      <c r="D25" s="162" t="n">
        <v>3</v>
      </c>
      <c r="E25" s="230" t="inlineStr">
        <is>
          <t>To review</t>
        </is>
      </c>
      <c r="F25" s="166" t="n"/>
      <c r="G25" s="167" t="inlineStr">
        <is>
          <t>Particle-scale imaging of sand around open-ended piles clarifies plugging and displacement mechanisms, offering evidence to refine installation and capacity design assumptions for pile engineers.</t>
        </is>
      </c>
      <c r="H25" s="231" t="inlineStr">
        <is>
          <t>Géotechnique</t>
        </is>
      </c>
      <c r="I25" s="232" t="inlineStr">
        <is>
          <t>Fridman DG, Stamati O et al.</t>
        </is>
      </c>
      <c r="J25" s="233" t="n">
        <v>46319</v>
      </c>
      <c r="K25" s="233" t="n">
        <v>46320</v>
      </c>
      <c r="L25" s="171" t="inlineStr">
        <is>
          <t>pile</t>
        </is>
      </c>
      <c r="M25" s="234" t="inlineStr">
        <is>
          <t>https://doi.org/10.1680/jgeot.25.00605</t>
        </is>
      </c>
    </row>
    <row r="26" ht="78" customHeight="1">
      <c r="A26" s="159" t="n">
        <v>23</v>
      </c>
      <c r="B26" s="160" t="inlineStr">
        <is>
          <t>Shaking table test of high-speed railway bridges with novel variable friction pendulum bearings</t>
        </is>
      </c>
      <c r="C26" s="161" t="inlineStr">
        <is>
          <t>Hazards &amp; Resilience</t>
        </is>
      </c>
      <c r="D26" s="162" t="n">
        <v>3</v>
      </c>
      <c r="E26" s="230" t="inlineStr">
        <is>
          <t>To review</t>
        </is>
      </c>
      <c r="F26" s="166" t="n"/>
      <c r="G26" s="167" t="inlineStr">
        <is>
          <t>Shaking table results for novel variable friction pendulum bearings on high-speed rail bridges give engineers tested seismic isolation performance data relevant to specifying bearings and foundation-structure interaction in earthquake regions.</t>
        </is>
      </c>
      <c r="H26" s="231" t="inlineStr">
        <is>
          <t>Soil Dynamics and Earthquake Engineering</t>
        </is>
      </c>
      <c r="I26" s="232" t="inlineStr">
        <is>
          <t>Xia X, Yang Z, Huang Y</t>
        </is>
      </c>
      <c r="J26" s="233" t="n">
        <v>46319</v>
      </c>
      <c r="K26" s="233" t="n">
        <v>46320</v>
      </c>
      <c r="L26" s="171" t="inlineStr">
        <is>
          <t>railway</t>
        </is>
      </c>
      <c r="M26" s="234" t="inlineStr">
        <is>
          <t>https://doi.org/10.1016/j.soildyn.2026.110782</t>
        </is>
      </c>
    </row>
    <row r="27" ht="53" customHeight="1">
      <c r="A27" s="159" t="n">
        <v>24</v>
      </c>
      <c r="B27" s="160" t="inlineStr">
        <is>
          <t>Influence of Fabric and Drying Shrinkage on Heat Transfer in Unsaturated Soils: Experimental and Microscale Numerical Study</t>
        </is>
      </c>
      <c r="C27" s="176" t="inlineStr">
        <is>
          <t>Sustainability &amp; the Energy Transition</t>
        </is>
      </c>
      <c r="D27" s="162" t="n">
        <v>3</v>
      </c>
      <c r="E27" s="230" t="inlineStr">
        <is>
          <t>To review</t>
        </is>
      </c>
      <c r="F27" s="166" t="n"/>
      <c r="G27" s="167" t="inlineStr">
        <is>
          <t>Findings on how fabric and drying shrinkage alter thermal conductivity help engineers of energy geostructures better estimate heat transfer in unsaturated soils.</t>
        </is>
      </c>
      <c r="H27" s="231" t="inlineStr">
        <is>
          <t>Journal of Geotechnical and Geoenvironmental Engineering</t>
        </is>
      </c>
      <c r="I27" s="232" t="inlineStr">
        <is>
          <t>Chen K, Liu K et al.</t>
        </is>
      </c>
      <c r="J27" s="233" t="n">
        <v>46318</v>
      </c>
      <c r="K27" s="233" t="n">
        <v>46319</v>
      </c>
      <c r="L27" s="171" t="inlineStr">
        <is>
          <t>clay, soil</t>
        </is>
      </c>
      <c r="M27" s="234" t="inlineStr">
        <is>
          <t>https://doi.org/10.1061/jggefk.gteng-15142</t>
        </is>
      </c>
    </row>
    <row r="28" ht="53" customHeight="1">
      <c r="A28" s="159" t="n">
        <v>25</v>
      </c>
      <c r="B28" s="160" t="inlineStr">
        <is>
          <t>Impact of spatial soil variability on landslide susceptibility using 3D probabilistic slope stability analysis</t>
        </is>
      </c>
      <c r="C28" s="161" t="inlineStr">
        <is>
          <t>Hazards &amp; Resilience</t>
        </is>
      </c>
      <c r="D28" s="162" t="n">
        <v>3</v>
      </c>
      <c r="E28" s="230" t="inlineStr">
        <is>
          <t>To review</t>
        </is>
      </c>
      <c r="F28" s="166" t="n"/>
      <c r="G28" s="167" t="inlineStr">
        <is>
          <t>3D probabilistic slope analysis shows how spatial soil variability changes landslide susceptibility, helping engineers judge when simple deterministic factors of safety are misleading.</t>
        </is>
      </c>
      <c r="H28" s="231" t="inlineStr">
        <is>
          <t>Georisk: Assessment and Management of Risk for Engineered Systems and Geohazards</t>
        </is>
      </c>
      <c r="I28" s="232" t="inlineStr">
        <is>
          <t>Oguz EA, Lacasse S</t>
        </is>
      </c>
      <c r="J28" s="233" t="n">
        <v>46317</v>
      </c>
      <c r="K28" s="233" t="n">
        <v>46319</v>
      </c>
      <c r="L28" s="171" t="inlineStr">
        <is>
          <t>landslide, slope stability, slope, soil</t>
        </is>
      </c>
      <c r="M28" s="234" t="inlineStr">
        <is>
          <t>https://doi.org/10.1080/17499518.2026.2750358</t>
        </is>
      </c>
    </row>
    <row r="29" ht="53" customHeight="1">
      <c r="A29" s="159" t="n">
        <v>26</v>
      </c>
      <c r="B29" s="160" t="inlineStr">
        <is>
          <t>Progressive soil collapse and tunnel-system response in an underground complex under varying excavation configurations</t>
        </is>
      </c>
      <c r="C29" s="177" t="inlineStr">
        <is>
          <t>Infrastructure &amp; the Underground City</t>
        </is>
      </c>
      <c r="D29" s="162" t="n">
        <v>3</v>
      </c>
      <c r="E29" s="230" t="inlineStr">
        <is>
          <t>To review</t>
        </is>
      </c>
      <c r="F29" s="166" t="n"/>
      <c r="G29" s="167" t="inlineStr">
        <is>
          <t>Numerical results on progressive soil collapse and tunnel-system response under different excavation sequences help designers of underground complexes assess staging risks.</t>
        </is>
      </c>
      <c r="H29" s="231" t="inlineStr">
        <is>
          <t>Tunnelling and Underground Space Technology</t>
        </is>
      </c>
      <c r="I29" s="232" t="inlineStr">
        <is>
          <t>Xiong H, Huang J et al.</t>
        </is>
      </c>
      <c r="J29" s="233" t="n">
        <v>46317</v>
      </c>
      <c r="K29" s="233" t="n">
        <v>46319</v>
      </c>
      <c r="L29" s="171" t="inlineStr">
        <is>
          <t>excavation, tunnel, collapse, soil</t>
        </is>
      </c>
      <c r="M29" s="234" t="inlineStr">
        <is>
          <t>https://doi.org/10.1016/j.tust.2026.108241</t>
        </is>
      </c>
    </row>
    <row r="30" ht="53" customHeight="1">
      <c r="A30" s="159" t="n">
        <v>27</v>
      </c>
      <c r="B30" s="160" t="inlineStr">
        <is>
          <t>Defining the chalk–shale boundary in intact rock samples for engineering geology practice</t>
        </is>
      </c>
      <c r="C30" s="184" t="inlineStr">
        <is>
          <t>Characterisation &amp; Modelling</t>
        </is>
      </c>
      <c r="D30" s="162" t="n">
        <v>3</v>
      </c>
      <c r="E30" s="230" t="inlineStr">
        <is>
          <t>To review</t>
        </is>
      </c>
      <c r="F30" s="166" t="n"/>
      <c r="G30" s="167" t="inlineStr">
        <is>
          <t>A method for defining the chalk–shale boundary in intact samples gives engineering geologists a clearer classification basis for site characterisation.</t>
        </is>
      </c>
      <c r="H30" s="231" t="inlineStr">
        <is>
          <t>Engineering Geology</t>
        </is>
      </c>
      <c r="I30" s="232" t="inlineStr">
        <is>
          <t>Gilad R, Hatzor YH</t>
        </is>
      </c>
      <c r="J30" s="233" t="n">
        <v>46317</v>
      </c>
      <c r="K30" s="233" t="n">
        <v>46319</v>
      </c>
      <c r="L30" s="171" t="inlineStr">
        <is>
          <t>engineering geology</t>
        </is>
      </c>
      <c r="M30" s="234" t="inlineStr">
        <is>
          <t>https://doi.org/10.1016/j.enggeo.2026.109168</t>
        </is>
      </c>
    </row>
    <row r="31" ht="53" customHeight="1">
      <c r="A31" s="159" t="n">
        <v>28</v>
      </c>
      <c r="B31" s="160" t="inlineStr">
        <is>
          <t>A nonlinear elastoplastic subloading surface model for rock under cyclic loading-unloading with application to compressed air energy storage cavern operation</t>
        </is>
      </c>
      <c r="C31" s="176" t="inlineStr">
        <is>
          <t>Sustainability &amp; the Energy Transition</t>
        </is>
      </c>
      <c r="D31" s="162" t="n">
        <v>3</v>
      </c>
      <c r="E31" s="230" t="inlineStr">
        <is>
          <t>To review</t>
        </is>
      </c>
      <c r="F31" s="166" t="n"/>
      <c r="G31" s="167" t="inlineStr">
        <is>
          <t>A subloading surface model for rock under cyclic loading supports compressed air energy storage cavern design by capturing the behaviour under repeated pressure cycles.</t>
        </is>
      </c>
      <c r="H31" s="231" t="inlineStr">
        <is>
          <t>Computers and Geotechnics</t>
        </is>
      </c>
      <c r="I31" s="232" t="inlineStr">
        <is>
          <t>Zhang H, Li G et al.</t>
        </is>
      </c>
      <c r="J31" s="233" t="n">
        <v>46316</v>
      </c>
      <c r="K31" s="233" t="n">
        <v>46319</v>
      </c>
      <c r="L31" s="171" t="n"/>
      <c r="M31" s="234" t="inlineStr">
        <is>
          <t>https://doi.org/10.1016/j.compgeo.2026.108765</t>
        </is>
      </c>
    </row>
    <row r="32" ht="65.5" customHeight="1">
      <c r="A32" s="159" t="n">
        <v>29</v>
      </c>
      <c r="B32" s="160" t="inlineStr">
        <is>
          <t>Probabilistic stability and progressive failure of pile-supported embankments under borehole-constrained stratigraphic uncertainty</t>
        </is>
      </c>
      <c r="C32" s="184" t="inlineStr">
        <is>
          <t>Characterisation &amp; Modelling</t>
        </is>
      </c>
      <c r="D32" s="162" t="n">
        <v>3</v>
      </c>
      <c r="E32" s="230" t="inlineStr">
        <is>
          <t>To review</t>
        </is>
      </c>
      <c r="F32" s="166" t="n"/>
      <c r="G32" s="167" t="inlineStr">
        <is>
          <t>Probabilistic progressive-failure analysis shows how borehole-limited stratigraphic uncertainty affects pile-supported embankment stability, supporting reliability-based site investigation decisions.</t>
        </is>
      </c>
      <c r="H32" s="231" t="inlineStr">
        <is>
          <t>Transportation Geotechnics</t>
        </is>
      </c>
      <c r="I32" s="232" t="inlineStr">
        <is>
          <t>Lv L, Zheng G et al.</t>
        </is>
      </c>
      <c r="J32" s="233" t="n">
        <v>46315</v>
      </c>
      <c r="K32" s="233" t="n">
        <v>46319</v>
      </c>
      <c r="L32" s="171" t="inlineStr">
        <is>
          <t>pile, embankment, borehole</t>
        </is>
      </c>
      <c r="M32" s="234" t="inlineStr">
        <is>
          <t>https://doi.org/10.1016/j.trgeo.2026.102482</t>
        </is>
      </c>
    </row>
    <row r="33" ht="53" customHeight="1">
      <c r="A33" s="159" t="n">
        <v>30</v>
      </c>
      <c r="B33" s="160" t="inlineStr">
        <is>
          <t>Large-Scale Flume Investigation of Pore Water Pressure Evolution under Wave–Soil–Structure Interaction</t>
        </is>
      </c>
      <c r="C33" s="179" t="inlineStr">
        <is>
          <t>Offshore, Coasts &amp; Water</t>
        </is>
      </c>
      <c r="D33" s="162" t="n">
        <v>3</v>
      </c>
      <c r="E33" s="230" t="inlineStr">
        <is>
          <t>To review</t>
        </is>
      </c>
      <c r="F33" s="166" t="n"/>
      <c r="G33" s="167" t="inlineStr">
        <is>
          <t>Flume tests show how solitary wave impact generates excess pore pressure and seepage gradients around foundations, informing scour and liquefaction checks for coastal structures.</t>
        </is>
      </c>
      <c r="H33" s="231" t="inlineStr">
        <is>
          <t>Journal of Geotechnical and Geoenvironmental Engineering</t>
        </is>
      </c>
      <c r="I33" s="232" t="inlineStr">
        <is>
          <t>Klait A, Mirghafouri S et al.</t>
        </is>
      </c>
      <c r="J33" s="233" t="n">
        <v>46315</v>
      </c>
      <c r="K33" s="233" t="n">
        <v>46319</v>
      </c>
      <c r="L33" s="171" t="inlineStr">
        <is>
          <t>liquefaction, foundation, soil</t>
        </is>
      </c>
      <c r="M33" s="234" t="inlineStr">
        <is>
          <t>https://doi.org/10.1061/jggefk.gteng-15428</t>
        </is>
      </c>
    </row>
    <row r="34" ht="53" customHeight="1">
      <c r="A34" s="159" t="n">
        <v>31</v>
      </c>
      <c r="B34" s="160" t="inlineStr">
        <is>
          <t>Digital technology and AI for climate-resilient underground infrastructure: Current advances and future directions</t>
        </is>
      </c>
      <c r="C34" s="181" t="inlineStr">
        <is>
          <t>Digital Geotechnics</t>
        </is>
      </c>
      <c r="D34" s="162" t="n">
        <v>3</v>
      </c>
      <c r="E34" s="230" t="inlineStr">
        <is>
          <t>To review</t>
        </is>
      </c>
      <c r="F34" s="166" t="n"/>
      <c r="G34" s="167" t="inlineStr">
        <is>
          <t>This review of digital and AI tools for climate-resilient underground infrastructure highlights practical technologies and gaps that owners and designers should track.</t>
        </is>
      </c>
      <c r="H34" s="231" t="inlineStr">
        <is>
          <t>Underground Space</t>
        </is>
      </c>
      <c r="I34" s="232" t="inlineStr">
        <is>
          <t>Heo S, Loy-Benitez J et al.</t>
        </is>
      </c>
      <c r="J34" s="233" t="n">
        <v>46315</v>
      </c>
      <c r="K34" s="233" t="n">
        <v>46319</v>
      </c>
      <c r="L34" s="171" t="n"/>
      <c r="M34" s="234" t="inlineStr">
        <is>
          <t>https://doi.org/10.1016/j.undsp.2026.09.005</t>
        </is>
      </c>
    </row>
  </sheetData>
  <conditionalFormatting sqref="E4:E34">
    <cfRule type="cellIs" priority="1" operator="equal" dxfId="16">
      <formula>"To review"</formula>
    </cfRule>
    <cfRule type="cellIs" priority="2" operator="equal" dxfId="17">
      <formula>"Shortlisted"</formula>
    </cfRule>
    <cfRule type="cellIs" priority="3" operator="equal" dxfId="18">
      <formula>"Commissioned"</formula>
    </cfRule>
    <cfRule type="cellIs" priority="4" operator="equal" dxfId="19">
      <formula>"Published"</formula>
    </cfRule>
    <cfRule type="cellIs" priority="5" operator="equal" dxfId="20">
      <formula>"Not used"</formula>
    </cfRule>
  </conditionalFormatting>
  <conditionalFormatting sqref="D4:D34">
    <cfRule type="cellIs" priority="6" operator="equal" dxfId="10">
      <formula>5</formula>
    </cfRule>
    <cfRule type="cellIs" priority="7" operator="equal" dxfId="11">
      <formula>4</formula>
    </cfRule>
    <cfRule type="cellIs" priority="8" operator="equal" dxfId="12">
      <formula>3</formula>
    </cfRule>
    <cfRule type="cellIs" priority="9" operator="equal" dxfId="13">
      <formula>2</formula>
    </cfRule>
    <cfRule type="cellIs" priority="10" operator="equal" dxfId="14">
      <formula>1</formula>
    </cfRule>
    <cfRule type="cellIs" priority="11" operator="equal" dxfId="15">
      <formula>0</formula>
    </cfRule>
  </conditionalFormatting>
  <dataValidations count="1">
    <dataValidation sqref="E4:E34" showDropDown="0" showInputMessage="0" showErrorMessage="1" allowBlank="1" errorTitle="Status" error="Choose a status from the list." type="list">
      <formula1>Lists!$E$2:$E$6</formula1>
    </dataValidation>
  </dataValidations>
  <hyperlinks>
    <hyperlink ref="C1" location="'Dashboard'!A1" display="← Dashboard"/>
    <hyperlink ref="D1" location="'Start here'!A1" display="↑ Start here"/>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 xmlns:r="http://schemas.openxmlformats.org/officeDocument/2006/relationships" ref="B22" r:id="rId19"/>
    <hyperlink xmlns:r="http://schemas.openxmlformats.org/officeDocument/2006/relationships" ref="B23" r:id="rId20"/>
    <hyperlink xmlns:r="http://schemas.openxmlformats.org/officeDocument/2006/relationships" ref="B24" r:id="rId21"/>
    <hyperlink xmlns:r="http://schemas.openxmlformats.org/officeDocument/2006/relationships" ref="B25" r:id="rId22"/>
    <hyperlink xmlns:r="http://schemas.openxmlformats.org/officeDocument/2006/relationships" ref="B26" r:id="rId23"/>
    <hyperlink xmlns:r="http://schemas.openxmlformats.org/officeDocument/2006/relationships" ref="B27" r:id="rId24"/>
    <hyperlink xmlns:r="http://schemas.openxmlformats.org/officeDocument/2006/relationships" ref="B28" r:id="rId25"/>
    <hyperlink xmlns:r="http://schemas.openxmlformats.org/officeDocument/2006/relationships" ref="B29" r:id="rId26"/>
    <hyperlink xmlns:r="http://schemas.openxmlformats.org/officeDocument/2006/relationships" ref="B30" r:id="rId27"/>
    <hyperlink xmlns:r="http://schemas.openxmlformats.org/officeDocument/2006/relationships" ref="B31" r:id="rId28"/>
    <hyperlink xmlns:r="http://schemas.openxmlformats.org/officeDocument/2006/relationships" ref="B32" r:id="rId29"/>
    <hyperlink xmlns:r="http://schemas.openxmlformats.org/officeDocument/2006/relationships" ref="B33" r:id="rId30"/>
    <hyperlink xmlns:r="http://schemas.openxmlformats.org/officeDocument/2006/relationships" ref="B34" r:id="rId31"/>
  </hyperlinks>
  <printOptions horizontalCentered="1"/>
  <pageMargins left="0.4" right="0.4" top="0.5" bottom="0.55" header="0.25" footer="0.25"/>
  <pageSetup orientation="landscape" paperSize="9" fitToHeight="0" fitToWidth="1"/>
  <headerFooter>
    <oddHeader/>
    <oddFooter>&amp;L&amp;"Arial"&amp;8 &amp;A&amp;R&amp;"Arial"&amp;8 Page &amp;P of &amp;N</oddFooter>
    <evenHeader/>
    <evenFooter/>
    <firstHeader/>
    <firstFooter/>
  </headerFooter>
  <tableParts count="1">
    <tablePart xmlns:r="http://schemas.openxmlformats.org/officeDocument/2006/relationships" r:id="rId32"/>
  </tableParts>
</worksheet>
</file>

<file path=xl/worksheets/sheet6.xml><?xml version="1.0" encoding="utf-8"?>
<worksheet xmlns="http://schemas.openxmlformats.org/spreadsheetml/2006/main">
  <sheetPr>
    <tabColor rgb="00D38B00"/>
    <outlinePr summaryBelow="1" summaryRight="1"/>
    <pageSetUpPr fitToPage="1"/>
  </sheetPr>
  <dimension ref="A1:I56"/>
  <sheetViews>
    <sheetView showGridLines="0" tabSelected="0" workbookViewId="0">
      <pane ySplit="3" topLeftCell="A4" activePane="bottomLeft" state="frozen"/>
      <selection pane="bottomLeft" activeCell="A1" sqref="A1"/>
    </sheetView>
  </sheetViews>
  <sheetFormatPr baseColWidth="8" defaultRowHeight="15"/>
  <cols>
    <col width="13" customWidth="1" min="1" max="1"/>
    <col width="10" customWidth="1" min="2" max="2"/>
    <col width="52" customWidth="1" min="3" max="3"/>
    <col width="19" customWidth="1" min="4" max="4"/>
    <col width="26" customWidth="1" min="5" max="5"/>
    <col width="22" customWidth="1" min="6" max="6"/>
    <col width="28" customWidth="1" min="7" max="7"/>
    <col width="34" customWidth="1" min="8" max="8"/>
    <col width="34" customWidth="1" min="9" max="9"/>
  </cols>
  <sheetData>
    <row r="1" ht="26" customHeight="1">
      <c r="A1" s="153" t="inlineStr">
        <is>
          <t>Events · 45 upcoming, 3 open deadlines</t>
        </is>
      </c>
      <c r="D1" s="154" t="inlineStr">
        <is>
          <t>← Dashboard</t>
        </is>
      </c>
      <c r="E1" s="154" t="inlineStr">
        <is>
          <t>↑ Start here</t>
        </is>
      </c>
    </row>
    <row r="2" ht="16" customHeight="1">
      <c r="A2" s="155" t="inlineStr">
        <is>
          <t>From the website's events calendar on 26 Oct 2026: ISSMGE conferences, other conferences, courses and webinars, kept by the editors (data/events.yaml) and found by the weekly refresh. Check the dates on each event's website before you publish them.</t>
        </is>
      </c>
    </row>
    <row r="4" ht="22" customHeight="1">
      <c r="A4" s="7" t="inlineStr">
        <is>
          <t>Open deadlines: calls for papers, registration (3)</t>
        </is>
      </c>
      <c r="B4" s="8" t="n"/>
      <c r="C4" s="8" t="n"/>
      <c r="D4" s="8" t="n"/>
      <c r="E4" s="8" t="n"/>
      <c r="F4" s="8" t="n"/>
      <c r="G4" s="8" t="n"/>
      <c r="H4" s="8" t="n"/>
      <c r="I4" s="8" t="n"/>
    </row>
    <row r="5" ht="20" customHeight="1">
      <c r="A5" s="72" t="inlineStr">
        <is>
          <t>Deadline</t>
        </is>
      </c>
      <c r="B5" s="72" t="inlineStr">
        <is>
          <t>Days left</t>
        </is>
      </c>
      <c r="C5" s="72" t="inlineStr">
        <is>
          <t>Event</t>
        </is>
      </c>
      <c r="D5" s="72" t="inlineStr">
        <is>
          <t>Kind</t>
        </is>
      </c>
      <c r="E5" s="72" t="inlineStr">
        <is>
          <t>Place</t>
        </is>
      </c>
      <c r="F5" s="72" t="inlineStr">
        <is>
          <t>Event dates</t>
        </is>
      </c>
      <c r="G5" s="72" t="inlineStr">
        <is>
          <t>Organiser</t>
        </is>
      </c>
      <c r="H5" s="72" t="inlineStr">
        <is>
          <t>What is due</t>
        </is>
      </c>
      <c r="I5" s="72" t="inlineStr">
        <is>
          <t>Website</t>
        </is>
      </c>
    </row>
    <row r="6" ht="55" customHeight="1">
      <c r="A6" s="235" t="n">
        <v>46367</v>
      </c>
      <c r="B6" s="236">
        <f>A6-TODAY()</f>
        <v/>
      </c>
      <c r="C6" s="231" t="inlineStr">
        <is>
          <t>11th European Conference on Numerical Methods in Geotechnical Engineering (NUMGE 2027)</t>
        </is>
      </c>
      <c r="D6" s="237" t="inlineStr">
        <is>
          <t>ISSMGE-supported</t>
        </is>
      </c>
      <c r="E6" s="167" t="inlineStr">
        <is>
          <t>Graz, Austria</t>
        </is>
      </c>
      <c r="F6" s="167" t="inlineStr">
        <is>
          <t>21–24 Sep 2027</t>
        </is>
      </c>
      <c r="G6" s="232" t="inlineStr">
        <is>
          <t>Institute of Soil Mechanics, Foundation Engineering and Computational Geotechnics, Graz University of Technology</t>
        </is>
      </c>
      <c r="H6" s="231" t="inlineStr">
        <is>
          <t>Notification of accepted abstracts</t>
        </is>
      </c>
      <c r="I6" s="238" t="inlineStr">
        <is>
          <t>https://www.issmge.org/events/numge2027</t>
        </is>
      </c>
    </row>
    <row r="7" ht="55" customHeight="1">
      <c r="A7" s="235" t="n">
        <v>46465</v>
      </c>
      <c r="B7" s="236">
        <f>A7-TODAY()</f>
        <v/>
      </c>
      <c r="C7" s="231" t="inlineStr">
        <is>
          <t>11th European Conference on Numerical Methods in Geotechnical Engineering (NUMGE 2027)</t>
        </is>
      </c>
      <c r="D7" s="237" t="inlineStr">
        <is>
          <t>ISSMGE-supported</t>
        </is>
      </c>
      <c r="E7" s="167" t="inlineStr">
        <is>
          <t>Graz, Austria</t>
        </is>
      </c>
      <c r="F7" s="167" t="inlineStr">
        <is>
          <t>21–24 Sep 2027</t>
        </is>
      </c>
      <c r="G7" s="232" t="inlineStr">
        <is>
          <t>Institute of Soil Mechanics, Foundation Engineering and Computational Geotechnics, Graz University of Technology</t>
        </is>
      </c>
      <c r="H7" s="231" t="inlineStr">
        <is>
          <t>Manuscripts</t>
        </is>
      </c>
      <c r="I7" s="238" t="inlineStr">
        <is>
          <t>https://www.issmge.org/events/numge2027</t>
        </is>
      </c>
    </row>
    <row r="8" ht="55" customHeight="1">
      <c r="A8" s="235" t="n">
        <v>46537</v>
      </c>
      <c r="B8" s="236">
        <f>A8-TODAY()</f>
        <v/>
      </c>
      <c r="C8" s="231" t="inlineStr">
        <is>
          <t>11th European Conference on Numerical Methods in Geotechnical Engineering (NUMGE 2027)</t>
        </is>
      </c>
      <c r="D8" s="237" t="inlineStr">
        <is>
          <t>ISSMGE-supported</t>
        </is>
      </c>
      <c r="E8" s="167" t="inlineStr">
        <is>
          <t>Graz, Austria</t>
        </is>
      </c>
      <c r="F8" s="167" t="inlineStr">
        <is>
          <t>21–24 Sep 2027</t>
        </is>
      </c>
      <c r="G8" s="232" t="inlineStr">
        <is>
          <t>Institute of Soil Mechanics, Foundation Engineering and Computational Geotechnics, Graz University of Technology</t>
        </is>
      </c>
      <c r="H8" s="231" t="inlineStr">
        <is>
          <t>Final papers</t>
        </is>
      </c>
      <c r="I8" s="238" t="inlineStr">
        <is>
          <t>https://www.issmge.org/events/numge2027</t>
        </is>
      </c>
    </row>
    <row r="10" ht="22" customHeight="1">
      <c r="A10" s="7" t="inlineStr">
        <is>
          <t>Upcoming events (45)</t>
        </is>
      </c>
      <c r="B10" s="8" t="n"/>
      <c r="C10" s="8" t="n"/>
      <c r="D10" s="8" t="n"/>
      <c r="E10" s="8" t="n"/>
      <c r="F10" s="8" t="n"/>
      <c r="G10" s="8" t="n"/>
      <c r="H10" s="8" t="n"/>
      <c r="I10" s="8" t="n"/>
    </row>
    <row r="11" ht="20" customHeight="1">
      <c r="A11" s="72" t="inlineStr">
        <is>
          <t>Starts</t>
        </is>
      </c>
      <c r="B11" s="72" t="inlineStr">
        <is>
          <t>ISSMGE</t>
        </is>
      </c>
      <c r="C11" s="72" t="inlineStr">
        <is>
          <t>Event</t>
        </is>
      </c>
      <c r="D11" s="72" t="inlineStr">
        <is>
          <t>Kind</t>
        </is>
      </c>
      <c r="E11" s="72" t="inlineStr">
        <is>
          <t>Place</t>
        </is>
      </c>
      <c r="F11" s="72" t="inlineStr">
        <is>
          <t>Dates</t>
        </is>
      </c>
      <c r="G11" s="72" t="inlineStr">
        <is>
          <t>Organiser</t>
        </is>
      </c>
      <c r="H11" s="72" t="inlineStr">
        <is>
          <t>Deadlines</t>
        </is>
      </c>
      <c r="I11" s="72" t="inlineStr">
        <is>
          <t>Website</t>
        </is>
      </c>
    </row>
    <row r="12" ht="30" customHeight="1">
      <c r="A12" s="235" t="n">
        <v>46321</v>
      </c>
      <c r="B12" s="239" t="n"/>
      <c r="C12" s="231" t="inlineStr">
        <is>
          <t>Slope Stability 2026 – Slope for Safety Performance – an ISRM Specialized Conference</t>
        </is>
      </c>
      <c r="D12" s="240" t="inlineStr">
        <is>
          <t>Other conference</t>
        </is>
      </c>
      <c r="E12" s="167" t="inlineStr">
        <is>
          <t>Lima, Peru</t>
        </is>
      </c>
      <c r="F12" s="167" t="inlineStr">
        <is>
          <t>26–29 Oct 2026</t>
        </is>
      </c>
      <c r="G12" s="232" t="inlineStr">
        <is>
          <t>ISRM</t>
        </is>
      </c>
      <c r="H12" s="232" t="n"/>
      <c r="I12" s="238" t="inlineStr">
        <is>
          <t>https://isrm.net/conference/show/6392</t>
        </is>
      </c>
    </row>
    <row r="13" ht="30" customHeight="1">
      <c r="A13" s="235" t="n">
        <v>46328</v>
      </c>
      <c r="B13" s="239" t="n"/>
      <c r="C13" s="231" t="inlineStr">
        <is>
          <t>DFI's 51st Annual Conference on Deep Foundations (DFI51)</t>
        </is>
      </c>
      <c r="D13" s="240" t="inlineStr">
        <is>
          <t>Other conference</t>
        </is>
      </c>
      <c r="E13" s="167" t="inlineStr">
        <is>
          <t>Orlando, United States</t>
        </is>
      </c>
      <c r="F13" s="167" t="inlineStr">
        <is>
          <t>2–5 Nov 2026</t>
        </is>
      </c>
      <c r="G13" s="232" t="inlineStr">
        <is>
          <t>Deep Foundations Institute (DFI)</t>
        </is>
      </c>
      <c r="H13" s="232" t="n"/>
      <c r="I13" s="238" t="inlineStr">
        <is>
          <t>https://dfi-events.org/dfi51/</t>
        </is>
      </c>
    </row>
    <row r="14" ht="42.5" customHeight="1">
      <c r="A14" s="235" t="n">
        <v>46330</v>
      </c>
      <c r="B14" s="239" t="n"/>
      <c r="C14" s="231" t="inlineStr">
        <is>
          <t>2026 Geotechnical Engineering Proceedings Lecture: Strains in sprayed concrete tunnel linings at Heathrow Terminal 4 and back-calculation of stress</t>
        </is>
      </c>
      <c r="D14" s="241" t="inlineStr">
        <is>
          <t>Course / webinar</t>
        </is>
      </c>
      <c r="E14" s="167" t="inlineStr">
        <is>
          <t>London, United Kingdom</t>
        </is>
      </c>
      <c r="F14" s="167" t="inlineStr">
        <is>
          <t>4 Nov 2026</t>
        </is>
      </c>
      <c r="G14" s="232" t="inlineStr">
        <is>
          <t>British Geotechnical Association (BGA)</t>
        </is>
      </c>
      <c r="H14" s="232" t="n"/>
      <c r="I14" s="238" t="inlineStr">
        <is>
          <t>https://www.britishgeotech.org/event/the-2026-geotechnical-engineering-proceedings-lecture-strains-in-sprayed-concrete-tunnel-linings-at-heathrow-terminal-4-and-back-calculation-of-stress/</t>
        </is>
      </c>
    </row>
    <row r="15" ht="30" customHeight="1">
      <c r="A15" s="235" t="n">
        <v>46330</v>
      </c>
      <c r="B15" s="239" t="inlineStr">
        <is>
          <t>ISSMGE</t>
        </is>
      </c>
      <c r="C15" s="231" t="inlineStr">
        <is>
          <t>International Conference on Performance-Based Design in Earthquake Geotechnical Engineering (PBD-V 2026)</t>
        </is>
      </c>
      <c r="D15" s="237" t="inlineStr">
        <is>
          <t>ISSMGE-supported</t>
        </is>
      </c>
      <c r="E15" s="167" t="inlineStr">
        <is>
          <t>Puerto Varas, Chile</t>
        </is>
      </c>
      <c r="F15" s="167" t="inlineStr">
        <is>
          <t>4–6 Nov 2026</t>
        </is>
      </c>
      <c r="G15" s="232" t="n"/>
      <c r="H15" s="232" t="n"/>
      <c r="I15" s="238" t="inlineStr">
        <is>
          <t>https://www.issmge.org/events/pbd-v-conference-2026</t>
        </is>
      </c>
    </row>
    <row r="16" ht="30" customHeight="1">
      <c r="A16" s="235" t="n">
        <v>46336</v>
      </c>
      <c r="B16" s="239" t="n"/>
      <c r="C16" s="231" t="inlineStr">
        <is>
          <t>BGA ECG Advanced Laboratory Testing &amp; Dynamic Behaviour of Soils</t>
        </is>
      </c>
      <c r="D16" s="241" t="inlineStr">
        <is>
          <t>Course / webinar</t>
        </is>
      </c>
      <c r="E16" s="167" t="inlineStr">
        <is>
          <t>Online</t>
        </is>
      </c>
      <c r="F16" s="167" t="inlineStr">
        <is>
          <t>10 Nov 2026</t>
        </is>
      </c>
      <c r="G16" s="232" t="inlineStr">
        <is>
          <t>BGA Early Career Group</t>
        </is>
      </c>
      <c r="H16" s="232" t="n"/>
      <c r="I16" s="238" t="inlineStr">
        <is>
          <t>https://www.britishgeotech.org/event/bga-ecg-advanced-laboratory-testing-dynamic-behaviour-of-soils/</t>
        </is>
      </c>
    </row>
    <row r="17" ht="17.5" customHeight="1">
      <c r="A17" s="235" t="n">
        <v>46336</v>
      </c>
      <c r="B17" s="239" t="n"/>
      <c r="C17" s="231" t="inlineStr">
        <is>
          <t>ITACET Lunchtime Lecture Series #60</t>
        </is>
      </c>
      <c r="D17" s="241" t="inlineStr">
        <is>
          <t>Course / webinar</t>
        </is>
      </c>
      <c r="E17" s="167" t="n"/>
      <c r="F17" s="167" t="inlineStr">
        <is>
          <t>10 Nov 2026</t>
        </is>
      </c>
      <c r="G17" s="232" t="inlineStr">
        <is>
          <t>ITA-AITES / ITACET Foundation</t>
        </is>
      </c>
      <c r="H17" s="232" t="n"/>
      <c r="I17" s="238" t="inlineStr">
        <is>
          <t>https://about.ita-aites.org/future-events/2671/itacet-lunchtime-lecture-series-60?tmpl=component</t>
        </is>
      </c>
    </row>
    <row r="18" ht="42.5" customHeight="1">
      <c r="A18" s="235" t="n">
        <v>46336</v>
      </c>
      <c r="B18" s="239" t="inlineStr">
        <is>
          <t>ISSMGE</t>
        </is>
      </c>
      <c r="C18" s="231" t="inlineStr">
        <is>
          <t>Woh Hup Distinguished Lecture by Prof. Kenichi Soga</t>
        </is>
      </c>
      <c r="D18" s="241" t="inlineStr">
        <is>
          <t>Course / webinar</t>
        </is>
      </c>
      <c r="E18" s="167" t="n"/>
      <c r="F18" s="167" t="inlineStr">
        <is>
          <t>10 Nov 2026</t>
        </is>
      </c>
      <c r="G18" s="232" t="inlineStr">
        <is>
          <t>National University of Singapore, co-organised by ISSMGE TC207</t>
        </is>
      </c>
      <c r="H18" s="232" t="n"/>
      <c r="I18" s="238" t="inlineStr">
        <is>
          <t>https://www.issmge.org/news/distinguished-lecture-by-prof-kenichi-soga-co-organised-by-issmge-tc207-10-nov-2026</t>
        </is>
      </c>
    </row>
    <row r="19" ht="42.5" customHeight="1">
      <c r="A19" s="235" t="n">
        <v>46338</v>
      </c>
      <c r="B19" s="239" t="n"/>
      <c r="C19" s="231" t="inlineStr">
        <is>
          <t>10th Conference of the Croatian Geotechnical Society: Geotechnical Engineering in Soft Rocks and Heterogeneous Rock Masses – an ISRM Specialized Conference</t>
        </is>
      </c>
      <c r="D19" s="240" t="inlineStr">
        <is>
          <t>Other conference</t>
        </is>
      </c>
      <c r="E19" s="167" t="inlineStr">
        <is>
          <t>Split, Croatia</t>
        </is>
      </c>
      <c r="F19" s="167" t="inlineStr">
        <is>
          <t>12–14 Nov 2026</t>
        </is>
      </c>
      <c r="G19" s="232" t="inlineStr">
        <is>
          <t>Croatian Geotechnical Society</t>
        </is>
      </c>
      <c r="H19" s="232" t="n"/>
      <c r="I19" s="238" t="inlineStr">
        <is>
          <t>https://isrm.net/conference/show/6404</t>
        </is>
      </c>
    </row>
    <row r="20" ht="17.5" customHeight="1">
      <c r="A20" s="235" t="n">
        <v>46338</v>
      </c>
      <c r="B20" s="239" t="n"/>
      <c r="C20" s="231" t="inlineStr">
        <is>
          <t>Tunnel Turkey 2026</t>
        </is>
      </c>
      <c r="D20" s="240" t="inlineStr">
        <is>
          <t>Other conference</t>
        </is>
      </c>
      <c r="E20" s="167" t="inlineStr">
        <is>
          <t>Türkiye</t>
        </is>
      </c>
      <c r="F20" s="167" t="inlineStr">
        <is>
          <t>12 Nov 2026</t>
        </is>
      </c>
      <c r="G20" s="232" t="n"/>
      <c r="H20" s="232" t="n"/>
      <c r="I20" s="238" t="inlineStr">
        <is>
          <t>https://about.ita-aites.org/future-events/2558/tunnel-turkey-2026?tmpl=component</t>
        </is>
      </c>
    </row>
    <row r="21" ht="30" customHeight="1">
      <c r="A21" s="235" t="n">
        <v>46343</v>
      </c>
      <c r="B21" s="239" t="n"/>
      <c r="C21" s="231" t="inlineStr">
        <is>
          <t>BGA Touring Lecture – Beyond Automation: Responsible AI Workflows in Geotechnical Modelling and Monitoring</t>
        </is>
      </c>
      <c r="D21" s="241" t="inlineStr">
        <is>
          <t>Course / webinar</t>
        </is>
      </c>
      <c r="E21" s="167" t="inlineStr">
        <is>
          <t>Leeds, United Kingdom</t>
        </is>
      </c>
      <c r="F21" s="167" t="inlineStr">
        <is>
          <t>17–19 Nov 2026</t>
        </is>
      </c>
      <c r="G21" s="232" t="inlineStr">
        <is>
          <t>British Geotechnical Association (BGA)</t>
        </is>
      </c>
      <c r="H21" s="232" t="n"/>
      <c r="I21" s="238" t="inlineStr">
        <is>
          <t>https://www.britishgeotech.org/event/bga-touring-lecture-beyond-automation-responsible-ai-workflows-in-geotechnical-modelling-and-monitoring/</t>
        </is>
      </c>
    </row>
    <row r="22" ht="55" customHeight="1">
      <c r="A22" s="235" t="n">
        <v>46348</v>
      </c>
      <c r="B22" s="239" t="n"/>
      <c r="C22" s="231" t="inlineStr">
        <is>
          <t>ARMS14 – 14th Asian Rock Mechanics Symposium – Rock Mechanics for the Next Generation – Innovations, Sustainability, and Resilience – the 2026 ISRM International Symposium</t>
        </is>
      </c>
      <c r="D22" s="240" t="inlineStr">
        <is>
          <t>Other conference</t>
        </is>
      </c>
      <c r="E22" s="167" t="inlineStr">
        <is>
          <t>Fukuoka, Japan</t>
        </is>
      </c>
      <c r="F22" s="167" t="inlineStr">
        <is>
          <t>22–26 Nov 2026</t>
        </is>
      </c>
      <c r="G22" s="232" t="inlineStr">
        <is>
          <t>ISRM</t>
        </is>
      </c>
      <c r="H22" s="232" t="n"/>
      <c r="I22" s="238" t="inlineStr">
        <is>
          <t>https://isrm.net/conference/show/6382</t>
        </is>
      </c>
    </row>
    <row r="23" ht="17.5" customHeight="1">
      <c r="A23" s="235" t="n">
        <v>46352</v>
      </c>
      <c r="B23" s="239" t="n"/>
      <c r="C23" s="231" t="inlineStr">
        <is>
          <t>Italian Underground Conference / Congress</t>
        </is>
      </c>
      <c r="D23" s="240" t="inlineStr">
        <is>
          <t>Other conference</t>
        </is>
      </c>
      <c r="E23" s="167" t="n"/>
      <c r="F23" s="167" t="inlineStr">
        <is>
          <t>26 Nov 2026</t>
        </is>
      </c>
      <c r="G23" s="232" t="n"/>
      <c r="H23" s="232" t="n"/>
      <c r="I23" s="238" t="inlineStr">
        <is>
          <t>https://about.ita-aites.org/future-events/2652/italian-underground-conference-congress?tmpl=component</t>
        </is>
      </c>
    </row>
    <row r="24" ht="42.5" customHeight="1">
      <c r="A24" s="235" t="n">
        <v>46352</v>
      </c>
      <c r="B24" s="239" t="inlineStr">
        <is>
          <t>ISSMGE</t>
        </is>
      </c>
      <c r="C24" s="231" t="inlineStr">
        <is>
          <t>The 6th International Conference on Geotechnics for Sustainable Infrastructure Development (GEOTEC HANOI 2026)</t>
        </is>
      </c>
      <c r="D24" s="237" t="inlineStr">
        <is>
          <t>ISSMGE-supported</t>
        </is>
      </c>
      <c r="E24" s="167" t="inlineStr">
        <is>
          <t>Hanoi, Vietnam</t>
        </is>
      </c>
      <c r="F24" s="167" t="inlineStr">
        <is>
          <t>26 Nov 2026</t>
        </is>
      </c>
      <c r="G24" s="232" t="n"/>
      <c r="H24" s="232" t="n"/>
      <c r="I24" s="238" t="inlineStr">
        <is>
          <t>https://www.issmge.org/events/geotec-hanoi-2026-gh2026</t>
        </is>
      </c>
    </row>
    <row r="25" ht="30" customHeight="1">
      <c r="A25" s="235" t="n">
        <v>46357</v>
      </c>
      <c r="B25" s="239" t="n"/>
      <c r="C25" s="231" t="inlineStr">
        <is>
          <t>BGA Fleming Award Event 2026</t>
        </is>
      </c>
      <c r="D25" s="241" t="inlineStr">
        <is>
          <t>Course / webinar</t>
        </is>
      </c>
      <c r="E25" s="167" t="inlineStr">
        <is>
          <t>London, United Kingdom</t>
        </is>
      </c>
      <c r="F25" s="167" t="inlineStr">
        <is>
          <t>1 Dec 2026</t>
        </is>
      </c>
      <c r="G25" s="232" t="inlineStr">
        <is>
          <t>British Geotechnical Association (BGA)</t>
        </is>
      </c>
      <c r="H25" s="232" t="n"/>
      <c r="I25" s="238" t="inlineStr">
        <is>
          <t>https://www.britishgeotech.org/event/bga-fleming-award-event-2026/</t>
        </is>
      </c>
    </row>
    <row r="26" ht="30" customHeight="1">
      <c r="A26" s="235" t="n">
        <v>46359</v>
      </c>
      <c r="B26" s="239" t="n"/>
      <c r="C26" s="231" t="inlineStr">
        <is>
          <t>TUNNELLING ASIA 2026: International Conference &amp; Exhibition</t>
        </is>
      </c>
      <c r="D26" s="240" t="inlineStr">
        <is>
          <t>Other conference</t>
        </is>
      </c>
      <c r="E26" s="167" t="n"/>
      <c r="F26" s="167" t="inlineStr">
        <is>
          <t>3 Dec 2026</t>
        </is>
      </c>
      <c r="G26" s="232" t="n"/>
      <c r="H26" s="232" t="n"/>
      <c r="I26" s="238" t="inlineStr">
        <is>
          <t>https://about.ita-aites.org/future-events/2654/tunnelling-asia-2026-international-conference-exhibition?tmpl=component</t>
        </is>
      </c>
    </row>
    <row r="27" ht="30" customHeight="1">
      <c r="A27" s="235" t="n">
        <v>46363</v>
      </c>
      <c r="B27" s="239" t="n"/>
      <c r="C27" s="231" t="inlineStr">
        <is>
          <t>World Tunnel Day 2026 – ITAym</t>
        </is>
      </c>
      <c r="D27" s="241" t="inlineStr">
        <is>
          <t>Course / webinar</t>
        </is>
      </c>
      <c r="E27" s="167" t="n"/>
      <c r="F27" s="167" t="inlineStr">
        <is>
          <t>7 Dec 2026</t>
        </is>
      </c>
      <c r="G27" s="232" t="inlineStr">
        <is>
          <t>ITA-AITES Young Members (ITAym)</t>
        </is>
      </c>
      <c r="H27" s="232" t="n"/>
      <c r="I27" s="238" t="inlineStr">
        <is>
          <t>https://about.ita-aites.org/future-events/2658/world-tunnel-day-2026-itaym?tmpl=component</t>
        </is>
      </c>
    </row>
    <row r="28" ht="30" customHeight="1">
      <c r="A28" s="235" t="n">
        <v>46364</v>
      </c>
      <c r="B28" s="239" t="inlineStr">
        <is>
          <t>ISSMGE</t>
        </is>
      </c>
      <c r="C28" s="231" t="inlineStr">
        <is>
          <t>Colloque National sur la Géotechnique (National Colloquium on Geotechnics)</t>
        </is>
      </c>
      <c r="D28" s="237" t="inlineStr">
        <is>
          <t>ISSMGE-supported</t>
        </is>
      </c>
      <c r="E28" s="167" t="inlineStr">
        <is>
          <t>Marrakech, Morocco</t>
        </is>
      </c>
      <c r="F28" s="167" t="inlineStr">
        <is>
          <t>8 Dec 2026</t>
        </is>
      </c>
      <c r="G28" s="232" t="n"/>
      <c r="H28" s="232" t="n"/>
      <c r="I28" s="238" t="inlineStr">
        <is>
          <t>https://www.issmge.org/events/colloque-national-sur-la-gotechnique</t>
        </is>
      </c>
    </row>
    <row r="29" ht="17.5" customHeight="1">
      <c r="A29" s="235" t="n">
        <v>46366</v>
      </c>
      <c r="B29" s="239" t="n"/>
      <c r="C29" s="231" t="inlineStr">
        <is>
          <t>Nepal Tunnelling Conference 2026</t>
        </is>
      </c>
      <c r="D29" s="240" t="inlineStr">
        <is>
          <t>Other conference</t>
        </is>
      </c>
      <c r="E29" s="167" t="inlineStr">
        <is>
          <t>Nepal</t>
        </is>
      </c>
      <c r="F29" s="167" t="inlineStr">
        <is>
          <t>10 Dec 2026</t>
        </is>
      </c>
      <c r="G29" s="232" t="n"/>
      <c r="H29" s="232" t="n"/>
      <c r="I29" s="238" t="inlineStr">
        <is>
          <t>https://about.ita-aites.org/future-events/2666/nepal-tunnelling-conference-2026?tmpl=component</t>
        </is>
      </c>
    </row>
    <row r="30" ht="30" customHeight="1">
      <c r="A30" s="235" t="n">
        <v>46406</v>
      </c>
      <c r="B30" s="239" t="n"/>
      <c r="C30" s="231" t="inlineStr">
        <is>
          <t>Underground Construction Association (UCA) 2027 George A. Fox Conference</t>
        </is>
      </c>
      <c r="D30" s="240" t="inlineStr">
        <is>
          <t>Other conference</t>
        </is>
      </c>
      <c r="E30" s="167" t="inlineStr">
        <is>
          <t>New York, United States</t>
        </is>
      </c>
      <c r="F30" s="167" t="inlineStr">
        <is>
          <t>19 Jan 2027</t>
        </is>
      </c>
      <c r="G30" s="232" t="inlineStr">
        <is>
          <t>Underground Construction Association (UCA)</t>
        </is>
      </c>
      <c r="H30" s="232" t="n"/>
      <c r="I30" s="238" t="inlineStr">
        <is>
          <t>https://about.ita-aites.org/future-events/2656/underground-construction-association-uca-2027-george-a-fox-conference?tmpl=component</t>
        </is>
      </c>
    </row>
    <row r="31" ht="42.5" customHeight="1">
      <c r="A31" s="235" t="n">
        <v>46428</v>
      </c>
      <c r="B31" s="239" t="inlineStr">
        <is>
          <t>ISSMGE</t>
        </is>
      </c>
      <c r="C31" s="231" t="inlineStr">
        <is>
          <t>The III International Research and Practical Conference "Geotechnical Engineering in Cold Regions. The Basis of Infrastructure Safety in Global Changes"</t>
        </is>
      </c>
      <c r="D31" s="237" t="inlineStr">
        <is>
          <t>ISSMGE-supported</t>
        </is>
      </c>
      <c r="E31" s="167" t="inlineStr">
        <is>
          <t>Moscow, Russia</t>
        </is>
      </c>
      <c r="F31" s="167" t="inlineStr">
        <is>
          <t>10–12 Feb 2027</t>
        </is>
      </c>
      <c r="G31" s="232" t="n"/>
      <c r="H31" s="232" t="n"/>
      <c r="I31" s="238" t="inlineStr">
        <is>
          <t>https://www.issmge.org/events/the-iii-international-research-and-practical-conference-on-geotechnical-engineering-in-cold-regions-the-basis-of-infrastructure-safety-in-global-changes</t>
        </is>
      </c>
    </row>
    <row r="32" ht="17.5" customHeight="1">
      <c r="A32" s="235" t="n">
        <v>46447</v>
      </c>
      <c r="B32" s="239" t="n"/>
      <c r="C32" s="231" t="inlineStr">
        <is>
          <t>Geo-Congress 2027, part of ASCE2027</t>
        </is>
      </c>
      <c r="D32" s="240" t="inlineStr">
        <is>
          <t>Other conference</t>
        </is>
      </c>
      <c r="E32" s="167" t="inlineStr">
        <is>
          <t>Philadelphia, United States</t>
        </is>
      </c>
      <c r="F32" s="167" t="inlineStr">
        <is>
          <t>1–5 Mar 2027</t>
        </is>
      </c>
      <c r="G32" s="232" t="inlineStr">
        <is>
          <t>ASCE Geo-Institute</t>
        </is>
      </c>
      <c r="H32" s="232" t="inlineStr">
        <is>
          <t>Abstracts: 4 Mar 2026 (passed)</t>
        </is>
      </c>
      <c r="I32" s="238" t="inlineStr">
        <is>
          <t>https://geoinstitute.org/news/call-abstract-geo-congress-2027-part-asce2027</t>
        </is>
      </c>
    </row>
    <row r="33" ht="42.5" customHeight="1">
      <c r="A33" s="235" t="n">
        <v>46463</v>
      </c>
      <c r="B33" s="239" t="n"/>
      <c r="C33" s="231" t="inlineStr">
        <is>
          <t>7th International Conference on Grouting and Deep Mixing (Grout27)</t>
        </is>
      </c>
      <c r="D33" s="240" t="inlineStr">
        <is>
          <t>Other conference</t>
        </is>
      </c>
      <c r="E33" s="167" t="n"/>
      <c r="F33" s="167" t="inlineStr">
        <is>
          <t>17–19 Mar 2027</t>
        </is>
      </c>
      <c r="G33" s="232" t="inlineStr">
        <is>
          <t>Deep Foundations Institute (DFI) with the International Conference on Grouting (ICOG)</t>
        </is>
      </c>
      <c r="H33" s="232" t="n"/>
      <c r="I33" s="238" t="inlineStr">
        <is>
          <t>https://dfi-events.org/grout27/</t>
        </is>
      </c>
    </row>
    <row r="34" ht="30" customHeight="1">
      <c r="A34" s="235" t="n">
        <v>46463</v>
      </c>
      <c r="B34" s="239" t="inlineStr">
        <is>
          <t>ISSMGE</t>
        </is>
      </c>
      <c r="C34" s="231" t="inlineStr">
        <is>
          <t>GeoMandu 2027, 11th AYGEC and 1st SACG: Mountain Geotechnics for Infrastructure Development</t>
        </is>
      </c>
      <c r="D34" s="237" t="inlineStr">
        <is>
          <t>ISSMGE-supported</t>
        </is>
      </c>
      <c r="E34" s="167" t="inlineStr">
        <is>
          <t>Kathmandu, Nepal</t>
        </is>
      </c>
      <c r="F34" s="167" t="inlineStr">
        <is>
          <t>17 Mar 2027</t>
        </is>
      </c>
      <c r="G34" s="232" t="n"/>
      <c r="H34" s="232" t="n"/>
      <c r="I34" s="238" t="inlineStr">
        <is>
          <t>https://www.issmge.org/events/geomandu-2027-11th-aygec-and-1st-sacg-mountain-geotechnics-for-infrastructure-development</t>
        </is>
      </c>
    </row>
    <row r="35" ht="30" customHeight="1">
      <c r="A35" s="235" t="n">
        <v>46489</v>
      </c>
      <c r="B35" s="239" t="inlineStr">
        <is>
          <t>ISSMGE</t>
        </is>
      </c>
      <c r="C35" s="231" t="inlineStr">
        <is>
          <t>2nd International Symposium on Ground Improvement (IS-GI 2027)</t>
        </is>
      </c>
      <c r="D35" s="237" t="inlineStr">
        <is>
          <t>ISSMGE-supported</t>
        </is>
      </c>
      <c r="E35" s="167" t="inlineStr">
        <is>
          <t>Lyon, France</t>
        </is>
      </c>
      <c r="F35" s="167" t="inlineStr">
        <is>
          <t>12–14 Apr 2027</t>
        </is>
      </c>
      <c r="G35" s="232" t="inlineStr">
        <is>
          <t>ISSMGE TC211</t>
        </is>
      </c>
      <c r="H35" s="232" t="inlineStr">
        <is>
          <t>Abstracts: 15 May 2026 (passed)</t>
        </is>
      </c>
      <c r="I35" s="238" t="inlineStr">
        <is>
          <t>https://www.issmge.org/news/2nd-is-gi-2027-lyon-call-for-abstracts</t>
        </is>
      </c>
    </row>
    <row r="36" ht="17.5" customHeight="1">
      <c r="A36" s="235" t="n">
        <v>46497</v>
      </c>
      <c r="B36" s="239" t="n"/>
      <c r="C36" s="231" t="inlineStr">
        <is>
          <t>Young Professionals Think Deep Programme – Antwerp</t>
        </is>
      </c>
      <c r="D36" s="241" t="inlineStr">
        <is>
          <t>Course / webinar</t>
        </is>
      </c>
      <c r="E36" s="167" t="inlineStr">
        <is>
          <t>Antwerp, Belgium</t>
        </is>
      </c>
      <c r="F36" s="167" t="inlineStr">
        <is>
          <t>20 Apr 2027</t>
        </is>
      </c>
      <c r="G36" s="232" t="inlineStr">
        <is>
          <t>ITA-AITES</t>
        </is>
      </c>
      <c r="H36" s="232" t="n"/>
      <c r="I36" s="238" t="inlineStr">
        <is>
          <t>https://about.ita-aites.org/future-events/2665/young-professionals-think-deep-programme-antwerp?tmpl=component</t>
        </is>
      </c>
    </row>
    <row r="37" ht="30" customHeight="1">
      <c r="A37" s="235" t="n">
        <v>46500</v>
      </c>
      <c r="B37" s="239" t="n"/>
      <c r="C37" s="231" t="inlineStr">
        <is>
          <t>ITA-AITES World Tunnel Congress 2027 (WTC 2027)</t>
        </is>
      </c>
      <c r="D37" s="240" t="inlineStr">
        <is>
          <t>Other conference</t>
        </is>
      </c>
      <c r="E37" s="167" t="inlineStr">
        <is>
          <t>Antwerp, Belgium</t>
        </is>
      </c>
      <c r="F37" s="167" t="inlineStr">
        <is>
          <t>23–29 Apr 2027</t>
        </is>
      </c>
      <c r="G37" s="232" t="inlineStr">
        <is>
          <t>ITA-AITES with the Belgian Tunnel Association</t>
        </is>
      </c>
      <c r="H37" s="232" t="inlineStr">
        <is>
          <t>Abstracts: 10 Jun 2026 (passed)</t>
        </is>
      </c>
      <c r="I37" s="238" t="inlineStr">
        <is>
          <t>https://about.ita-aites.org/future-events/2350/world-tunnel-congress-wtc-2027</t>
        </is>
      </c>
    </row>
    <row r="38" ht="30" customHeight="1">
      <c r="A38" s="235" t="n">
        <v>46518</v>
      </c>
      <c r="B38" s="239" t="n"/>
      <c r="C38" s="231" t="inlineStr">
        <is>
          <t>International Foundations Congress and Equipment Expo 2027 (IFCEE 2027)</t>
        </is>
      </c>
      <c r="D38" s="240" t="inlineStr">
        <is>
          <t>Other conference</t>
        </is>
      </c>
      <c r="E38" s="167" t="n"/>
      <c r="F38" s="167" t="inlineStr">
        <is>
          <t>11–14 May 2027</t>
        </is>
      </c>
      <c r="G38" s="232" t="inlineStr">
        <is>
          <t>Deep Foundations Institute (DFI)</t>
        </is>
      </c>
      <c r="H38" s="232" t="n"/>
      <c r="I38" s="238" t="inlineStr">
        <is>
          <t>https://www.ifcee.com/</t>
        </is>
      </c>
    </row>
    <row r="39" ht="30" customHeight="1">
      <c r="A39" s="235" t="n">
        <v>46518</v>
      </c>
      <c r="B39" s="239" t="n"/>
      <c r="C39" s="231" t="inlineStr">
        <is>
          <t>SDC2027 – 5th International Conference on Shaft Design &amp; Construction</t>
        </is>
      </c>
      <c r="D39" s="240" t="inlineStr">
        <is>
          <t>Other conference</t>
        </is>
      </c>
      <c r="E39" s="167" t="n"/>
      <c r="F39" s="167" t="inlineStr">
        <is>
          <t>11 May 2027</t>
        </is>
      </c>
      <c r="G39" s="232" t="n"/>
      <c r="H39" s="232" t="n"/>
      <c r="I39" s="238" t="inlineStr">
        <is>
          <t>https://about.ita-aites.org/future-events/2549/sdc2027-5th-international-conference-on-shaft-design-construction?tmpl=component</t>
        </is>
      </c>
    </row>
    <row r="40" ht="30" customHeight="1">
      <c r="A40" s="235" t="n">
        <v>46519</v>
      </c>
      <c r="B40" s="239" t="n"/>
      <c r="C40" s="231" t="inlineStr">
        <is>
          <t>CPT'27: International Symposium on Cone Penetration Testing</t>
        </is>
      </c>
      <c r="D40" s="240" t="inlineStr">
        <is>
          <t>Other conference</t>
        </is>
      </c>
      <c r="E40" s="167" t="inlineStr">
        <is>
          <t>Vancouver, Canada</t>
        </is>
      </c>
      <c r="F40" s="167" t="inlineStr">
        <is>
          <t>12 May 2027</t>
        </is>
      </c>
      <c r="G40" s="232" t="n"/>
      <c r="H40" s="232" t="n"/>
      <c r="I40" s="238" t="inlineStr">
        <is>
          <t>https://www.issmge.org/events/cpt27-international-symposium-on-cone-penetration-testing</t>
        </is>
      </c>
    </row>
    <row r="41" ht="30" customHeight="1">
      <c r="A41" s="235" t="n">
        <v>46540</v>
      </c>
      <c r="B41" s="239" t="n"/>
      <c r="C41" s="231" t="inlineStr">
        <is>
          <t>The 4th International Conference on Press-in Engineering 2027 (ICPE2027)</t>
        </is>
      </c>
      <c r="D41" s="240" t="inlineStr">
        <is>
          <t>Other conference</t>
        </is>
      </c>
      <c r="E41" s="167" t="inlineStr">
        <is>
          <t>Papendrecht, Netherlands</t>
        </is>
      </c>
      <c r="F41" s="167" t="inlineStr">
        <is>
          <t>2 Jun 2027</t>
        </is>
      </c>
      <c r="G41" s="232" t="n"/>
      <c r="H41" s="232" t="n"/>
      <c r="I41" s="238" t="inlineStr">
        <is>
          <t>https://www.issmge.org/events/the-4th-international-conference-on-press-in-engineering-2027-icpe2027</t>
        </is>
      </c>
    </row>
    <row r="42" ht="30" customHeight="1">
      <c r="A42" s="235" t="n">
        <v>46547</v>
      </c>
      <c r="B42" s="239" t="inlineStr">
        <is>
          <t>ISSMGE</t>
        </is>
      </c>
      <c r="C42" s="231" t="inlineStr">
        <is>
          <t>XVIII Danube-European Conference on Geotechnical Engineering</t>
        </is>
      </c>
      <c r="D42" s="242" t="inlineStr">
        <is>
          <t>ISSMGE conference</t>
        </is>
      </c>
      <c r="E42" s="167" t="inlineStr">
        <is>
          <t>Budapest, Hungary</t>
        </is>
      </c>
      <c r="F42" s="167" t="inlineStr">
        <is>
          <t>9 Jun 2027</t>
        </is>
      </c>
      <c r="G42" s="232" t="n"/>
      <c r="H42" s="232" t="n"/>
      <c r="I42" s="238" t="inlineStr">
        <is>
          <t>https://www.issmge.org/events/xviii-danube-european-conference-on-geotechnical-engineering</t>
        </is>
      </c>
    </row>
    <row r="43" ht="30" customHeight="1">
      <c r="A43" s="235" t="n">
        <v>46552</v>
      </c>
      <c r="B43" s="239" t="n"/>
      <c r="C43" s="231" t="inlineStr">
        <is>
          <t>9th International Conference on Debris Flow Hazard Mitigation (DFHM9)</t>
        </is>
      </c>
      <c r="D43" s="240" t="inlineStr">
        <is>
          <t>Other conference</t>
        </is>
      </c>
      <c r="E43" s="167" t="inlineStr">
        <is>
          <t>Daejeon, South Korea</t>
        </is>
      </c>
      <c r="F43" s="167" t="inlineStr">
        <is>
          <t>14 Jun 2027</t>
        </is>
      </c>
      <c r="G43" s="232" t="n"/>
      <c r="H43" s="232" t="n"/>
      <c r="I43" s="238" t="inlineStr">
        <is>
          <t>https://www.issmge.org/events/9th-international-conference-on-debris-flow-hazard-mitigation-dfhm9</t>
        </is>
      </c>
    </row>
    <row r="44" ht="30" customHeight="1">
      <c r="A44" s="235" t="n">
        <v>46566</v>
      </c>
      <c r="B44" s="239" t="inlineStr">
        <is>
          <t>ISSMGE</t>
        </is>
      </c>
      <c r="C44" s="231" t="inlineStr">
        <is>
          <t>International Conference on Sustainability in Geotechnical Engineering (ICSGE 2027)</t>
        </is>
      </c>
      <c r="D44" s="237" t="inlineStr">
        <is>
          <t>ISSMGE-supported</t>
        </is>
      </c>
      <c r="E44" s="167" t="inlineStr">
        <is>
          <t>Lisbon, Portugal</t>
        </is>
      </c>
      <c r="F44" s="167" t="inlineStr">
        <is>
          <t>28 Jun – 1 Jul 2027</t>
        </is>
      </c>
      <c r="G44" s="232" t="inlineStr">
        <is>
          <t>ISSMGE TC307 and LNEC</t>
        </is>
      </c>
      <c r="H44" s="232" t="inlineStr">
        <is>
          <t>Abstracts: 15 Jul 2026 (passed)</t>
        </is>
      </c>
      <c r="I44" s="238" t="inlineStr">
        <is>
          <t>https://www.issmge.org/news/tc223-june-news-update</t>
        </is>
      </c>
    </row>
    <row r="45" ht="30" customHeight="1">
      <c r="A45" s="235" t="n">
        <v>46609</v>
      </c>
      <c r="B45" s="239" t="n"/>
      <c r="C45" s="231" t="inlineStr">
        <is>
          <t>S3 2027</t>
        </is>
      </c>
      <c r="D45" s="240" t="inlineStr">
        <is>
          <t>Other conference</t>
        </is>
      </c>
      <c r="E45" s="167" t="n"/>
      <c r="F45" s="167" t="inlineStr">
        <is>
          <t>10–12 Aug 2027</t>
        </is>
      </c>
      <c r="G45" s="232" t="inlineStr">
        <is>
          <t>Deep Foundations Institute (DFI)</t>
        </is>
      </c>
      <c r="H45" s="232" t="n"/>
      <c r="I45" s="238" t="inlineStr">
        <is>
          <t>https://dfi-events.org/s3-27/</t>
        </is>
      </c>
    </row>
    <row r="46" ht="30" customHeight="1">
      <c r="A46" s="235" t="n">
        <v>46631</v>
      </c>
      <c r="B46" s="239" t="inlineStr">
        <is>
          <t>ISSMGE</t>
        </is>
      </c>
      <c r="C46" s="231" t="inlineStr">
        <is>
          <t>30th European Young Geotechnical Engineers Conference (EYGEC 2027)</t>
        </is>
      </c>
      <c r="D46" s="237" t="inlineStr">
        <is>
          <t>ISSMGE-supported</t>
        </is>
      </c>
      <c r="E46" s="167" t="inlineStr">
        <is>
          <t>Sofia, Bulgaria</t>
        </is>
      </c>
      <c r="F46" s="167" t="inlineStr">
        <is>
          <t>1 Sep 2027</t>
        </is>
      </c>
      <c r="G46" s="232" t="n"/>
      <c r="H46" s="232" t="n"/>
      <c r="I46" s="238" t="inlineStr">
        <is>
          <t>https://www.issmge.org/events/30th-european-young-geotechnical-engineers-conference-eygec-2027</t>
        </is>
      </c>
    </row>
    <row r="47" ht="30" customHeight="1">
      <c r="A47" s="235" t="n">
        <v>46644</v>
      </c>
      <c r="B47" s="239" t="inlineStr">
        <is>
          <t>ISSMGE</t>
        </is>
      </c>
      <c r="C47" s="231" t="inlineStr">
        <is>
          <t>9th International Symposium on Deformation Characteristics of Geomaterials (IS-Ankara 2027)</t>
        </is>
      </c>
      <c r="D47" s="237" t="inlineStr">
        <is>
          <t>ISSMGE-supported</t>
        </is>
      </c>
      <c r="E47" s="167" t="inlineStr">
        <is>
          <t>Ankara, Türkiye</t>
        </is>
      </c>
      <c r="F47" s="167" t="inlineStr">
        <is>
          <t>14–17 Sep 2027</t>
        </is>
      </c>
      <c r="G47" s="232" t="inlineStr">
        <is>
          <t>ISSMGE TC101, Middle East Technical University (METU)</t>
        </is>
      </c>
      <c r="H47" s="232" t="inlineStr">
        <is>
          <t>Abstracts: 21 Sep 2026 (passed)</t>
        </is>
      </c>
      <c r="I47" s="238" t="inlineStr">
        <is>
          <t>https://www.issmge.org/news/tc223-june-news-update</t>
        </is>
      </c>
    </row>
    <row r="48" ht="30" customHeight="1">
      <c r="A48" s="235" t="n">
        <v>46644</v>
      </c>
      <c r="B48" s="239" t="n"/>
      <c r="C48" s="231" t="inlineStr">
        <is>
          <t>Energy Geotechnics</t>
        </is>
      </c>
      <c r="D48" s="240" t="inlineStr">
        <is>
          <t>Other conference</t>
        </is>
      </c>
      <c r="E48" s="167" t="inlineStr">
        <is>
          <t>Leeds, United Kingdom</t>
        </is>
      </c>
      <c r="F48" s="167" t="inlineStr">
        <is>
          <t>14 Sep 2027</t>
        </is>
      </c>
      <c r="G48" s="232" t="inlineStr">
        <is>
          <t>British Geotechnical Association (BGA)</t>
        </is>
      </c>
      <c r="H48" s="232" t="n"/>
      <c r="I48" s="238" t="inlineStr">
        <is>
          <t>https://www.britishgeotech.org/event/energy-geotechnics/</t>
        </is>
      </c>
    </row>
    <row r="49" ht="67.5" customHeight="1">
      <c r="A49" s="235" t="n">
        <v>46651</v>
      </c>
      <c r="B49" s="239" t="inlineStr">
        <is>
          <t>ISSMGE</t>
        </is>
      </c>
      <c r="C49" s="231" t="inlineStr">
        <is>
          <t>11th European Conference on Numerical Methods in Geotechnical Engineering (NUMGE 2027)</t>
        </is>
      </c>
      <c r="D49" s="237" t="inlineStr">
        <is>
          <t>ISSMGE-supported</t>
        </is>
      </c>
      <c r="E49" s="167" t="inlineStr">
        <is>
          <t>Graz, Austria</t>
        </is>
      </c>
      <c r="F49" s="167" t="inlineStr">
        <is>
          <t>21–24 Sep 2027</t>
        </is>
      </c>
      <c r="G49" s="232" t="inlineStr">
        <is>
          <t>Institute of Soil Mechanics, Foundation Engineering and Computational Geotechnics, Graz University of Technology</t>
        </is>
      </c>
      <c r="H49" s="232" t="inlineStr">
        <is>
          <t>Sessions and workshops (closed): 14 Aug 2026 (passed)
Abstracts (closed): 1 Sep 2026 (passed)
Notification of accepted abstracts: 11 Dec 2026
Manuscripts: 19 Mar 2027
Final papers: 30 May 2027</t>
        </is>
      </c>
      <c r="I49" s="238" t="inlineStr">
        <is>
          <t>https://www.issmge.org/events/numge2027</t>
        </is>
      </c>
    </row>
    <row r="50" ht="30" customHeight="1">
      <c r="A50" s="235" t="n">
        <v>46692</v>
      </c>
      <c r="B50" s="239" t="n"/>
      <c r="C50" s="231" t="inlineStr">
        <is>
          <t>DFI's 52nd Annual Conference on Deep Foundations (DFI52)</t>
        </is>
      </c>
      <c r="D50" s="240" t="inlineStr">
        <is>
          <t>Other conference</t>
        </is>
      </c>
      <c r="E50" s="167" t="n"/>
      <c r="F50" s="167" t="inlineStr">
        <is>
          <t>1–4 Nov 2027</t>
        </is>
      </c>
      <c r="G50" s="232" t="inlineStr">
        <is>
          <t>Deep Foundations Institute (DFI)</t>
        </is>
      </c>
      <c r="H50" s="232" t="n"/>
      <c r="I50" s="238" t="inlineStr">
        <is>
          <t>https://dfi-events.org/dfi52/</t>
        </is>
      </c>
    </row>
    <row r="51" ht="30" customHeight="1">
      <c r="A51" s="235" t="n">
        <v>46692</v>
      </c>
      <c r="B51" s="239" t="inlineStr">
        <is>
          <t>ISSMGE</t>
        </is>
      </c>
      <c r="C51" s="231" t="inlineStr">
        <is>
          <t>The 10th International Congress on Environmental Geotechnics (10ICEG)</t>
        </is>
      </c>
      <c r="D51" s="237" t="inlineStr">
        <is>
          <t>ISSMGE-supported</t>
        </is>
      </c>
      <c r="E51" s="167" t="inlineStr">
        <is>
          <t>Kyoto, Japan</t>
        </is>
      </c>
      <c r="F51" s="167" t="inlineStr">
        <is>
          <t>1 Nov 2027</t>
        </is>
      </c>
      <c r="G51" s="232" t="n"/>
      <c r="H51" s="232" t="n"/>
      <c r="I51" s="238" t="inlineStr">
        <is>
          <t>https://www.issmge.org/events/10iceg</t>
        </is>
      </c>
    </row>
    <row r="52" ht="30" customHeight="1">
      <c r="A52" s="235" t="n">
        <v>46700</v>
      </c>
      <c r="B52" s="239" t="inlineStr">
        <is>
          <t>ISSMGE</t>
        </is>
      </c>
      <c r="C52" s="231" t="inlineStr">
        <is>
          <t>18th Asian Regional Conference on Soil Mechanics and Geotechnical Engineering (18ARC)</t>
        </is>
      </c>
      <c r="D52" s="242" t="inlineStr">
        <is>
          <t>ISSMGE conference</t>
        </is>
      </c>
      <c r="E52" s="167" t="inlineStr">
        <is>
          <t>Bangkok, Thailand</t>
        </is>
      </c>
      <c r="F52" s="167" t="inlineStr">
        <is>
          <t>9–13 Nov 2027</t>
        </is>
      </c>
      <c r="G52" s="232" t="inlineStr">
        <is>
          <t>Thai Geotechnical Society, under the auspices of ISSMGE</t>
        </is>
      </c>
      <c r="H52" s="232" t="n"/>
      <c r="I52" s="238" t="inlineStr">
        <is>
          <t>https://www.issmge.org/events/18arc</t>
        </is>
      </c>
    </row>
    <row r="53" ht="30" customHeight="1">
      <c r="A53" s="235" t="n">
        <v>46716</v>
      </c>
      <c r="B53" s="239" t="n"/>
      <c r="C53" s="231" t="inlineStr">
        <is>
          <t>The Fourth Vietnam Symposium on Advances in Offshore Engineering (VSOE 2027)</t>
        </is>
      </c>
      <c r="D53" s="240" t="inlineStr">
        <is>
          <t>Other conference</t>
        </is>
      </c>
      <c r="E53" s="167" t="inlineStr">
        <is>
          <t>Ho Chi Minh City, Vietnam</t>
        </is>
      </c>
      <c r="F53" s="167" t="inlineStr">
        <is>
          <t>25 Nov 2027</t>
        </is>
      </c>
      <c r="G53" s="232" t="n"/>
      <c r="H53" s="232" t="n"/>
      <c r="I53" s="238" t="inlineStr">
        <is>
          <t>https://www.issmge.org/events/the-fourth-vietnam-symposium-on-advances-in-offshore-engineering-vsoe-2027</t>
        </is>
      </c>
    </row>
    <row r="54" ht="17.5" customHeight="1">
      <c r="A54" s="235" t="n">
        <v>46722</v>
      </c>
      <c r="B54" s="239" t="inlineStr">
        <is>
          <t>ISSMGE</t>
        </is>
      </c>
      <c r="C54" s="231" t="inlineStr">
        <is>
          <t>XIII Chilean Geotechnical Conference</t>
        </is>
      </c>
      <c r="D54" s="237" t="inlineStr">
        <is>
          <t>ISSMGE-supported</t>
        </is>
      </c>
      <c r="E54" s="167" t="inlineStr">
        <is>
          <t>Punta Arenas, Chile</t>
        </is>
      </c>
      <c r="F54" s="167" t="inlineStr">
        <is>
          <t>1 Dec 2027</t>
        </is>
      </c>
      <c r="G54" s="232" t="n"/>
      <c r="H54" s="232" t="n"/>
      <c r="I54" s="238" t="inlineStr">
        <is>
          <t>https://www.issmge.org/events/xiii-chilean-geotechnical-conference</t>
        </is>
      </c>
    </row>
    <row r="55" ht="30" customHeight="1">
      <c r="A55" s="235" t="n">
        <v>46924</v>
      </c>
      <c r="B55" s="239" t="inlineStr">
        <is>
          <t>ISSMGE</t>
        </is>
      </c>
      <c r="C55" s="231" t="inlineStr">
        <is>
          <t>6th European Conference on Physical Modelling in Geotechnics (ECPMG 2028)</t>
        </is>
      </c>
      <c r="D55" s="237" t="inlineStr">
        <is>
          <t>ISSMGE-supported</t>
        </is>
      </c>
      <c r="E55" s="167" t="inlineStr">
        <is>
          <t>Southampton, United Kingdom</t>
        </is>
      </c>
      <c r="F55" s="167" t="inlineStr">
        <is>
          <t>20 Jun 2028</t>
        </is>
      </c>
      <c r="G55" s="232" t="n"/>
      <c r="H55" s="232" t="n"/>
      <c r="I55" s="238" t="inlineStr">
        <is>
          <t>https://www.issmge.org/events/ecpmg-2028</t>
        </is>
      </c>
    </row>
    <row r="56" ht="42.5" customHeight="1">
      <c r="A56" s="235" t="n">
        <v>46985</v>
      </c>
      <c r="B56" s="239" t="inlineStr">
        <is>
          <t>ISSMGE</t>
        </is>
      </c>
      <c r="C56" s="231" t="inlineStr">
        <is>
          <t>19th European Conference on Soil Mechanics and Geotechnical Engineering (ECSMGE 2028)</t>
        </is>
      </c>
      <c r="D56" s="242" t="inlineStr">
        <is>
          <t>ISSMGE conference</t>
        </is>
      </c>
      <c r="E56" s="167" t="inlineStr">
        <is>
          <t>Istanbul, Türkiye</t>
        </is>
      </c>
      <c r="F56" s="167" t="inlineStr">
        <is>
          <t>20–25 Aug 2028</t>
        </is>
      </c>
      <c r="G56" s="232" t="inlineStr">
        <is>
          <t>Turkish Society for Soil Mechanics and Geotechnical Engineering</t>
        </is>
      </c>
      <c r="H56" s="232" t="n"/>
      <c r="I56" s="238" t="inlineStr">
        <is>
          <t>https://www.ecsmge-2028.com/</t>
        </is>
      </c>
    </row>
  </sheetData>
  <hyperlinks>
    <hyperlink ref="D1" location="'Dashboard'!A1" display="← Dashboard"/>
    <hyperlink ref="E1" location="'Start here'!A1" display="↑ Start here"/>
    <hyperlink xmlns:r="http://schemas.openxmlformats.org/officeDocument/2006/relationships" ref="I6" r:id="rId1"/>
    <hyperlink xmlns:r="http://schemas.openxmlformats.org/officeDocument/2006/relationships" ref="I7" r:id="rId2"/>
    <hyperlink xmlns:r="http://schemas.openxmlformats.org/officeDocument/2006/relationships" ref="I8" r:id="rId3"/>
    <hyperlink xmlns:r="http://schemas.openxmlformats.org/officeDocument/2006/relationships" ref="I12" r:id="rId4"/>
    <hyperlink xmlns:r="http://schemas.openxmlformats.org/officeDocument/2006/relationships" ref="I13" r:id="rId5"/>
    <hyperlink xmlns:r="http://schemas.openxmlformats.org/officeDocument/2006/relationships" ref="I14" r:id="rId6"/>
    <hyperlink xmlns:r="http://schemas.openxmlformats.org/officeDocument/2006/relationships" ref="I15" r:id="rId7"/>
    <hyperlink xmlns:r="http://schemas.openxmlformats.org/officeDocument/2006/relationships" ref="I16" r:id="rId8"/>
    <hyperlink xmlns:r="http://schemas.openxmlformats.org/officeDocument/2006/relationships" ref="I17" r:id="rId9"/>
    <hyperlink xmlns:r="http://schemas.openxmlformats.org/officeDocument/2006/relationships" ref="I18" r:id="rId10"/>
    <hyperlink xmlns:r="http://schemas.openxmlformats.org/officeDocument/2006/relationships" ref="I19" r:id="rId11"/>
    <hyperlink xmlns:r="http://schemas.openxmlformats.org/officeDocument/2006/relationships" ref="I20" r:id="rId12"/>
    <hyperlink xmlns:r="http://schemas.openxmlformats.org/officeDocument/2006/relationships" ref="I21" r:id="rId13"/>
    <hyperlink xmlns:r="http://schemas.openxmlformats.org/officeDocument/2006/relationships" ref="I22" r:id="rId14"/>
    <hyperlink xmlns:r="http://schemas.openxmlformats.org/officeDocument/2006/relationships" ref="I23" r:id="rId15"/>
    <hyperlink xmlns:r="http://schemas.openxmlformats.org/officeDocument/2006/relationships" ref="I24" r:id="rId16"/>
    <hyperlink xmlns:r="http://schemas.openxmlformats.org/officeDocument/2006/relationships" ref="I25" r:id="rId17"/>
    <hyperlink xmlns:r="http://schemas.openxmlformats.org/officeDocument/2006/relationships" ref="I26" r:id="rId18"/>
    <hyperlink xmlns:r="http://schemas.openxmlformats.org/officeDocument/2006/relationships" ref="I27" r:id="rId19"/>
    <hyperlink xmlns:r="http://schemas.openxmlformats.org/officeDocument/2006/relationships" ref="I28" r:id="rId20"/>
    <hyperlink xmlns:r="http://schemas.openxmlformats.org/officeDocument/2006/relationships" ref="I29" r:id="rId21"/>
    <hyperlink xmlns:r="http://schemas.openxmlformats.org/officeDocument/2006/relationships" ref="I30" r:id="rId22"/>
    <hyperlink xmlns:r="http://schemas.openxmlformats.org/officeDocument/2006/relationships" ref="I31" r:id="rId23"/>
    <hyperlink xmlns:r="http://schemas.openxmlformats.org/officeDocument/2006/relationships" ref="I32" r:id="rId24"/>
    <hyperlink xmlns:r="http://schemas.openxmlformats.org/officeDocument/2006/relationships" ref="I33" r:id="rId25"/>
    <hyperlink xmlns:r="http://schemas.openxmlformats.org/officeDocument/2006/relationships" ref="I34" r:id="rId26"/>
    <hyperlink xmlns:r="http://schemas.openxmlformats.org/officeDocument/2006/relationships" ref="I35" r:id="rId27"/>
    <hyperlink xmlns:r="http://schemas.openxmlformats.org/officeDocument/2006/relationships" ref="I36" r:id="rId28"/>
    <hyperlink xmlns:r="http://schemas.openxmlformats.org/officeDocument/2006/relationships" ref="I37" r:id="rId29"/>
    <hyperlink xmlns:r="http://schemas.openxmlformats.org/officeDocument/2006/relationships" ref="I38" r:id="rId30"/>
    <hyperlink xmlns:r="http://schemas.openxmlformats.org/officeDocument/2006/relationships" ref="I39" r:id="rId31"/>
    <hyperlink xmlns:r="http://schemas.openxmlformats.org/officeDocument/2006/relationships" ref="I40" r:id="rId32"/>
    <hyperlink xmlns:r="http://schemas.openxmlformats.org/officeDocument/2006/relationships" ref="I41" r:id="rId33"/>
    <hyperlink xmlns:r="http://schemas.openxmlformats.org/officeDocument/2006/relationships" ref="I42" r:id="rId34"/>
    <hyperlink xmlns:r="http://schemas.openxmlformats.org/officeDocument/2006/relationships" ref="I43" r:id="rId35"/>
    <hyperlink xmlns:r="http://schemas.openxmlformats.org/officeDocument/2006/relationships" ref="I44" r:id="rId36"/>
    <hyperlink xmlns:r="http://schemas.openxmlformats.org/officeDocument/2006/relationships" ref="I45" r:id="rId37"/>
    <hyperlink xmlns:r="http://schemas.openxmlformats.org/officeDocument/2006/relationships" ref="I46" r:id="rId38"/>
    <hyperlink xmlns:r="http://schemas.openxmlformats.org/officeDocument/2006/relationships" ref="I47" r:id="rId39"/>
    <hyperlink xmlns:r="http://schemas.openxmlformats.org/officeDocument/2006/relationships" ref="I48" r:id="rId40"/>
    <hyperlink xmlns:r="http://schemas.openxmlformats.org/officeDocument/2006/relationships" ref="I49" r:id="rId41"/>
    <hyperlink xmlns:r="http://schemas.openxmlformats.org/officeDocument/2006/relationships" ref="I50" r:id="rId42"/>
    <hyperlink xmlns:r="http://schemas.openxmlformats.org/officeDocument/2006/relationships" ref="I51" r:id="rId43"/>
    <hyperlink xmlns:r="http://schemas.openxmlformats.org/officeDocument/2006/relationships" ref="I52" r:id="rId44"/>
    <hyperlink xmlns:r="http://schemas.openxmlformats.org/officeDocument/2006/relationships" ref="I53" r:id="rId45"/>
    <hyperlink xmlns:r="http://schemas.openxmlformats.org/officeDocument/2006/relationships" ref="I54" r:id="rId46"/>
    <hyperlink xmlns:r="http://schemas.openxmlformats.org/officeDocument/2006/relationships" ref="I55" r:id="rId47"/>
    <hyperlink xmlns:r="http://schemas.openxmlformats.org/officeDocument/2006/relationships" ref="I56" r:id="rId48"/>
  </hyperlinks>
  <printOptions horizontalCentered="1"/>
  <pageMargins left="0.4" right="0.4" top="0.5" bottom="0.55" header="0.25" footer="0.25"/>
  <pageSetup orientation="landscape" paperSize="9" fitToHeight="0" fitToWidth="1"/>
  <headerFooter>
    <oddHeader/>
    <oddFooter>&amp;L&amp;"Arial"&amp;8 &amp;A&amp;R&amp;"Arial"&amp;8 Page &amp;P of &amp;N</oddFooter>
    <evenHeader/>
    <evenFooter/>
    <firstHeader/>
    <firstFooter/>
  </headerFooter>
</worksheet>
</file>

<file path=xl/worksheets/sheet7.xml><?xml version="1.0" encoding="utf-8"?>
<worksheet xmlns="http://schemas.openxmlformats.org/spreadsheetml/2006/main">
  <sheetPr>
    <tabColor rgb="000B97A5"/>
    <outlinePr summaryBelow="1" summaryRight="1"/>
    <pageSetUpPr fitToPage="1"/>
  </sheetPr>
  <dimension ref="A1:I111"/>
  <sheetViews>
    <sheetView showGridLines="0" tabSelected="0"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3" customWidth="1" min="3" max="3"/>
    <col width="12" customWidth="1" min="4" max="4"/>
    <col width="10" customWidth="1" min="5" max="5"/>
    <col width="34" customWidth="1" min="6" max="6"/>
    <col width="10" customWidth="1" min="7" max="7"/>
    <col width="28" customWidth="1" min="8" max="8"/>
    <col width="13" customWidth="1" min="9" max="9"/>
  </cols>
  <sheetData>
    <row r="1" ht="26" customHeight="1">
      <c r="A1" s="153" t="inlineStr">
        <is>
          <t>Sources · 108 outlets</t>
        </is>
      </c>
      <c r="C1" s="154" t="inlineStr">
        <is>
          <t>← Dashboard</t>
        </is>
      </c>
      <c r="D1" s="154" t="inlineStr">
        <is>
          <t>↑ Start here</t>
        </is>
      </c>
    </row>
    <row r="2" ht="16" customHeight="1">
      <c r="A2" s="155" t="inlineStr">
        <is>
          <t>One row per outlet, most stories first. ‘In current selection’ follows the Dashboard selectors; average relevance counts AI-rated stories only.</t>
        </is>
      </c>
    </row>
    <row r="3" ht="30" customHeight="1">
      <c r="A3" s="157" t="inlineStr">
        <is>
          <t>Source</t>
        </is>
      </c>
      <c r="B3" s="156" t="inlineStr">
        <is>
          <t>Stories</t>
        </is>
      </c>
      <c r="C3" s="156" t="inlineStr">
        <is>
          <t>In current selection</t>
        </is>
      </c>
      <c r="D3" s="156" t="inlineStr">
        <is>
          <t>Average relevance</t>
        </is>
      </c>
      <c r="E3" s="156" t="inlineStr">
        <is>
          <t>Rated 4 or 5</t>
        </is>
      </c>
      <c r="F3" s="157" t="inlineStr">
        <is>
          <t>Most frequent theme</t>
        </is>
      </c>
      <c r="G3" s="156" t="inlineStr">
        <is>
          <t>Themes covered</t>
        </is>
      </c>
      <c r="H3" s="157" t="inlineStr">
        <is>
          <t>Google News editions</t>
        </is>
      </c>
      <c r="I3" s="156" t="inlineStr">
        <is>
          <t>Latest digest</t>
        </is>
      </c>
    </row>
    <row r="4" ht="53" customHeight="1">
      <c r="A4" s="231" t="inlineStr">
        <is>
          <t>Vietnam.vn</t>
        </is>
      </c>
      <c r="B4" s="243" t="n">
        <v>32</v>
      </c>
      <c r="C4" s="244">
        <f>SUMPRODUCT(Stories!$W$4:$W$153,--(Stories!$J$4:$J$153=$A4))</f>
        <v/>
      </c>
      <c r="D4" s="245" t="n">
        <v>3.7</v>
      </c>
      <c r="E4" s="243" t="n">
        <v>22</v>
      </c>
      <c r="F4" s="246" t="inlineStr">
        <is>
          <t>Hazards &amp; Resilience</t>
        </is>
      </c>
      <c r="G4" s="243" t="n">
        <v>6</v>
      </c>
      <c r="H4" s="171" t="inlineStr">
        <is>
          <t>South Korea, Indonesia, Vietnam, France, Spain, Egypt, Russia, Colombia, United Kingdom, Japan, Italy, China, Brazil</t>
        </is>
      </c>
      <c r="I4" s="247" t="n">
        <v>46321</v>
      </c>
    </row>
    <row r="5" ht="15.5" customHeight="1">
      <c r="A5" s="231" t="inlineStr">
        <is>
          <t>Infobae</t>
        </is>
      </c>
      <c r="B5" s="243" t="n">
        <v>3</v>
      </c>
      <c r="C5" s="244">
        <f>SUMPRODUCT(Stories!$W$4:$W$153,--(Stories!$J$4:$J$153=$A5))</f>
        <v/>
      </c>
      <c r="D5" s="245" t="n">
        <v>4</v>
      </c>
      <c r="E5" s="243" t="n">
        <v>2</v>
      </c>
      <c r="F5" s="246" t="inlineStr">
        <is>
          <t>Hazards &amp; Resilience</t>
        </is>
      </c>
      <c r="G5" s="243" t="n">
        <v>2</v>
      </c>
      <c r="H5" s="171" t="inlineStr">
        <is>
          <t>Spain, Argentina, Colombia</t>
        </is>
      </c>
      <c r="I5" s="247" t="n">
        <v>46321</v>
      </c>
    </row>
    <row r="6" ht="15.5" customHeight="1">
      <c r="A6" s="231" t="inlineStr">
        <is>
          <t>China Press</t>
        </is>
      </c>
      <c r="B6" s="243" t="n">
        <v>2</v>
      </c>
      <c r="C6" s="244">
        <f>SUMPRODUCT(Stories!$W$4:$W$153,--(Stories!$J$4:$J$153=$A6))</f>
        <v/>
      </c>
      <c r="D6" s="245" t="n">
        <v>5</v>
      </c>
      <c r="E6" s="243" t="n">
        <v>2</v>
      </c>
      <c r="F6" s="246" t="inlineStr">
        <is>
          <t>Hazards &amp; Resilience</t>
        </is>
      </c>
      <c r="G6" s="243" t="n">
        <v>1</v>
      </c>
      <c r="H6" s="171" t="inlineStr">
        <is>
          <t>China</t>
        </is>
      </c>
      <c r="I6" s="247" t="n">
        <v>46321</v>
      </c>
    </row>
    <row r="7" ht="15.5" customHeight="1">
      <c r="A7" s="231" t="inlineStr">
        <is>
          <t>Cooperativa</t>
        </is>
      </c>
      <c r="B7" s="243" t="n">
        <v>2</v>
      </c>
      <c r="C7" s="244">
        <f>SUMPRODUCT(Stories!$W$4:$W$153,--(Stories!$J$4:$J$153=$A7))</f>
        <v/>
      </c>
      <c r="D7" s="245" t="n">
        <v>4</v>
      </c>
      <c r="E7" s="243" t="n">
        <v>2</v>
      </c>
      <c r="F7" s="246" t="inlineStr">
        <is>
          <t>Hazards &amp; Resilience</t>
        </is>
      </c>
      <c r="G7" s="243" t="n">
        <v>2</v>
      </c>
      <c r="H7" s="171" t="inlineStr">
        <is>
          <t>Chile, Colombia</t>
        </is>
      </c>
      <c r="I7" s="247" t="n">
        <v>46321</v>
      </c>
    </row>
    <row r="8" ht="15.5" customHeight="1">
      <c r="A8" s="231" t="inlineStr">
        <is>
          <t>El Universal</t>
        </is>
      </c>
      <c r="B8" s="243" t="n">
        <v>2</v>
      </c>
      <c r="C8" s="244">
        <f>SUMPRODUCT(Stories!$W$4:$W$153,--(Stories!$J$4:$J$153=$A8))</f>
        <v/>
      </c>
      <c r="D8" s="245" t="n">
        <v>3.5</v>
      </c>
      <c r="E8" s="243" t="n">
        <v>1</v>
      </c>
      <c r="F8" s="246" t="inlineStr">
        <is>
          <t>Hazards &amp; Resilience</t>
        </is>
      </c>
      <c r="G8" s="243" t="n">
        <v>2</v>
      </c>
      <c r="H8" s="171" t="inlineStr">
        <is>
          <t>Spain, Colombia</t>
        </is>
      </c>
      <c r="I8" s="247" t="n">
        <v>46321</v>
      </c>
    </row>
    <row r="9" ht="15.5" customHeight="1">
      <c r="A9" s="231" t="inlineStr">
        <is>
          <t>Ground Engineering</t>
        </is>
      </c>
      <c r="B9" s="243" t="n">
        <v>2</v>
      </c>
      <c r="C9" s="244">
        <f>SUMPRODUCT(Stories!$W$4:$W$153,--(Stories!$J$4:$J$153=$A9))</f>
        <v/>
      </c>
      <c r="D9" s="245" t="n">
        <v>4.5</v>
      </c>
      <c r="E9" s="243" t="n">
        <v>2</v>
      </c>
      <c r="F9" s="248" t="inlineStr">
        <is>
          <t>Offshore, Coasts &amp; Water</t>
        </is>
      </c>
      <c r="G9" s="243" t="n">
        <v>2</v>
      </c>
      <c r="H9" s="171" t="inlineStr"/>
      <c r="I9" s="247" t="n">
        <v>46319</v>
      </c>
    </row>
    <row r="10" ht="28" customHeight="1">
      <c r="A10" s="231" t="inlineStr">
        <is>
          <t>Tunnelling Journal</t>
        </is>
      </c>
      <c r="B10" s="243" t="n">
        <v>2</v>
      </c>
      <c r="C10" s="244">
        <f>SUMPRODUCT(Stories!$W$4:$W$153,--(Stories!$J$4:$J$153=$A10))</f>
        <v/>
      </c>
      <c r="D10" s="245" t="n">
        <v>3</v>
      </c>
      <c r="E10" s="243" t="n">
        <v>0</v>
      </c>
      <c r="F10" s="249" t="inlineStr">
        <is>
          <t>Infrastructure &amp; the Underground City</t>
        </is>
      </c>
      <c r="G10" s="243" t="n">
        <v>2</v>
      </c>
      <c r="H10" s="171" t="inlineStr"/>
      <c r="I10" s="247" t="n">
        <v>46319</v>
      </c>
    </row>
    <row r="11" ht="28" customHeight="1">
      <c r="A11" s="231" t="inlineStr">
        <is>
          <t>Tunnels &amp; Tunnelling</t>
        </is>
      </c>
      <c r="B11" s="243" t="n">
        <v>2</v>
      </c>
      <c r="C11" s="244">
        <f>SUMPRODUCT(Stories!$W$4:$W$153,--(Stories!$J$4:$J$153=$A11))</f>
        <v/>
      </c>
      <c r="D11" s="245" t="n">
        <v>3</v>
      </c>
      <c r="E11" s="243" t="n">
        <v>0</v>
      </c>
      <c r="F11" s="250" t="inlineStr">
        <is>
          <t>Sustainability &amp; the Energy Transition</t>
        </is>
      </c>
      <c r="G11" s="243" t="n">
        <v>1</v>
      </c>
      <c r="H11" s="171" t="inlineStr"/>
      <c r="I11" s="247" t="n">
        <v>46319</v>
      </c>
    </row>
    <row r="12" ht="15.5" customHeight="1">
      <c r="A12" s="231" t="inlineStr">
        <is>
          <t>Yahoo!ニュース</t>
        </is>
      </c>
      <c r="B12" s="243" t="n">
        <v>2</v>
      </c>
      <c r="C12" s="244">
        <f>SUMPRODUCT(Stories!$W$4:$W$153,--(Stories!$J$4:$J$153=$A12))</f>
        <v/>
      </c>
      <c r="D12" s="245" t="n">
        <v>4.5</v>
      </c>
      <c r="E12" s="243" t="n">
        <v>2</v>
      </c>
      <c r="F12" s="246" t="inlineStr">
        <is>
          <t>Hazards &amp; Resilience</t>
        </is>
      </c>
      <c r="G12" s="243" t="n">
        <v>1</v>
      </c>
      <c r="H12" s="171" t="inlineStr">
        <is>
          <t>Japan</t>
        </is>
      </c>
      <c r="I12" s="247" t="n">
        <v>46321</v>
      </c>
    </row>
    <row r="13" ht="28" customHeight="1">
      <c r="A13" s="231" t="inlineStr">
        <is>
          <t>Новости Воронежа интернет-газета</t>
        </is>
      </c>
      <c r="B13" s="243" t="n">
        <v>2</v>
      </c>
      <c r="C13" s="244">
        <f>SUMPRODUCT(Stories!$W$4:$W$153,--(Stories!$J$4:$J$153=$A13))</f>
        <v/>
      </c>
      <c r="D13" s="245" t="n">
        <v>3</v>
      </c>
      <c r="E13" s="243" t="n">
        <v>0</v>
      </c>
      <c r="F13" s="249" t="inlineStr">
        <is>
          <t>Infrastructure &amp; the Underground City</t>
        </is>
      </c>
      <c r="G13" s="243" t="n">
        <v>1</v>
      </c>
      <c r="H13" s="171" t="inlineStr">
        <is>
          <t>Russia</t>
        </is>
      </c>
      <c r="I13" s="247" t="n">
        <v>46321</v>
      </c>
    </row>
    <row r="14" ht="15.5" customHeight="1">
      <c r="A14" s="231" t="inlineStr">
        <is>
          <t>生物通</t>
        </is>
      </c>
      <c r="B14" s="243" t="n">
        <v>2</v>
      </c>
      <c r="C14" s="244">
        <f>SUMPRODUCT(Stories!$W$4:$W$153,--(Stories!$J$4:$J$153=$A14))</f>
        <v/>
      </c>
      <c r="D14" s="245" t="n">
        <v>4.5</v>
      </c>
      <c r="E14" s="243" t="n">
        <v>2</v>
      </c>
      <c r="F14" s="251" t="inlineStr">
        <is>
          <t>Digital Geotechnics</t>
        </is>
      </c>
      <c r="G14" s="243" t="n">
        <v>2</v>
      </c>
      <c r="H14" s="171" t="inlineStr">
        <is>
          <t>China</t>
        </is>
      </c>
      <c r="I14" s="247" t="n">
        <v>46319</v>
      </c>
    </row>
    <row r="15" ht="15.5" customHeight="1">
      <c r="A15" s="231" t="inlineStr">
        <is>
          <t>:: Foro Coatza ::</t>
        </is>
      </c>
      <c r="B15" s="243" t="n">
        <v>1</v>
      </c>
      <c r="C15" s="244">
        <f>SUMPRODUCT(Stories!$W$4:$W$153,--(Stories!$J$4:$J$153=$A15))</f>
        <v/>
      </c>
      <c r="D15" s="245" t="n">
        <v>3</v>
      </c>
      <c r="E15" s="243" t="n">
        <v>0</v>
      </c>
      <c r="F15" s="248" t="inlineStr">
        <is>
          <t>Offshore, Coasts &amp; Water</t>
        </is>
      </c>
      <c r="G15" s="243" t="n">
        <v>1</v>
      </c>
      <c r="H15" s="171" t="inlineStr">
        <is>
          <t>Argentina</t>
        </is>
      </c>
      <c r="I15" s="247" t="n">
        <v>46319</v>
      </c>
    </row>
    <row r="16" ht="28" customHeight="1">
      <c r="A16" s="231" t="inlineStr">
        <is>
          <t>ABC27</t>
        </is>
      </c>
      <c r="B16" s="243" t="n">
        <v>1</v>
      </c>
      <c r="C16" s="244">
        <f>SUMPRODUCT(Stories!$W$4:$W$153,--(Stories!$J$4:$J$153=$A16))</f>
        <v/>
      </c>
      <c r="D16" s="245" t="n">
        <v>3</v>
      </c>
      <c r="E16" s="243" t="n">
        <v>0</v>
      </c>
      <c r="F16" s="249" t="inlineStr">
        <is>
          <t>Infrastructure &amp; the Underground City</t>
        </is>
      </c>
      <c r="G16" s="243" t="n">
        <v>1</v>
      </c>
      <c r="H16" s="171" t="inlineStr">
        <is>
          <t>United Kingdom</t>
        </is>
      </c>
      <c r="I16" s="247" t="n">
        <v>46320</v>
      </c>
    </row>
    <row r="17" ht="15.5" customHeight="1">
      <c r="A17" s="231" t="inlineStr">
        <is>
          <t>agenzia giornalistica opinione</t>
        </is>
      </c>
      <c r="B17" s="243" t="n">
        <v>1</v>
      </c>
      <c r="C17" s="244">
        <f>SUMPRODUCT(Stories!$W$4:$W$153,--(Stories!$J$4:$J$153=$A17))</f>
        <v/>
      </c>
      <c r="D17" s="245" t="n">
        <v>4</v>
      </c>
      <c r="E17" s="243" t="n">
        <v>1</v>
      </c>
      <c r="F17" s="246" t="inlineStr">
        <is>
          <t>Hazards &amp; Resilience</t>
        </is>
      </c>
      <c r="G17" s="243" t="n">
        <v>1</v>
      </c>
      <c r="H17" s="171" t="inlineStr">
        <is>
          <t>Italy</t>
        </is>
      </c>
      <c r="I17" s="247" t="n">
        <v>46319</v>
      </c>
    </row>
    <row r="18" ht="15.5" customHeight="1">
      <c r="A18" s="231" t="inlineStr">
        <is>
          <t>AI넷</t>
        </is>
      </c>
      <c r="B18" s="243" t="n">
        <v>1</v>
      </c>
      <c r="C18" s="244">
        <f>SUMPRODUCT(Stories!$W$4:$W$153,--(Stories!$J$4:$J$153=$A18))</f>
        <v/>
      </c>
      <c r="D18" s="245" t="n">
        <v>4</v>
      </c>
      <c r="E18" s="243" t="n">
        <v>1</v>
      </c>
      <c r="F18" s="248" t="inlineStr">
        <is>
          <t>Offshore, Coasts &amp; Water</t>
        </is>
      </c>
      <c r="G18" s="243" t="n">
        <v>1</v>
      </c>
      <c r="H18" s="171" t="inlineStr">
        <is>
          <t>South Korea</t>
        </is>
      </c>
      <c r="I18" s="247" t="n">
        <v>46320</v>
      </c>
    </row>
    <row r="19" ht="15.5" customHeight="1">
      <c r="A19" s="231" t="inlineStr">
        <is>
          <t>Baolangson.vn</t>
        </is>
      </c>
      <c r="B19" s="243" t="n">
        <v>1</v>
      </c>
      <c r="C19" s="244">
        <f>SUMPRODUCT(Stories!$W$4:$W$153,--(Stories!$J$4:$J$153=$A19))</f>
        <v/>
      </c>
      <c r="D19" s="245" t="n">
        <v>4</v>
      </c>
      <c r="E19" s="243" t="n">
        <v>1</v>
      </c>
      <c r="F19" s="246" t="inlineStr">
        <is>
          <t>Hazards &amp; Resilience</t>
        </is>
      </c>
      <c r="G19" s="243" t="n">
        <v>1</v>
      </c>
      <c r="H19" s="171" t="inlineStr">
        <is>
          <t>Vietnam</t>
        </is>
      </c>
      <c r="I19" s="247" t="n">
        <v>46319</v>
      </c>
    </row>
    <row r="20" ht="28" customHeight="1">
      <c r="A20" s="231" t="inlineStr">
        <is>
          <t>BioBioChile</t>
        </is>
      </c>
      <c r="B20" s="243" t="n">
        <v>1</v>
      </c>
      <c r="C20" s="244">
        <f>SUMPRODUCT(Stories!$W$4:$W$153,--(Stories!$J$4:$J$153=$A20))</f>
        <v/>
      </c>
      <c r="D20" s="245" t="n">
        <v>4</v>
      </c>
      <c r="E20" s="243" t="n">
        <v>1</v>
      </c>
      <c r="F20" s="249" t="inlineStr">
        <is>
          <t>Infrastructure &amp; the Underground City</t>
        </is>
      </c>
      <c r="G20" s="243" t="n">
        <v>1</v>
      </c>
      <c r="H20" s="171" t="inlineStr">
        <is>
          <t>Colombia</t>
        </is>
      </c>
      <c r="I20" s="247" t="n">
        <v>46319</v>
      </c>
    </row>
    <row r="21" ht="15.5" customHeight="1">
      <c r="A21" s="231" t="inlineStr">
        <is>
          <t>Boyacá 7 Días</t>
        </is>
      </c>
      <c r="B21" s="243" t="n">
        <v>1</v>
      </c>
      <c r="C21" s="244">
        <f>SUMPRODUCT(Stories!$W$4:$W$153,--(Stories!$J$4:$J$153=$A21))</f>
        <v/>
      </c>
      <c r="D21" s="245" t="n">
        <v>3</v>
      </c>
      <c r="E21" s="243" t="n">
        <v>0</v>
      </c>
      <c r="F21" s="252" t="inlineStr">
        <is>
          <t>Geotechnics &amp; Society</t>
        </is>
      </c>
      <c r="G21" s="243" t="n">
        <v>1</v>
      </c>
      <c r="H21" s="171" t="inlineStr">
        <is>
          <t>Colombia</t>
        </is>
      </c>
      <c r="I21" s="247" t="n">
        <v>46319</v>
      </c>
    </row>
    <row r="22" ht="15.5" customHeight="1">
      <c r="A22" s="231" t="inlineStr">
        <is>
          <t>Báo Nhân Dân điện tử</t>
        </is>
      </c>
      <c r="B22" s="243" t="n">
        <v>1</v>
      </c>
      <c r="C22" s="244">
        <f>SUMPRODUCT(Stories!$W$4:$W$153,--(Stories!$J$4:$J$153=$A22))</f>
        <v/>
      </c>
      <c r="D22" s="245" t="n">
        <v>4</v>
      </c>
      <c r="E22" s="243" t="n">
        <v>1</v>
      </c>
      <c r="F22" s="248" t="inlineStr">
        <is>
          <t>Offshore, Coasts &amp; Water</t>
        </is>
      </c>
      <c r="G22" s="243" t="n">
        <v>1</v>
      </c>
      <c r="H22" s="171" t="inlineStr">
        <is>
          <t>Vietnam</t>
        </is>
      </c>
      <c r="I22" s="247" t="n">
        <v>46320</v>
      </c>
    </row>
    <row r="23" ht="15.5" customHeight="1">
      <c r="A23" s="231" t="inlineStr">
        <is>
          <t>Báo Thanh Niên</t>
        </is>
      </c>
      <c r="B23" s="243" t="n">
        <v>1</v>
      </c>
      <c r="C23" s="244">
        <f>SUMPRODUCT(Stories!$W$4:$W$153,--(Stories!$J$4:$J$153=$A23))</f>
        <v/>
      </c>
      <c r="D23" s="245" t="n">
        <v>4</v>
      </c>
      <c r="E23" s="243" t="n">
        <v>1</v>
      </c>
      <c r="F23" s="246" t="inlineStr">
        <is>
          <t>Hazards &amp; Resilience</t>
        </is>
      </c>
      <c r="G23" s="243" t="n">
        <v>1</v>
      </c>
      <c r="H23" s="171" t="inlineStr">
        <is>
          <t>Vietnam</t>
        </is>
      </c>
      <c r="I23" s="247" t="n">
        <v>46319</v>
      </c>
    </row>
    <row r="24" ht="28" customHeight="1">
      <c r="A24" s="231" t="inlineStr">
        <is>
          <t>Báo và phát thanh, truyền hình Đồng Tháp</t>
        </is>
      </c>
      <c r="B24" s="243" t="n">
        <v>1</v>
      </c>
      <c r="C24" s="244">
        <f>SUMPRODUCT(Stories!$W$4:$W$153,--(Stories!$J$4:$J$153=$A24))</f>
        <v/>
      </c>
      <c r="D24" s="245" t="n">
        <v>4</v>
      </c>
      <c r="E24" s="243" t="n">
        <v>1</v>
      </c>
      <c r="F24" s="246" t="inlineStr">
        <is>
          <t>Hazards &amp; Resilience</t>
        </is>
      </c>
      <c r="G24" s="243" t="n">
        <v>1</v>
      </c>
      <c r="H24" s="171" t="inlineStr">
        <is>
          <t>Vietnam</t>
        </is>
      </c>
      <c r="I24" s="247" t="n">
        <v>46319</v>
      </c>
    </row>
    <row r="25" ht="28" customHeight="1">
      <c r="A25" s="231" t="inlineStr">
        <is>
          <t>Cancun Sun</t>
        </is>
      </c>
      <c r="B25" s="243" t="n">
        <v>1</v>
      </c>
      <c r="C25" s="244">
        <f>SUMPRODUCT(Stories!$W$4:$W$153,--(Stories!$J$4:$J$153=$A25))</f>
        <v/>
      </c>
      <c r="D25" s="245" t="n">
        <v>4</v>
      </c>
      <c r="E25" s="243" t="n">
        <v>1</v>
      </c>
      <c r="F25" s="249" t="inlineStr">
        <is>
          <t>Infrastructure &amp; the Underground City</t>
        </is>
      </c>
      <c r="G25" s="243" t="n">
        <v>1</v>
      </c>
      <c r="H25" s="171" t="inlineStr">
        <is>
          <t>United Kingdom</t>
        </is>
      </c>
      <c r="I25" s="247" t="n">
        <v>46321</v>
      </c>
    </row>
    <row r="26" ht="28" customHeight="1">
      <c r="A26" s="231" t="inlineStr">
        <is>
          <t>Catve</t>
        </is>
      </c>
      <c r="B26" s="243" t="n">
        <v>1</v>
      </c>
      <c r="C26" s="244">
        <f>SUMPRODUCT(Stories!$W$4:$W$153,--(Stories!$J$4:$J$153=$A26))</f>
        <v/>
      </c>
      <c r="D26" s="245" t="n">
        <v>3</v>
      </c>
      <c r="E26" s="243" t="n">
        <v>0</v>
      </c>
      <c r="F26" s="249" t="inlineStr">
        <is>
          <t>Infrastructure &amp; the Underground City</t>
        </is>
      </c>
      <c r="G26" s="243" t="n">
        <v>1</v>
      </c>
      <c r="H26" s="171" t="inlineStr">
        <is>
          <t>Brazil</t>
        </is>
      </c>
      <c r="I26" s="247" t="n">
        <v>46321</v>
      </c>
    </row>
    <row r="27" ht="15.5" customHeight="1">
      <c r="A27" s="231" t="inlineStr">
        <is>
          <t>ComNews.ru</t>
        </is>
      </c>
      <c r="B27" s="243" t="n">
        <v>1</v>
      </c>
      <c r="C27" s="244">
        <f>SUMPRODUCT(Stories!$W$4:$W$153,--(Stories!$J$4:$J$153=$A27))</f>
        <v/>
      </c>
      <c r="D27" s="245" t="n">
        <v>4</v>
      </c>
      <c r="E27" s="243" t="n">
        <v>1</v>
      </c>
      <c r="F27" s="251" t="inlineStr">
        <is>
          <t>Digital Geotechnics</t>
        </is>
      </c>
      <c r="G27" s="243" t="n">
        <v>1</v>
      </c>
      <c r="H27" s="171" t="inlineStr">
        <is>
          <t>Russia</t>
        </is>
      </c>
      <c r="I27" s="247" t="n">
        <v>46321</v>
      </c>
    </row>
    <row r="28" ht="28" customHeight="1">
      <c r="A28" s="231" t="inlineStr">
        <is>
          <t>Dainik Bhaskar</t>
        </is>
      </c>
      <c r="B28" s="243" t="n">
        <v>1</v>
      </c>
      <c r="C28" s="244">
        <f>SUMPRODUCT(Stories!$W$4:$W$153,--(Stories!$J$4:$J$153=$A28))</f>
        <v/>
      </c>
      <c r="D28" s="245" t="n">
        <v>5</v>
      </c>
      <c r="E28" s="243" t="n">
        <v>1</v>
      </c>
      <c r="F28" s="249" t="inlineStr">
        <is>
          <t>Infrastructure &amp; the Underground City</t>
        </is>
      </c>
      <c r="G28" s="243" t="n">
        <v>1</v>
      </c>
      <c r="H28" s="171" t="inlineStr">
        <is>
          <t>India</t>
        </is>
      </c>
      <c r="I28" s="247" t="n">
        <v>46321</v>
      </c>
    </row>
    <row r="29" ht="28" customHeight="1">
      <c r="A29" s="231" t="inlineStr">
        <is>
          <t>Debate</t>
        </is>
      </c>
      <c r="B29" s="243" t="n">
        <v>1</v>
      </c>
      <c r="C29" s="244">
        <f>SUMPRODUCT(Stories!$W$4:$W$153,--(Stories!$J$4:$J$153=$A29))</f>
        <v/>
      </c>
      <c r="D29" s="245" t="n">
        <v>4</v>
      </c>
      <c r="E29" s="243" t="n">
        <v>1</v>
      </c>
      <c r="F29" s="249" t="inlineStr">
        <is>
          <t>Infrastructure &amp; the Underground City</t>
        </is>
      </c>
      <c r="G29" s="243" t="n">
        <v>1</v>
      </c>
      <c r="H29" s="171" t="inlineStr">
        <is>
          <t>Colombia</t>
        </is>
      </c>
      <c r="I29" s="247" t="n">
        <v>46319</v>
      </c>
    </row>
    <row r="30" ht="28" customHeight="1">
      <c r="A30" s="231" t="inlineStr">
        <is>
          <t>Detona, Real News</t>
        </is>
      </c>
      <c r="B30" s="243" t="n">
        <v>1</v>
      </c>
      <c r="C30" s="244">
        <f>SUMPRODUCT(Stories!$W$4:$W$153,--(Stories!$J$4:$J$153=$A30))</f>
        <v/>
      </c>
      <c r="D30" s="245" t="n">
        <v>3</v>
      </c>
      <c r="E30" s="243" t="n">
        <v>0</v>
      </c>
      <c r="F30" s="249" t="inlineStr">
        <is>
          <t>Infrastructure &amp; the Underground City</t>
        </is>
      </c>
      <c r="G30" s="243" t="n">
        <v>1</v>
      </c>
      <c r="H30" s="171" t="inlineStr">
        <is>
          <t>Colombia</t>
        </is>
      </c>
      <c r="I30" s="247" t="n">
        <v>46319</v>
      </c>
    </row>
    <row r="31" ht="15.5" customHeight="1">
      <c r="A31" s="231" t="inlineStr">
        <is>
          <t>Diario 1588</t>
        </is>
      </c>
      <c r="B31" s="243" t="n">
        <v>1</v>
      </c>
      <c r="C31" s="244">
        <f>SUMPRODUCT(Stories!$W$4:$W$153,--(Stories!$J$4:$J$153=$A31))</f>
        <v/>
      </c>
      <c r="D31" s="245" t="n">
        <v>3</v>
      </c>
      <c r="E31" s="243" t="n">
        <v>0</v>
      </c>
      <c r="F31" s="248" t="inlineStr">
        <is>
          <t>Offshore, Coasts &amp; Water</t>
        </is>
      </c>
      <c r="G31" s="243" t="n">
        <v>1</v>
      </c>
      <c r="H31" s="171" t="inlineStr">
        <is>
          <t>Argentina</t>
        </is>
      </c>
      <c r="I31" s="247" t="n">
        <v>46320</v>
      </c>
    </row>
    <row r="32" ht="28" customHeight="1">
      <c r="A32" s="231" t="inlineStr">
        <is>
          <t>Diario 7 lagos</t>
        </is>
      </c>
      <c r="B32" s="243" t="n">
        <v>1</v>
      </c>
      <c r="C32" s="244">
        <f>SUMPRODUCT(Stories!$W$4:$W$153,--(Stories!$J$4:$J$153=$A32))</f>
        <v/>
      </c>
      <c r="D32" s="245" t="n">
        <v>3</v>
      </c>
      <c r="E32" s="243" t="n">
        <v>0</v>
      </c>
      <c r="F32" s="249" t="inlineStr">
        <is>
          <t>Infrastructure &amp; the Underground City</t>
        </is>
      </c>
      <c r="G32" s="243" t="n">
        <v>1</v>
      </c>
      <c r="H32" s="171" t="inlineStr">
        <is>
          <t>Colombia</t>
        </is>
      </c>
      <c r="I32" s="247" t="n">
        <v>46320</v>
      </c>
    </row>
    <row r="33" ht="28" customHeight="1">
      <c r="A33" s="231" t="inlineStr">
        <is>
          <t>Diario Correo</t>
        </is>
      </c>
      <c r="B33" s="243" t="n">
        <v>1</v>
      </c>
      <c r="C33" s="244">
        <f>SUMPRODUCT(Stories!$W$4:$W$153,--(Stories!$J$4:$J$153=$A33))</f>
        <v/>
      </c>
      <c r="D33" s="245" t="n">
        <v>4</v>
      </c>
      <c r="E33" s="243" t="n">
        <v>1</v>
      </c>
      <c r="F33" s="249" t="inlineStr">
        <is>
          <t>Infrastructure &amp; the Underground City</t>
        </is>
      </c>
      <c r="G33" s="243" t="n">
        <v>1</v>
      </c>
      <c r="H33" s="171" t="inlineStr">
        <is>
          <t>Peru</t>
        </is>
      </c>
      <c r="I33" s="247" t="n">
        <v>46321</v>
      </c>
    </row>
    <row r="34" ht="28" customHeight="1">
      <c r="A34" s="231" t="inlineStr">
        <is>
          <t>diariolosandes.com.ec</t>
        </is>
      </c>
      <c r="B34" s="243" t="n">
        <v>1</v>
      </c>
      <c r="C34" s="244">
        <f>SUMPRODUCT(Stories!$W$4:$W$153,--(Stories!$J$4:$J$153=$A34))</f>
        <v/>
      </c>
      <c r="D34" s="245" t="n">
        <v>3</v>
      </c>
      <c r="E34" s="243" t="n">
        <v>0</v>
      </c>
      <c r="F34" s="249" t="inlineStr">
        <is>
          <t>Infrastructure &amp; the Underground City</t>
        </is>
      </c>
      <c r="G34" s="243" t="n">
        <v>1</v>
      </c>
      <c r="H34" s="171" t="inlineStr">
        <is>
          <t>Spain</t>
        </is>
      </c>
      <c r="I34" s="247" t="n">
        <v>46321</v>
      </c>
    </row>
    <row r="35" ht="15.5" customHeight="1">
      <c r="A35" s="231" t="inlineStr">
        <is>
          <t>DTiNews</t>
        </is>
      </c>
      <c r="B35" s="243" t="n">
        <v>1</v>
      </c>
      <c r="C35" s="244">
        <f>SUMPRODUCT(Stories!$W$4:$W$153,--(Stories!$J$4:$J$153=$A35))</f>
        <v/>
      </c>
      <c r="D35" s="245" t="n">
        <v>3</v>
      </c>
      <c r="E35" s="243" t="n">
        <v>0</v>
      </c>
      <c r="F35" s="253" t="inlineStr">
        <is>
          <t>Characterisation &amp; Modelling</t>
        </is>
      </c>
      <c r="G35" s="243" t="n">
        <v>1</v>
      </c>
      <c r="H35" s="171" t="inlineStr">
        <is>
          <t>United Kingdom</t>
        </is>
      </c>
      <c r="I35" s="247" t="n">
        <v>46320</v>
      </c>
    </row>
    <row r="36" ht="28" customHeight="1">
      <c r="A36" s="231" t="inlineStr">
        <is>
          <t>El Comercio</t>
        </is>
      </c>
      <c r="B36" s="243" t="n">
        <v>1</v>
      </c>
      <c r="C36" s="244">
        <f>SUMPRODUCT(Stories!$W$4:$W$153,--(Stories!$J$4:$J$153=$A36))</f>
        <v/>
      </c>
      <c r="D36" s="245" t="n">
        <v>3</v>
      </c>
      <c r="E36" s="243" t="n">
        <v>0</v>
      </c>
      <c r="F36" s="249" t="inlineStr">
        <is>
          <t>Infrastructure &amp; the Underground City</t>
        </is>
      </c>
      <c r="G36" s="243" t="n">
        <v>1</v>
      </c>
      <c r="H36" s="171" t="inlineStr">
        <is>
          <t>Spain</t>
        </is>
      </c>
      <c r="I36" s="247" t="n">
        <v>46321</v>
      </c>
    </row>
    <row r="37" ht="15.5" customHeight="1">
      <c r="A37" s="231" t="inlineStr">
        <is>
          <t>El Congresista</t>
        </is>
      </c>
      <c r="B37" s="243" t="n">
        <v>1</v>
      </c>
      <c r="C37" s="244">
        <f>SUMPRODUCT(Stories!$W$4:$W$153,--(Stories!$J$4:$J$153=$A37))</f>
        <v/>
      </c>
      <c r="D37" s="245" t="n">
        <v>4</v>
      </c>
      <c r="E37" s="243" t="n">
        <v>1</v>
      </c>
      <c r="F37" s="246" t="inlineStr">
        <is>
          <t>Hazards &amp; Resilience</t>
        </is>
      </c>
      <c r="G37" s="243" t="n">
        <v>1</v>
      </c>
      <c r="H37" s="171" t="inlineStr">
        <is>
          <t>Spain</t>
        </is>
      </c>
      <c r="I37" s="247" t="n">
        <v>46320</v>
      </c>
    </row>
    <row r="38" ht="28" customHeight="1">
      <c r="A38" s="231" t="inlineStr">
        <is>
          <t>El Litoral | Novedades de Corrientes</t>
        </is>
      </c>
      <c r="B38" s="243" t="n">
        <v>1</v>
      </c>
      <c r="C38" s="244">
        <f>SUMPRODUCT(Stories!$W$4:$W$153,--(Stories!$J$4:$J$153=$A38))</f>
        <v/>
      </c>
      <c r="D38" s="245" t="n">
        <v>3</v>
      </c>
      <c r="E38" s="243" t="n">
        <v>0</v>
      </c>
      <c r="F38" s="248" t="inlineStr">
        <is>
          <t>Offshore, Coasts &amp; Water</t>
        </is>
      </c>
      <c r="G38" s="243" t="n">
        <v>1</v>
      </c>
      <c r="H38" s="171" t="inlineStr">
        <is>
          <t>Argentina</t>
        </is>
      </c>
      <c r="I38" s="247" t="n">
        <v>46319</v>
      </c>
    </row>
    <row r="39" ht="28" customHeight="1">
      <c r="A39" s="231" t="inlineStr">
        <is>
          <t>El Portal de Chicoloapan</t>
        </is>
      </c>
      <c r="B39" s="243" t="n">
        <v>1</v>
      </c>
      <c r="C39" s="244">
        <f>SUMPRODUCT(Stories!$W$4:$W$153,--(Stories!$J$4:$J$153=$A39))</f>
        <v/>
      </c>
      <c r="D39" s="245" t="n">
        <v>3</v>
      </c>
      <c r="E39" s="243" t="n">
        <v>0</v>
      </c>
      <c r="F39" s="249" t="inlineStr">
        <is>
          <t>Infrastructure &amp; the Underground City</t>
        </is>
      </c>
      <c r="G39" s="243" t="n">
        <v>1</v>
      </c>
      <c r="H39" s="171" t="inlineStr">
        <is>
          <t>Argentina</t>
        </is>
      </c>
      <c r="I39" s="247" t="n">
        <v>46320</v>
      </c>
    </row>
    <row r="40" ht="28" customHeight="1">
      <c r="A40" s="231" t="inlineStr">
        <is>
          <t>El Siglo de Torreón</t>
        </is>
      </c>
      <c r="B40" s="243" t="n">
        <v>1</v>
      </c>
      <c r="C40" s="244">
        <f>SUMPRODUCT(Stories!$W$4:$W$153,--(Stories!$J$4:$J$153=$A40))</f>
        <v/>
      </c>
      <c r="D40" s="245" t="n">
        <v>3</v>
      </c>
      <c r="E40" s="243" t="n">
        <v>0</v>
      </c>
      <c r="F40" s="249" t="inlineStr">
        <is>
          <t>Infrastructure &amp; the Underground City</t>
        </is>
      </c>
      <c r="G40" s="243" t="n">
        <v>1</v>
      </c>
      <c r="H40" s="171" t="inlineStr">
        <is>
          <t>Colombia</t>
        </is>
      </c>
      <c r="I40" s="247" t="n">
        <v>46319</v>
      </c>
    </row>
    <row r="41" ht="28" customHeight="1">
      <c r="A41" s="231" t="inlineStr">
        <is>
          <t>El Sol de México</t>
        </is>
      </c>
      <c r="B41" s="243" t="n">
        <v>1</v>
      </c>
      <c r="C41" s="244">
        <f>SUMPRODUCT(Stories!$W$4:$W$153,--(Stories!$J$4:$J$153=$A41))</f>
        <v/>
      </c>
      <c r="D41" s="245" t="n">
        <v>3</v>
      </c>
      <c r="E41" s="243" t="n">
        <v>0</v>
      </c>
      <c r="F41" s="249" t="inlineStr">
        <is>
          <t>Infrastructure &amp; the Underground City</t>
        </is>
      </c>
      <c r="G41" s="243" t="n">
        <v>1</v>
      </c>
      <c r="H41" s="171" t="inlineStr">
        <is>
          <t>Colombia</t>
        </is>
      </c>
      <c r="I41" s="247" t="n">
        <v>46320</v>
      </c>
    </row>
    <row r="42" ht="28" customHeight="1">
      <c r="A42" s="231" t="inlineStr">
        <is>
          <t>El Universo</t>
        </is>
      </c>
      <c r="B42" s="243" t="n">
        <v>1</v>
      </c>
      <c r="C42" s="244">
        <f>SUMPRODUCT(Stories!$W$4:$W$153,--(Stories!$J$4:$J$153=$A42))</f>
        <v/>
      </c>
      <c r="D42" s="245" t="n">
        <v>4</v>
      </c>
      <c r="E42" s="243" t="n">
        <v>1</v>
      </c>
      <c r="F42" s="249" t="inlineStr">
        <is>
          <t>Infrastructure &amp; the Underground City</t>
        </is>
      </c>
      <c r="G42" s="243" t="n">
        <v>1</v>
      </c>
      <c r="H42" s="171" t="inlineStr">
        <is>
          <t>Colombia</t>
        </is>
      </c>
      <c r="I42" s="247" t="n">
        <v>46319</v>
      </c>
    </row>
    <row r="43" ht="28" customHeight="1">
      <c r="A43" s="231" t="inlineStr">
        <is>
          <t>emsavalles.com</t>
        </is>
      </c>
      <c r="B43" s="243" t="n">
        <v>1</v>
      </c>
      <c r="C43" s="244">
        <f>SUMPRODUCT(Stories!$W$4:$W$153,--(Stories!$J$4:$J$153=$A43))</f>
        <v/>
      </c>
      <c r="D43" s="245" t="n">
        <v>3</v>
      </c>
      <c r="E43" s="243" t="n">
        <v>0</v>
      </c>
      <c r="F43" s="249" t="inlineStr">
        <is>
          <t>Infrastructure &amp; the Underground City</t>
        </is>
      </c>
      <c r="G43" s="243" t="n">
        <v>1</v>
      </c>
      <c r="H43" s="171" t="inlineStr">
        <is>
          <t>Colombia</t>
        </is>
      </c>
      <c r="I43" s="247" t="n">
        <v>46320</v>
      </c>
    </row>
    <row r="44" ht="15.5" customHeight="1">
      <c r="A44" s="231" t="inlineStr">
        <is>
          <t>FNNプライムオンライン</t>
        </is>
      </c>
      <c r="B44" s="243" t="n">
        <v>1</v>
      </c>
      <c r="C44" s="244">
        <f>SUMPRODUCT(Stories!$W$4:$W$153,--(Stories!$J$4:$J$153=$A44))</f>
        <v/>
      </c>
      <c r="D44" s="245" t="n">
        <v>4</v>
      </c>
      <c r="E44" s="243" t="n">
        <v>1</v>
      </c>
      <c r="F44" s="246" t="inlineStr">
        <is>
          <t>Hazards &amp; Resilience</t>
        </is>
      </c>
      <c r="G44" s="243" t="n">
        <v>1</v>
      </c>
      <c r="H44" s="171" t="inlineStr">
        <is>
          <t>Japan</t>
        </is>
      </c>
      <c r="I44" s="247" t="n">
        <v>46320</v>
      </c>
    </row>
    <row r="45" ht="28" customHeight="1">
      <c r="A45" s="231" t="inlineStr">
        <is>
          <t>G1</t>
        </is>
      </c>
      <c r="B45" s="243" t="n">
        <v>1</v>
      </c>
      <c r="C45" s="244">
        <f>SUMPRODUCT(Stories!$W$4:$W$153,--(Stories!$J$4:$J$153=$A45))</f>
        <v/>
      </c>
      <c r="D45" s="245" t="n">
        <v>3</v>
      </c>
      <c r="E45" s="243" t="n">
        <v>0</v>
      </c>
      <c r="F45" s="249" t="inlineStr">
        <is>
          <t>Infrastructure &amp; the Underground City</t>
        </is>
      </c>
      <c r="G45" s="243" t="n">
        <v>1</v>
      </c>
      <c r="H45" s="171" t="inlineStr">
        <is>
          <t>Brazil</t>
        </is>
      </c>
      <c r="I45" s="247" t="n">
        <v>46321</v>
      </c>
    </row>
    <row r="46" ht="15.5" customHeight="1">
      <c r="A46" s="231" t="inlineStr">
        <is>
          <t>Geoengineer.org</t>
        </is>
      </c>
      <c r="B46" s="243" t="n">
        <v>1</v>
      </c>
      <c r="C46" s="244">
        <f>SUMPRODUCT(Stories!$W$4:$W$153,--(Stories!$J$4:$J$153=$A46))</f>
        <v/>
      </c>
      <c r="D46" s="245" t="n">
        <v>5</v>
      </c>
      <c r="E46" s="243" t="n">
        <v>1</v>
      </c>
      <c r="F46" s="254" t="inlineStr">
        <is>
          <t>Ground Improvement &amp; Innovation</t>
        </is>
      </c>
      <c r="G46" s="243" t="n">
        <v>1</v>
      </c>
      <c r="H46" s="171" t="inlineStr">
        <is>
          <t>United States</t>
        </is>
      </c>
      <c r="I46" s="247" t="n">
        <v>46319</v>
      </c>
    </row>
    <row r="47" ht="15.5" customHeight="1">
      <c r="A47" s="231" t="inlineStr">
        <is>
          <t>Giornale Nord Est</t>
        </is>
      </c>
      <c r="B47" s="243" t="n">
        <v>1</v>
      </c>
      <c r="C47" s="244">
        <f>SUMPRODUCT(Stories!$W$4:$W$153,--(Stories!$J$4:$J$153=$A47))</f>
        <v/>
      </c>
      <c r="D47" s="245" t="n">
        <v>4</v>
      </c>
      <c r="E47" s="243" t="n">
        <v>1</v>
      </c>
      <c r="F47" s="246" t="inlineStr">
        <is>
          <t>Hazards &amp; Resilience</t>
        </is>
      </c>
      <c r="G47" s="243" t="n">
        <v>1</v>
      </c>
      <c r="H47" s="171" t="inlineStr">
        <is>
          <t>Italy</t>
        </is>
      </c>
      <c r="I47" s="247" t="n">
        <v>46320</v>
      </c>
    </row>
    <row r="48" ht="15.5" customHeight="1">
      <c r="A48" s="231" t="inlineStr">
        <is>
          <t>Il Giornale dei Castelli Romani</t>
        </is>
      </c>
      <c r="B48" s="243" t="n">
        <v>1</v>
      </c>
      <c r="C48" s="244">
        <f>SUMPRODUCT(Stories!$W$4:$W$153,--(Stories!$J$4:$J$153=$A48))</f>
        <v/>
      </c>
      <c r="D48" s="245" t="n">
        <v>4</v>
      </c>
      <c r="E48" s="243" t="n">
        <v>1</v>
      </c>
      <c r="F48" s="246" t="inlineStr">
        <is>
          <t>Hazards &amp; Resilience</t>
        </is>
      </c>
      <c r="G48" s="243" t="n">
        <v>1</v>
      </c>
      <c r="H48" s="171" t="inlineStr">
        <is>
          <t>Italy</t>
        </is>
      </c>
      <c r="I48" s="247" t="n">
        <v>46319</v>
      </c>
    </row>
    <row r="49" ht="28" customHeight="1">
      <c r="A49" s="231" t="inlineStr">
        <is>
          <t>Inh News</t>
        </is>
      </c>
      <c r="B49" s="243" t="n">
        <v>1</v>
      </c>
      <c r="C49" s="244">
        <f>SUMPRODUCT(Stories!$W$4:$W$153,--(Stories!$J$4:$J$153=$A49))</f>
        <v/>
      </c>
      <c r="D49" s="245" t="n">
        <v>4</v>
      </c>
      <c r="E49" s="243" t="n">
        <v>1</v>
      </c>
      <c r="F49" s="249" t="inlineStr">
        <is>
          <t>Infrastructure &amp; the Underground City</t>
        </is>
      </c>
      <c r="G49" s="243" t="n">
        <v>1</v>
      </c>
      <c r="H49" s="171" t="inlineStr">
        <is>
          <t>India</t>
        </is>
      </c>
      <c r="I49" s="247" t="n">
        <v>46321</v>
      </c>
    </row>
    <row r="50" ht="28" customHeight="1">
      <c r="A50" s="231" t="inlineStr">
        <is>
          <t>JORNAL DA REGIÃO</t>
        </is>
      </c>
      <c r="B50" s="243" t="n">
        <v>1</v>
      </c>
      <c r="C50" s="244">
        <f>SUMPRODUCT(Stories!$W$4:$W$153,--(Stories!$J$4:$J$153=$A50))</f>
        <v/>
      </c>
      <c r="D50" s="245" t="n">
        <v>3</v>
      </c>
      <c r="E50" s="243" t="n">
        <v>0</v>
      </c>
      <c r="F50" s="249" t="inlineStr">
        <is>
          <t>Infrastructure &amp; the Underground City</t>
        </is>
      </c>
      <c r="G50" s="243" t="n">
        <v>1</v>
      </c>
      <c r="H50" s="171" t="inlineStr">
        <is>
          <t>Brazil</t>
        </is>
      </c>
      <c r="I50" s="247" t="n">
        <v>46321</v>
      </c>
    </row>
    <row r="51" ht="28" customHeight="1">
      <c r="A51" s="231" t="inlineStr">
        <is>
          <t>Jornal Novo Tempo</t>
        </is>
      </c>
      <c r="B51" s="243" t="n">
        <v>1</v>
      </c>
      <c r="C51" s="244">
        <f>SUMPRODUCT(Stories!$W$4:$W$153,--(Stories!$J$4:$J$153=$A51))</f>
        <v/>
      </c>
      <c r="D51" s="245" t="n">
        <v>3</v>
      </c>
      <c r="E51" s="243" t="n">
        <v>0</v>
      </c>
      <c r="F51" s="249" t="inlineStr">
        <is>
          <t>Infrastructure &amp; the Underground City</t>
        </is>
      </c>
      <c r="G51" s="243" t="n">
        <v>1</v>
      </c>
      <c r="H51" s="171" t="inlineStr">
        <is>
          <t>Brazil</t>
        </is>
      </c>
      <c r="I51" s="247" t="n">
        <v>46321</v>
      </c>
    </row>
    <row r="52" ht="15.5" customHeight="1">
      <c r="A52" s="231" t="inlineStr">
        <is>
          <t>Kashmir Life</t>
        </is>
      </c>
      <c r="B52" s="243" t="n">
        <v>1</v>
      </c>
      <c r="C52" s="244">
        <f>SUMPRODUCT(Stories!$W$4:$W$153,--(Stories!$J$4:$J$153=$A52))</f>
        <v/>
      </c>
      <c r="D52" s="245" t="n">
        <v>5</v>
      </c>
      <c r="E52" s="243" t="n">
        <v>1</v>
      </c>
      <c r="F52" s="246" t="inlineStr">
        <is>
          <t>Hazards &amp; Resilience</t>
        </is>
      </c>
      <c r="G52" s="243" t="n">
        <v>1</v>
      </c>
      <c r="H52" s="171" t="inlineStr">
        <is>
          <t>United Kingdom</t>
        </is>
      </c>
      <c r="I52" s="247" t="n">
        <v>46321</v>
      </c>
    </row>
    <row r="53" ht="15.5" customHeight="1">
      <c r="A53" s="231" t="inlineStr">
        <is>
          <t>Kenh14.vn</t>
        </is>
      </c>
      <c r="B53" s="243" t="n">
        <v>1</v>
      </c>
      <c r="C53" s="244">
        <f>SUMPRODUCT(Stories!$W$4:$W$153,--(Stories!$J$4:$J$153=$A53))</f>
        <v/>
      </c>
      <c r="D53" s="245" t="n">
        <v>4</v>
      </c>
      <c r="E53" s="243" t="n">
        <v>1</v>
      </c>
      <c r="F53" s="246" t="inlineStr">
        <is>
          <t>Hazards &amp; Resilience</t>
        </is>
      </c>
      <c r="G53" s="243" t="n">
        <v>1</v>
      </c>
      <c r="H53" s="171" t="inlineStr">
        <is>
          <t>Vietnam</t>
        </is>
      </c>
      <c r="I53" s="247" t="n">
        <v>46319</v>
      </c>
    </row>
    <row r="54" ht="28" customHeight="1">
      <c r="A54" s="231" t="inlineStr">
        <is>
          <t>La Jornada Morelos</t>
        </is>
      </c>
      <c r="B54" s="243" t="n">
        <v>1</v>
      </c>
      <c r="C54" s="244">
        <f>SUMPRODUCT(Stories!$W$4:$W$153,--(Stories!$J$4:$J$153=$A54))</f>
        <v/>
      </c>
      <c r="D54" s="245" t="n">
        <v>4</v>
      </c>
      <c r="E54" s="243" t="n">
        <v>1</v>
      </c>
      <c r="F54" s="249" t="inlineStr">
        <is>
          <t>Infrastructure &amp; the Underground City</t>
        </is>
      </c>
      <c r="G54" s="243" t="n">
        <v>1</v>
      </c>
      <c r="H54" s="171" t="inlineStr">
        <is>
          <t>Argentina</t>
        </is>
      </c>
      <c r="I54" s="247" t="n">
        <v>46321</v>
      </c>
    </row>
    <row r="55" ht="15.5" customHeight="1">
      <c r="A55" s="231" t="inlineStr">
        <is>
          <t>la Repubblica</t>
        </is>
      </c>
      <c r="B55" s="243" t="n">
        <v>1</v>
      </c>
      <c r="C55" s="244">
        <f>SUMPRODUCT(Stories!$W$4:$W$153,--(Stories!$J$4:$J$153=$A55))</f>
        <v/>
      </c>
      <c r="D55" s="245" t="n">
        <v>5</v>
      </c>
      <c r="E55" s="243" t="n">
        <v>1</v>
      </c>
      <c r="F55" s="246" t="inlineStr">
        <is>
          <t>Hazards &amp; Resilience</t>
        </is>
      </c>
      <c r="G55" s="243" t="n">
        <v>1</v>
      </c>
      <c r="H55" s="171" t="inlineStr">
        <is>
          <t>Italy</t>
        </is>
      </c>
      <c r="I55" s="247" t="n">
        <v>46321</v>
      </c>
    </row>
    <row r="56" ht="15.5" customHeight="1">
      <c r="A56" s="231" t="inlineStr">
        <is>
          <t>Laodong.vn</t>
        </is>
      </c>
      <c r="B56" s="243" t="n">
        <v>1</v>
      </c>
      <c r="C56" s="244">
        <f>SUMPRODUCT(Stories!$W$4:$W$153,--(Stories!$J$4:$J$153=$A56))</f>
        <v/>
      </c>
      <c r="D56" s="245" t="n">
        <v>4</v>
      </c>
      <c r="E56" s="243" t="n">
        <v>1</v>
      </c>
      <c r="F56" s="253" t="inlineStr">
        <is>
          <t>Characterisation &amp; Modelling</t>
        </is>
      </c>
      <c r="G56" s="243" t="n">
        <v>1</v>
      </c>
      <c r="H56" s="171" t="inlineStr">
        <is>
          <t>South Korea</t>
        </is>
      </c>
      <c r="I56" s="247" t="n">
        <v>46320</v>
      </c>
    </row>
    <row r="57" ht="28" customHeight="1">
      <c r="A57" s="231" t="inlineStr">
        <is>
          <t>Life.ru</t>
        </is>
      </c>
      <c r="B57" s="243" t="n">
        <v>1</v>
      </c>
      <c r="C57" s="244">
        <f>SUMPRODUCT(Stories!$W$4:$W$153,--(Stories!$J$4:$J$153=$A57))</f>
        <v/>
      </c>
      <c r="D57" s="245" t="n">
        <v>5</v>
      </c>
      <c r="E57" s="243" t="n">
        <v>1</v>
      </c>
      <c r="F57" s="250" t="inlineStr">
        <is>
          <t>Sustainability &amp; the Energy Transition</t>
        </is>
      </c>
      <c r="G57" s="243" t="n">
        <v>1</v>
      </c>
      <c r="H57" s="171" t="inlineStr">
        <is>
          <t>Russia</t>
        </is>
      </c>
      <c r="I57" s="247" t="n">
        <v>46321</v>
      </c>
    </row>
    <row r="58" ht="15.5" customHeight="1">
      <c r="A58" s="231" t="inlineStr">
        <is>
          <t>Los Noticieristas</t>
        </is>
      </c>
      <c r="B58" s="243" t="n">
        <v>1</v>
      </c>
      <c r="C58" s="244">
        <f>SUMPRODUCT(Stories!$W$4:$W$153,--(Stories!$J$4:$J$153=$A58))</f>
        <v/>
      </c>
      <c r="D58" s="245" t="n">
        <v>4</v>
      </c>
      <c r="E58" s="243" t="n">
        <v>1</v>
      </c>
      <c r="F58" s="248" t="inlineStr">
        <is>
          <t>Offshore, Coasts &amp; Water</t>
        </is>
      </c>
      <c r="G58" s="243" t="n">
        <v>1</v>
      </c>
      <c r="H58" s="171" t="inlineStr">
        <is>
          <t>Colombia</t>
        </is>
      </c>
      <c r="I58" s="247" t="n">
        <v>46321</v>
      </c>
    </row>
    <row r="59" ht="28" customHeight="1">
      <c r="A59" s="231" t="inlineStr">
        <is>
          <t>luminanoticias.pe</t>
        </is>
      </c>
      <c r="B59" s="243" t="n">
        <v>1</v>
      </c>
      <c r="C59" s="244">
        <f>SUMPRODUCT(Stories!$W$4:$W$153,--(Stories!$J$4:$J$153=$A59))</f>
        <v/>
      </c>
      <c r="D59" s="245" t="n">
        <v>3</v>
      </c>
      <c r="E59" s="243" t="n">
        <v>0</v>
      </c>
      <c r="F59" s="249" t="inlineStr">
        <is>
          <t>Infrastructure &amp; the Underground City</t>
        </is>
      </c>
      <c r="G59" s="243" t="n">
        <v>1</v>
      </c>
      <c r="H59" s="171" t="inlineStr">
        <is>
          <t>Spain</t>
        </is>
      </c>
      <c r="I59" s="247" t="n">
        <v>46321</v>
      </c>
    </row>
    <row r="60" ht="15.5" customHeight="1">
      <c r="A60" s="231" t="inlineStr">
        <is>
          <t>Malay Mail</t>
        </is>
      </c>
      <c r="B60" s="243" t="n">
        <v>1</v>
      </c>
      <c r="C60" s="244">
        <f>SUMPRODUCT(Stories!$W$4:$W$153,--(Stories!$J$4:$J$153=$A60))</f>
        <v/>
      </c>
      <c r="D60" s="245" t="n">
        <v>4</v>
      </c>
      <c r="E60" s="243" t="n">
        <v>1</v>
      </c>
      <c r="F60" s="246" t="inlineStr">
        <is>
          <t>Hazards &amp; Resilience</t>
        </is>
      </c>
      <c r="G60" s="243" t="n">
        <v>1</v>
      </c>
      <c r="H60" s="171" t="inlineStr">
        <is>
          <t>United Kingdom</t>
        </is>
      </c>
      <c r="I60" s="247" t="n">
        <v>46320</v>
      </c>
    </row>
    <row r="61" ht="28" customHeight="1">
      <c r="A61" s="231" t="inlineStr">
        <is>
          <t>MarketScreener España</t>
        </is>
      </c>
      <c r="B61" s="243" t="n">
        <v>1</v>
      </c>
      <c r="C61" s="244">
        <f>SUMPRODUCT(Stories!$W$4:$W$153,--(Stories!$J$4:$J$153=$A61))</f>
        <v/>
      </c>
      <c r="D61" s="245" t="n">
        <v>4</v>
      </c>
      <c r="E61" s="243" t="n">
        <v>1</v>
      </c>
      <c r="F61" s="249" t="inlineStr">
        <is>
          <t>Infrastructure &amp; the Underground City</t>
        </is>
      </c>
      <c r="G61" s="243" t="n">
        <v>1</v>
      </c>
      <c r="H61" s="171" t="inlineStr">
        <is>
          <t>Argentina</t>
        </is>
      </c>
      <c r="I61" s="247" t="n">
        <v>46320</v>
      </c>
    </row>
    <row r="62" ht="28" customHeight="1">
      <c r="A62" s="231" t="inlineStr">
        <is>
          <t>Marília Notícia</t>
        </is>
      </c>
      <c r="B62" s="243" t="n">
        <v>1</v>
      </c>
      <c r="C62" s="244">
        <f>SUMPRODUCT(Stories!$W$4:$W$153,--(Stories!$J$4:$J$153=$A62))</f>
        <v/>
      </c>
      <c r="D62" s="245" t="n">
        <v>3</v>
      </c>
      <c r="E62" s="243" t="n">
        <v>0</v>
      </c>
      <c r="F62" s="249" t="inlineStr">
        <is>
          <t>Infrastructure &amp; the Underground City</t>
        </is>
      </c>
      <c r="G62" s="243" t="n">
        <v>1</v>
      </c>
      <c r="H62" s="171" t="inlineStr">
        <is>
          <t>Brazil</t>
        </is>
      </c>
      <c r="I62" s="247" t="n">
        <v>46321</v>
      </c>
    </row>
    <row r="63" ht="15.5" customHeight="1">
      <c r="A63" s="231" t="inlineStr">
        <is>
          <t>Meganoticias</t>
        </is>
      </c>
      <c r="B63" s="243" t="n">
        <v>1</v>
      </c>
      <c r="C63" s="244">
        <f>SUMPRODUCT(Stories!$W$4:$W$153,--(Stories!$J$4:$J$153=$A63))</f>
        <v/>
      </c>
      <c r="D63" s="245" t="n">
        <v>4</v>
      </c>
      <c r="E63" s="243" t="n">
        <v>1</v>
      </c>
      <c r="F63" s="246" t="inlineStr">
        <is>
          <t>Hazards &amp; Resilience</t>
        </is>
      </c>
      <c r="G63" s="243" t="n">
        <v>1</v>
      </c>
      <c r="H63" s="171" t="inlineStr">
        <is>
          <t>Chile</t>
        </is>
      </c>
      <c r="I63" s="247" t="n">
        <v>46319</v>
      </c>
    </row>
    <row r="64" ht="28" customHeight="1">
      <c r="A64" s="231" t="inlineStr">
        <is>
          <t>Naver Blog</t>
        </is>
      </c>
      <c r="B64" s="243" t="n">
        <v>1</v>
      </c>
      <c r="C64" s="244">
        <f>SUMPRODUCT(Stories!$W$4:$W$153,--(Stories!$J$4:$J$153=$A64))</f>
        <v/>
      </c>
      <c r="D64" s="245" t="n">
        <v>4</v>
      </c>
      <c r="E64" s="243" t="n">
        <v>1</v>
      </c>
      <c r="F64" s="249" t="inlineStr">
        <is>
          <t>Infrastructure &amp; the Underground City</t>
        </is>
      </c>
      <c r="G64" s="243" t="n">
        <v>1</v>
      </c>
      <c r="H64" s="171" t="inlineStr">
        <is>
          <t>South Korea</t>
        </is>
      </c>
      <c r="I64" s="247" t="n">
        <v>46319</v>
      </c>
    </row>
    <row r="65" ht="28" customHeight="1">
      <c r="A65" s="231" t="inlineStr">
        <is>
          <t>NDT Noticias de Tijuana</t>
        </is>
      </c>
      <c r="B65" s="243" t="n">
        <v>1</v>
      </c>
      <c r="C65" s="244">
        <f>SUMPRODUCT(Stories!$W$4:$W$153,--(Stories!$J$4:$J$153=$A65))</f>
        <v/>
      </c>
      <c r="D65" s="245" t="n">
        <v>4</v>
      </c>
      <c r="E65" s="243" t="n">
        <v>1</v>
      </c>
      <c r="F65" s="249" t="inlineStr">
        <is>
          <t>Infrastructure &amp; the Underground City</t>
        </is>
      </c>
      <c r="G65" s="243" t="n">
        <v>1</v>
      </c>
      <c r="H65" s="171" t="inlineStr">
        <is>
          <t>Colombia</t>
        </is>
      </c>
      <c r="I65" s="247" t="n">
        <v>46320</v>
      </c>
    </row>
    <row r="66" ht="28" customHeight="1">
      <c r="A66" s="231" t="inlineStr">
        <is>
          <t>Netnoticias.mx</t>
        </is>
      </c>
      <c r="B66" s="243" t="n">
        <v>1</v>
      </c>
      <c r="C66" s="244">
        <f>SUMPRODUCT(Stories!$W$4:$W$153,--(Stories!$J$4:$J$153=$A66))</f>
        <v/>
      </c>
      <c r="D66" s="245" t="n">
        <v>3</v>
      </c>
      <c r="E66" s="243" t="n">
        <v>0</v>
      </c>
      <c r="F66" s="249" t="inlineStr">
        <is>
          <t>Infrastructure &amp; the Underground City</t>
        </is>
      </c>
      <c r="G66" s="243" t="n">
        <v>1</v>
      </c>
      <c r="H66" s="171" t="inlineStr">
        <is>
          <t>Colombia</t>
        </is>
      </c>
      <c r="I66" s="247" t="n">
        <v>46321</v>
      </c>
    </row>
    <row r="67" ht="15.5" customHeight="1">
      <c r="A67" s="231" t="inlineStr">
        <is>
          <t>Người Đưa Tin</t>
        </is>
      </c>
      <c r="B67" s="243" t="n">
        <v>1</v>
      </c>
      <c r="C67" s="244">
        <f>SUMPRODUCT(Stories!$W$4:$W$153,--(Stories!$J$4:$J$153=$A67))</f>
        <v/>
      </c>
      <c r="D67" s="245" t="n">
        <v>4</v>
      </c>
      <c r="E67" s="243" t="n">
        <v>1</v>
      </c>
      <c r="F67" s="248" t="inlineStr">
        <is>
          <t>Offshore, Coasts &amp; Water</t>
        </is>
      </c>
      <c r="G67" s="243" t="n">
        <v>1</v>
      </c>
      <c r="H67" s="171" t="inlineStr">
        <is>
          <t>Vietnam</t>
        </is>
      </c>
      <c r="I67" s="247" t="n">
        <v>46319</v>
      </c>
    </row>
    <row r="68" ht="15.5" customHeight="1">
      <c r="A68" s="231" t="inlineStr">
        <is>
          <t>Noticias Caracol</t>
        </is>
      </c>
      <c r="B68" s="243" t="n">
        <v>1</v>
      </c>
      <c r="C68" s="244">
        <f>SUMPRODUCT(Stories!$W$4:$W$153,--(Stories!$J$4:$J$153=$A68))</f>
        <v/>
      </c>
      <c r="D68" s="245" t="n">
        <v>4</v>
      </c>
      <c r="E68" s="243" t="n">
        <v>1</v>
      </c>
      <c r="F68" s="246" t="inlineStr">
        <is>
          <t>Hazards &amp; Resilience</t>
        </is>
      </c>
      <c r="G68" s="243" t="n">
        <v>1</v>
      </c>
      <c r="H68" s="171" t="inlineStr">
        <is>
          <t>Mexico</t>
        </is>
      </c>
      <c r="I68" s="247" t="n">
        <v>46320</v>
      </c>
    </row>
    <row r="69" ht="15.5" customHeight="1">
      <c r="A69" s="231" t="inlineStr">
        <is>
          <t>NST Online</t>
        </is>
      </c>
      <c r="B69" s="243" t="n">
        <v>1</v>
      </c>
      <c r="C69" s="244">
        <f>SUMPRODUCT(Stories!$W$4:$W$153,--(Stories!$J$4:$J$153=$A69))</f>
        <v/>
      </c>
      <c r="D69" s="245" t="n">
        <v>3</v>
      </c>
      <c r="E69" s="243" t="n">
        <v>0</v>
      </c>
      <c r="F69" s="252" t="inlineStr">
        <is>
          <t>Geotechnics &amp; Society</t>
        </is>
      </c>
      <c r="G69" s="243" t="n">
        <v>1</v>
      </c>
      <c r="H69" s="171" t="inlineStr">
        <is>
          <t>United Kingdom</t>
        </is>
      </c>
      <c r="I69" s="247" t="n">
        <v>46320</v>
      </c>
    </row>
    <row r="70" ht="15.5" customHeight="1">
      <c r="A70" s="231" t="inlineStr">
        <is>
          <t>Onmanorama</t>
        </is>
      </c>
      <c r="B70" s="243" t="n">
        <v>1</v>
      </c>
      <c r="C70" s="244">
        <f>SUMPRODUCT(Stories!$W$4:$W$153,--(Stories!$J$4:$J$153=$A70))</f>
        <v/>
      </c>
      <c r="D70" s="245" t="n">
        <v>5</v>
      </c>
      <c r="E70" s="243" t="n">
        <v>1</v>
      </c>
      <c r="F70" s="246" t="inlineStr">
        <is>
          <t>Hazards &amp; Resilience</t>
        </is>
      </c>
      <c r="G70" s="243" t="n">
        <v>1</v>
      </c>
      <c r="H70" s="171" t="inlineStr">
        <is>
          <t>South Africa</t>
        </is>
      </c>
      <c r="I70" s="247" t="n">
        <v>46320</v>
      </c>
    </row>
    <row r="71" ht="28" customHeight="1">
      <c r="A71" s="231" t="inlineStr">
        <is>
          <t>Piter.tv</t>
        </is>
      </c>
      <c r="B71" s="243" t="n">
        <v>1</v>
      </c>
      <c r="C71" s="244">
        <f>SUMPRODUCT(Stories!$W$4:$W$153,--(Stories!$J$4:$J$153=$A71))</f>
        <v/>
      </c>
      <c r="D71" s="245" t="n">
        <v>4</v>
      </c>
      <c r="E71" s="243" t="n">
        <v>1</v>
      </c>
      <c r="F71" s="249" t="inlineStr">
        <is>
          <t>Infrastructure &amp; the Underground City</t>
        </is>
      </c>
      <c r="G71" s="243" t="n">
        <v>1</v>
      </c>
      <c r="H71" s="171" t="inlineStr">
        <is>
          <t>Russia</t>
        </is>
      </c>
      <c r="I71" s="247" t="n">
        <v>46320</v>
      </c>
    </row>
    <row r="72" ht="15.5" customHeight="1">
      <c r="A72" s="231" t="inlineStr">
        <is>
          <t>PostaMx</t>
        </is>
      </c>
      <c r="B72" s="243" t="n">
        <v>1</v>
      </c>
      <c r="C72" s="244">
        <f>SUMPRODUCT(Stories!$W$4:$W$153,--(Stories!$J$4:$J$153=$A72))</f>
        <v/>
      </c>
      <c r="D72" s="245" t="n">
        <v>4</v>
      </c>
      <c r="E72" s="243" t="n">
        <v>1</v>
      </c>
      <c r="F72" s="246" t="inlineStr">
        <is>
          <t>Hazards &amp; Resilience</t>
        </is>
      </c>
      <c r="G72" s="243" t="n">
        <v>1</v>
      </c>
      <c r="H72" s="171" t="inlineStr">
        <is>
          <t>Spain</t>
        </is>
      </c>
      <c r="I72" s="247" t="n">
        <v>46321</v>
      </c>
    </row>
    <row r="73" ht="15.5" customHeight="1">
      <c r="A73" s="231" t="inlineStr">
        <is>
          <t>Publimicro</t>
        </is>
      </c>
      <c r="B73" s="243" t="n">
        <v>1</v>
      </c>
      <c r="C73" s="244">
        <f>SUMPRODUCT(Stories!$W$4:$W$153,--(Stories!$J$4:$J$153=$A73))</f>
        <v/>
      </c>
      <c r="D73" s="245" t="n">
        <v>5</v>
      </c>
      <c r="E73" s="243" t="n">
        <v>1</v>
      </c>
      <c r="F73" s="246" t="inlineStr">
        <is>
          <t>Hazards &amp; Resilience</t>
        </is>
      </c>
      <c r="G73" s="243" t="n">
        <v>1</v>
      </c>
      <c r="H73" s="171" t="inlineStr">
        <is>
          <t>Colombia</t>
        </is>
      </c>
      <c r="I73" s="247" t="n">
        <v>46320</v>
      </c>
    </row>
    <row r="74" ht="28" customHeight="1">
      <c r="A74" s="231" t="inlineStr">
        <is>
          <t>Pulso Diario San Luis</t>
        </is>
      </c>
      <c r="B74" s="243" t="n">
        <v>1</v>
      </c>
      <c r="C74" s="244">
        <f>SUMPRODUCT(Stories!$W$4:$W$153,--(Stories!$J$4:$J$153=$A74))</f>
        <v/>
      </c>
      <c r="D74" s="245" t="n">
        <v>4</v>
      </c>
      <c r="E74" s="243" t="n">
        <v>1</v>
      </c>
      <c r="F74" s="249" t="inlineStr">
        <is>
          <t>Infrastructure &amp; the Underground City</t>
        </is>
      </c>
      <c r="G74" s="243" t="n">
        <v>1</v>
      </c>
      <c r="H74" s="171" t="inlineStr">
        <is>
          <t>Colombia</t>
        </is>
      </c>
      <c r="I74" s="247" t="n">
        <v>46321</v>
      </c>
    </row>
    <row r="75" ht="28" customHeight="1">
      <c r="A75" s="231" t="inlineStr">
        <is>
          <t>Punto Norte</t>
        </is>
      </c>
      <c r="B75" s="243" t="n">
        <v>1</v>
      </c>
      <c r="C75" s="244">
        <f>SUMPRODUCT(Stories!$W$4:$W$153,--(Stories!$J$4:$J$153=$A75))</f>
        <v/>
      </c>
      <c r="D75" s="245" t="n">
        <v>3</v>
      </c>
      <c r="E75" s="243" t="n">
        <v>0</v>
      </c>
      <c r="F75" s="249" t="inlineStr">
        <is>
          <t>Infrastructure &amp; the Underground City</t>
        </is>
      </c>
      <c r="G75" s="243" t="n">
        <v>1</v>
      </c>
      <c r="H75" s="171" t="inlineStr">
        <is>
          <t>Colombia</t>
        </is>
      </c>
      <c r="I75" s="247" t="n">
        <v>46321</v>
      </c>
    </row>
    <row r="76" ht="15.5" customHeight="1">
      <c r="A76" s="231" t="inlineStr">
        <is>
          <t>Quinta Fuerza</t>
        </is>
      </c>
      <c r="B76" s="243" t="n">
        <v>1</v>
      </c>
      <c r="C76" s="244">
        <f>SUMPRODUCT(Stories!$W$4:$W$153,--(Stories!$J$4:$J$153=$A76))</f>
        <v/>
      </c>
      <c r="D76" s="245" t="n">
        <v>4</v>
      </c>
      <c r="E76" s="243" t="n">
        <v>1</v>
      </c>
      <c r="F76" s="246" t="inlineStr">
        <is>
          <t>Hazards &amp; Resilience</t>
        </is>
      </c>
      <c r="G76" s="243" t="n">
        <v>1</v>
      </c>
      <c r="H76" s="171" t="inlineStr">
        <is>
          <t>Colombia</t>
        </is>
      </c>
      <c r="I76" s="247" t="n">
        <v>46321</v>
      </c>
    </row>
    <row r="77" ht="28" customHeight="1">
      <c r="A77" s="231" t="inlineStr">
        <is>
          <t>Quintana Roo Hoy</t>
        </is>
      </c>
      <c r="B77" s="243" t="n">
        <v>1</v>
      </c>
      <c r="C77" s="244">
        <f>SUMPRODUCT(Stories!$W$4:$W$153,--(Stories!$J$4:$J$153=$A77))</f>
        <v/>
      </c>
      <c r="D77" s="245" t="n">
        <v>4</v>
      </c>
      <c r="E77" s="243" t="n">
        <v>1</v>
      </c>
      <c r="F77" s="249" t="inlineStr">
        <is>
          <t>Infrastructure &amp; the Underground City</t>
        </is>
      </c>
      <c r="G77" s="243" t="n">
        <v>1</v>
      </c>
      <c r="H77" s="171" t="inlineStr">
        <is>
          <t>Colombia</t>
        </is>
      </c>
      <c r="I77" s="247" t="n">
        <v>46320</v>
      </c>
    </row>
    <row r="78" ht="28" customHeight="1">
      <c r="A78" s="231" t="inlineStr">
        <is>
          <t>Realidad Sanmartinense</t>
        </is>
      </c>
      <c r="B78" s="243" t="n">
        <v>1</v>
      </c>
      <c r="C78" s="244">
        <f>SUMPRODUCT(Stories!$W$4:$W$153,--(Stories!$J$4:$J$153=$A78))</f>
        <v/>
      </c>
      <c r="D78" s="245" t="n">
        <v>3</v>
      </c>
      <c r="E78" s="243" t="n">
        <v>0</v>
      </c>
      <c r="F78" s="249" t="inlineStr">
        <is>
          <t>Infrastructure &amp; the Underground City</t>
        </is>
      </c>
      <c r="G78" s="243" t="n">
        <v>1</v>
      </c>
      <c r="H78" s="171" t="inlineStr">
        <is>
          <t>Colombia</t>
        </is>
      </c>
      <c r="I78" s="247" t="n">
        <v>46319</v>
      </c>
    </row>
    <row r="79" ht="15.5" customHeight="1">
      <c r="A79" s="231" t="inlineStr">
        <is>
          <t>Revista Digital Minera REDIMIN</t>
        </is>
      </c>
      <c r="B79" s="243" t="n">
        <v>1</v>
      </c>
      <c r="C79" s="244">
        <f>SUMPRODUCT(Stories!$W$4:$W$153,--(Stories!$J$4:$J$153=$A79))</f>
        <v/>
      </c>
      <c r="D79" s="245" t="n">
        <v>5</v>
      </c>
      <c r="E79" s="243" t="n">
        <v>1</v>
      </c>
      <c r="F79" s="246" t="inlineStr">
        <is>
          <t>Hazards &amp; Resilience</t>
        </is>
      </c>
      <c r="G79" s="243" t="n">
        <v>1</v>
      </c>
      <c r="H79" s="171" t="inlineStr">
        <is>
          <t>Argentina</t>
        </is>
      </c>
      <c r="I79" s="247" t="n">
        <v>46320</v>
      </c>
    </row>
    <row r="80" ht="15.5" customHeight="1">
      <c r="A80" s="231" t="inlineStr">
        <is>
          <t>RRI.co.id</t>
        </is>
      </c>
      <c r="B80" s="243" t="n">
        <v>1</v>
      </c>
      <c r="C80" s="244">
        <f>SUMPRODUCT(Stories!$W$4:$W$153,--(Stories!$J$4:$J$153=$A80))</f>
        <v/>
      </c>
      <c r="D80" s="245" t="n">
        <v>4</v>
      </c>
      <c r="E80" s="243" t="n">
        <v>1</v>
      </c>
      <c r="F80" s="246" t="inlineStr">
        <is>
          <t>Hazards &amp; Resilience</t>
        </is>
      </c>
      <c r="G80" s="243" t="n">
        <v>1</v>
      </c>
      <c r="H80" s="171" t="inlineStr">
        <is>
          <t>Indonesia</t>
        </is>
      </c>
      <c r="I80" s="247" t="n">
        <v>46319</v>
      </c>
    </row>
    <row r="81" ht="15.5" customHeight="1">
      <c r="A81" s="231" t="inlineStr">
        <is>
          <t>Sciencepost</t>
        </is>
      </c>
      <c r="B81" s="243" t="n">
        <v>1</v>
      </c>
      <c r="C81" s="244">
        <f>SUMPRODUCT(Stories!$W$4:$W$153,--(Stories!$J$4:$J$153=$A81))</f>
        <v/>
      </c>
      <c r="D81" s="245" t="n">
        <v>5</v>
      </c>
      <c r="E81" s="243" t="n">
        <v>1</v>
      </c>
      <c r="F81" s="254" t="inlineStr">
        <is>
          <t>Ground Improvement &amp; Innovation</t>
        </is>
      </c>
      <c r="G81" s="243" t="n">
        <v>1</v>
      </c>
      <c r="H81" s="171" t="inlineStr">
        <is>
          <t>Senegal</t>
        </is>
      </c>
      <c r="I81" s="247" t="n">
        <v>46319</v>
      </c>
    </row>
    <row r="82" ht="15.5" customHeight="1">
      <c r="A82" s="231" t="inlineStr">
        <is>
          <t>StrettoWeb</t>
        </is>
      </c>
      <c r="B82" s="243" t="n">
        <v>1</v>
      </c>
      <c r="C82" s="244">
        <f>SUMPRODUCT(Stories!$W$4:$W$153,--(Stories!$J$4:$J$153=$A82))</f>
        <v/>
      </c>
      <c r="D82" s="245" t="n">
        <v>4</v>
      </c>
      <c r="E82" s="243" t="n">
        <v>1</v>
      </c>
      <c r="F82" s="246" t="inlineStr">
        <is>
          <t>Hazards &amp; Resilience</t>
        </is>
      </c>
      <c r="G82" s="243" t="n">
        <v>1</v>
      </c>
      <c r="H82" s="171" t="inlineStr">
        <is>
          <t>Italy</t>
        </is>
      </c>
      <c r="I82" s="247" t="n">
        <v>46320</v>
      </c>
    </row>
    <row r="83" ht="28" customHeight="1">
      <c r="A83" s="231" t="inlineStr">
        <is>
          <t>Tabasco HOY</t>
        </is>
      </c>
      <c r="B83" s="243" t="n">
        <v>1</v>
      </c>
      <c r="C83" s="244">
        <f>SUMPRODUCT(Stories!$W$4:$W$153,--(Stories!$J$4:$J$153=$A83))</f>
        <v/>
      </c>
      <c r="D83" s="245" t="n">
        <v>3</v>
      </c>
      <c r="E83" s="243" t="n">
        <v>0</v>
      </c>
      <c r="F83" s="249" t="inlineStr">
        <is>
          <t>Infrastructure &amp; the Underground City</t>
        </is>
      </c>
      <c r="G83" s="243" t="n">
        <v>1</v>
      </c>
      <c r="H83" s="171" t="inlineStr">
        <is>
          <t>Colombia</t>
        </is>
      </c>
      <c r="I83" s="247" t="n">
        <v>46319</v>
      </c>
    </row>
    <row r="84" ht="15.5" customHeight="1">
      <c r="A84" s="231" t="inlineStr">
        <is>
          <t>Telemetro</t>
        </is>
      </c>
      <c r="B84" s="243" t="n">
        <v>1</v>
      </c>
      <c r="C84" s="244">
        <f>SUMPRODUCT(Stories!$W$4:$W$153,--(Stories!$J$4:$J$153=$A84))</f>
        <v/>
      </c>
      <c r="D84" s="245" t="n">
        <v>4</v>
      </c>
      <c r="E84" s="243" t="n">
        <v>1</v>
      </c>
      <c r="F84" s="246" t="inlineStr">
        <is>
          <t>Hazards &amp; Resilience</t>
        </is>
      </c>
      <c r="G84" s="243" t="n">
        <v>1</v>
      </c>
      <c r="H84" s="171" t="inlineStr">
        <is>
          <t>Colombia</t>
        </is>
      </c>
      <c r="I84" s="247" t="n">
        <v>46321</v>
      </c>
    </row>
    <row r="85" ht="28" customHeight="1">
      <c r="A85" s="231" t="inlineStr">
        <is>
          <t>The Hindu</t>
        </is>
      </c>
      <c r="B85" s="243" t="n">
        <v>1</v>
      </c>
      <c r="C85" s="244">
        <f>SUMPRODUCT(Stories!$W$4:$W$153,--(Stories!$J$4:$J$153=$A85))</f>
        <v/>
      </c>
      <c r="D85" s="245" t="n">
        <v>3</v>
      </c>
      <c r="E85" s="243" t="n">
        <v>0</v>
      </c>
      <c r="F85" s="249" t="inlineStr">
        <is>
          <t>Infrastructure &amp; the Underground City</t>
        </is>
      </c>
      <c r="G85" s="243" t="n">
        <v>1</v>
      </c>
      <c r="H85" s="171" t="inlineStr">
        <is>
          <t>United Kingdom</t>
        </is>
      </c>
      <c r="I85" s="247" t="n">
        <v>46320</v>
      </c>
    </row>
    <row r="86" ht="15.5" customHeight="1">
      <c r="A86" s="231" t="inlineStr">
        <is>
          <t>The New Indian Express</t>
        </is>
      </c>
      <c r="B86" s="243" t="n">
        <v>1</v>
      </c>
      <c r="C86" s="244">
        <f>SUMPRODUCT(Stories!$W$4:$W$153,--(Stories!$J$4:$J$153=$A86))</f>
        <v/>
      </c>
      <c r="D86" s="245" t="n">
        <v>4</v>
      </c>
      <c r="E86" s="243" t="n">
        <v>1</v>
      </c>
      <c r="F86" s="246" t="inlineStr">
        <is>
          <t>Hazards &amp; Resilience</t>
        </is>
      </c>
      <c r="G86" s="243" t="n">
        <v>1</v>
      </c>
      <c r="H86" s="171" t="inlineStr">
        <is>
          <t>United Kingdom</t>
        </is>
      </c>
      <c r="I86" s="247" t="n">
        <v>46320</v>
      </c>
    </row>
    <row r="87" ht="15.5" customHeight="1">
      <c r="A87" s="231" t="inlineStr">
        <is>
          <t>The Star</t>
        </is>
      </c>
      <c r="B87" s="243" t="n">
        <v>1</v>
      </c>
      <c r="C87" s="244">
        <f>SUMPRODUCT(Stories!$W$4:$W$153,--(Stories!$J$4:$J$153=$A87))</f>
        <v/>
      </c>
      <c r="D87" s="245" t="n">
        <v>4</v>
      </c>
      <c r="E87" s="243" t="n">
        <v>1</v>
      </c>
      <c r="F87" s="246" t="inlineStr">
        <is>
          <t>Hazards &amp; Resilience</t>
        </is>
      </c>
      <c r="G87" s="243" t="n">
        <v>1</v>
      </c>
      <c r="H87" s="171" t="inlineStr">
        <is>
          <t>United Kingdom</t>
        </is>
      </c>
      <c r="I87" s="247" t="n">
        <v>46321</v>
      </c>
    </row>
    <row r="88" ht="15.5" customHeight="1">
      <c r="A88" s="231" t="inlineStr">
        <is>
          <t>The Sun Malaysia</t>
        </is>
      </c>
      <c r="B88" s="243" t="n">
        <v>1</v>
      </c>
      <c r="C88" s="244">
        <f>SUMPRODUCT(Stories!$W$4:$W$153,--(Stories!$J$4:$J$153=$A88))</f>
        <v/>
      </c>
      <c r="D88" s="245" t="n">
        <v>4</v>
      </c>
      <c r="E88" s="243" t="n">
        <v>1</v>
      </c>
      <c r="F88" s="246" t="inlineStr">
        <is>
          <t>Hazards &amp; Resilience</t>
        </is>
      </c>
      <c r="G88" s="243" t="n">
        <v>1</v>
      </c>
      <c r="H88" s="171" t="inlineStr">
        <is>
          <t>United Kingdom</t>
        </is>
      </c>
      <c r="I88" s="247" t="n">
        <v>46320</v>
      </c>
    </row>
    <row r="89" ht="15.5" customHeight="1">
      <c r="A89" s="231" t="inlineStr">
        <is>
          <t>The Vibes</t>
        </is>
      </c>
      <c r="B89" s="243" t="n">
        <v>1</v>
      </c>
      <c r="C89" s="244">
        <f>SUMPRODUCT(Stories!$W$4:$W$153,--(Stories!$J$4:$J$153=$A89))</f>
        <v/>
      </c>
      <c r="D89" s="245" t="n">
        <v>4</v>
      </c>
      <c r="E89" s="243" t="n">
        <v>1</v>
      </c>
      <c r="F89" s="246" t="inlineStr">
        <is>
          <t>Hazards &amp; Resilience</t>
        </is>
      </c>
      <c r="G89" s="243" t="n">
        <v>1</v>
      </c>
      <c r="H89" s="171" t="inlineStr">
        <is>
          <t>Australia</t>
        </is>
      </c>
      <c r="I89" s="247" t="n">
        <v>46321</v>
      </c>
    </row>
    <row r="90" ht="15.5" customHeight="1">
      <c r="A90" s="231" t="inlineStr">
        <is>
          <t>tin.skydoor.net</t>
        </is>
      </c>
      <c r="B90" s="243" t="n">
        <v>1</v>
      </c>
      <c r="C90" s="244">
        <f>SUMPRODUCT(Stories!$W$4:$W$153,--(Stories!$J$4:$J$153=$A90))</f>
        <v/>
      </c>
      <c r="D90" s="245" t="n">
        <v>4</v>
      </c>
      <c r="E90" s="243" t="n">
        <v>1</v>
      </c>
      <c r="F90" s="248" t="inlineStr">
        <is>
          <t>Offshore, Coasts &amp; Water</t>
        </is>
      </c>
      <c r="G90" s="243" t="n">
        <v>1</v>
      </c>
      <c r="H90" s="171" t="inlineStr">
        <is>
          <t>Vietnam</t>
        </is>
      </c>
      <c r="I90" s="247" t="n">
        <v>46320</v>
      </c>
    </row>
    <row r="91" ht="15.5" customHeight="1">
      <c r="A91" s="231" t="inlineStr">
        <is>
          <t>Trade-news.cl</t>
        </is>
      </c>
      <c r="B91" s="243" t="n">
        <v>1</v>
      </c>
      <c r="C91" s="244">
        <f>SUMPRODUCT(Stories!$W$4:$W$153,--(Stories!$J$4:$J$153=$A91))</f>
        <v/>
      </c>
      <c r="D91" s="245" t="n">
        <v>3</v>
      </c>
      <c r="E91" s="243" t="n">
        <v>0</v>
      </c>
      <c r="F91" s="253" t="inlineStr">
        <is>
          <t>Characterisation &amp; Modelling</t>
        </is>
      </c>
      <c r="G91" s="243" t="n">
        <v>1</v>
      </c>
      <c r="H91" s="171" t="inlineStr">
        <is>
          <t>Peru</t>
        </is>
      </c>
      <c r="I91" s="247" t="n">
        <v>46319</v>
      </c>
    </row>
    <row r="92" ht="15.5" customHeight="1">
      <c r="A92" s="231" t="inlineStr">
        <is>
          <t>Trigno.net</t>
        </is>
      </c>
      <c r="B92" s="243" t="n">
        <v>1</v>
      </c>
      <c r="C92" s="244">
        <f>SUMPRODUCT(Stories!$W$4:$W$153,--(Stories!$J$4:$J$153=$A92))</f>
        <v/>
      </c>
      <c r="D92" s="245" t="n">
        <v>3</v>
      </c>
      <c r="E92" s="243" t="n">
        <v>0</v>
      </c>
      <c r="F92" s="252" t="inlineStr">
        <is>
          <t>Geotechnics &amp; Society</t>
        </is>
      </c>
      <c r="G92" s="243" t="n">
        <v>1</v>
      </c>
      <c r="H92" s="171" t="inlineStr">
        <is>
          <t>Italy</t>
        </is>
      </c>
      <c r="I92" s="247" t="n">
        <v>46320</v>
      </c>
    </row>
    <row r="93" ht="15.5" customHeight="1">
      <c r="A93" s="231" t="inlineStr">
        <is>
          <t>TV Azteca Jalisco</t>
        </is>
      </c>
      <c r="B93" s="243" t="n">
        <v>1</v>
      </c>
      <c r="C93" s="244">
        <f>SUMPRODUCT(Stories!$W$4:$W$153,--(Stories!$J$4:$J$153=$A93))</f>
        <v/>
      </c>
      <c r="D93" s="245" t="n">
        <v>4</v>
      </c>
      <c r="E93" s="243" t="n">
        <v>1</v>
      </c>
      <c r="F93" s="248" t="inlineStr">
        <is>
          <t>Offshore, Coasts &amp; Water</t>
        </is>
      </c>
      <c r="G93" s="243" t="n">
        <v>1</v>
      </c>
      <c r="H93" s="171" t="inlineStr">
        <is>
          <t>Colombia</t>
        </is>
      </c>
      <c r="I93" s="247" t="n">
        <v>46321</v>
      </c>
    </row>
    <row r="94" ht="15.5" customHeight="1">
      <c r="A94" s="231" t="inlineStr">
        <is>
          <t>Tv7 Benevento</t>
        </is>
      </c>
      <c r="B94" s="243" t="n">
        <v>1</v>
      </c>
      <c r="C94" s="244">
        <f>SUMPRODUCT(Stories!$W$4:$W$153,--(Stories!$J$4:$J$153=$A94))</f>
        <v/>
      </c>
      <c r="D94" s="245" t="n">
        <v>4</v>
      </c>
      <c r="E94" s="243" t="n">
        <v>1</v>
      </c>
      <c r="F94" s="246" t="inlineStr">
        <is>
          <t>Hazards &amp; Resilience</t>
        </is>
      </c>
      <c r="G94" s="243" t="n">
        <v>1</v>
      </c>
      <c r="H94" s="171" t="inlineStr">
        <is>
          <t>Italy</t>
        </is>
      </c>
      <c r="I94" s="247" t="n">
        <v>46319</v>
      </c>
    </row>
    <row r="95" ht="15.5" customHeight="1">
      <c r="A95" s="231" t="inlineStr">
        <is>
          <t>TVPerú</t>
        </is>
      </c>
      <c r="B95" s="243" t="n">
        <v>1</v>
      </c>
      <c r="C95" s="244">
        <f>SUMPRODUCT(Stories!$W$4:$W$153,--(Stories!$J$4:$J$153=$A95))</f>
        <v/>
      </c>
      <c r="D95" s="245" t="n">
        <v>4</v>
      </c>
      <c r="E95" s="243" t="n">
        <v>1</v>
      </c>
      <c r="F95" s="246" t="inlineStr">
        <is>
          <t>Hazards &amp; Resilience</t>
        </is>
      </c>
      <c r="G95" s="243" t="n">
        <v>1</v>
      </c>
      <c r="H95" s="171" t="inlineStr">
        <is>
          <t>Peru</t>
        </is>
      </c>
      <c r="I95" s="247" t="n">
        <v>46321</v>
      </c>
    </row>
    <row r="96" ht="15.5" customHeight="1">
      <c r="A96" s="231" t="inlineStr">
        <is>
          <t>UA.NEWS</t>
        </is>
      </c>
      <c r="B96" s="243" t="n">
        <v>1</v>
      </c>
      <c r="C96" s="244">
        <f>SUMPRODUCT(Stories!$W$4:$W$153,--(Stories!$J$4:$J$153=$A96))</f>
        <v/>
      </c>
      <c r="D96" s="245" t="n">
        <v>4</v>
      </c>
      <c r="E96" s="243" t="n">
        <v>1</v>
      </c>
      <c r="F96" s="246" t="inlineStr">
        <is>
          <t>Hazards &amp; Resilience</t>
        </is>
      </c>
      <c r="G96" s="243" t="n">
        <v>1</v>
      </c>
      <c r="H96" s="171" t="inlineStr">
        <is>
          <t>Russia</t>
        </is>
      </c>
      <c r="I96" s="247" t="n">
        <v>46321</v>
      </c>
    </row>
    <row r="97" ht="15.5" customHeight="1">
      <c r="A97" s="231" t="inlineStr">
        <is>
          <t>VnExpress International</t>
        </is>
      </c>
      <c r="B97" s="243" t="n">
        <v>1</v>
      </c>
      <c r="C97" s="244">
        <f>SUMPRODUCT(Stories!$W$4:$W$153,--(Stories!$J$4:$J$153=$A97))</f>
        <v/>
      </c>
      <c r="D97" s="245" t="n">
        <v>4</v>
      </c>
      <c r="E97" s="243" t="n">
        <v>1</v>
      </c>
      <c r="F97" s="253" t="inlineStr">
        <is>
          <t>Characterisation &amp; Modelling</t>
        </is>
      </c>
      <c r="G97" s="243" t="n">
        <v>1</v>
      </c>
      <c r="H97" s="171" t="inlineStr">
        <is>
          <t>United Kingdom</t>
        </is>
      </c>
      <c r="I97" s="247" t="n">
        <v>46319</v>
      </c>
    </row>
    <row r="98" ht="28" customHeight="1">
      <c r="A98" s="231" t="inlineStr">
        <is>
          <t>VOH</t>
        </is>
      </c>
      <c r="B98" s="243" t="n">
        <v>1</v>
      </c>
      <c r="C98" s="244">
        <f>SUMPRODUCT(Stories!$W$4:$W$153,--(Stories!$J$4:$J$153=$A98))</f>
        <v/>
      </c>
      <c r="D98" s="245" t="n">
        <v>4</v>
      </c>
      <c r="E98" s="243" t="n">
        <v>1</v>
      </c>
      <c r="F98" s="249" t="inlineStr">
        <is>
          <t>Infrastructure &amp; the Underground City</t>
        </is>
      </c>
      <c r="G98" s="243" t="n">
        <v>1</v>
      </c>
      <c r="H98" s="171" t="inlineStr">
        <is>
          <t>Vietnam</t>
        </is>
      </c>
      <c r="I98" s="247" t="n">
        <v>46319</v>
      </c>
    </row>
    <row r="99" ht="15.5" customHeight="1">
      <c r="A99" s="231" t="inlineStr">
        <is>
          <t>VTV.vn</t>
        </is>
      </c>
      <c r="B99" s="243" t="n">
        <v>1</v>
      </c>
      <c r="C99" s="244">
        <f>SUMPRODUCT(Stories!$W$4:$W$153,--(Stories!$J$4:$J$153=$A99))</f>
        <v/>
      </c>
      <c r="D99" s="245" t="n">
        <v>4</v>
      </c>
      <c r="E99" s="243" t="n">
        <v>1</v>
      </c>
      <c r="F99" s="248" t="inlineStr">
        <is>
          <t>Offshore, Coasts &amp; Water</t>
        </is>
      </c>
      <c r="G99" s="243" t="n">
        <v>1</v>
      </c>
      <c r="H99" s="171" t="inlineStr">
        <is>
          <t>Vietnam</t>
        </is>
      </c>
      <c r="I99" s="247" t="n">
        <v>46319</v>
      </c>
    </row>
    <row r="100" ht="15.5" customHeight="1">
      <c r="A100" s="231" t="inlineStr">
        <is>
          <t>www.noroeste.com.mx</t>
        </is>
      </c>
      <c r="B100" s="243" t="n">
        <v>1</v>
      </c>
      <c r="C100" s="244">
        <f>SUMPRODUCT(Stories!$W$4:$W$153,--(Stories!$J$4:$J$153=$A100))</f>
        <v/>
      </c>
      <c r="D100" s="245" t="n">
        <v>4</v>
      </c>
      <c r="E100" s="243" t="n">
        <v>1</v>
      </c>
      <c r="F100" s="252" t="inlineStr">
        <is>
          <t>Geotechnics &amp; Society</t>
        </is>
      </c>
      <c r="G100" s="243" t="n">
        <v>1</v>
      </c>
      <c r="H100" s="171" t="inlineStr">
        <is>
          <t>Colombia</t>
        </is>
      </c>
      <c r="I100" s="247" t="n">
        <v>46319</v>
      </c>
    </row>
    <row r="101" ht="15.5" customHeight="1">
      <c r="A101" s="231" t="inlineStr">
        <is>
          <t>Zazoom Social News</t>
        </is>
      </c>
      <c r="B101" s="243" t="n">
        <v>1</v>
      </c>
      <c r="C101" s="244">
        <f>SUMPRODUCT(Stories!$W$4:$W$153,--(Stories!$J$4:$J$153=$A101))</f>
        <v/>
      </c>
      <c r="D101" s="245" t="n">
        <v>4</v>
      </c>
      <c r="E101" s="243" t="n">
        <v>1</v>
      </c>
      <c r="F101" s="246" t="inlineStr">
        <is>
          <t>Hazards &amp; Resilience</t>
        </is>
      </c>
      <c r="G101" s="243" t="n">
        <v>1</v>
      </c>
      <c r="H101" s="171" t="inlineStr">
        <is>
          <t>Italy</t>
        </is>
      </c>
      <c r="I101" s="247" t="n">
        <v>46319</v>
      </c>
    </row>
    <row r="102" ht="28" customHeight="1">
      <c r="A102" s="231" t="inlineStr">
        <is>
          <t>Крыминформ</t>
        </is>
      </c>
      <c r="B102" s="243" t="n">
        <v>1</v>
      </c>
      <c r="C102" s="244">
        <f>SUMPRODUCT(Stories!$W$4:$W$153,--(Stories!$J$4:$J$153=$A102))</f>
        <v/>
      </c>
      <c r="D102" s="245" t="n">
        <v>4</v>
      </c>
      <c r="E102" s="243" t="n">
        <v>1</v>
      </c>
      <c r="F102" s="249" t="inlineStr">
        <is>
          <t>Infrastructure &amp; the Underground City</t>
        </is>
      </c>
      <c r="G102" s="243" t="n">
        <v>1</v>
      </c>
      <c r="H102" s="171" t="inlineStr">
        <is>
          <t>Russia</t>
        </is>
      </c>
      <c r="I102" s="247" t="n">
        <v>46319</v>
      </c>
    </row>
    <row r="103" ht="28" customHeight="1">
      <c r="A103" s="231" t="inlineStr">
        <is>
          <t>Самарская газета</t>
        </is>
      </c>
      <c r="B103" s="243" t="n">
        <v>1</v>
      </c>
      <c r="C103" s="244">
        <f>SUMPRODUCT(Stories!$W$4:$W$153,--(Stories!$J$4:$J$153=$A103))</f>
        <v/>
      </c>
      <c r="D103" s="245" t="n">
        <v>3</v>
      </c>
      <c r="E103" s="243" t="n">
        <v>0</v>
      </c>
      <c r="F103" s="249" t="inlineStr">
        <is>
          <t>Infrastructure &amp; the Underground City</t>
        </is>
      </c>
      <c r="G103" s="243" t="n">
        <v>1</v>
      </c>
      <c r="H103" s="171" t="inlineStr">
        <is>
          <t>Russia</t>
        </is>
      </c>
      <c r="I103" s="247" t="n">
        <v>46319</v>
      </c>
    </row>
    <row r="104" ht="15.5" customHeight="1">
      <c r="A104" s="231" t="inlineStr">
        <is>
          <t>تركيا عاجل</t>
        </is>
      </c>
      <c r="B104" s="243" t="n">
        <v>1</v>
      </c>
      <c r="C104" s="244">
        <f>SUMPRODUCT(Stories!$W$4:$W$153,--(Stories!$J$4:$J$153=$A104))</f>
        <v/>
      </c>
      <c r="D104" s="245" t="n">
        <v>5</v>
      </c>
      <c r="E104" s="243" t="n">
        <v>1</v>
      </c>
      <c r="F104" s="246" t="inlineStr">
        <is>
          <t>Hazards &amp; Resilience</t>
        </is>
      </c>
      <c r="G104" s="243" t="n">
        <v>1</v>
      </c>
      <c r="H104" s="171" t="inlineStr">
        <is>
          <t>Egypt</t>
        </is>
      </c>
      <c r="I104" s="247" t="n">
        <v>46321</v>
      </c>
    </row>
    <row r="105" ht="15.5" customHeight="1">
      <c r="A105" s="231" t="inlineStr">
        <is>
          <t>千葉日報オンライン</t>
        </is>
      </c>
      <c r="B105" s="243" t="n">
        <v>1</v>
      </c>
      <c r="C105" s="244">
        <f>SUMPRODUCT(Stories!$W$4:$W$153,--(Stories!$J$4:$J$153=$A105))</f>
        <v/>
      </c>
      <c r="D105" s="245" t="n">
        <v>4</v>
      </c>
      <c r="E105" s="243" t="n">
        <v>1</v>
      </c>
      <c r="F105" s="246" t="inlineStr">
        <is>
          <t>Hazards &amp; Resilience</t>
        </is>
      </c>
      <c r="G105" s="243" t="n">
        <v>1</v>
      </c>
      <c r="H105" s="171" t="inlineStr">
        <is>
          <t>Japan</t>
        </is>
      </c>
      <c r="I105" s="247" t="n">
        <v>46320</v>
      </c>
    </row>
    <row r="106" ht="15.5" customHeight="1">
      <c r="A106" s="231" t="inlineStr">
        <is>
          <t>山陽新聞</t>
        </is>
      </c>
      <c r="B106" s="243" t="n">
        <v>1</v>
      </c>
      <c r="C106" s="244">
        <f>SUMPRODUCT(Stories!$W$4:$W$153,--(Stories!$J$4:$J$153=$A106))</f>
        <v/>
      </c>
      <c r="D106" s="245" t="n">
        <v>5</v>
      </c>
      <c r="E106" s="243" t="n">
        <v>1</v>
      </c>
      <c r="F106" s="246" t="inlineStr">
        <is>
          <t>Hazards &amp; Resilience</t>
        </is>
      </c>
      <c r="G106" s="243" t="n">
        <v>1</v>
      </c>
      <c r="H106" s="171" t="inlineStr">
        <is>
          <t>Japan</t>
        </is>
      </c>
      <c r="I106" s="247" t="n">
        <v>46320</v>
      </c>
    </row>
    <row r="107" ht="15.5" customHeight="1">
      <c r="A107" s="231" t="inlineStr">
        <is>
          <t>読売新聞</t>
        </is>
      </c>
      <c r="B107" s="243" t="n">
        <v>1</v>
      </c>
      <c r="C107" s="244">
        <f>SUMPRODUCT(Stories!$W$4:$W$153,--(Stories!$J$4:$J$153=$A107))</f>
        <v/>
      </c>
      <c r="D107" s="245" t="n">
        <v>5</v>
      </c>
      <c r="E107" s="243" t="n">
        <v>1</v>
      </c>
      <c r="F107" s="246" t="inlineStr">
        <is>
          <t>Hazards &amp; Resilience</t>
        </is>
      </c>
      <c r="G107" s="243" t="n">
        <v>1</v>
      </c>
      <c r="H107" s="171" t="inlineStr">
        <is>
          <t>Japan</t>
        </is>
      </c>
      <c r="I107" s="247" t="n">
        <v>46321</v>
      </c>
    </row>
    <row r="108" ht="28" customHeight="1">
      <c r="A108" s="231" t="inlineStr">
        <is>
          <t>아시아경제</t>
        </is>
      </c>
      <c r="B108" s="243" t="n">
        <v>1</v>
      </c>
      <c r="C108" s="244">
        <f>SUMPRODUCT(Stories!$W$4:$W$153,--(Stories!$J$4:$J$153=$A108))</f>
        <v/>
      </c>
      <c r="D108" s="245" t="n">
        <v>4</v>
      </c>
      <c r="E108" s="243" t="n">
        <v>1</v>
      </c>
      <c r="F108" s="249" t="inlineStr">
        <is>
          <t>Infrastructure &amp; the Underground City</t>
        </is>
      </c>
      <c r="G108" s="243" t="n">
        <v>1</v>
      </c>
      <c r="H108" s="171" t="inlineStr">
        <is>
          <t>United Kingdom</t>
        </is>
      </c>
      <c r="I108" s="247" t="n">
        <v>46319</v>
      </c>
    </row>
    <row r="109" ht="28" customHeight="1">
      <c r="A109" s="231" t="inlineStr">
        <is>
          <t>아주경제</t>
        </is>
      </c>
      <c r="B109" s="243" t="n">
        <v>1</v>
      </c>
      <c r="C109" s="244">
        <f>SUMPRODUCT(Stories!$W$4:$W$153,--(Stories!$J$4:$J$153=$A109))</f>
        <v/>
      </c>
      <c r="D109" s="245" t="n">
        <v>4</v>
      </c>
      <c r="E109" s="243" t="n">
        <v>1</v>
      </c>
      <c r="F109" s="249" t="inlineStr">
        <is>
          <t>Infrastructure &amp; the Underground City</t>
        </is>
      </c>
      <c r="G109" s="243" t="n">
        <v>1</v>
      </c>
      <c r="H109" s="171" t="inlineStr">
        <is>
          <t>South Korea</t>
        </is>
      </c>
      <c r="I109" s="247" t="n">
        <v>46319</v>
      </c>
    </row>
    <row r="110" ht="28" customHeight="1">
      <c r="A110" s="231" t="inlineStr">
        <is>
          <t>충청신문</t>
        </is>
      </c>
      <c r="B110" s="243" t="n">
        <v>1</v>
      </c>
      <c r="C110" s="244">
        <f>SUMPRODUCT(Stories!$W$4:$W$153,--(Stories!$J$4:$J$153=$A110))</f>
        <v/>
      </c>
      <c r="D110" s="245" t="n">
        <v>5</v>
      </c>
      <c r="E110" s="243" t="n">
        <v>1</v>
      </c>
      <c r="F110" s="249" t="inlineStr">
        <is>
          <t>Infrastructure &amp; the Underground City</t>
        </is>
      </c>
      <c r="G110" s="243" t="n">
        <v>1</v>
      </c>
      <c r="H110" s="171" t="inlineStr">
        <is>
          <t>South Korea</t>
        </is>
      </c>
      <c r="I110" s="247" t="n">
        <v>46319</v>
      </c>
    </row>
    <row r="111" ht="28" customHeight="1">
      <c r="A111" s="231" t="inlineStr">
        <is>
          <t>한국일보</t>
        </is>
      </c>
      <c r="B111" s="243" t="n">
        <v>1</v>
      </c>
      <c r="C111" s="244">
        <f>SUMPRODUCT(Stories!$W$4:$W$153,--(Stories!$J$4:$J$153=$A111))</f>
        <v/>
      </c>
      <c r="D111" s="245" t="n">
        <v>3</v>
      </c>
      <c r="E111" s="243" t="n">
        <v>0</v>
      </c>
      <c r="F111" s="249" t="inlineStr">
        <is>
          <t>Infrastructure &amp; the Underground City</t>
        </is>
      </c>
      <c r="G111" s="243" t="n">
        <v>1</v>
      </c>
      <c r="H111" s="171" t="inlineStr">
        <is>
          <t>South Korea</t>
        </is>
      </c>
      <c r="I111" s="247" t="n">
        <v>46321</v>
      </c>
    </row>
  </sheetData>
  <conditionalFormatting sqref="B4:B111">
    <cfRule type="dataBar" priority="1">
      <dataBar showValue="1">
        <cfvo type="num" val="0"/>
        <cfvo type="max"/>
        <color rgb="007FB3E6"/>
      </dataBar>
    </cfRule>
  </conditionalFormatting>
  <hyperlinks>
    <hyperlink ref="C1" location="'Dashboard'!A1" display="← Dashboard"/>
    <hyperlink ref="D1" location="'Start here'!A1" display="↑ Start here"/>
  </hyperlinks>
  <printOptions horizontalCentered="1"/>
  <pageMargins left="0.4" right="0.4" top="0.5" bottom="0.55" header="0.25" footer="0.25"/>
  <pageSetup orientation="landscape" paperSize="9" fitToHeight="0" fitToWidth="1"/>
  <headerFooter>
    <oddHeader/>
    <oddFooter>&amp;L&amp;"Arial"&amp;8 &amp;A&amp;R&amp;"Arial"&amp;8 Page &amp;P of &amp;N</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rgb="00B8C0CA"/>
    <outlinePr summaryBelow="1" summaryRight="1"/>
    <pageSetUpPr fitToPage="1"/>
  </sheetPr>
  <dimension ref="A1:Q11"/>
  <sheetViews>
    <sheetView tabSelected="0"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7" max="7"/>
    <col width="14" customWidth="1" min="10" max="10"/>
    <col width="40" customWidth="1" min="16" max="16"/>
    <col width="40" customWidth="1" min="17" max="17"/>
  </cols>
  <sheetData>
    <row r="1">
      <c r="A1" s="255" t="inlineStr">
        <is>
          <t>Theme selector</t>
        </is>
      </c>
      <c r="B1" s="255" t="inlineStr">
        <is>
          <t>Use selector</t>
        </is>
      </c>
      <c r="C1" s="255" t="inlineStr">
        <is>
          <t>Relevance selector</t>
        </is>
      </c>
      <c r="D1" s="255" t="inlineStr">
        <is>
          <t>Window selector</t>
        </is>
      </c>
      <c r="E1" s="255" t="inlineStr">
        <is>
          <t>Status</t>
        </is>
      </c>
      <c r="G1" s="255" t="inlineStr">
        <is>
          <t>Setting</t>
        </is>
      </c>
      <c r="H1" s="255" t="inlineStr">
        <is>
          <t>Value</t>
        </is>
      </c>
      <c r="J1" s="255" t="inlineStr">
        <is>
          <t>Digest date</t>
        </is>
      </c>
      <c r="K1" s="255" t="inlineStr">
        <is>
          <t>Stories in the selection</t>
        </is>
      </c>
      <c r="M1" s="255" t="inlineStr">
        <is>
          <t>Rank</t>
        </is>
      </c>
      <c r="N1" s="255" t="inlineStr">
        <is>
          <t>Key</t>
        </is>
      </c>
      <c r="O1" s="255" t="inlineStr">
        <is>
          <t>Row in Stories</t>
        </is>
      </c>
      <c r="P1" s="255" t="inlineStr">
        <is>
          <t>Article URL</t>
        </is>
      </c>
      <c r="Q1" s="255" t="inlineStr">
        <is>
          <t>Headline shown</t>
        </is>
      </c>
    </row>
    <row r="2">
      <c r="A2" s="256" t="inlineStr">
        <is>
          <t>All themes</t>
        </is>
      </c>
      <c r="B2" s="256" t="inlineStr">
        <is>
          <t>All uses</t>
        </is>
      </c>
      <c r="C2" s="256" t="inlineStr">
        <is>
          <t>Any</t>
        </is>
      </c>
      <c r="D2" s="256" t="inlineStr">
        <is>
          <t>All windows</t>
        </is>
      </c>
      <c r="E2" s="256" t="inlineStr">
        <is>
          <t>To review</t>
        </is>
      </c>
      <c r="G2" s="256" t="inlineStr">
        <is>
          <t>Minimum relevance (number)</t>
        </is>
      </c>
      <c r="H2" s="256">
        <f>IF(ISNUMBER(Dashboard!$K$5),Dashboard!$K$5,IFERROR(VALUE(Dashboard!$K$5),0))</f>
        <v/>
      </c>
      <c r="J2" s="257" t="n">
        <v>46321</v>
      </c>
      <c r="K2" s="256">
        <f>COUNTIFS(Stories!$W$4:$W$153,1,Stories!$K$4:$K$153,J2)</f>
        <v/>
      </c>
      <c r="M2" s="256" t="n">
        <v>1</v>
      </c>
      <c r="N2" s="258">
        <f>IFERROR(LARGE(Stories!$X$4:$X$153,M2),"")</f>
        <v/>
      </c>
      <c r="O2" s="256">
        <f>IF(N2="","",MATCH(N2,Stories!$X$4:$X$153,0))</f>
        <v/>
      </c>
      <c r="P2" s="256">
        <f>IF(O2="","",INDEX(Stories!$V$4:$V$153,O2)&amp;"")</f>
        <v/>
      </c>
      <c r="Q2" s="256">
        <f>IF(O2="","",IF(LEN(INDEX(Stories!$B$4:$B$153,O2))&gt;120,LEFT(INDEX(Stories!$B$4:$B$153,O2),118)&amp;"…",INDEX(Stories!$B$4:$B$153,O2)&amp;"")&amp;IF(INDEX(Stories!$L$4:$L$153,O2)&amp;""&lt;&gt;""," (Claude's translation)",""))</f>
        <v/>
      </c>
    </row>
    <row r="3">
      <c r="A3" s="256" t="inlineStr">
        <is>
          <t>Sustainability &amp; the Energy Transition</t>
        </is>
      </c>
      <c r="B3" s="256" t="inlineStr">
        <is>
          <t>Feature lead</t>
        </is>
      </c>
      <c r="C3" s="256" t="n">
        <v>3</v>
      </c>
      <c r="D3" s="256" t="inlineStr">
        <is>
          <t>2026-Q4</t>
        </is>
      </c>
      <c r="E3" s="256" t="inlineStr">
        <is>
          <t>Shortlisted</t>
        </is>
      </c>
      <c r="G3" s="256" t="inlineStr">
        <is>
          <t>Daily digests in this workbook</t>
        </is>
      </c>
      <c r="H3" s="256" t="n">
        <v>3</v>
      </c>
      <c r="J3" s="257" t="n">
        <v>46320</v>
      </c>
      <c r="K3" s="256">
        <f>COUNTIFS(Stories!$W$4:$W$153,1,Stories!$K$4:$K$153,J3)</f>
        <v/>
      </c>
      <c r="M3" s="256" t="n">
        <v>2</v>
      </c>
      <c r="N3" s="258">
        <f>IFERROR(LARGE(Stories!$X$4:$X$153,M3),"")</f>
        <v/>
      </c>
      <c r="O3" s="256">
        <f>IF(N3="","",MATCH(N3,Stories!$X$4:$X$153,0))</f>
        <v/>
      </c>
      <c r="P3" s="256">
        <f>IF(O3="","",INDEX(Stories!$V$4:$V$153,O3)&amp;"")</f>
        <v/>
      </c>
      <c r="Q3" s="256">
        <f>IF(O3="","",IF(LEN(INDEX(Stories!$B$4:$B$153,O3))&gt;120,LEFT(INDEX(Stories!$B$4:$B$153,O3),118)&amp;"…",INDEX(Stories!$B$4:$B$153,O3)&amp;"")&amp;IF(INDEX(Stories!$L$4:$L$153,O3)&amp;""&lt;&gt;""," (Claude's translation)",""))</f>
        <v/>
      </c>
    </row>
    <row r="4">
      <c r="A4" s="256" t="inlineStr">
        <is>
          <t>Digital Geotechnics</t>
        </is>
      </c>
      <c r="B4" s="256" t="inlineStr">
        <is>
          <t>News brief</t>
        </is>
      </c>
      <c r="C4" s="256" t="n">
        <v>4</v>
      </c>
      <c r="E4" s="256" t="inlineStr">
        <is>
          <t>Commissioned</t>
        </is>
      </c>
      <c r="G4" s="256" t="inlineStr">
        <is>
          <t>Stories in this workbook</t>
        </is>
      </c>
      <c r="H4" s="256" t="n">
        <v>150</v>
      </c>
      <c r="J4" s="257" t="n">
        <v>46319</v>
      </c>
      <c r="K4" s="256">
        <f>COUNTIFS(Stories!$W$4:$W$153,1,Stories!$K$4:$K$153,J4)</f>
        <v/>
      </c>
      <c r="M4" s="256" t="n">
        <v>3</v>
      </c>
      <c r="N4" s="258">
        <f>IFERROR(LARGE(Stories!$X$4:$X$153,M4),"")</f>
        <v/>
      </c>
      <c r="O4" s="256">
        <f>IF(N4="","",MATCH(N4,Stories!$X$4:$X$153,0))</f>
        <v/>
      </c>
      <c r="P4" s="256">
        <f>IF(O4="","",INDEX(Stories!$V$4:$V$153,O4)&amp;"")</f>
        <v/>
      </c>
      <c r="Q4" s="256">
        <f>IF(O4="","",IF(LEN(INDEX(Stories!$B$4:$B$153,O4))&gt;120,LEFT(INDEX(Stories!$B$4:$B$153,O4),118)&amp;"…",INDEX(Stories!$B$4:$B$153,O4)&amp;"")&amp;IF(INDEX(Stories!$L$4:$L$153,O4)&amp;""&lt;&gt;""," (Claude's translation)",""))</f>
        <v/>
      </c>
    </row>
    <row r="5">
      <c r="A5" s="256" t="inlineStr">
        <is>
          <t>Hazards &amp; Resilience</t>
        </is>
      </c>
      <c r="B5" s="256" t="inlineStr">
        <is>
          <t>Academia-to-Industry topic</t>
        </is>
      </c>
      <c r="C5" s="256" t="n">
        <v>5</v>
      </c>
      <c r="E5" s="256" t="inlineStr">
        <is>
          <t>Published</t>
        </is>
      </c>
      <c r="G5" s="256" t="inlineStr">
        <is>
          <t>No selector set</t>
        </is>
      </c>
      <c r="H5" s="256">
        <f>AND(OR(Dashboard!$B$5="All themes",Dashboard!$B$5=""),OR(Dashboard!$G$5="All uses",Dashboard!$G$5=""),$H$2=0,OR(Dashboard!$N$5="All windows",Dashboard!$N$5=""))</f>
        <v/>
      </c>
      <c r="M5" s="256" t="n">
        <v>4</v>
      </c>
      <c r="N5" s="258">
        <f>IFERROR(LARGE(Stories!$X$4:$X$153,M5),"")</f>
        <v/>
      </c>
      <c r="O5" s="256">
        <f>IF(N5="","",MATCH(N5,Stories!$X$4:$X$153,0))</f>
        <v/>
      </c>
      <c r="P5" s="256">
        <f>IF(O5="","",INDEX(Stories!$V$4:$V$153,O5)&amp;"")</f>
        <v/>
      </c>
      <c r="Q5" s="256">
        <f>IF(O5="","",IF(LEN(INDEX(Stories!$B$4:$B$153,O5))&gt;120,LEFT(INDEX(Stories!$B$4:$B$153,O5),118)&amp;"…",INDEX(Stories!$B$4:$B$153,O5)&amp;"")&amp;IF(INDEX(Stories!$L$4:$L$153,O5)&amp;""&lt;&gt;""," (Claude's translation)",""))</f>
        <v/>
      </c>
    </row>
    <row r="6">
      <c r="A6" s="256" t="inlineStr">
        <is>
          <t>Ground Improvement &amp; Innovation</t>
        </is>
      </c>
      <c r="B6" s="256" t="inlineStr">
        <is>
          <t>Regional insight</t>
        </is>
      </c>
      <c r="E6" s="256" t="inlineStr">
        <is>
          <t>Not used</t>
        </is>
      </c>
      <c r="G6" s="256" t="inlineStr">
        <is>
          <t>Stories in the selection</t>
        </is>
      </c>
      <c r="H6" s="256">
        <f>COUNTIF(Stories!$W$4:$W$153,1)</f>
        <v/>
      </c>
      <c r="M6" s="256" t="n">
        <v>5</v>
      </c>
      <c r="N6" s="258">
        <f>IFERROR(LARGE(Stories!$X$4:$X$153,M6),"")</f>
        <v/>
      </c>
      <c r="O6" s="256">
        <f>IF(N6="","",MATCH(N6,Stories!$X$4:$X$153,0))</f>
        <v/>
      </c>
      <c r="P6" s="256">
        <f>IF(O6="","",INDEX(Stories!$V$4:$V$153,O6)&amp;"")</f>
        <v/>
      </c>
      <c r="Q6" s="256">
        <f>IF(O6="","",IF(LEN(INDEX(Stories!$B$4:$B$153,O6))&gt;120,LEFT(INDEX(Stories!$B$4:$B$153,O6),118)&amp;"…",INDEX(Stories!$B$4:$B$153,O6)&amp;"")&amp;IF(INDEX(Stories!$L$4:$L$153,O6)&amp;""&lt;&gt;""," (Claude's translation)",""))</f>
        <v/>
      </c>
    </row>
    <row r="7">
      <c r="A7" s="256" t="inlineStr">
        <is>
          <t>Infrastructure &amp; the Underground City</t>
        </is>
      </c>
      <c r="B7" s="256" t="inlineStr">
        <is>
          <t>Watch only</t>
        </is>
      </c>
      <c r="M7" s="256" t="n">
        <v>6</v>
      </c>
      <c r="N7" s="258">
        <f>IFERROR(LARGE(Stories!$X$4:$X$153,M7),"")</f>
        <v/>
      </c>
      <c r="O7" s="256">
        <f>IF(N7="","",MATCH(N7,Stories!$X$4:$X$153,0))</f>
        <v/>
      </c>
      <c r="P7" s="256">
        <f>IF(O7="","",INDEX(Stories!$V$4:$V$153,O7)&amp;"")</f>
        <v/>
      </c>
      <c r="Q7" s="256">
        <f>IF(O7="","",IF(LEN(INDEX(Stories!$B$4:$B$153,O7))&gt;120,LEFT(INDEX(Stories!$B$4:$B$153,O7),118)&amp;"…",INDEX(Stories!$B$4:$B$153,O7)&amp;"")&amp;IF(INDEX(Stories!$L$4:$L$153,O7)&amp;""&lt;&gt;""," (Claude's translation)",""))</f>
        <v/>
      </c>
    </row>
    <row r="8">
      <c r="A8" s="256" t="inlineStr">
        <is>
          <t>Offshore, Coasts &amp; Water</t>
        </is>
      </c>
      <c r="M8" s="256" t="n">
        <v>7</v>
      </c>
      <c r="N8" s="258">
        <f>IFERROR(LARGE(Stories!$X$4:$X$153,M8),"")</f>
        <v/>
      </c>
      <c r="O8" s="256">
        <f>IF(N8="","",MATCH(N8,Stories!$X$4:$X$153,0))</f>
        <v/>
      </c>
      <c r="P8" s="256">
        <f>IF(O8="","",INDEX(Stories!$V$4:$V$153,O8)&amp;"")</f>
        <v/>
      </c>
      <c r="Q8" s="256">
        <f>IF(O8="","",IF(LEN(INDEX(Stories!$B$4:$B$153,O8))&gt;120,LEFT(INDEX(Stories!$B$4:$B$153,O8),118)&amp;"…",INDEX(Stories!$B$4:$B$153,O8)&amp;"")&amp;IF(INDEX(Stories!$L$4:$L$153,O8)&amp;""&lt;&gt;""," (Claude's translation)",""))</f>
        <v/>
      </c>
    </row>
    <row r="9">
      <c r="A9" s="256" t="inlineStr">
        <is>
          <t>Characterisation &amp; Modelling</t>
        </is>
      </c>
      <c r="M9" s="256" t="n">
        <v>8</v>
      </c>
      <c r="N9" s="258">
        <f>IFERROR(LARGE(Stories!$X$4:$X$153,M9),"")</f>
        <v/>
      </c>
      <c r="O9" s="256">
        <f>IF(N9="","",MATCH(N9,Stories!$X$4:$X$153,0))</f>
        <v/>
      </c>
      <c r="P9" s="256">
        <f>IF(O9="","",INDEX(Stories!$V$4:$V$153,O9)&amp;"")</f>
        <v/>
      </c>
      <c r="Q9" s="256">
        <f>IF(O9="","",IF(LEN(INDEX(Stories!$B$4:$B$153,O9))&gt;120,LEFT(INDEX(Stories!$B$4:$B$153,O9),118)&amp;"…",INDEX(Stories!$B$4:$B$153,O9)&amp;"")&amp;IF(INDEX(Stories!$L$4:$L$153,O9)&amp;""&lt;&gt;""," (Claude's translation)",""))</f>
        <v/>
      </c>
    </row>
    <row r="10">
      <c r="A10" s="256" t="inlineStr">
        <is>
          <t>Geotechnics &amp; Society</t>
        </is>
      </c>
      <c r="M10" s="256" t="n">
        <v>9</v>
      </c>
      <c r="N10" s="258">
        <f>IFERROR(LARGE(Stories!$X$4:$X$153,M10),"")</f>
        <v/>
      </c>
      <c r="O10" s="256">
        <f>IF(N10="","",MATCH(N10,Stories!$X$4:$X$153,0))</f>
        <v/>
      </c>
      <c r="P10" s="256">
        <f>IF(O10="","",INDEX(Stories!$V$4:$V$153,O10)&amp;"")</f>
        <v/>
      </c>
      <c r="Q10" s="256">
        <f>IF(O10="","",IF(LEN(INDEX(Stories!$B$4:$B$153,O10))&gt;120,LEFT(INDEX(Stories!$B$4:$B$153,O10),118)&amp;"…",INDEX(Stories!$B$4:$B$153,O10)&amp;"")&amp;IF(INDEX(Stories!$L$4:$L$153,O10)&amp;""&lt;&gt;""," (Claude's translation)",""))</f>
        <v/>
      </c>
    </row>
    <row r="11">
      <c r="A11" s="256" t="inlineStr">
        <is>
          <t>General</t>
        </is>
      </c>
      <c r="M11" s="256" t="n">
        <v>10</v>
      </c>
      <c r="N11" s="258">
        <f>IFERROR(LARGE(Stories!$X$4:$X$153,M11),"")</f>
        <v/>
      </c>
      <c r="O11" s="256">
        <f>IF(N11="","",MATCH(N11,Stories!$X$4:$X$153,0))</f>
        <v/>
      </c>
      <c r="P11" s="256">
        <f>IF(O11="","",INDEX(Stories!$V$4:$V$153,O11)&amp;"")</f>
        <v/>
      </c>
      <c r="Q11" s="256">
        <f>IF(O11="","",IF(LEN(INDEX(Stories!$B$4:$B$153,O11))&gt;120,LEFT(INDEX(Stories!$B$4:$B$153,O11),118)&amp;"…",INDEX(Stories!$B$4:$B$153,O11)&amp;"")&amp;IF(INDEX(Stories!$L$4:$L$153,O11)&amp;""&lt;&gt;""," (Claude's translation)",""))</f>
        <v/>
      </c>
    </row>
  </sheetData>
  <printOptions horizontalCentered="1"/>
  <pageMargins left="0.4" right="0.4" top="0.5" bottom="0.55" header="0.25" footer="0.25"/>
  <pageSetup orientation="landscape" paperSize="9" fitToHeight="0" fitToWidth="1"/>
  <headerFooter>
    <oddHeader/>
    <oddFooter>&amp;L&amp;"Arial"&amp;8 &amp;A&amp;R&amp;"Arial"&amp;8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2026-10-26T10:25:16Z</dcterms:created>
  <dcterms:modified xmlns:dcterms="http://purl.org/dc/terms/" xmlns:xsi="http://www.w3.org/2001/XMLSchema-instance" xsi:type="dcterms:W3CDTF">2026-10-26T10:25:16Z</dcterms:modified>
</cp:coreProperties>
</file>