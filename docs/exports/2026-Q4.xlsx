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'Stories'!$A$1:$K$195</definedName>
    <definedName name="_xlnm.Print_Titles" localSheetId="3">'By theme'!$1:$2</definedName>
    <definedName name="_xlnm.Print_Titles" localSheetId="4">'Research'!$3:$3</definedName>
    <definedName name="_xlnm.Print_Area" localSheetId="4">'Research'!$A$1:$K$53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1F9D63"/>
      <sz val="9"/>
    </font>
    <font>
      <name val="Arial"/>
      <b val="1"/>
      <color rgb="00C23D7B"/>
      <sz val="9"/>
    </font>
    <font>
      <name val="Arial"/>
      <b val="1"/>
      <color rgb="000B97A5"/>
      <sz val="9"/>
    </font>
    <font>
      <name val="Arial"/>
      <b val="1"/>
      <color rgb="008A5A2B"/>
      <sz val="9"/>
    </font>
    <font>
      <name val="Arial"/>
      <b val="1"/>
      <color rgb="00E04F2C"/>
      <sz val="10"/>
    </font>
    <font>
      <name val="Arial"/>
      <b val="1"/>
      <color rgb="002563D6"/>
      <sz val="10"/>
    </font>
    <font>
      <name val="Arial"/>
      <b val="1"/>
      <color rgb="000B97A5"/>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8EED9"/>
        <bgColor rgb="00F8EED9"/>
      </patternFill>
    </fill>
    <fill>
      <patternFill patternType="solid">
        <fgColor rgb="00F6E2EB"/>
        <bgColor rgb="00F6E2EB"/>
      </patternFill>
    </fill>
    <fill>
      <patternFill patternType="solid">
        <fgColor rgb="00DAEFF2"/>
        <bgColor rgb="00DAEFF2"/>
      </patternFill>
    </fill>
    <fill>
      <patternFill patternType="solid">
        <fgColor rgb="00E9E5F9"/>
        <bgColor rgb="00E9E5F9"/>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5"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8"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7" fillId="26" borderId="21" applyAlignment="1" pivotButton="0" quotePrefix="0" xfId="0">
      <alignment vertical="center" indent="1"/>
    </xf>
    <xf numFmtId="0" fontId="0" fillId="26" borderId="21" pivotButton="0" quotePrefix="0" xfId="0"/>
    <xf numFmtId="0" fontId="26"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8"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5"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8"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7" fillId="0" borderId="21" applyAlignment="1" pivotButton="0" quotePrefix="0" xfId="0">
      <alignment vertical="center" indent="1"/>
    </xf>
    <xf numFmtId="0" fontId="0" fillId="0" borderId="21" pivotButton="0" quotePrefix="0" xfId="0"/>
    <xf numFmtId="0" fontId="26"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0" fillId="7" borderId="0" applyAlignment="1" pivotButton="0" quotePrefix="0" xfId="0">
      <alignment vertical="top" wrapText="1"/>
    </xf>
    <xf numFmtId="0" fontId="18" fillId="0" borderId="0" applyAlignment="1" pivotButton="0" quotePrefix="0" xfId="0">
      <alignment vertical="top" wrapText="1"/>
    </xf>
    <xf numFmtId="0" fontId="19" fillId="8" borderId="0" applyAlignment="1" pivotButton="0" quotePrefix="0" xfId="0">
      <alignment vertical="top" wrapText="1"/>
    </xf>
    <xf numFmtId="0" fontId="20" fillId="9" borderId="0" applyAlignment="1" pivotButton="0" quotePrefix="0" xfId="0">
      <alignment vertical="top" wrapText="1"/>
    </xf>
    <xf numFmtId="0" fontId="17" fillId="10" borderId="0" applyAlignment="1" pivotButton="0" quotePrefix="0" xfId="0">
      <alignment vertical="top" wrapText="1"/>
    </xf>
    <xf numFmtId="0" fontId="18"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8" fillId="14" borderId="2" applyAlignment="1" pivotButton="0" quotePrefix="0" xfId="0">
      <alignment horizontal="center" vertical="center"/>
    </xf>
    <xf numFmtId="0" fontId="18"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8"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20" fillId="24" borderId="8" applyAlignment="1" pivotButton="0" quotePrefix="0" xfId="0">
      <alignment horizontal="center" vertical="center"/>
    </xf>
    <xf numFmtId="0" fontId="20"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9" fillId="26" borderId="9" applyAlignment="1" pivotButton="0" quotePrefix="0" xfId="0">
      <alignment horizontal="center" vertical="center"/>
    </xf>
    <xf numFmtId="0" fontId="19"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'Dashboard'!$B$74:$B$77</f>
            </numRef>
          </cat>
          <val>
            <numRef>
              <f>'Dashboard'!$F$74:$F$77</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'Dashboard'!$B$74:$B$77</f>
            </numRef>
          </cat>
          <val>
            <numRef>
              <f>'Dashboard'!$G$74:$G$77</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95" headerRowCount="1">
  <autoFilter ref="A3:X195"/>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53" headerRowCount="1">
  <autoFilter ref="A3:M5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38" headerRowCount="1">
  <autoFilter ref="A3:I13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Relationship Type="http://schemas.openxmlformats.org/officeDocument/2006/relationships/hyperlink" Target="https://tunnellingjournal.com/breakthrough-completes-12-18km-jinyang-highway-tunnel-in-china/" TargetMode="External" Id="rId2"/><Relationship Type="http://schemas.openxmlformats.org/officeDocument/2006/relationships/hyperlink" Target="https://www.tunnelsandtunnelling.com/news/tunnelling-set-to-start-on-bucharest-metro-north-section/" TargetMode="External" Id="rId3"/><Relationship Type="http://schemas.openxmlformats.org/officeDocument/2006/relationships/hyperlink" Target="https://www.tunnelsandtunnelling.com/news/three-tbms-now-tunnelling-on-srl/" TargetMode="External" Id="rId4"/><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6"/><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7"/><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8"/><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10"/><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1"/><Relationship Type="http://schemas.openxmlformats.org/officeDocument/2006/relationships/hyperlink" Target="https://www.tunnelsandtunnelling.com/news/breakthrough-made-on-lima-metros-line-4/" TargetMode="External" Id="rId12"/><Relationship Type="http://schemas.openxmlformats.org/officeDocument/2006/relationships/hyperlink" Target="https://www.tunnelsandtunnelling.com/news/ohio-river-tunnel-project-breaks-ground/" TargetMode="External" Id="rId13"/><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1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1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1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1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2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2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2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23"/><Relationship Type="http://schemas.openxmlformats.org/officeDocument/2006/relationships/hyperlink" Target="https://globalhighways.com/new-high-speed-rail-viaduct-for-the-uk/" TargetMode="External" Id="rId24"/><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25"/><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26"/><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27"/><Relationship Type="http://schemas.openxmlformats.org/officeDocument/2006/relationships/hyperlink" Target="https://news.google.com/rss/articles/CBMiUEFVX3lxTE5RM0RVWHhhUFhCVEhXclY3YWpCOVF4R1FwejczdjdMcE5ic19hRDBuaGFDWnpzcmhvUE5nYjUyRkYwXy1YSndqNEhOWWswMHJX?oc=5" TargetMode="External" Id="rId28"/><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29"/><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3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31"/><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32"/><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33"/><Relationship Type="http://schemas.openxmlformats.org/officeDocument/2006/relationships/hyperlink" Target="https://tunnellingjournal.com/united-utilities-seeks-design-partner-for-3-7bn-windermere-scheme/" TargetMode="External" Id="rId34"/><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3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3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3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39"/><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40"/><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41"/><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42"/><Relationship Type="http://schemas.openxmlformats.org/officeDocument/2006/relationships/hyperlink" Target="https://news.google.com/rss/articles/CBMiUEFVX3lxTE9sUlNwdEcwMURBRkNDb3dEd0NfVFIzaG9RTUMtYkQ0dnNpT3ByQjFVWFJPYkhjWDNqOFlXNkVrOFk3VzB6NHB1MGtjU1Bfa0d6?oc=5" TargetMode="External" Id="rId43"/><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44"/><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45"/><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46"/><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47"/><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48"/><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49"/><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50"/><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51"/><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52"/><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53"/><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4"/><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55"/><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56"/><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57"/><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58"/><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59"/><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60"/><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61"/><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62"/><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63"/><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64"/><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65"/><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66"/><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67"/><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68"/><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69"/><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70"/><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71"/><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72"/><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73"/><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74"/><Relationship Type="http://schemas.openxmlformats.org/officeDocument/2006/relationships/hyperlink" Target="https://news.google.com/rss/articles/CBMiWEFVX3lxTE40bjhiX3RGaTgxc0h6UU1ENDdRSGFlNkRMOTdvakVpalctY3B2bW4wYjNNcno2UHNrNVItVmJGZHB4aTdOX1ljNjNJUnJVbk5DV1ltRl8tN3o?oc=5" TargetMode="External" Id="rId75"/><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76"/><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77"/><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78"/><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79"/><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80"/><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81"/><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82"/><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83"/><Relationship Type="http://schemas.openxmlformats.org/officeDocument/2006/relationships/hyperlink" Target="https://news.google.com/rss/articles/CBMiR0FVX3lxTE94OUJCMW4zNWdhYkRhdHNyanpLUDRXZ0gtZERXYjNCdnM0X3Z0WnV3QlVaX09kem5CMko5Vy0wamJTUnZkWjRB?oc=5" TargetMode="External" Id="rId84"/><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8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8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8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8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90"/><Relationship Type="http://schemas.openxmlformats.org/officeDocument/2006/relationships/hyperlink" Target="https://news.google.com/rss/articles/CBMiTkFVX3lxTE1uZEw5RnB3UEJsWjd6MFZFRXhhUkV0d0QwMURpMVNQVjhUR3BIdHNrRWZ4OFFJWS12Z3JIcEthQkFhOU9WeC1fVHdiM3hLQQ?oc=5" TargetMode="External" Id="rId9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92"/><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93"/><Relationship Type="http://schemas.openxmlformats.org/officeDocument/2006/relationships/hyperlink" Target="https://news.google.com/rss/articles/CBMiWEFVX3lxTFBTQ25tOTZGZzZsUWdHamNXa3hxMGdGTG8ySno0dWhQSzl1SnVtZHBuSUtrM3d3VTJPekZvbFZXRDY0TWhFZ1NDWDllM3RSeDI5SUZkRWZtQzU?oc=5" TargetMode="External" Id="rId94"/><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5"/><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97"/><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98"/><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9"/><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00"/><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01"/><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02"/><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03"/><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04"/><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05"/><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06"/><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07"/><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08"/><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09"/><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10"/><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11"/><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12"/><Relationship Type="http://schemas.openxmlformats.org/officeDocument/2006/relationships/hyperlink" Target="https://news.google.com/rss/articles/CBMiQEFVX3lxTE5xNDZoRUVLVUFyUVB6d3duejJIdUpLZjlKZ21qRXJtLWsycEZCU2RuWWtvblNOVHFJc1JpSW1HMkk?oc=5" TargetMode="External" Id="rId11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1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1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16"/><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17"/><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18"/><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19"/><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2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2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2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2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2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25"/><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26"/><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27"/><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28"/><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29"/><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30"/><Relationship Type="http://schemas.openxmlformats.org/officeDocument/2006/relationships/hyperlink" Target="https://news.google.com/rss/articles/CBMiWEFVX3lxTE43cWdqNnRTM1lrNU1sbElSd09YdDFzdGJhdFBFdldKb3V6R2taUV9IbUtjM3ZUUm5jNkU0QnJvcGdMTUVfR3k4UVNGeTRER2oycE1fZEFGeXE?oc=5" TargetMode="External" Id="rId131"/><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32"/><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33"/><Relationship Type="http://schemas.openxmlformats.org/officeDocument/2006/relationships/hyperlink" Target="https://www.geplus.co.uk/key-topics/sustainability/floating-wind-needs-grounded-solutions-23-10-2026/" TargetMode="External" Id="rId13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35"/><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36"/><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37"/><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38"/><Relationship Type="http://schemas.openxmlformats.org/officeDocument/2006/relationships/hyperlink" Target="https://www.geplus.co.uk/news/project-news/m4-landslip-work-begins-as-part-of-wider-repair-programme-23-10-2026/" TargetMode="External" Id="rId13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4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1"/><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42"/><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43"/><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44"/><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45"/><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46"/><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47"/><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48"/><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49"/><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50"/><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51"/><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52"/><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53"/><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54"/><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55"/><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156"/><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57"/><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58"/><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59"/><Relationship Type="http://schemas.openxmlformats.org/officeDocument/2006/relationships/hyperlink" Target="https://news.google.com/rss/articles/CBMiUkFVX3lxTFBBaDhzbmpCUVV6Y1lGN3hyYllJRGRHNkUta1M3SVpkamJ5MGktVWZHdDJqLWloWW40SmVzTldUSWc0UXliVXJOVWR2VmJoWUtGc0E?oc=5" TargetMode="External" Id="rId16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61"/><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62"/><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63"/><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64"/><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65"/><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66"/><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67"/><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68"/><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69"/><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70"/><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7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72"/><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73"/><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74"/><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75"/><Relationship Type="http://schemas.openxmlformats.org/officeDocument/2006/relationships/hyperlink" Target="https://www.tunnelsandtunnelling.com/news/snowy-2-0-cost-and-completion-date-revised/" TargetMode="External" Id="rId176"/><Relationship Type="http://schemas.openxmlformats.org/officeDocument/2006/relationships/hyperlink" Target="https://tunnellingjournal.com/mobile-shield-deployed-for-a14-vinci-tunnel-reconstruction/" TargetMode="External" Id="rId17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8"/><Relationship Type="http://schemas.openxmlformats.org/officeDocument/2006/relationships/hyperlink" Target="https://www.tunnelsandtunnelling.com/news/abergeldie-awarded-patent-for-underground-hydrogen-storage-solution/" TargetMode="External" Id="rId179"/><Relationship Type="http://schemas.openxmlformats.org/officeDocument/2006/relationships/hyperlink" Target="https://tunnellingjournal.com/snowy-2-0-cost-rises-to-a22-2bn-as-tunnelling-reaches-65-completion/" TargetMode="External" Id="rId180"/><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8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82"/><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83"/><Relationship Type="http://schemas.openxmlformats.org/officeDocument/2006/relationships/hyperlink" Target="https://news.google.com/rss/articles/CBMiREFVX3lxTE9KcGh5bWlxWEhKT3FXdU5qVjNOd3c3clQ1bGw1YWFmaHljV0U3ckZYcndLVTgtakJFSHZZQ3ViYXg2QnV4?oc=5" TargetMode="External" Id="rId18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8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8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8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8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8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92"/><Relationship Type="http://schemas.openxmlformats.org/officeDocument/2006/relationships/table" Target="/xl/tables/table1.xml" Id="rId193"/></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7"/><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8"/><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9"/><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0"/><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1"/><Relationship Type="http://schemas.openxmlformats.org/officeDocument/2006/relationships/hyperlink" Target="https://news.google.com/rss/articles/CBMiUEFVX3lxTE9sUlNwdEcwMURBRkNDb3dEd0NfVFIzaG9RTUMtYkQ0dnNpT3ByQjFVWFJPYkhjWDNqOFlXNkVrOFk3VzB6NHB1MGtjU1Bfa0d6?oc=5" TargetMode="External" Id="rId12"/><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3"/><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4"/><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5"/><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9"/><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0"/><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1"/><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2"/><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3"/><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4"/><Relationship Type="http://schemas.openxmlformats.org/officeDocument/2006/relationships/hyperlink" Target="https://www.geplus.co.uk/news/project-news/m4-landslip-work-begins-as-part-of-wider-repair-programme-23-10-2026/" TargetMode="External" Id="rId25"/><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6"/><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7"/><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8"/><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9"/><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0"/><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1"/><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2"/><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3"/><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4"/><Relationship Type="http://schemas.openxmlformats.org/officeDocument/2006/relationships/hyperlink" Target="https://news.google.com/rss/articles/CBMiTkFVX3lxTE1uZEw5RnB3UEJsWjd6MFZFRXhhUkV0d0QwMURpMVNQVjhUR3BIdHNrRWZ4OFFJWS12Z3JIcEthQkFhOU9WeC1fVHdiM3hLQQ?oc=5" TargetMode="External" Id="rId35"/><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6"/><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7"/><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8"/><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39"/><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40"/><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41"/><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42"/><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43"/><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44"/><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45"/><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46"/><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47"/><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48"/><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49"/><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50"/><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51"/><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52"/><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53"/><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54"/><Relationship Type="http://schemas.openxmlformats.org/officeDocument/2006/relationships/hyperlink" Target="https://news.google.com/rss/articles/CBMiWEFVX3lxTFBTQ25tOTZGZzZsUWdHamNXa3hxMGdGTG8ySno0dWhQSzl1SnVtZHBuSUtrM3d3VTJPekZvbFZXRDY0TWhFZ1NDWDllM3RSeDI5SUZkRWZtQzU?oc=5" TargetMode="External" Id="rId55"/><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56"/><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57"/><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58"/><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59"/><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60"/><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61"/><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62"/><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63"/><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6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6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6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6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6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6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7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7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7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7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7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7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7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7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7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7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80"/><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8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8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83"/><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84"/><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85"/><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86"/><Relationship Type="http://schemas.openxmlformats.org/officeDocument/2006/relationships/hyperlink" Target="https://tunnellingjournal.com/breakthrough-completes-12-18km-jinyang-highway-tunnel-in-china/" TargetMode="External" Id="rId87"/><Relationship Type="http://schemas.openxmlformats.org/officeDocument/2006/relationships/hyperlink" Target="https://www.tunnelsandtunnelling.com/news/tunnelling-set-to-start-on-bucharest-metro-north-section/" TargetMode="External" Id="rId88"/><Relationship Type="http://schemas.openxmlformats.org/officeDocument/2006/relationships/hyperlink" Target="https://www.tunnelsandtunnelling.com/news/three-tbms-now-tunnelling-on-srl/" TargetMode="External" Id="rId89"/><Relationship Type="http://schemas.openxmlformats.org/officeDocument/2006/relationships/hyperlink" Target="https://www.tunnelsandtunnelling.com/news/breakthrough-made-on-lima-metros-line-4/" TargetMode="External" Id="rId90"/><Relationship Type="http://schemas.openxmlformats.org/officeDocument/2006/relationships/hyperlink" Target="https://www.tunnelsandtunnelling.com/news/ohio-river-tunnel-project-breaks-ground/" TargetMode="External" Id="rId91"/><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9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9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94"/><Relationship Type="http://schemas.openxmlformats.org/officeDocument/2006/relationships/hyperlink" Target="https://news.google.com/rss/articles/CBMiUkFVX3lxTFBBaDhzbmpCUVV6Y1lGN3hyYllJRGRHNkUta1M3SVpkamJ5MGktVWZHdDJqLWloWW40SmVzTldUSWc0UXliVXJOVWR2VmJoWUtGc0E?oc=5" TargetMode="External" Id="rId95"/><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9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9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9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0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0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0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0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04"/><Relationship Type="http://schemas.openxmlformats.org/officeDocument/2006/relationships/hyperlink" Target="https://globalhighways.com/new-high-speed-rail-viaduct-for-the-uk/" TargetMode="External" Id="rId105"/><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6"/><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7"/><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8"/><Relationship Type="http://schemas.openxmlformats.org/officeDocument/2006/relationships/hyperlink" Target="https://news.google.com/rss/articles/CBMiUEFVX3lxTE5RM0RVWHhhUFhCVEhXclY3YWpCOVF4R1FwejczdjdMcE5ic19hRDBuaGFDWnpzcmhvUE5nYjUyRkYwXy1YSndqNEhOWWswMHJX?oc=5" TargetMode="External" Id="rId109"/><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12"/><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1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1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1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16"/><Relationship Type="http://schemas.openxmlformats.org/officeDocument/2006/relationships/hyperlink" Target="https://tunnellingjournal.com/mobile-shield-deployed-for-a14-vinci-tunnel-reconstruction/" TargetMode="External" Id="rId11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18"/><Relationship Type="http://schemas.openxmlformats.org/officeDocument/2006/relationships/hyperlink" Target="https://tunnellingjournal.com/united-utilities-seeks-design-partner-for-3-7bn-windermere-scheme/" TargetMode="External" Id="rId119"/><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20"/><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21"/><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22"/><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3"/><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4"/><Relationship Type="http://schemas.openxmlformats.org/officeDocument/2006/relationships/hyperlink" Target="https://news.google.com/rss/articles/CBMiWEFVX3lxTE40bjhiX3RGaTgxc0h6UU1ENDdRSGFlNkRMOTdvakVpalctY3B2bW4wYjNNcno2UHNrNVItVmJGZHB4aTdOX1ljNjNJUnJVbk5DV1ltRl8tN3o?oc=5" TargetMode="External" Id="rId125"/><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26"/><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27"/><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28"/><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29"/><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30"/><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31"/><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32"/><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33"/><Relationship Type="http://schemas.openxmlformats.org/officeDocument/2006/relationships/hyperlink" Target="https://news.google.com/rss/articles/CBMiR0FVX3lxTE94OUJCMW4zNWdhYkRhdHNyanpLUDRXZ0gtZERXYjNCdnM0X3Z0WnV3QlVaX09kem5CMko5Vy0wamJTUnZkWjRB?oc=5" TargetMode="External" Id="rId134"/><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40"/><Relationship Type="http://schemas.openxmlformats.org/officeDocument/2006/relationships/hyperlink" Target="https://news.google.com/rss/articles/CBMiREFVX3lxTE9KcGh5bWlxWEhKT3FXdU5qVjNOd3c3clQ1bGw1YWFmaHljV0U3ckZYcndLVTgtakJFSHZZQ3ViYXg2QnV4?oc=5" TargetMode="External" Id="rId141"/><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42"/><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43"/><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44"/><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45"/><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4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47"/><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48"/><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49"/><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50"/><Relationship Type="http://schemas.openxmlformats.org/officeDocument/2006/relationships/hyperlink" Target="https://news.google.com/rss/articles/CBMiWEFVX3lxTE43cWdqNnRTM1lrNU1sbElSd09YdDFzdGJhdFBFdldKb3V6R2taUV9IbUtjM3ZUUm5jNkU0QnJvcGdMTUVfR3k4UVNGeTRER2oycE1fZEFGeXE?oc=5" TargetMode="External" Id="rId151"/><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52"/><Relationship Type="http://schemas.openxmlformats.org/officeDocument/2006/relationships/hyperlink" Target="https://www.geplus.co.uk/key-topics/sustainability/floating-wind-needs-grounded-solutions-23-10-2026/" TargetMode="External" Id="rId15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5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5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56"/><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5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5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59"/><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60"/><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6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6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3"/><Relationship Type="http://schemas.openxmlformats.org/officeDocument/2006/relationships/hyperlink" Target="https://news.google.com/rss/articles/CBMiQEFVX3lxTE5xNDZoRUVLVUFyUVB6d3duejJIdUpLZjlKZ21qRXJtLWsycEZCU2RuWWtvblNOVHFJc1JpSW1HMkk?oc=5" TargetMode="External" Id="rId16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16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166"/><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67"/><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6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6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17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7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74"/><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5"/><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7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177"/><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178"/><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79"/><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180"/><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181"/><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82"/><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8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8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8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86"/><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87"/><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8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9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9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92"/></Relationships>
</file>

<file path=xl/worksheets/_rels/sheet5.xml.rels><Relationships xmlns="http://schemas.openxmlformats.org/package/2006/relationships"><Relationship Type="http://schemas.openxmlformats.org/officeDocument/2006/relationships/hyperlink" Target="https://doi.org/10.1016/j.sandf.2026.101888" TargetMode="External" Id="rId1"/><Relationship Type="http://schemas.openxmlformats.org/officeDocument/2006/relationships/hyperlink" Target="https://doi.org/10.1016/j.tust.2026.108223" TargetMode="External" Id="rId2"/><Relationship Type="http://schemas.openxmlformats.org/officeDocument/2006/relationships/hyperlink" Target="https://doi.org/10.1016/j.soildyn.2026.110781" TargetMode="External" Id="rId3"/><Relationship Type="http://schemas.openxmlformats.org/officeDocument/2006/relationships/hyperlink" Target="https://doi.org/10.1016/j.tust.2026.108249" TargetMode="External" Id="rId4"/><Relationship Type="http://schemas.openxmlformats.org/officeDocument/2006/relationships/hyperlink" Target="https://doi.org/10.1016/j.tust.2026.108251" TargetMode="External" Id="rId5"/><Relationship Type="http://schemas.openxmlformats.org/officeDocument/2006/relationships/hyperlink" Target="https://doi.org/10.1016/j.soildyn.2026.110791" TargetMode="External" Id="rId6"/><Relationship Type="http://schemas.openxmlformats.org/officeDocument/2006/relationships/hyperlink" Target="https://doi.org/10.1016/j.soildyn.2026.110759" TargetMode="External" Id="rId7"/><Relationship Type="http://schemas.openxmlformats.org/officeDocument/2006/relationships/hyperlink" Target="https://doi.org/10.1016/j.sandf.2026.101883" TargetMode="External" Id="rId8"/><Relationship Type="http://schemas.openxmlformats.org/officeDocument/2006/relationships/hyperlink" Target="https://doi.org/10.1016/j.soildyn.2026.110793" TargetMode="External" Id="rId9"/><Relationship Type="http://schemas.openxmlformats.org/officeDocument/2006/relationships/hyperlink" Target="https://doi.org/10.1016/j.gete.2026.100922" TargetMode="External" Id="rId10"/><Relationship Type="http://schemas.openxmlformats.org/officeDocument/2006/relationships/hyperlink" Target="https://doi.org/10.1007/s10064-026-05322-2" TargetMode="External" Id="rId11"/><Relationship Type="http://schemas.openxmlformats.org/officeDocument/2006/relationships/hyperlink" Target="https://doi.org/10.1007/s00603-026-06107-5" TargetMode="External" Id="rId12"/><Relationship Type="http://schemas.openxmlformats.org/officeDocument/2006/relationships/hyperlink" Target="https://doi.org/10.1007/s00603-026-06090-x" TargetMode="External" Id="rId13"/><Relationship Type="http://schemas.openxmlformats.org/officeDocument/2006/relationships/hyperlink" Target="https://doi.org/10.1016/j.soildyn.2026.110792" TargetMode="External" Id="rId14"/><Relationship Type="http://schemas.openxmlformats.org/officeDocument/2006/relationships/hyperlink" Target="https://doi.org/10.1007/s11440-026-03248-3" TargetMode="External" Id="rId15"/><Relationship Type="http://schemas.openxmlformats.org/officeDocument/2006/relationships/hyperlink" Target="https://doi.org/10.1007/s11440-026-03237-6" TargetMode="External" Id="rId16"/><Relationship Type="http://schemas.openxmlformats.org/officeDocument/2006/relationships/hyperlink" Target="https://doi.org/10.1061/jggefk.gteng-15394" TargetMode="External" Id="rId17"/><Relationship Type="http://schemas.openxmlformats.org/officeDocument/2006/relationships/hyperlink" Target="https://doi.org/10.1016/j.trgeo.2026.102499" TargetMode="External" Id="rId18"/><Relationship Type="http://schemas.openxmlformats.org/officeDocument/2006/relationships/hyperlink" Target="https://doi.org/10.1016/j.sandf.2026.101892" TargetMode="External" Id="rId19"/><Relationship Type="http://schemas.openxmlformats.org/officeDocument/2006/relationships/hyperlink" Target="https://doi.org/10.1680/jgeen.26.00025" TargetMode="External" Id="rId20"/><Relationship Type="http://schemas.openxmlformats.org/officeDocument/2006/relationships/hyperlink" Target="https://doi.org/10.1016/j.tust.2026.108244" TargetMode="External" Id="rId21"/><Relationship Type="http://schemas.openxmlformats.org/officeDocument/2006/relationships/hyperlink" Target="https://doi.org/10.1061/jggefk.gteng-15418" TargetMode="External" Id="rId22"/><Relationship Type="http://schemas.openxmlformats.org/officeDocument/2006/relationships/hyperlink" Target="https://doi.org/10.1007/s10346-026-02861-3" TargetMode="External" Id="rId23"/><Relationship Type="http://schemas.openxmlformats.org/officeDocument/2006/relationships/hyperlink" Target="https://doi.org/10.1007/s11440-026-03261-6" TargetMode="External" Id="rId24"/><Relationship Type="http://schemas.openxmlformats.org/officeDocument/2006/relationships/hyperlink" Target="https://doi.org/10.1016/j.compgeo.2026.108759" TargetMode="External" Id="rId25"/><Relationship Type="http://schemas.openxmlformats.org/officeDocument/2006/relationships/hyperlink" Target="https://doi.org/10.1016/j.enggeo.2026.109161" TargetMode="External" Id="rId26"/><Relationship Type="http://schemas.openxmlformats.org/officeDocument/2006/relationships/hyperlink" Target="https://doi.org/10.1016/j.enggeo.2026.109162" TargetMode="External" Id="rId27"/><Relationship Type="http://schemas.openxmlformats.org/officeDocument/2006/relationships/hyperlink" Target="https://doi.org/10.1016/j.soildyn.2026.110756" TargetMode="External" Id="rId28"/><Relationship Type="http://schemas.openxmlformats.org/officeDocument/2006/relationships/hyperlink" Target="https://doi.org/10.1061/jggefk.gteng-15176" TargetMode="External" Id="rId29"/><Relationship Type="http://schemas.openxmlformats.org/officeDocument/2006/relationships/hyperlink" Target="https://doi.org/10.1007/s10064-026-05365-5" TargetMode="External" Id="rId30"/><Relationship Type="http://schemas.openxmlformats.org/officeDocument/2006/relationships/hyperlink" Target="https://doi.org/10.1007/s10064-026-05361-9" TargetMode="External" Id="rId31"/><Relationship Type="http://schemas.openxmlformats.org/officeDocument/2006/relationships/hyperlink" Target="https://doi.org/10.1016/j.tust.2026.108253" TargetMode="External" Id="rId32"/><Relationship Type="http://schemas.openxmlformats.org/officeDocument/2006/relationships/hyperlink" Target="https://doi.org/10.1007/s00603-026-06036-3" TargetMode="External" Id="rId33"/><Relationship Type="http://schemas.openxmlformats.org/officeDocument/2006/relationships/hyperlink" Target="https://doi.org/10.1007/s00603-026-06050-5" TargetMode="External" Id="rId34"/><Relationship Type="http://schemas.openxmlformats.org/officeDocument/2006/relationships/hyperlink" Target="https://doi.org/10.1007/s10064-026-05359-3" TargetMode="External" Id="rId35"/><Relationship Type="http://schemas.openxmlformats.org/officeDocument/2006/relationships/hyperlink" Target="https://doi.org/10.1061/jggefk.gteng-15318" TargetMode="External" Id="rId36"/><Relationship Type="http://schemas.openxmlformats.org/officeDocument/2006/relationships/hyperlink" Target="https://doi.org/10.1007/s10064-026-05357-5" TargetMode="External" Id="rId37"/><Relationship Type="http://schemas.openxmlformats.org/officeDocument/2006/relationships/hyperlink" Target="https://doi.org/10.1016/j.compgeo.2026.108749" TargetMode="External" Id="rId38"/><Relationship Type="http://schemas.openxmlformats.org/officeDocument/2006/relationships/hyperlink" Target="https://doi.org/10.1007/s11440-026-03269-y" TargetMode="External" Id="rId39"/><Relationship Type="http://schemas.openxmlformats.org/officeDocument/2006/relationships/hyperlink" Target="https://doi.org/10.1016/j.compgeo.2026.108768" TargetMode="External" Id="rId40"/><Relationship Type="http://schemas.openxmlformats.org/officeDocument/2006/relationships/hyperlink" Target="https://doi.org/10.1680/jgeot.25.00605" TargetMode="External" Id="rId41"/><Relationship Type="http://schemas.openxmlformats.org/officeDocument/2006/relationships/hyperlink" Target="https://doi.org/10.1016/j.soildyn.2026.110782" TargetMode="External" Id="rId42"/><Relationship Type="http://schemas.openxmlformats.org/officeDocument/2006/relationships/hyperlink" Target="https://doi.org/10.1061/jggefk.gteng-15142" TargetMode="External" Id="rId43"/><Relationship Type="http://schemas.openxmlformats.org/officeDocument/2006/relationships/hyperlink" Target="https://doi.org/10.1080/17499518.2026.2750358" TargetMode="External" Id="rId44"/><Relationship Type="http://schemas.openxmlformats.org/officeDocument/2006/relationships/hyperlink" Target="https://doi.org/10.1016/j.tust.2026.108241" TargetMode="External" Id="rId45"/><Relationship Type="http://schemas.openxmlformats.org/officeDocument/2006/relationships/hyperlink" Target="https://doi.org/10.1016/j.enggeo.2026.109168" TargetMode="External" Id="rId46"/><Relationship Type="http://schemas.openxmlformats.org/officeDocument/2006/relationships/hyperlink" Target="https://doi.org/10.1016/j.compgeo.2026.108765" TargetMode="External" Id="rId47"/><Relationship Type="http://schemas.openxmlformats.org/officeDocument/2006/relationships/hyperlink" Target="https://doi.org/10.1016/j.trgeo.2026.102482" TargetMode="External" Id="rId48"/><Relationship Type="http://schemas.openxmlformats.org/officeDocument/2006/relationships/hyperlink" Target="https://doi.org/10.1061/jggefk.gteng-15428" TargetMode="External" Id="rId49"/><Relationship Type="http://schemas.openxmlformats.org/officeDocument/2006/relationships/hyperlink" Target="https://doi.org/10.1016/j.undsp.2026.09.005" TargetMode="External" Id="rId50"/><Relationship Type="http://schemas.openxmlformats.org/officeDocument/2006/relationships/table" Target="/xl/tables/table2.xml" Id="rId5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27 Oct 2026</t>
        </is>
      </c>
      <c r="C2" s="3" t="n"/>
      <c r="D2" s="3" t="n"/>
      <c r="E2" s="3" t="n"/>
    </row>
    <row r="3" ht="4" customHeight="1">
      <c r="A3" s="5" t="n"/>
      <c r="B3" s="5" t="n"/>
      <c r="C3" s="5" t="n"/>
      <c r="D3" s="5" t="n"/>
      <c r="E3" s="5" t="n"/>
    </row>
    <row r="5" ht="30" customHeight="1">
      <c r="B5" s="6" t="inlineStr">
        <is>
          <t>This workbook holds 192 stories from 4 daily digests, 24 Oct 2026 to 27 Oct 2026, in 8 themes and from 135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50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27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4 stories · 1 rated 5 / 5 · 1 feature lead</t>
        </is>
      </c>
      <c r="D46" s="11" t="n"/>
    </row>
    <row r="47" ht="18" customHeight="1">
      <c r="B47" s="27" t="inlineStr">
        <is>
          <t>Digital Geotechnics</t>
        </is>
      </c>
      <c r="C47" s="10" t="inlineStr">
        <is>
          <t>6 stories · 1 rated 5 / 5 · 2 feature leads</t>
        </is>
      </c>
      <c r="D47" s="11" t="n"/>
    </row>
    <row r="48" ht="18" customHeight="1">
      <c r="B48" s="28" t="inlineStr">
        <is>
          <t>Hazards &amp; Resilience</t>
        </is>
      </c>
      <c r="C48" s="10" t="inlineStr">
        <is>
          <t>71 stories · 14 rated 5 / 5 · 42 feature leads</t>
        </is>
      </c>
      <c r="D48" s="11" t="n"/>
    </row>
    <row r="49" ht="18" customHeight="1">
      <c r="B49" s="29" t="inlineStr">
        <is>
          <t>Ground Improvement &amp; Innovation</t>
        </is>
      </c>
      <c r="C49" s="10" t="inlineStr">
        <is>
          <t>3 stories · 2 rated 5 / 5 · 2 feature leads</t>
        </is>
      </c>
      <c r="D49" s="11" t="n"/>
    </row>
    <row r="50" ht="18" customHeight="1">
      <c r="B50" s="30" t="inlineStr">
        <is>
          <t>Infrastructure &amp; the Underground City</t>
        </is>
      </c>
      <c r="C50" s="10" t="inlineStr">
        <is>
          <t>68 stories · 2 rated 5 / 5 · 18 feature leads</t>
        </is>
      </c>
      <c r="D50" s="11" t="n"/>
    </row>
    <row r="51" ht="18" customHeight="1">
      <c r="B51" s="31" t="inlineStr">
        <is>
          <t>Offshore, Coasts &amp; Water</t>
        </is>
      </c>
      <c r="C51" s="10" t="inlineStr">
        <is>
          <t>22 stories · 1 rated 5 / 5 · 8 feature leads</t>
        </is>
      </c>
      <c r="D51" s="11" t="n"/>
    </row>
    <row r="52" ht="18" customHeight="1">
      <c r="B52" s="32" t="inlineStr">
        <is>
          <t>Characterisation &amp; Modelling</t>
        </is>
      </c>
      <c r="C52" s="10" t="inlineStr">
        <is>
          <t>11 stories · 0 rated 5 / 5 · 6 feature leads</t>
        </is>
      </c>
      <c r="D52" s="11" t="n"/>
    </row>
    <row r="53" ht="18" customHeight="1">
      <c r="B53" s="33" t="inlineStr">
        <is>
          <t>Geotechnics &amp; Society</t>
        </is>
      </c>
      <c r="C53" s="10" t="inlineStr">
        <is>
          <t>7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1" display="Digital Geotechnics"/>
    <hyperlink ref="B48" location="'By theme'!A20" display="Hazards &amp; Resilience"/>
    <hyperlink ref="B49" location="'By theme'!A94" display="Ground Improvement &amp; Innovation"/>
    <hyperlink ref="B50" location="'By theme'!A100" display="Infrastructure &amp; the Underground City"/>
    <hyperlink ref="B51" location="'By theme'!A171" display="Offshore, Coasts &amp; Water"/>
    <hyperlink ref="B52" location="'By theme'!A196" display="Characterisation &amp; Modelling"/>
    <hyperlink ref="B53" location="'By theme'!A21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7"/>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27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IF(Lists!$H$5,Lists!$H$3,COUNTIF(Lists!$K$2:$K$5,"&gt;0"))</f>
        <v/>
      </c>
      <c r="F8" s="46" t="n"/>
      <c r="G8" s="46" t="n"/>
      <c r="H8" s="47">
        <f>COUNTIFS(Stories!$W$4:$W$195,1,Stories!$D$4:$D$195,5)</f>
        <v/>
      </c>
      <c r="I8" s="48" t="n"/>
      <c r="J8" s="48" t="n"/>
      <c r="K8" s="49">
        <f>COUNTIFS(Stories!$W$4:$W$195,1,Stories!$E$4:$E$195,"Feature lead")</f>
        <v/>
      </c>
      <c r="L8" s="50" t="n"/>
      <c r="M8" s="50" t="n"/>
      <c r="N8" s="51">
        <f>COUNTIFS(Stories!$W$4:$W$195,1,Stories!$F$4:$F$195,"Shortlisted")+COUNTIFS(Stories!$W$4:$W$195,1,Stories!$F$4:$F$195,"Commissioned")+COUNTIFS(Stories!$W$4:$W$195,1,Stories!$F$4:$F$195,"Published")</f>
        <v/>
      </c>
      <c r="O8" s="52" t="n"/>
      <c r="P8" s="52" t="n"/>
      <c r="Q8" s="53">
        <f>COUNTIF(Sources!$C$4:$C$138,"&gt;0")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"&amp;COUNTIFS(Stories!$W$4:$W$195,1,Stories!$D$4:$D$195,4)</f>
        <v/>
      </c>
      <c r="I10" s="60" t="n"/>
      <c r="J10" s="60" t="n"/>
      <c r="K10" s="70">
        <f>"news briefs: "&amp;COUNTIFS(Stories!$W$4:$W$195,1,Stories!$E$4:$E$195,"News brief")</f>
        <v/>
      </c>
      <c r="L10" s="62" t="n"/>
      <c r="M10" s="62" t="n"/>
      <c r="N10" s="71">
        <f>"shortlisted or later · to review: "&amp;COUNTIFS(Stories!$W$4:$W$195,1,Stories!$F$4:$F$195,"To review")</f>
        <v/>
      </c>
      <c r="O10" s="64" t="n"/>
      <c r="P10" s="64" t="n"/>
      <c r="Q10" s="72">
        <f>"of 135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IF(Lists!$O$2="","",INDEX(Stories!$K$4:$K$195,Lists!$O$2))</f>
        <v/>
      </c>
      <c r="J14" s="79">
        <f>IF(Lists!$O$2="","",INDEX(Stories!$C$4:$C$195,Lists!$O$2)&amp;"")</f>
        <v/>
      </c>
      <c r="K14" s="77" t="n"/>
      <c r="L14" s="77" t="n"/>
      <c r="M14" s="80">
        <f>IF(Lists!$O$2="","",INDEX(Stories!$D$4:$D$195,Lists!$O$2))</f>
        <v/>
      </c>
      <c r="N14" s="81">
        <f>IF(Lists!$O$2="","",INDEX(Stories!$E$4:$E$195,Lists!$O$2)&amp;"")</f>
        <v/>
      </c>
      <c r="O14" s="77" t="n"/>
      <c r="P14" s="81">
        <f>IF(Lists!$O$2="","",INDEX(Stories!$J$4:$J$195,Lists!$O$2)&amp;"")</f>
        <v/>
      </c>
      <c r="Q14" s="77" t="n"/>
      <c r="R14" s="82">
        <f>IF(Lists!$O$2="","",INDEX(Stories!$A$4:$A$195,Lists!$O$2))</f>
        <v/>
      </c>
      <c r="S14" s="83">
        <f>IF(Lists!$O$2="","",INDEX(Stories!$F$4:$F$195,Lists!$O$2)&amp;"")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IF(Lists!$O$3="","",INDEX(Stories!$K$4:$K$195,Lists!$O$3))</f>
        <v/>
      </c>
      <c r="J15" s="88">
        <f>IF(Lists!$O$3="","",INDEX(Stories!$C$4:$C$195,Lists!$O$3)&amp;"")</f>
        <v/>
      </c>
      <c r="K15" s="86" t="n"/>
      <c r="L15" s="86" t="n"/>
      <c r="M15" s="89">
        <f>IF(Lists!$O$3="","",INDEX(Stories!$D$4:$D$195,Lists!$O$3))</f>
        <v/>
      </c>
      <c r="N15" s="90">
        <f>IF(Lists!$O$3="","",INDEX(Stories!$E$4:$E$195,Lists!$O$3)&amp;"")</f>
        <v/>
      </c>
      <c r="O15" s="86" t="n"/>
      <c r="P15" s="90">
        <f>IF(Lists!$O$3="","",INDEX(Stories!$J$4:$J$195,Lists!$O$3)&amp;"")</f>
        <v/>
      </c>
      <c r="Q15" s="86" t="n"/>
      <c r="R15" s="91">
        <f>IF(Lists!$O$3="","",INDEX(Stories!$A$4:$A$195,Lists!$O$3))</f>
        <v/>
      </c>
      <c r="S15" s="92">
        <f>IF(Lists!$O$3="","",INDEX(Stories!$F$4:$F$195,Lists!$O$3)&amp;"")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IF(Lists!$O$4="","",INDEX(Stories!$K$4:$K$195,Lists!$O$4))</f>
        <v/>
      </c>
      <c r="J16" s="79">
        <f>IF(Lists!$O$4="","",INDEX(Stories!$C$4:$C$195,Lists!$O$4)&amp;"")</f>
        <v/>
      </c>
      <c r="K16" s="77" t="n"/>
      <c r="L16" s="77" t="n"/>
      <c r="M16" s="80">
        <f>IF(Lists!$O$4="","",INDEX(Stories!$D$4:$D$195,Lists!$O$4))</f>
        <v/>
      </c>
      <c r="N16" s="81">
        <f>IF(Lists!$O$4="","",INDEX(Stories!$E$4:$E$195,Lists!$O$4)&amp;"")</f>
        <v/>
      </c>
      <c r="O16" s="77" t="n"/>
      <c r="P16" s="81">
        <f>IF(Lists!$O$4="","",INDEX(Stories!$J$4:$J$195,Lists!$O$4)&amp;"")</f>
        <v/>
      </c>
      <c r="Q16" s="77" t="n"/>
      <c r="R16" s="82">
        <f>IF(Lists!$O$4="","",INDEX(Stories!$A$4:$A$195,Lists!$O$4))</f>
        <v/>
      </c>
      <c r="S16" s="83">
        <f>IF(Lists!$O$4="","",INDEX(Stories!$F$4:$F$195,Lists!$O$4)&amp;"")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IF(Lists!$O$5="","",INDEX(Stories!$K$4:$K$195,Lists!$O$5))</f>
        <v/>
      </c>
      <c r="J17" s="88">
        <f>IF(Lists!$O$5="","",INDEX(Stories!$C$4:$C$195,Lists!$O$5)&amp;"")</f>
        <v/>
      </c>
      <c r="K17" s="86" t="n"/>
      <c r="L17" s="86" t="n"/>
      <c r="M17" s="89">
        <f>IF(Lists!$O$5="","",INDEX(Stories!$D$4:$D$195,Lists!$O$5))</f>
        <v/>
      </c>
      <c r="N17" s="90">
        <f>IF(Lists!$O$5="","",INDEX(Stories!$E$4:$E$195,Lists!$O$5)&amp;"")</f>
        <v/>
      </c>
      <c r="O17" s="86" t="n"/>
      <c r="P17" s="90">
        <f>IF(Lists!$O$5="","",INDEX(Stories!$J$4:$J$195,Lists!$O$5)&amp;"")</f>
        <v/>
      </c>
      <c r="Q17" s="86" t="n"/>
      <c r="R17" s="91">
        <f>IF(Lists!$O$5="","",INDEX(Stories!$A$4:$A$195,Lists!$O$5))</f>
        <v/>
      </c>
      <c r="S17" s="92">
        <f>IF(Lists!$O$5="","",INDEX(Stories!$F$4:$F$195,Lists!$O$5)&amp;"")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IF(Lists!$O$6="","",INDEX(Stories!$K$4:$K$195,Lists!$O$6))</f>
        <v/>
      </c>
      <c r="J18" s="79">
        <f>IF(Lists!$O$6="","",INDEX(Stories!$C$4:$C$195,Lists!$O$6)&amp;"")</f>
        <v/>
      </c>
      <c r="K18" s="77" t="n"/>
      <c r="L18" s="77" t="n"/>
      <c r="M18" s="80">
        <f>IF(Lists!$O$6="","",INDEX(Stories!$D$4:$D$195,Lists!$O$6))</f>
        <v/>
      </c>
      <c r="N18" s="81">
        <f>IF(Lists!$O$6="","",INDEX(Stories!$E$4:$E$195,Lists!$O$6)&amp;"")</f>
        <v/>
      </c>
      <c r="O18" s="77" t="n"/>
      <c r="P18" s="81">
        <f>IF(Lists!$O$6="","",INDEX(Stories!$J$4:$J$195,Lists!$O$6)&amp;"")</f>
        <v/>
      </c>
      <c r="Q18" s="77" t="n"/>
      <c r="R18" s="82">
        <f>IF(Lists!$O$6="","",INDEX(Stories!$A$4:$A$195,Lists!$O$6))</f>
        <v/>
      </c>
      <c r="S18" s="83">
        <f>IF(Lists!$O$6="","",INDEX(Stories!$F$4:$F$195,Lists!$O$6)&amp;"")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IF(Lists!$O$7="","",INDEX(Stories!$K$4:$K$195,Lists!$O$7))</f>
        <v/>
      </c>
      <c r="J19" s="88">
        <f>IF(Lists!$O$7="","",INDEX(Stories!$C$4:$C$195,Lists!$O$7)&amp;"")</f>
        <v/>
      </c>
      <c r="K19" s="86" t="n"/>
      <c r="L19" s="86" t="n"/>
      <c r="M19" s="89">
        <f>IF(Lists!$O$7="","",INDEX(Stories!$D$4:$D$195,Lists!$O$7))</f>
        <v/>
      </c>
      <c r="N19" s="90">
        <f>IF(Lists!$O$7="","",INDEX(Stories!$E$4:$E$195,Lists!$O$7)&amp;"")</f>
        <v/>
      </c>
      <c r="O19" s="86" t="n"/>
      <c r="P19" s="90">
        <f>IF(Lists!$O$7="","",INDEX(Stories!$J$4:$J$195,Lists!$O$7)&amp;"")</f>
        <v/>
      </c>
      <c r="Q19" s="86" t="n"/>
      <c r="R19" s="91">
        <f>IF(Lists!$O$7="","",INDEX(Stories!$A$4:$A$195,Lists!$O$7))</f>
        <v/>
      </c>
      <c r="S19" s="92">
        <f>IF(Lists!$O$7="","",INDEX(Stories!$F$4:$F$195,Lists!$O$7)&amp;"")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IF(Lists!$O$8="","",INDEX(Stories!$K$4:$K$195,Lists!$O$8))</f>
        <v/>
      </c>
      <c r="J20" s="79">
        <f>IF(Lists!$O$8="","",INDEX(Stories!$C$4:$C$195,Lists!$O$8)&amp;"")</f>
        <v/>
      </c>
      <c r="K20" s="77" t="n"/>
      <c r="L20" s="77" t="n"/>
      <c r="M20" s="80">
        <f>IF(Lists!$O$8="","",INDEX(Stories!$D$4:$D$195,Lists!$O$8))</f>
        <v/>
      </c>
      <c r="N20" s="81">
        <f>IF(Lists!$O$8="","",INDEX(Stories!$E$4:$E$195,Lists!$O$8)&amp;"")</f>
        <v/>
      </c>
      <c r="O20" s="77" t="n"/>
      <c r="P20" s="81">
        <f>IF(Lists!$O$8="","",INDEX(Stories!$J$4:$J$195,Lists!$O$8)&amp;"")</f>
        <v/>
      </c>
      <c r="Q20" s="77" t="n"/>
      <c r="R20" s="82">
        <f>IF(Lists!$O$8="","",INDEX(Stories!$A$4:$A$195,Lists!$O$8))</f>
        <v/>
      </c>
      <c r="S20" s="83">
        <f>IF(Lists!$O$8="","",INDEX(Stories!$F$4:$F$195,Lists!$O$8)&amp;"")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IF(Lists!$O$9="","",INDEX(Stories!$K$4:$K$195,Lists!$O$9))</f>
        <v/>
      </c>
      <c r="J21" s="88">
        <f>IF(Lists!$O$9="","",INDEX(Stories!$C$4:$C$195,Lists!$O$9)&amp;"")</f>
        <v/>
      </c>
      <c r="K21" s="86" t="n"/>
      <c r="L21" s="86" t="n"/>
      <c r="M21" s="89">
        <f>IF(Lists!$O$9="","",INDEX(Stories!$D$4:$D$195,Lists!$O$9))</f>
        <v/>
      </c>
      <c r="N21" s="90">
        <f>IF(Lists!$O$9="","",INDEX(Stories!$E$4:$E$195,Lists!$O$9)&amp;"")</f>
        <v/>
      </c>
      <c r="O21" s="86" t="n"/>
      <c r="P21" s="90">
        <f>IF(Lists!$O$9="","",INDEX(Stories!$J$4:$J$195,Lists!$O$9)&amp;"")</f>
        <v/>
      </c>
      <c r="Q21" s="86" t="n"/>
      <c r="R21" s="91">
        <f>IF(Lists!$O$9="","",INDEX(Stories!$A$4:$A$195,Lists!$O$9))</f>
        <v/>
      </c>
      <c r="S21" s="92">
        <f>IF(Lists!$O$9="","",INDEX(Stories!$F$4:$F$195,Lists!$O$9)&amp;"")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IF(Lists!$O$10="","",INDEX(Stories!$K$4:$K$195,Lists!$O$10))</f>
        <v/>
      </c>
      <c r="J22" s="79">
        <f>IF(Lists!$O$10="","",INDEX(Stories!$C$4:$C$195,Lists!$O$10)&amp;"")</f>
        <v/>
      </c>
      <c r="K22" s="77" t="n"/>
      <c r="L22" s="77" t="n"/>
      <c r="M22" s="80">
        <f>IF(Lists!$O$10="","",INDEX(Stories!$D$4:$D$195,Lists!$O$10))</f>
        <v/>
      </c>
      <c r="N22" s="81">
        <f>IF(Lists!$O$10="","",INDEX(Stories!$E$4:$E$195,Lists!$O$10)&amp;"")</f>
        <v/>
      </c>
      <c r="O22" s="77" t="n"/>
      <c r="P22" s="81">
        <f>IF(Lists!$O$10="","",INDEX(Stories!$J$4:$J$195,Lists!$O$10)&amp;"")</f>
        <v/>
      </c>
      <c r="Q22" s="77" t="n"/>
      <c r="R22" s="82">
        <f>IF(Lists!$O$10="","",INDEX(Stories!$A$4:$A$195,Lists!$O$10))</f>
        <v/>
      </c>
      <c r="S22" s="83">
        <f>IF(Lists!$O$10="","",INDEX(Stories!$F$4:$F$195,Lists!$O$10)&amp;"")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IF(Lists!$O$11="","",INDEX(Stories!$K$4:$K$195,Lists!$O$11))</f>
        <v/>
      </c>
      <c r="J23" s="88">
        <f>IF(Lists!$O$11="","",INDEX(Stories!$C$4:$C$195,Lists!$O$11)&amp;"")</f>
        <v/>
      </c>
      <c r="K23" s="86" t="n"/>
      <c r="L23" s="86" t="n"/>
      <c r="M23" s="89">
        <f>IF(Lists!$O$11="","",INDEX(Stories!$D$4:$D$195,Lists!$O$11))</f>
        <v/>
      </c>
      <c r="N23" s="90">
        <f>IF(Lists!$O$11="","",INDEX(Stories!$E$4:$E$195,Lists!$O$11)&amp;"")</f>
        <v/>
      </c>
      <c r="O23" s="86" t="n"/>
      <c r="P23" s="90">
        <f>IF(Lists!$O$11="","",INDEX(Stories!$J$4:$J$195,Lists!$O$11)&amp;"")</f>
        <v/>
      </c>
      <c r="Q23" s="86" t="n"/>
      <c r="R23" s="91">
        <f>IF(Lists!$O$11="","",INDEX(Stories!$A$4:$A$195,Lists!$O$11))</f>
        <v/>
      </c>
      <c r="S23" s="92">
        <f>IF(Lists!$O$11="","",INDEX(Stories!$F$4:$F$195,Lists!$O$11)&amp;"")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SUMPRODUCT(Stories!$W$4:$W$195,--(Stories!$C$4:$C$195=$B28))</f>
        <v/>
      </c>
      <c r="G28" s="97">
        <f>SUMPRODUCT(Stories!$W$4:$W$195,--(Stories!$C$4:$C$195=$B28),--(Stories!$D$4:$D$195=5))</f>
        <v/>
      </c>
      <c r="H28" s="97">
        <f>SUMPRODUCT(Stories!$W$4:$W$195,--(Stories!$C$4:$C$195=$B28),--(Stories!$D$4:$D$195=4))</f>
        <v/>
      </c>
      <c r="I28" s="97">
        <f>SUMPRODUCT(Stories!$W$4:$W$195,--(Stories!$C$4:$C$195=$B28),--(Stories!$E$4:$E$195="Feature lead"))</f>
        <v/>
      </c>
      <c r="J28" s="98">
        <f>IF(Lists!$H$6=0,0,F28/Lists!$H$6)</f>
        <v/>
      </c>
    </row>
    <row r="29" ht="18" customHeight="1">
      <c r="B29" s="99" t="inlineStr">
        <is>
          <t>Digital Geotechnics</t>
        </is>
      </c>
      <c r="C29" s="100" t="n"/>
      <c r="D29" s="100" t="n"/>
      <c r="E29" s="100" t="n"/>
      <c r="F29" s="96">
        <f>SUMPRODUCT(Stories!$W$4:$W$195,--(Stories!$C$4:$C$195=$B29))</f>
        <v/>
      </c>
      <c r="G29" s="97">
        <f>SUMPRODUCT(Stories!$W$4:$W$195,--(Stories!$C$4:$C$195=$B29),--(Stories!$D$4:$D$195=5))</f>
        <v/>
      </c>
      <c r="H29" s="97">
        <f>SUMPRODUCT(Stories!$W$4:$W$195,--(Stories!$C$4:$C$195=$B29),--(Stories!$D$4:$D$195=4))</f>
        <v/>
      </c>
      <c r="I29" s="97">
        <f>SUMPRODUCT(Stories!$W$4:$W$195,--(Stories!$C$4:$C$195=$B29),--(Stories!$E$4:$E$195="Feature lead"))</f>
        <v/>
      </c>
      <c r="J29" s="98">
        <f>IF(Lists!$H$6=0,0,F29/Lists!$H$6)</f>
        <v/>
      </c>
    </row>
    <row r="30" ht="18" customHeight="1">
      <c r="B30" s="101" t="inlineStr">
        <is>
          <t>Hazards &amp; Resilience</t>
        </is>
      </c>
      <c r="C30" s="102" t="n"/>
      <c r="D30" s="102" t="n"/>
      <c r="E30" s="102" t="n"/>
      <c r="F30" s="96">
        <f>SUMPRODUCT(Stories!$W$4:$W$195,--(Stories!$C$4:$C$195=$B30))</f>
        <v/>
      </c>
      <c r="G30" s="97">
        <f>SUMPRODUCT(Stories!$W$4:$W$195,--(Stories!$C$4:$C$195=$B30),--(Stories!$D$4:$D$195=5))</f>
        <v/>
      </c>
      <c r="H30" s="97">
        <f>SUMPRODUCT(Stories!$W$4:$W$195,--(Stories!$C$4:$C$195=$B30),--(Stories!$D$4:$D$195=4))</f>
        <v/>
      </c>
      <c r="I30" s="97">
        <f>SUMPRODUCT(Stories!$W$4:$W$195,--(Stories!$C$4:$C$195=$B30),--(Stories!$E$4:$E$195="Feature lead"))</f>
        <v/>
      </c>
      <c r="J30" s="98">
        <f>IF(Lists!$H$6=0,0,F30/Lists!$H$6)</f>
        <v/>
      </c>
    </row>
    <row r="31" ht="18" customHeight="1">
      <c r="B31" s="103" t="inlineStr">
        <is>
          <t>Ground Improvement &amp; Innovation</t>
        </is>
      </c>
      <c r="C31" s="104" t="n"/>
      <c r="D31" s="104" t="n"/>
      <c r="E31" s="104" t="n"/>
      <c r="F31" s="96">
        <f>SUMPRODUCT(Stories!$W$4:$W$195,--(Stories!$C$4:$C$195=$B31))</f>
        <v/>
      </c>
      <c r="G31" s="97">
        <f>SUMPRODUCT(Stories!$W$4:$W$195,--(Stories!$C$4:$C$195=$B31),--(Stories!$D$4:$D$195=5))</f>
        <v/>
      </c>
      <c r="H31" s="97">
        <f>SUMPRODUCT(Stories!$W$4:$W$195,--(Stories!$C$4:$C$195=$B31),--(Stories!$D$4:$D$195=4))</f>
        <v/>
      </c>
      <c r="I31" s="97">
        <f>SUMPRODUCT(Stories!$W$4:$W$195,--(Stories!$C$4:$C$195=$B31),--(Stories!$E$4:$E$195="Feature lead"))</f>
        <v/>
      </c>
      <c r="J31" s="98">
        <f>IF(Lists!$H$6=0,0,F31/Lists!$H$6)</f>
        <v/>
      </c>
    </row>
    <row r="32" ht="18" customHeight="1">
      <c r="B32" s="105" t="inlineStr">
        <is>
          <t>Infrastructure &amp; the Underground City</t>
        </is>
      </c>
      <c r="C32" s="106" t="n"/>
      <c r="D32" s="106" t="n"/>
      <c r="E32" s="106" t="n"/>
      <c r="F32" s="96">
        <f>SUMPRODUCT(Stories!$W$4:$W$195,--(Stories!$C$4:$C$195=$B32))</f>
        <v/>
      </c>
      <c r="G32" s="97">
        <f>SUMPRODUCT(Stories!$W$4:$W$195,--(Stories!$C$4:$C$195=$B32),--(Stories!$D$4:$D$195=5))</f>
        <v/>
      </c>
      <c r="H32" s="97">
        <f>SUMPRODUCT(Stories!$W$4:$W$195,--(Stories!$C$4:$C$195=$B32),--(Stories!$D$4:$D$195=4))</f>
        <v/>
      </c>
      <c r="I32" s="97">
        <f>SUMPRODUCT(Stories!$W$4:$W$195,--(Stories!$C$4:$C$195=$B32),--(Stories!$E$4:$E$195="Feature lead"))</f>
        <v/>
      </c>
      <c r="J32" s="98">
        <f>IF(Lists!$H$6=0,0,F32/Lists!$H$6)</f>
        <v/>
      </c>
    </row>
    <row r="33" ht="18" customHeight="1">
      <c r="B33" s="107" t="inlineStr">
        <is>
          <t>Offshore, Coasts &amp; Water</t>
        </is>
      </c>
      <c r="C33" s="108" t="n"/>
      <c r="D33" s="108" t="n"/>
      <c r="E33" s="108" t="n"/>
      <c r="F33" s="96">
        <f>SUMPRODUCT(Stories!$W$4:$W$195,--(Stories!$C$4:$C$195=$B33))</f>
        <v/>
      </c>
      <c r="G33" s="97">
        <f>SUMPRODUCT(Stories!$W$4:$W$195,--(Stories!$C$4:$C$195=$B33),--(Stories!$D$4:$D$195=5))</f>
        <v/>
      </c>
      <c r="H33" s="97">
        <f>SUMPRODUCT(Stories!$W$4:$W$195,--(Stories!$C$4:$C$195=$B33),--(Stories!$D$4:$D$195=4))</f>
        <v/>
      </c>
      <c r="I33" s="97">
        <f>SUMPRODUCT(Stories!$W$4:$W$195,--(Stories!$C$4:$C$195=$B33),--(Stories!$E$4:$E$195="Feature lead"))</f>
        <v/>
      </c>
      <c r="J33" s="98">
        <f>IF(Lists!$H$6=0,0,F33/Lists!$H$6)</f>
        <v/>
      </c>
    </row>
    <row r="34" ht="18" customHeight="1">
      <c r="B34" s="109" t="inlineStr">
        <is>
          <t>Characterisation &amp; Modelling</t>
        </is>
      </c>
      <c r="C34" s="110" t="n"/>
      <c r="D34" s="110" t="n"/>
      <c r="E34" s="110" t="n"/>
      <c r="F34" s="96">
        <f>SUMPRODUCT(Stories!$W$4:$W$195,--(Stories!$C$4:$C$195=$B34))</f>
        <v/>
      </c>
      <c r="G34" s="97">
        <f>SUMPRODUCT(Stories!$W$4:$W$195,--(Stories!$C$4:$C$195=$B34),--(Stories!$D$4:$D$195=5))</f>
        <v/>
      </c>
      <c r="H34" s="97">
        <f>SUMPRODUCT(Stories!$W$4:$W$195,--(Stories!$C$4:$C$195=$B34),--(Stories!$D$4:$D$195=4))</f>
        <v/>
      </c>
      <c r="I34" s="97">
        <f>SUMPRODUCT(Stories!$W$4:$W$195,--(Stories!$C$4:$C$195=$B34),--(Stories!$E$4:$E$195="Feature lead"))</f>
        <v/>
      </c>
      <c r="J34" s="98">
        <f>IF(Lists!$H$6=0,0,F34/Lists!$H$6)</f>
        <v/>
      </c>
    </row>
    <row r="35" ht="18" customHeight="1">
      <c r="B35" s="111" t="inlineStr">
        <is>
          <t>Geotechnics &amp; Society</t>
        </is>
      </c>
      <c r="C35" s="112" t="n"/>
      <c r="D35" s="112" t="n"/>
      <c r="E35" s="112" t="n"/>
      <c r="F35" s="96">
        <f>SUMPRODUCT(Stories!$W$4:$W$195,--(Stories!$C$4:$C$195=$B35))</f>
        <v/>
      </c>
      <c r="G35" s="97">
        <f>SUMPRODUCT(Stories!$W$4:$W$195,--(Stories!$C$4:$C$195=$B35),--(Stories!$D$4:$D$195=5))</f>
        <v/>
      </c>
      <c r="H35" s="97">
        <f>SUMPRODUCT(Stories!$W$4:$W$195,--(Stories!$C$4:$C$195=$B35),--(Stories!$D$4:$D$195=4))</f>
        <v/>
      </c>
      <c r="I35" s="97">
        <f>SUMPRODUCT(Stories!$W$4:$W$195,--(Stories!$C$4:$C$195=$B35),--(Stories!$E$4:$E$195="Feature lead"))</f>
        <v/>
      </c>
      <c r="J35" s="98">
        <f>IF(Lists!$H$6=0,0,F35/Lists!$H$6)</f>
        <v/>
      </c>
    </row>
    <row r="36" ht="18" customHeight="1">
      <c r="B36" s="113" t="inlineStr">
        <is>
          <t>General</t>
        </is>
      </c>
      <c r="C36" s="114" t="n"/>
      <c r="D36" s="114" t="n"/>
      <c r="E36" s="114" t="n"/>
      <c r="F36" s="96">
        <f>SUMPRODUCT(Stories!$W$4:$W$195,--(Stories!$C$4:$C$195=$B36))</f>
        <v/>
      </c>
      <c r="G36" s="97">
        <f>SUMPRODUCT(Stories!$W$4:$W$195,--(Stories!$C$4:$C$195=$B36),--(Stories!$D$4:$D$195=5))</f>
        <v/>
      </c>
      <c r="H36" s="97">
        <f>SUMPRODUCT(Stories!$W$4:$W$195,--(Stories!$C$4:$C$195=$B36),--(Stories!$D$4:$D$195=4))</f>
        <v/>
      </c>
      <c r="I36" s="97">
        <f>SUMPRODUCT(Stories!$W$4:$W$195,--(Stories!$C$4:$C$195=$B36),--(Stories!$E$4:$E$195="Feature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SUMPRODUCT(Stories!$W$4:$W$195,--(Stories!$E$4:$E$195=$B40))</f>
        <v/>
      </c>
      <c r="F40" s="98">
        <f>IF(Lists!$H$6=0,0,E40/Lists!$H$6)</f>
        <v/>
      </c>
      <c r="H40" s="116" t="inlineStr">
        <is>
          <t>5 / 5</t>
        </is>
      </c>
      <c r="I40" s="11" t="n"/>
      <c r="J40" s="11" t="n"/>
      <c r="K40" s="96">
        <f>COUNTIFS(Stories!$W$4:$W$195,1,Stories!$D$4:$D$195,5)</f>
        <v/>
      </c>
      <c r="L40" s="98">
        <f>IF(Lists!$H$6=0,0,K40/Lists!$H$6)</f>
        <v/>
      </c>
      <c r="N40" s="117" t="inlineStr">
        <is>
          <t>To review</t>
        </is>
      </c>
      <c r="O40" s="118" t="n"/>
      <c r="P40" s="118" t="n"/>
      <c r="Q40" s="96">
        <f>COUNTIFS(Stories!$W$4:$W$195,1,Stories!$F$4:$F$195,"To review")</f>
        <v/>
      </c>
      <c r="R40" s="98">
        <f>IF(Lists!$H$6=0,0,Q40/Lists!$H$6)</f>
        <v/>
      </c>
    </row>
    <row r="41" ht="18" customHeight="1">
      <c r="B41" s="119" t="inlineStr">
        <is>
          <t>News brief</t>
        </is>
      </c>
      <c r="C41" s="11" t="n"/>
      <c r="D41" s="11" t="n"/>
      <c r="E41" s="96">
        <f>SUMPRODUCT(Stories!$W$4:$W$195,--(Stories!$E$4:$E$195=$B41))</f>
        <v/>
      </c>
      <c r="F41" s="98">
        <f>IF(Lists!$H$6=0,0,E41/Lists!$H$6)</f>
        <v/>
      </c>
      <c r="H41" s="120" t="inlineStr">
        <is>
          <t>4 / 5</t>
        </is>
      </c>
      <c r="I41" s="11" t="n"/>
      <c r="J41" s="11" t="n"/>
      <c r="K41" s="96">
        <f>COUNTIFS(Stories!$W$4:$W$195,1,Stories!$D$4:$D$195,4)</f>
        <v/>
      </c>
      <c r="L41" s="98">
        <f>IF(Lists!$H$6=0,0,K41/Lists!$H$6)</f>
        <v/>
      </c>
      <c r="N41" s="121" t="inlineStr">
        <is>
          <t>Shortlisted</t>
        </is>
      </c>
      <c r="O41" s="122" t="n"/>
      <c r="P41" s="122" t="n"/>
      <c r="Q41" s="96">
        <f>COUNTIFS(Stories!$W$4:$W$195,1,Stories!$F$4:$F$195,"Shortlisted")</f>
        <v/>
      </c>
      <c r="R41" s="98">
        <f>IF(Lists!$H$6=0,0,Q41/Lists!$H$6)</f>
        <v/>
      </c>
    </row>
    <row r="42" ht="18" customHeight="1">
      <c r="B42" s="123" t="inlineStr">
        <is>
          <t>Academia-to-Industry topic</t>
        </is>
      </c>
      <c r="C42" s="11" t="n"/>
      <c r="D42" s="11" t="n"/>
      <c r="E42" s="96">
        <f>SUMPRODUCT(Stories!$W$4:$W$195,--(Stories!$E$4:$E$195=$B42))</f>
        <v/>
      </c>
      <c r="F42" s="98">
        <f>IF(Lists!$H$6=0,0,E42/Lists!$H$6)</f>
        <v/>
      </c>
      <c r="H42" s="124" t="inlineStr">
        <is>
          <t>3 / 5</t>
        </is>
      </c>
      <c r="I42" s="11" t="n"/>
      <c r="J42" s="11" t="n"/>
      <c r="K42" s="96">
        <f>COUNTIFS(Stories!$W$4:$W$195,1,Stories!$D$4:$D$195,3)</f>
        <v/>
      </c>
      <c r="L42" s="98">
        <f>IF(Lists!$H$6=0,0,K42/Lists!$H$6)</f>
        <v/>
      </c>
      <c r="N42" s="125" t="inlineStr">
        <is>
          <t>Commissioned</t>
        </is>
      </c>
      <c r="O42" s="126" t="n"/>
      <c r="P42" s="126" t="n"/>
      <c r="Q42" s="96">
        <f>COUNTIFS(Stories!$W$4:$W$195,1,Stories!$F$4:$F$195,"Commissioned")</f>
        <v/>
      </c>
      <c r="R42" s="98">
        <f>IF(Lists!$H$6=0,0,Q42/Lists!$H$6)</f>
        <v/>
      </c>
    </row>
    <row r="43" ht="18" customHeight="1">
      <c r="B43" s="127" t="inlineStr">
        <is>
          <t>Regional insight</t>
        </is>
      </c>
      <c r="C43" s="11" t="n"/>
      <c r="D43" s="11" t="n"/>
      <c r="E43" s="96">
        <f>SUMPRODUCT(Stories!$W$4:$W$195,--(Stories!$E$4:$E$195=$B43))</f>
        <v/>
      </c>
      <c r="F43" s="98">
        <f>IF(Lists!$H$6=0,0,E43/Lists!$H$6)</f>
        <v/>
      </c>
      <c r="N43" s="128" t="inlineStr">
        <is>
          <t>Published</t>
        </is>
      </c>
      <c r="O43" s="129" t="n"/>
      <c r="P43" s="129" t="n"/>
      <c r="Q43" s="96">
        <f>COUNTIFS(Stories!$W$4:$W$195,1,Stories!$F$4:$F$195,"Published")</f>
        <v/>
      </c>
      <c r="R43" s="98">
        <f>IF(Lists!$H$6=0,0,Q43/Lists!$H$6)</f>
        <v/>
      </c>
    </row>
    <row r="44" ht="18" customHeight="1">
      <c r="B44" s="130" t="inlineStr">
        <is>
          <t>Watch only</t>
        </is>
      </c>
      <c r="C44" s="11" t="n"/>
      <c r="D44" s="11" t="n"/>
      <c r="E44" s="96">
        <f>SUMPRODUCT(Stories!$W$4:$W$195,--(Stories!$E$4:$E$195=$B44))</f>
        <v/>
      </c>
      <c r="F44" s="98">
        <f>IF(Lists!$H$6=0,0,E44/Lists!$H$6)</f>
        <v/>
      </c>
      <c r="N44" s="131" t="inlineStr">
        <is>
          <t>Not used</t>
        </is>
      </c>
      <c r="O44" s="132" t="n"/>
      <c r="P44" s="132" t="n"/>
      <c r="Q44" s="96">
        <f>COUNTIFS(Stories!$W$4:$W$195,1,Stories!$F$4:$F$195,"Not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SUMPRODUCT(Stories!$W$4:$W$195,--(Stories!$C$4:$C$195=$B61),--(Stories!$E$4:$E$195=F$60))</f>
        <v/>
      </c>
      <c r="G61" s="135">
        <f>SUMPRODUCT(Stories!$W$4:$W$195,--(Stories!$C$4:$C$195=$B61),--(Stories!$E$4:$E$195=G$60))</f>
        <v/>
      </c>
      <c r="H61" s="135">
        <f>SUMPRODUCT(Stories!$W$4:$W$195,--(Stories!$C$4:$C$195=$B61),--(Stories!$E$4:$E$195=H$60))</f>
        <v/>
      </c>
      <c r="I61" s="135">
        <f>SUMPRODUCT(Stories!$W$4:$W$195,--(Stories!$C$4:$C$195=$B61),--(Stories!$E$4:$E$195=I$60))</f>
        <v/>
      </c>
      <c r="J61" s="135">
        <f>SUMPRODUCT(Stories!$W$4:$W$195,--(Stories!$C$4:$C$195=$B61),--(Stories!$E$4:$E$195=J$60))</f>
        <v/>
      </c>
      <c r="K61" s="96">
        <f>SUM(F61:J61)</f>
        <v/>
      </c>
    </row>
    <row r="62" ht="18" customHeight="1">
      <c r="B62" s="136" t="inlineStr">
        <is>
          <t>Digital Geotechnics</t>
        </is>
      </c>
      <c r="C62" s="137" t="n"/>
      <c r="D62" s="137" t="n"/>
      <c r="E62" s="137" t="n"/>
      <c r="F62" s="135">
        <f>SUMPRODUCT(Stories!$W$4:$W$195,--(Stories!$C$4:$C$195=$B62),--(Stories!$E$4:$E$195=F$60))</f>
        <v/>
      </c>
      <c r="G62" s="135">
        <f>SUMPRODUCT(Stories!$W$4:$W$195,--(Stories!$C$4:$C$195=$B62),--(Stories!$E$4:$E$195=G$60))</f>
        <v/>
      </c>
      <c r="H62" s="135">
        <f>SUMPRODUCT(Stories!$W$4:$W$195,--(Stories!$C$4:$C$195=$B62),--(Stories!$E$4:$E$195=H$60))</f>
        <v/>
      </c>
      <c r="I62" s="135">
        <f>SUMPRODUCT(Stories!$W$4:$W$195,--(Stories!$C$4:$C$195=$B62),--(Stories!$E$4:$E$195=I$60))</f>
        <v/>
      </c>
      <c r="J62" s="135">
        <f>SUMPRODUCT(Stories!$W$4:$W$195,--(Stories!$C$4:$C$195=$B62),--(Stories!$E$4:$E$195=J$60))</f>
        <v/>
      </c>
      <c r="K62" s="96">
        <f>SUM(F62:J62)</f>
        <v/>
      </c>
    </row>
    <row r="63" ht="18" customHeight="1">
      <c r="B63" s="138" t="inlineStr">
        <is>
          <t>Hazards &amp; Resilience</t>
        </is>
      </c>
      <c r="C63" s="139" t="n"/>
      <c r="D63" s="139" t="n"/>
      <c r="E63" s="139" t="n"/>
      <c r="F63" s="135">
        <f>SUMPRODUCT(Stories!$W$4:$W$195,--(Stories!$C$4:$C$195=$B63),--(Stories!$E$4:$E$195=F$60))</f>
        <v/>
      </c>
      <c r="G63" s="135">
        <f>SUMPRODUCT(Stories!$W$4:$W$195,--(Stories!$C$4:$C$195=$B63),--(Stories!$E$4:$E$195=G$60))</f>
        <v/>
      </c>
      <c r="H63" s="135">
        <f>SUMPRODUCT(Stories!$W$4:$W$195,--(Stories!$C$4:$C$195=$B63),--(Stories!$E$4:$E$195=H$60))</f>
        <v/>
      </c>
      <c r="I63" s="135">
        <f>SUMPRODUCT(Stories!$W$4:$W$195,--(Stories!$C$4:$C$195=$B63),--(Stories!$E$4:$E$195=I$60))</f>
        <v/>
      </c>
      <c r="J63" s="135">
        <f>SUMPRODUCT(Stories!$W$4:$W$195,--(Stories!$C$4:$C$195=$B63),--(Stories!$E$4:$E$195=J$60))</f>
        <v/>
      </c>
      <c r="K63" s="96">
        <f>SUM(F63:J63)</f>
        <v/>
      </c>
    </row>
    <row r="64" ht="18" customHeight="1">
      <c r="B64" s="140" t="inlineStr">
        <is>
          <t>Ground Improvement &amp; Innovation</t>
        </is>
      </c>
      <c r="C64" s="141" t="n"/>
      <c r="D64" s="141" t="n"/>
      <c r="E64" s="141" t="n"/>
      <c r="F64" s="135">
        <f>SUMPRODUCT(Stories!$W$4:$W$195,--(Stories!$C$4:$C$195=$B64),--(Stories!$E$4:$E$195=F$60))</f>
        <v/>
      </c>
      <c r="G64" s="135">
        <f>SUMPRODUCT(Stories!$W$4:$W$195,--(Stories!$C$4:$C$195=$B64),--(Stories!$E$4:$E$195=G$60))</f>
        <v/>
      </c>
      <c r="H64" s="135">
        <f>SUMPRODUCT(Stories!$W$4:$W$195,--(Stories!$C$4:$C$195=$B64),--(Stories!$E$4:$E$195=H$60))</f>
        <v/>
      </c>
      <c r="I64" s="135">
        <f>SUMPRODUCT(Stories!$W$4:$W$195,--(Stories!$C$4:$C$195=$B64),--(Stories!$E$4:$E$195=I$60))</f>
        <v/>
      </c>
      <c r="J64" s="135">
        <f>SUMPRODUCT(Stories!$W$4:$W$195,--(Stories!$C$4:$C$195=$B64),--(Stories!$E$4:$E$195=J$60))</f>
        <v/>
      </c>
      <c r="K64" s="96">
        <f>SUM(F64:J64)</f>
        <v/>
      </c>
    </row>
    <row r="65" ht="18" customHeight="1">
      <c r="B65" s="142" t="inlineStr">
        <is>
          <t>Infrastructure &amp; the Underground City</t>
        </is>
      </c>
      <c r="C65" s="143" t="n"/>
      <c r="D65" s="143" t="n"/>
      <c r="E65" s="143" t="n"/>
      <c r="F65" s="135">
        <f>SUMPRODUCT(Stories!$W$4:$W$195,--(Stories!$C$4:$C$195=$B65),--(Stories!$E$4:$E$195=F$60))</f>
        <v/>
      </c>
      <c r="G65" s="135">
        <f>SUMPRODUCT(Stories!$W$4:$W$195,--(Stories!$C$4:$C$195=$B65),--(Stories!$E$4:$E$195=G$60))</f>
        <v/>
      </c>
      <c r="H65" s="135">
        <f>SUMPRODUCT(Stories!$W$4:$W$195,--(Stories!$C$4:$C$195=$B65),--(Stories!$E$4:$E$195=H$60))</f>
        <v/>
      </c>
      <c r="I65" s="135">
        <f>SUMPRODUCT(Stories!$W$4:$W$195,--(Stories!$C$4:$C$195=$B65),--(Stories!$E$4:$E$195=I$60))</f>
        <v/>
      </c>
      <c r="J65" s="135">
        <f>SUMPRODUCT(Stories!$W$4:$W$195,--(Stories!$C$4:$C$195=$B65),--(Stories!$E$4:$E$195=J$60))</f>
        <v/>
      </c>
      <c r="K65" s="96">
        <f>SUM(F65:J65)</f>
        <v/>
      </c>
    </row>
    <row r="66" ht="18" customHeight="1">
      <c r="B66" s="144" t="inlineStr">
        <is>
          <t>Offshore, Coasts &amp; Water</t>
        </is>
      </c>
      <c r="C66" s="145" t="n"/>
      <c r="D66" s="145" t="n"/>
      <c r="E66" s="145" t="n"/>
      <c r="F66" s="135">
        <f>SUMPRODUCT(Stories!$W$4:$W$195,--(Stories!$C$4:$C$195=$B66),--(Stories!$E$4:$E$195=F$60))</f>
        <v/>
      </c>
      <c r="G66" s="135">
        <f>SUMPRODUCT(Stories!$W$4:$W$195,--(Stories!$C$4:$C$195=$B66),--(Stories!$E$4:$E$195=G$60))</f>
        <v/>
      </c>
      <c r="H66" s="135">
        <f>SUMPRODUCT(Stories!$W$4:$W$195,--(Stories!$C$4:$C$195=$B66),--(Stories!$E$4:$E$195=H$60))</f>
        <v/>
      </c>
      <c r="I66" s="135">
        <f>SUMPRODUCT(Stories!$W$4:$W$195,--(Stories!$C$4:$C$195=$B66),--(Stories!$E$4:$E$195=I$60))</f>
        <v/>
      </c>
      <c r="J66" s="135">
        <f>SUMPRODUCT(Stories!$W$4:$W$195,--(Stories!$C$4:$C$195=$B66),--(Stories!$E$4:$E$195=J$60))</f>
        <v/>
      </c>
      <c r="K66" s="96">
        <f>SUM(F66:J66)</f>
        <v/>
      </c>
    </row>
    <row r="67" ht="18" customHeight="1">
      <c r="B67" s="146" t="inlineStr">
        <is>
          <t>Characterisation &amp; Modelling</t>
        </is>
      </c>
      <c r="C67" s="147" t="n"/>
      <c r="D67" s="147" t="n"/>
      <c r="E67" s="147" t="n"/>
      <c r="F67" s="135">
        <f>SUMPRODUCT(Stories!$W$4:$W$195,--(Stories!$C$4:$C$195=$B67),--(Stories!$E$4:$E$195=F$60))</f>
        <v/>
      </c>
      <c r="G67" s="135">
        <f>SUMPRODUCT(Stories!$W$4:$W$195,--(Stories!$C$4:$C$195=$B67),--(Stories!$E$4:$E$195=G$60))</f>
        <v/>
      </c>
      <c r="H67" s="135">
        <f>SUMPRODUCT(Stories!$W$4:$W$195,--(Stories!$C$4:$C$195=$B67),--(Stories!$E$4:$E$195=H$60))</f>
        <v/>
      </c>
      <c r="I67" s="135">
        <f>SUMPRODUCT(Stories!$W$4:$W$195,--(Stories!$C$4:$C$195=$B67),--(Stories!$E$4:$E$195=I$60))</f>
        <v/>
      </c>
      <c r="J67" s="135">
        <f>SUMPRODUCT(Stories!$W$4:$W$195,--(Stories!$C$4:$C$195=$B67),--(Stories!$E$4:$E$195=J$60))</f>
        <v/>
      </c>
      <c r="K67" s="96">
        <f>SUM(F67:J67)</f>
        <v/>
      </c>
    </row>
    <row r="68" ht="18" customHeight="1">
      <c r="B68" s="148" t="inlineStr">
        <is>
          <t>Geotechnics &amp; Society</t>
        </is>
      </c>
      <c r="C68" s="149" t="n"/>
      <c r="D68" s="149" t="n"/>
      <c r="E68" s="149" t="n"/>
      <c r="F68" s="135">
        <f>SUMPRODUCT(Stories!$W$4:$W$195,--(Stories!$C$4:$C$195=$B68),--(Stories!$E$4:$E$195=F$60))</f>
        <v/>
      </c>
      <c r="G68" s="135">
        <f>SUMPRODUCT(Stories!$W$4:$W$195,--(Stories!$C$4:$C$195=$B68),--(Stories!$E$4:$E$195=G$60))</f>
        <v/>
      </c>
      <c r="H68" s="135">
        <f>SUMPRODUCT(Stories!$W$4:$W$195,--(Stories!$C$4:$C$195=$B68),--(Stories!$E$4:$E$195=H$60))</f>
        <v/>
      </c>
      <c r="I68" s="135">
        <f>SUMPRODUCT(Stories!$W$4:$W$195,--(Stories!$C$4:$C$195=$B68),--(Stories!$E$4:$E$195=I$60))</f>
        <v/>
      </c>
      <c r="J68" s="135">
        <f>SUMPRODUCT(Stories!$W$4:$W$195,--(Stories!$C$4:$C$195=$B68),--(Stories!$E$4:$E$195=J$60))</f>
        <v/>
      </c>
      <c r="K68" s="96">
        <f>SUM(F68:J68)</f>
        <v/>
      </c>
    </row>
    <row r="69" ht="18" customHeight="1">
      <c r="B69" s="150" t="inlineStr">
        <is>
          <t>General</t>
        </is>
      </c>
      <c r="C69" s="151" t="n"/>
      <c r="D69" s="151" t="n"/>
      <c r="E69" s="151" t="n"/>
      <c r="F69" s="135">
        <f>SUMPRODUCT(Stories!$W$4:$W$195,--(Stories!$C$4:$C$195=$B69),--(Stories!$E$4:$E$195=F$60))</f>
        <v/>
      </c>
      <c r="G69" s="135">
        <f>SUMPRODUCT(Stories!$W$4:$W$195,--(Stories!$C$4:$C$195=$B69),--(Stories!$E$4:$E$195=G$60))</f>
        <v/>
      </c>
      <c r="H69" s="135">
        <f>SUMPRODUCT(Stories!$W$4:$W$195,--(Stories!$C$4:$C$195=$B69),--(Stories!$E$4:$E$195=H$60))</f>
        <v/>
      </c>
      <c r="I69" s="135">
        <f>SUMPRODUCT(Stories!$W$4:$W$195,--(Stories!$C$4:$C$195=$B69),--(Stories!$E$4:$E$195=I$60))</f>
        <v/>
      </c>
      <c r="J69" s="135">
        <f>SUMPRODUCT(Stories!$W$4:$W$195,--(Stories!$C$4:$C$195=$B69),--(Stories!$E$4:$E$195=J$60))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COUNTIFS(Stories!$W$4:$W$195,1,Stories!$K$4:$K$195,DATE(2026,10,24))</f>
        <v/>
      </c>
    </row>
    <row r="75" ht="18" customHeight="1">
      <c r="B75" s="152" t="inlineStr">
        <is>
          <t>25 Oct 2026</t>
        </is>
      </c>
      <c r="C75" s="11" t="n"/>
      <c r="D75" s="11" t="n"/>
      <c r="E75" s="11" t="n"/>
      <c r="F75" s="153" t="n">
        <v>47</v>
      </c>
      <c r="G75" s="96">
        <f>COUNTIFS(Stories!$W$4:$W$195,1,Stories!$K$4:$K$195,DATE(2026,10,25))</f>
        <v/>
      </c>
    </row>
    <row r="76" ht="18" customHeight="1">
      <c r="B76" s="152" t="inlineStr">
        <is>
          <t>26 Oct 2026</t>
        </is>
      </c>
      <c r="C76" s="11" t="n"/>
      <c r="D76" s="11" t="n"/>
      <c r="E76" s="11" t="n"/>
      <c r="F76" s="153" t="n">
        <v>43</v>
      </c>
      <c r="G76" s="96">
        <f>COUNTIFS(Stories!$W$4:$W$195,1,Stories!$K$4:$K$195,DATE(2026,10,26))</f>
        <v/>
      </c>
    </row>
    <row r="77" ht="18" customHeight="1">
      <c r="B77" s="152" t="inlineStr">
        <is>
          <t>27 Oct 2026</t>
        </is>
      </c>
      <c r="C77" s="11" t="n"/>
      <c r="D77" s="11" t="n"/>
      <c r="E77" s="11" t="n"/>
      <c r="F77" s="153" t="n">
        <v>42</v>
      </c>
      <c r="G77" s="96">
        <f>COUNTIFS(Stories!$W$4:$W$195,1,Stories!$K$4:$K$195,DATE(2026,10,27))</f>
        <v/>
      </c>
    </row>
    <row r="78"/>
    <row r="79"/>
    <row r="80"/>
    <row r="81"/>
    <row r="82"/>
    <row r="83"/>
    <row r="84"/>
  </sheetData>
  <mergeCells count="115">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B77:E77"/>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95"/>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192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Compensations related to the dam collapse of Vale and BHP’s joint venture in Brazil reach US$16.52 billion</t>
        </is>
      </c>
      <c r="C4" s="162" t="inlineStr">
        <is>
          <t>Hazards &amp; Resilience</t>
        </is>
      </c>
      <c r="D4" s="163" t="n">
        <v>5</v>
      </c>
      <c r="E4" s="164" t="inlineStr">
        <is>
          <t>Feature lead</t>
        </is>
      </c>
      <c r="F4" s="165" t="inlineStr">
        <is>
          <t>To review</t>
        </is>
      </c>
      <c r="G4" s="166" t="n"/>
      <c r="H4" s="167" t="n"/>
      <c r="I4" s="168" t="inlineStr">
        <is>
          <t>What geotechnical failure mechanisms and tailings dam design lessons emerge from the Mariana collapse, years after compensation was agreed?</t>
        </is>
      </c>
      <c r="J4" s="168" t="inlineStr">
        <is>
          <t>BNamericas</t>
        </is>
      </c>
      <c r="K4" s="169" t="n">
        <v>46322</v>
      </c>
      <c r="L4" s="168" t="n"/>
      <c r="M4" s="168" t="inlineStr">
        <is>
          <t>Samarco, Vale and BHP; Brazilian court records</t>
        </is>
      </c>
      <c r="N4" s="170" t="inlineStr">
        <is>
          <t>Brazil</t>
        </is>
      </c>
      <c r="O4" s="168" t="inlineStr">
        <is>
          <t>Mariana, Minas Gerais</t>
        </is>
      </c>
      <c r="P4" s="168" t="n"/>
      <c r="Q4" s="171" t="inlineStr">
        <is>
          <t>United Kingdom</t>
        </is>
      </c>
      <c r="R4" s="169" t="n">
        <v>46321</v>
      </c>
      <c r="S4" s="170" t="inlineStr">
        <is>
          <t>2026-Q4</t>
        </is>
      </c>
      <c r="T4" s="172" t="inlineStr">
        <is>
          <t>dam, dam failure, collapse</t>
        </is>
      </c>
      <c r="U4" s="160" t="n">
        <v>7</v>
      </c>
      <c r="V4"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Breakthrough completes 12.18km Jinyang Highway Tunnel in China</t>
        </is>
      </c>
      <c r="C5" s="176" t="inlineStr">
        <is>
          <t>Infrastructure &amp; the Underground City</t>
        </is>
      </c>
      <c r="D5" s="163" t="n">
        <v>4</v>
      </c>
      <c r="E5" s="177" t="inlineStr">
        <is>
          <t>News brief</t>
        </is>
      </c>
      <c r="F5" s="165" t="inlineStr">
        <is>
          <t>To review</t>
        </is>
      </c>
      <c r="G5" s="166" t="n"/>
      <c r="H5" s="167" t="n"/>
      <c r="I5" s="168" t="inlineStr">
        <is>
          <t>What ground conditions and support measures allowed a 12 km highway tunnel through difficult mountain terrain to be excavated over five years?</t>
        </is>
      </c>
      <c r="J5" s="168" t="inlineStr">
        <is>
          <t>Tunnelling Journal</t>
        </is>
      </c>
      <c r="K5" s="169" t="n">
        <v>46322</v>
      </c>
      <c r="L5" s="168" t="n"/>
      <c r="M5" s="168" t="inlineStr">
        <is>
          <t>Project owner of the Xichang–Zhaotong Expressway, and the tunnel's contractor</t>
        </is>
      </c>
      <c r="N5" s="170" t="inlineStr">
        <is>
          <t>China</t>
        </is>
      </c>
      <c r="O5" s="168" t="inlineStr">
        <is>
          <t>Xichang–Zhaotong Expressway</t>
        </is>
      </c>
      <c r="P5" s="168" t="n"/>
      <c r="Q5" s="171" t="n"/>
      <c r="R5" s="169" t="n">
        <v>46321</v>
      </c>
      <c r="S5" s="170" t="inlineStr">
        <is>
          <t>2026-Q4</t>
        </is>
      </c>
      <c r="T5" s="172" t="inlineStr">
        <is>
          <t>excavation, tunnelling, tunnel</t>
        </is>
      </c>
      <c r="U5" s="160" t="n">
        <v>9</v>
      </c>
      <c r="V5" s="173" t="inlineStr">
        <is>
          <t>https://tunnellingjournal.com/breakthrough-completes-12-18km-jinyang-highway-tunnel-in-china/</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Tunnelling set to start on Bucharest Metro North Section</t>
        </is>
      </c>
      <c r="C6" s="176" t="inlineStr">
        <is>
          <t>Infrastructure &amp; the Underground City</t>
        </is>
      </c>
      <c r="D6" s="163" t="n">
        <v>4</v>
      </c>
      <c r="E6" s="164" t="inlineStr">
        <is>
          <t>Feature lead</t>
        </is>
      </c>
      <c r="F6" s="165" t="inlineStr">
        <is>
          <t>To review</t>
        </is>
      </c>
      <c r="G6" s="166" t="n"/>
      <c r="H6" s="167" t="n"/>
      <c r="I6" s="168" t="inlineStr">
        <is>
          <t>What ground conditions along the North Section of Bucharest's Metro Line 6 will shape TBM performance and settlement control in an urban setting?</t>
        </is>
      </c>
      <c r="J6" s="168" t="inlineStr">
        <is>
          <t>Tunnels &amp; Tunnelling</t>
        </is>
      </c>
      <c r="K6" s="169" t="n">
        <v>46322</v>
      </c>
      <c r="L6" s="168" t="n"/>
      <c r="M6" s="168" t="inlineStr">
        <is>
          <t>Metrorex, the Bucharest metro operator</t>
        </is>
      </c>
      <c r="N6" s="170" t="inlineStr">
        <is>
          <t>Romania</t>
        </is>
      </c>
      <c r="O6" s="168" t="inlineStr">
        <is>
          <t>Bucharest Metro Line 6</t>
        </is>
      </c>
      <c r="P6" s="168" t="n"/>
      <c r="Q6" s="171" t="n"/>
      <c r="R6" s="169" t="n">
        <v>46321</v>
      </c>
      <c r="S6" s="170" t="inlineStr">
        <is>
          <t>2026-Q4</t>
        </is>
      </c>
      <c r="T6" s="172" t="inlineStr">
        <is>
          <t>tbm, tunnelling, tunnel, metro line</t>
        </is>
      </c>
      <c r="U6" s="160" t="n">
        <v>8</v>
      </c>
      <c r="V6" s="173" t="inlineStr">
        <is>
          <t>https://www.tunnelsandtunnelling.com/news/tunnelling-set-to-start-on-bucharest-metro-north-section/</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Three TBMs now tunnelling on SRL</t>
        </is>
      </c>
      <c r="C7" s="176" t="inlineStr">
        <is>
          <t>Infrastructure &amp; the Underground City</t>
        </is>
      </c>
      <c r="D7" s="163" t="n">
        <v>4</v>
      </c>
      <c r="E7" s="177" t="inlineStr">
        <is>
          <t>News brief</t>
        </is>
      </c>
      <c r="F7" s="165" t="inlineStr">
        <is>
          <t>To review</t>
        </is>
      </c>
      <c r="G7" s="166" t="n"/>
      <c r="H7" s="167" t="n"/>
      <c r="I7" s="168" t="inlineStr">
        <is>
          <t>What ground behaviour is being monitored as three TBMs advance together on this rail project, and how is settlement managed in parallel drives?</t>
        </is>
      </c>
      <c r="J7" s="168" t="inlineStr">
        <is>
          <t>Tunnels &amp; Tunnelling</t>
        </is>
      </c>
      <c r="K7" s="169" t="n">
        <v>46322</v>
      </c>
      <c r="L7" s="168" t="n"/>
      <c r="M7" s="168" t="inlineStr">
        <is>
          <t>Suburban Rail Loop Authority</t>
        </is>
      </c>
      <c r="N7" s="170" t="inlineStr">
        <is>
          <t>Australia</t>
        </is>
      </c>
      <c r="O7" s="168" t="inlineStr">
        <is>
          <t>Suburban Rail Loop, Melbourne</t>
        </is>
      </c>
      <c r="P7" s="168" t="n"/>
      <c r="Q7" s="171" t="n"/>
      <c r="R7" s="169" t="n">
        <v>46321</v>
      </c>
      <c r="S7" s="170" t="inlineStr">
        <is>
          <t>2026-Q4</t>
        </is>
      </c>
      <c r="T7" s="172" t="inlineStr">
        <is>
          <t>tbm, tunnelling, tunnel</t>
        </is>
      </c>
      <c r="U7" s="160" t="n">
        <v>8</v>
      </c>
      <c r="V7" s="173" t="inlineStr">
        <is>
          <t>https://www.tunnelsandtunnelling.com/news/three-tbms-now-tunnelling-on-srl/</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53" customHeight="1">
      <c r="A8" s="160" t="n">
        <v>5</v>
      </c>
      <c r="B8" s="161" t="inlineStr">
        <is>
          <t>'Proceed with the work': re-liquefaction recurring after Kumamoto earthquake</t>
        </is>
      </c>
      <c r="C8" s="162" t="inlineStr">
        <is>
          <t>Hazards &amp; Resilience</t>
        </is>
      </c>
      <c r="D8" s="163" t="n">
        <v>4</v>
      </c>
      <c r="E8" s="177" t="inlineStr">
        <is>
          <t>News brief</t>
        </is>
      </c>
      <c r="F8" s="165" t="inlineStr">
        <is>
          <t>To review</t>
        </is>
      </c>
      <c r="G8" s="166" t="n"/>
      <c r="H8" s="167" t="n"/>
      <c r="I8" s="168" t="inlineStr">
        <is>
          <t>Why does liquefaction recur at the same sites after repeated earthquakes, and what ground improvement should be prioritised before rebuilding?</t>
        </is>
      </c>
      <c r="J8" s="168" t="inlineStr">
        <is>
          <t>読売新聞</t>
        </is>
      </c>
      <c r="K8" s="169" t="n">
        <v>46322</v>
      </c>
      <c r="L8" s="168" t="inlineStr">
        <is>
          <t>「工事進めて」熊本地震で再液状化相次ぐ</t>
        </is>
      </c>
      <c r="M8" s="168" t="inlineStr">
        <is>
          <t>Kumamoto Prefecture and affected municipal governments</t>
        </is>
      </c>
      <c r="N8" s="170" t="inlineStr">
        <is>
          <t>Japan</t>
        </is>
      </c>
      <c r="O8" s="168" t="inlineStr">
        <is>
          <t>Kumamoto</t>
        </is>
      </c>
      <c r="P8" s="168" t="inlineStr">
        <is>
          <t>Kumamoto earthquake re-liquefaction study, Japan · Investigation &amp; inquiry · 4 reports</t>
        </is>
      </c>
      <c r="Q8" s="171" t="inlineStr">
        <is>
          <t>Japan</t>
        </is>
      </c>
      <c r="R8" s="169" t="n">
        <v>46321</v>
      </c>
      <c r="S8" s="170" t="inlineStr">
        <is>
          <t>2026-Q4</t>
        </is>
      </c>
      <c r="T8" s="172" t="inlineStr">
        <is>
          <t>liquefaction, earthquake</t>
        </is>
      </c>
      <c r="U8" s="160" t="n">
        <v>7</v>
      </c>
      <c r="V8" s="173" t="inlineStr">
        <is>
          <t>https://news.google.com/rss/articles/CBMickFVX3lxTE1KQzNlZVJORlUxUDNrakRvRXlmYVVxX3N0ZU9nTDZGZDluNGFEUjlmSERFNjE1V21BeE1GY2VaV2ZISzFRWkF0bERVVl85WWxfOW1DUm1hLW5QeFB5ZDU4a3ZhT3Fsa1ViM2YzTHpuQl85dw?oc=5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96% of Kumamoto 2016 shindo 6-strong sites re-liquefied; experts urge pre-emptive measures</t>
        </is>
      </c>
      <c r="C9" s="162" t="inlineStr">
        <is>
          <t>Hazards &amp; Resilience</t>
        </is>
      </c>
      <c r="D9" s="163" t="n">
        <v>4</v>
      </c>
      <c r="E9" s="178" t="inlineStr">
        <is>
          <t>Watch only</t>
        </is>
      </c>
      <c r="F9" s="165" t="inlineStr">
        <is>
          <t>To review</t>
        </is>
      </c>
      <c r="G9" s="166" t="n"/>
      <c r="H9" s="167" t="n"/>
      <c r="I9" s="168" t="inlineStr">
        <is>
          <t>Which ground improvement methods proved effective against repeated liquefaction in the Kumamoto sites, and how should they be specified in design?</t>
        </is>
      </c>
      <c r="J9" s="168" t="inlineStr">
        <is>
          <t>ライブドアニュース</t>
        </is>
      </c>
      <c r="K9" s="169" t="n">
        <v>46322</v>
      </c>
      <c r="L9" s="168" t="inlineStr">
        <is>
          <t>熊本地震「震度６強」の９６％が再液状化…繰り返される被害、専門家は事前対策訴え (2026年10月26日掲載)</t>
        </is>
      </c>
      <c r="M9" s="168" t="inlineStr">
        <is>
          <t>Kumamoto Prefecture and the study's researchers</t>
        </is>
      </c>
      <c r="N9" s="170" t="inlineStr">
        <is>
          <t>Japan</t>
        </is>
      </c>
      <c r="O9" s="168" t="inlineStr">
        <is>
          <t>Kumamoto</t>
        </is>
      </c>
      <c r="P9" s="168" t="inlineStr">
        <is>
          <t>Kumamoto earthquake re-liquefaction study, Japan · Investigation &amp; inquiry · 4 reports</t>
        </is>
      </c>
      <c r="Q9" s="171" t="inlineStr">
        <is>
          <t>Japan</t>
        </is>
      </c>
      <c r="R9" s="169" t="n">
        <v>46320</v>
      </c>
      <c r="S9" s="170" t="inlineStr">
        <is>
          <t>2026-Q4</t>
        </is>
      </c>
      <c r="T9" s="172" t="inlineStr">
        <is>
          <t>liquefaction, earthquake</t>
        </is>
      </c>
      <c r="U9" s="160" t="n">
        <v>7</v>
      </c>
      <c r="V9" s="173" t="inlineStr">
        <is>
          <t>https://news.google.com/rss/articles/CBMiXkFVX3lxTE9iZ1Y4cWZtTW44akU5RE9pYThuSEloUktGT0MxVm1IUHRCMFEzWEk3QjlhN1MzSEJqU2FrZDFfdk5qekF1SjZkaFBDM1NjTG5nTFFBX24tZG1yTkxiMlE?oc=5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Permafrost losing stability: more than 150 unusual landslides found in Canada</t>
        </is>
      </c>
      <c r="C10" s="162" t="inlineStr">
        <is>
          <t>Hazards &amp; Resilience</t>
        </is>
      </c>
      <c r="D10" s="163" t="n">
        <v>4</v>
      </c>
      <c r="E10" s="178" t="inlineStr">
        <is>
          <t>Watch only</t>
        </is>
      </c>
      <c r="F10" s="165" t="inlineStr">
        <is>
          <t>To review</t>
        </is>
      </c>
      <c r="G10" s="166" t="n"/>
      <c r="H10" s="167" t="n"/>
      <c r="I10" s="168" t="inlineStr">
        <is>
          <t>How does warming permafrost alter slope stability, and what mechanisms explain these newly identified landslide types?</t>
        </is>
      </c>
      <c r="J10" s="168" t="inlineStr">
        <is>
          <t>iXBT.com</t>
        </is>
      </c>
      <c r="K10" s="169" t="n">
        <v>46322</v>
      </c>
      <c r="L10" s="168" t="inlineStr">
        <is>
          <t>Вечная мерзлота теряет устойчивость: в Канаде обнаружили более 150 необычных оползней</t>
        </is>
      </c>
      <c r="M10" s="168" t="inlineStr">
        <is>
          <t>Lead researchers' institution and the Geological Survey of Canada</t>
        </is>
      </c>
      <c r="N10" s="170" t="inlineStr">
        <is>
          <t>Canada</t>
        </is>
      </c>
      <c r="O10" s="168" t="n"/>
      <c r="P10" s="168" t="n"/>
      <c r="Q10" s="171" t="inlineStr">
        <is>
          <t>Russia</t>
        </is>
      </c>
      <c r="R10" s="169" t="n">
        <v>46321</v>
      </c>
      <c r="S10" s="170" t="inlineStr">
        <is>
          <t>2026-Q4</t>
        </is>
      </c>
      <c r="T10" s="172" t="inlineStr">
        <is>
          <t>landslide, permafrost</t>
        </is>
      </c>
      <c r="U10" s="160" t="n">
        <v>7</v>
      </c>
      <c r="V10"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House-size blocks of ice are falling from permafrost landslides in Canada</t>
        </is>
      </c>
      <c r="C11" s="162" t="inlineStr">
        <is>
          <t>Hazards &amp; Resilience</t>
        </is>
      </c>
      <c r="D11" s="163" t="n">
        <v>4</v>
      </c>
      <c r="E11" s="164" t="inlineStr">
        <is>
          <t>Feature lead</t>
        </is>
      </c>
      <c r="F11" s="165" t="inlineStr">
        <is>
          <t>To review</t>
        </is>
      </c>
      <c r="G11" s="166" t="n"/>
      <c r="H11" s="167" t="n"/>
      <c r="I11" s="168" t="inlineStr">
        <is>
          <t>What ground ice and thaw processes produce these large block-falling landslides, and how should permafrost slope hazards be monitored in northern infrastructure?</t>
        </is>
      </c>
      <c r="J11" s="168" t="inlineStr">
        <is>
          <t>Live Science</t>
        </is>
      </c>
      <c r="K11" s="169" t="n">
        <v>46322</v>
      </c>
      <c r="L11" s="168" t="n"/>
      <c r="M11" s="168" t="inlineStr">
        <is>
          <t>Lead researchers' institution and the Geological Survey of Canada</t>
        </is>
      </c>
      <c r="N11" s="170" t="inlineStr">
        <is>
          <t>Canada</t>
        </is>
      </c>
      <c r="O11" s="168" t="n"/>
      <c r="P11" s="168" t="n"/>
      <c r="Q11" s="171" t="inlineStr">
        <is>
          <t>United Kingdom</t>
        </is>
      </c>
      <c r="R11" s="169" t="n">
        <v>46321</v>
      </c>
      <c r="S11" s="170" t="inlineStr">
        <is>
          <t>2026-Q4</t>
        </is>
      </c>
      <c r="T11" s="172" t="inlineStr">
        <is>
          <t>landslide, permafrost</t>
        </is>
      </c>
      <c r="U11" s="160" t="n">
        <v>7</v>
      </c>
      <c r="V11"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40.5" customHeight="1">
      <c r="A12" s="160" t="n">
        <v>9</v>
      </c>
      <c r="B12" s="161" t="inlineStr">
        <is>
          <t>New type of permafrost landslides discovered in Canada — Live Science</t>
        </is>
      </c>
      <c r="C12" s="162" t="inlineStr">
        <is>
          <t>Hazards &amp; Resilience</t>
        </is>
      </c>
      <c r="D12" s="163" t="n">
        <v>4</v>
      </c>
      <c r="E12" s="178" t="inlineStr">
        <is>
          <t>Watch only</t>
        </is>
      </c>
      <c r="F12" s="165" t="inlineStr">
        <is>
          <t>To review</t>
        </is>
      </c>
      <c r="G12" s="166" t="n"/>
      <c r="H12" s="167" t="n"/>
      <c r="I12" s="168" t="inlineStr">
        <is>
          <t>What distinguishes this newly recognised permafrost landslide type from conventional thaw slumps in terms of ground mechanics?</t>
        </is>
      </c>
      <c r="J12" s="168" t="inlineStr">
        <is>
          <t>UA.NEWS</t>
        </is>
      </c>
      <c r="K12" s="169" t="n">
        <v>46322</v>
      </c>
      <c r="L12" s="168" t="n"/>
      <c r="M12" s="168" t="inlineStr">
        <is>
          <t>Lead researchers' institution and the Geological Survey of Canada</t>
        </is>
      </c>
      <c r="N12" s="170" t="inlineStr">
        <is>
          <t>Canada</t>
        </is>
      </c>
      <c r="O12" s="168" t="n"/>
      <c r="P12" s="168" t="n"/>
      <c r="Q12" s="171" t="inlineStr">
        <is>
          <t>United States</t>
        </is>
      </c>
      <c r="R12" s="169" t="n">
        <v>46321</v>
      </c>
      <c r="S12" s="170" t="inlineStr">
        <is>
          <t>2026-Q4</t>
        </is>
      </c>
      <c r="T12" s="172" t="inlineStr">
        <is>
          <t>landslide, permafrost</t>
        </is>
      </c>
      <c r="U12" s="160" t="n">
        <v>7</v>
      </c>
      <c r="V12" s="173" t="inlineStr">
        <is>
          <t>https://news.google.com/rss/articles/CBMikwFBVV95cUxPcWxGSnVEQUlERWlDSDF0VThfVmtTOV9vMWVXTDQtUmZ6dVZIcGl5LVFTY2ozZGNLWkdfaFFuVmtGcU9PQkFaSXVkT09PQlhrZk1HanhCY3JNME5LUTVDWjJrR1FLeTFlVDViaDlZRFZ0Y1BrMkRxM2pMVVZPd0lRb01NY3B1V0NkM0JFanpRWVpWWXM?oc=5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Roads on the Brink: Mapping Compound Earthquake and Landslide Vulnerability in Ethiopia’s Rift</t>
        </is>
      </c>
      <c r="C13" s="162" t="inlineStr">
        <is>
          <t>Hazards &amp; Resilience</t>
        </is>
      </c>
      <c r="D13" s="163" t="n">
        <v>4</v>
      </c>
      <c r="E13" s="179" t="inlineStr">
        <is>
          <t>Academia-to-Industry topic</t>
        </is>
      </c>
      <c r="F13" s="165" t="inlineStr">
        <is>
          <t>To review</t>
        </is>
      </c>
      <c r="G13" s="166" t="n"/>
      <c r="H13" s="167" t="n"/>
      <c r="I13" s="168" t="inlineStr">
        <is>
          <t>How can combined seismic and landslide hazard mapping be used to prioritise road upgrades in rift-valley terrain with weak soils and steep slopes?</t>
        </is>
      </c>
      <c r="J13" s="168" t="inlineStr">
        <is>
          <t>Bioengineer.org</t>
        </is>
      </c>
      <c r="K13" s="169" t="n">
        <v>46322</v>
      </c>
      <c r="L13" s="168" t="n"/>
      <c r="M13" s="168" t="inlineStr">
        <is>
          <t>Authors' university, via the journal publication</t>
        </is>
      </c>
      <c r="N13" s="170" t="inlineStr">
        <is>
          <t>Ethiopia</t>
        </is>
      </c>
      <c r="O13" s="168" t="inlineStr">
        <is>
          <t>Ethiopian Rift Valley</t>
        </is>
      </c>
      <c r="P13" s="168" t="n"/>
      <c r="Q13" s="171" t="inlineStr">
        <is>
          <t>United Kingdom</t>
        </is>
      </c>
      <c r="R13" s="169" t="n">
        <v>46321</v>
      </c>
      <c r="S13" s="170" t="inlineStr">
        <is>
          <t>2026-Q4</t>
        </is>
      </c>
      <c r="T13" s="172" t="inlineStr">
        <is>
          <t>landslide, earthquake</t>
        </is>
      </c>
      <c r="U13" s="160" t="n">
        <v>6</v>
      </c>
      <c r="V13"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Liquefaction Reappeared at 96% of Sites Hit By Strong Tremors; Damage Nonexistent or Minimal at Reinforced Locations</t>
        </is>
      </c>
      <c r="C14" s="180" t="inlineStr">
        <is>
          <t>Ground Improvement &amp; Innovation</t>
        </is>
      </c>
      <c r="D14" s="163" t="n">
        <v>4</v>
      </c>
      <c r="E14" s="164" t="inlineStr">
        <is>
          <t>Feature lead</t>
        </is>
      </c>
      <c r="F14" s="165" t="inlineStr">
        <is>
          <t>To review</t>
        </is>
      </c>
      <c r="G14" s="166" t="n"/>
      <c r="H14" s="167" t="n"/>
      <c r="I14" s="168" t="inlineStr">
        <is>
          <t>Why did reinforced ground perform far better than untreated sites in repeated shaking, and which improvement methods should be standard practice?</t>
        </is>
      </c>
      <c r="J14" s="168" t="inlineStr">
        <is>
          <t>The Japan News</t>
        </is>
      </c>
      <c r="K14" s="169" t="n">
        <v>46322</v>
      </c>
      <c r="L14" s="168" t="n"/>
      <c r="M14" s="168" t="inlineStr">
        <is>
          <t>Kumamoto Prefecture and the study's researchers</t>
        </is>
      </c>
      <c r="N14" s="170" t="inlineStr">
        <is>
          <t>Japan</t>
        </is>
      </c>
      <c r="O14" s="168" t="inlineStr">
        <is>
          <t>Kumamoto</t>
        </is>
      </c>
      <c r="P14" s="168" t="inlineStr">
        <is>
          <t>Kumamoto earthquake re-liquefaction study, Japan · Investigation &amp; inquiry · 4 reports</t>
        </is>
      </c>
      <c r="Q14" s="171" t="inlineStr">
        <is>
          <t>United Kingdom</t>
        </is>
      </c>
      <c r="R14" s="169" t="n">
        <v>46321</v>
      </c>
      <c r="S14" s="170" t="inlineStr">
        <is>
          <t>2026-Q4</t>
        </is>
      </c>
      <c r="T14" s="172" t="inlineStr">
        <is>
          <t>liquefaction</t>
        </is>
      </c>
      <c r="U14" s="160" t="n">
        <v>5</v>
      </c>
      <c r="V14" s="173" t="inlineStr">
        <is>
          <t>https://news.google.com/rss/articles/CBMieEFVX3lxTE1jcFBLUVNoM25OZ1V4S1d0OVRpa29KNDlLT1YzWVVYLWhySlkta2xkZk83TnY0bmhuaXhZLVB2VHBNRnJ2WkJ5Z2JYNmU0R1NTTndkT01QWjJnd2xJNHd1UmYwVkh6d0dYU29Yd1g4RGh3QmQ1TXc1bA?oc=5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40.5" customHeight="1">
      <c r="A15" s="160" t="n">
        <v>12</v>
      </c>
      <c r="B15" s="161" t="inlineStr">
        <is>
          <t>Breakthrough made on Lima Metro’s Line 4</t>
        </is>
      </c>
      <c r="C15" s="176" t="inlineStr">
        <is>
          <t>Infrastructure &amp; the Underground City</t>
        </is>
      </c>
      <c r="D15" s="163" t="n">
        <v>4</v>
      </c>
      <c r="E15" s="177" t="inlineStr">
        <is>
          <t>News brief</t>
        </is>
      </c>
      <c r="F15" s="165" t="inlineStr">
        <is>
          <t>To review</t>
        </is>
      </c>
      <c r="G15" s="166" t="n"/>
      <c r="H15" s="167" t="n"/>
      <c r="I15" s="168" t="inlineStr">
        <is>
          <t>What ground conditions in Lima's geology affected tunnel excavation progress on this metro section, and how were they managed?</t>
        </is>
      </c>
      <c r="J15" s="168" t="inlineStr">
        <is>
          <t>Tunnels &amp; Tunnelling</t>
        </is>
      </c>
      <c r="K15" s="169" t="n">
        <v>46322</v>
      </c>
      <c r="L15" s="168" t="n"/>
      <c r="M15" s="168" t="inlineStr">
        <is>
          <t>Consorcio Constructor Metro 2 Lima</t>
        </is>
      </c>
      <c r="N15" s="170" t="inlineStr">
        <is>
          <t>Peru</t>
        </is>
      </c>
      <c r="O15" s="168" t="inlineStr">
        <is>
          <t>Lima Metro Line 4</t>
        </is>
      </c>
      <c r="P15" s="168" t="n"/>
      <c r="Q15" s="171" t="n"/>
      <c r="R15" s="169" t="n">
        <v>46321</v>
      </c>
      <c r="S15" s="170" t="inlineStr">
        <is>
          <t>2026-Q4</t>
        </is>
      </c>
      <c r="T15" s="172" t="inlineStr">
        <is>
          <t>tunnelling, tunnel</t>
        </is>
      </c>
      <c r="U15" s="160" t="n">
        <v>5</v>
      </c>
      <c r="V15" s="173" t="inlineStr">
        <is>
          <t>https://www.tunnelsandtunnelling.com/news/breakthrough-made-on-lima-metros-line-4/</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40.5" customHeight="1">
      <c r="A16" s="160" t="n">
        <v>13</v>
      </c>
      <c r="B16" s="161" t="inlineStr">
        <is>
          <t>Ohio River Tunnel project breaks ground</t>
        </is>
      </c>
      <c r="C16" s="176" t="inlineStr">
        <is>
          <t>Infrastructure &amp; the Underground City</t>
        </is>
      </c>
      <c r="D16" s="163" t="n">
        <v>4</v>
      </c>
      <c r="E16" s="177" t="inlineStr">
        <is>
          <t>News brief</t>
        </is>
      </c>
      <c r="F16" s="165" t="inlineStr">
        <is>
          <t>To review</t>
        </is>
      </c>
      <c r="G16" s="166" t="n"/>
      <c r="H16" s="167" t="n"/>
      <c r="I16" s="168" t="inlineStr">
        <is>
          <t>What ground conditions beneath the Ohio River shape the design of the first of three combined-sewer tunnels?</t>
        </is>
      </c>
      <c r="J16" s="168" t="inlineStr">
        <is>
          <t>Tunnels &amp; Tunnelling</t>
        </is>
      </c>
      <c r="K16" s="169" t="n">
        <v>46322</v>
      </c>
      <c r="L16" s="168" t="n"/>
      <c r="M16" s="168" t="inlineStr">
        <is>
          <t>Louisville and Jefferson County Metropolitan Sewer District (MSD)</t>
        </is>
      </c>
      <c r="N16" s="170" t="inlineStr">
        <is>
          <t>United States</t>
        </is>
      </c>
      <c r="O16" s="168" t="inlineStr">
        <is>
          <t>Louisville, Kentucky</t>
        </is>
      </c>
      <c r="P16" s="168" t="n"/>
      <c r="Q16" s="171" t="n"/>
      <c r="R16" s="169" t="n">
        <v>46321</v>
      </c>
      <c r="S16" s="170" t="inlineStr">
        <is>
          <t>2026-Q4</t>
        </is>
      </c>
      <c r="T16" s="172" t="inlineStr">
        <is>
          <t>tunnelling, tunnel</t>
        </is>
      </c>
      <c r="U16" s="160" t="n">
        <v>5</v>
      </c>
      <c r="V16" s="173" t="inlineStr">
        <is>
          <t>https://www.tunnelsandtunnelling.com/news/ohio-river-tunnel-project-breaks-ground/</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40.5" customHeight="1">
      <c r="A17" s="160" t="n">
        <v>14</v>
      </c>
      <c r="B17" s="161" t="inlineStr">
        <is>
          <t>Senapred declares Red Alert in the Metropolitan Region: the 10 communes at risk of alluvial flows and landslides</t>
        </is>
      </c>
      <c r="C17" s="162" t="inlineStr">
        <is>
          <t>Hazards &amp; Resilience</t>
        </is>
      </c>
      <c r="D17" s="163" t="n">
        <v>4</v>
      </c>
      <c r="E17" s="177" t="inlineStr">
        <is>
          <t>News brief</t>
        </is>
      </c>
      <c r="F17" s="165" t="inlineStr">
        <is>
          <t>To review</t>
        </is>
      </c>
      <c r="G17" s="166" t="n"/>
      <c r="H17" s="167" t="n"/>
      <c r="I17" s="168" t="inlineStr">
        <is>
          <t>Which ground and rainfall conditions explain the debris-flow and landslide risk across ten communes, and how is it mapped?</t>
        </is>
      </c>
      <c r="J17" s="168" t="inlineStr">
        <is>
          <t>El Dínamo</t>
        </is>
      </c>
      <c r="K17" s="169" t="n">
        <v>46322</v>
      </c>
      <c r="L17" s="168" t="inlineStr">
        <is>
          <t>Senapred declara Alerta Roja en la RM: las 10 comunas bajo riesgo de aluviones y derrumbes</t>
        </is>
      </c>
      <c r="M17" s="168" t="inlineStr">
        <is>
          <t>Senapred (national emergency service)</t>
        </is>
      </c>
      <c r="N17" s="170" t="inlineStr">
        <is>
          <t>Chile</t>
        </is>
      </c>
      <c r="O17" s="168" t="inlineStr">
        <is>
          <t>Región Metropolitana, Santiago</t>
        </is>
      </c>
      <c r="P17" s="168" t="n"/>
      <c r="Q17" s="171" t="inlineStr">
        <is>
          <t>Chile</t>
        </is>
      </c>
      <c r="R17" s="169" t="n">
        <v>46321</v>
      </c>
      <c r="S17" s="170" t="inlineStr">
        <is>
          <t>2026-Q4</t>
        </is>
      </c>
      <c r="T17" s="172" t="inlineStr">
        <is>
          <t>debris flow, collapse</t>
        </is>
      </c>
      <c r="U17" s="160" t="n">
        <v>5</v>
      </c>
      <c r="V17"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3 months after landslide, L'Ascension still waiting to fill its sinkhole</t>
        </is>
      </c>
      <c r="C18" s="162" t="inlineStr">
        <is>
          <t>Hazards &amp; Resilience</t>
        </is>
      </c>
      <c r="D18" s="163" t="n">
        <v>4</v>
      </c>
      <c r="E18" s="164" t="inlineStr">
        <is>
          <t>Feature lead</t>
        </is>
      </c>
      <c r="F18" s="165" t="inlineStr">
        <is>
          <t>To review</t>
        </is>
      </c>
      <c r="G18" s="166" t="n"/>
      <c r="H18" s="167" t="n"/>
      <c r="I18" s="168" t="inlineStr">
        <is>
          <t>How should a landslide-triggered sinkhole be investigated and backfilled, and what does the delay reveal about ground remediation planning after slope failures?</t>
        </is>
      </c>
      <c r="J18" s="168" t="inlineStr">
        <is>
          <t>Radio-Canada</t>
        </is>
      </c>
      <c r="K18" s="169" t="n">
        <v>46322</v>
      </c>
      <c r="L18" s="168" t="inlineStr">
        <is>
          <t>3 mois après le glissement de terrain, L’Ascension attend encore de remplir son gouffre</t>
        </is>
      </c>
      <c r="M18" s="168" t="inlineStr">
        <is>
          <t>the municipality of L'Ascension</t>
        </is>
      </c>
      <c r="N18" s="170" t="inlineStr">
        <is>
          <t>Canada</t>
        </is>
      </c>
      <c r="O18" s="168" t="inlineStr">
        <is>
          <t>L'Ascension, Quebec</t>
        </is>
      </c>
      <c r="P18" s="168" t="n"/>
      <c r="Q18" s="171" t="inlineStr">
        <is>
          <t>France</t>
        </is>
      </c>
      <c r="R18" s="169" t="n">
        <v>46319</v>
      </c>
      <c r="S18" s="170" t="inlineStr">
        <is>
          <t>2026-Q4</t>
        </is>
      </c>
      <c r="T18" s="172" t="inlineStr">
        <is>
          <t>landslide</t>
        </is>
      </c>
      <c r="U18" s="160" t="n">
        <v>4</v>
      </c>
      <c r="V18" s="173" t="inlineStr">
        <is>
          <t>https://news.google.com/rss/articles/CBMiiwFBVV95cUxNMGg4N3BjT0tXRTVfZ24zVlc0eW5nOHZ3WlN2RWYxQXVqRE5SQVI0U2pjQWxCcHdHektPZ3djV1Mydk10VWNVSEt1b1ZXNFFIaUZNeDNuME9qdFVaSkJGS0RUN1VNMUlNZlhOczlTMzh5VjlKMTdvWTRmVEFHc0FSSXJjTU9NdDZqUUow?oc=5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Son La: over 4,600 households still cannot be relocated due to high landslide risk</t>
        </is>
      </c>
      <c r="C19" s="162" t="inlineStr">
        <is>
          <t>Hazards &amp; Resilience</t>
        </is>
      </c>
      <c r="D19" s="163" t="n">
        <v>4</v>
      </c>
      <c r="E19" s="164" t="inlineStr">
        <is>
          <t>Feature lead</t>
        </is>
      </c>
      <c r="F19" s="165" t="inlineStr">
        <is>
          <t>To review</t>
        </is>
      </c>
      <c r="G19" s="166" t="n"/>
      <c r="H19" s="167" t="n"/>
      <c r="I19" s="168" t="inlineStr">
        <is>
          <t>How should geotechnical hazard assessment guide the relocation of thousands of households from high-risk landslide zones, and what criteria apply?</t>
        </is>
      </c>
      <c r="J19" s="168" t="inlineStr">
        <is>
          <t>Vietnam.vn</t>
        </is>
      </c>
      <c r="K19" s="169" t="n">
        <v>46322</v>
      </c>
      <c r="L19" s="168" t="inlineStr">
        <is>
          <t>Son La : Plus de 4 600 ménages n'ont toujours pas pu être relogés en raison des risques élevés de glissements de terrain.</t>
        </is>
      </c>
      <c r="M19" s="168" t="inlineStr">
        <is>
          <t>Son La provincial People's Committee</t>
        </is>
      </c>
      <c r="N19" s="170" t="inlineStr">
        <is>
          <t>Vietnam</t>
        </is>
      </c>
      <c r="O19" s="168" t="inlineStr">
        <is>
          <t>Son La province</t>
        </is>
      </c>
      <c r="P19" s="168" t="n"/>
      <c r="Q19" s="171" t="inlineStr">
        <is>
          <t>France</t>
        </is>
      </c>
      <c r="R19" s="169" t="n">
        <v>46321</v>
      </c>
      <c r="S19" s="170" t="inlineStr">
        <is>
          <t>2026-Q4</t>
        </is>
      </c>
      <c r="T19" s="172" t="inlineStr">
        <is>
          <t>landslide</t>
        </is>
      </c>
      <c r="U19" s="160" t="n">
        <v>4</v>
      </c>
      <c r="V19"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Son La: more than 4,600 families still cannot be relocated from high-risk landslide zones</t>
        </is>
      </c>
      <c r="C20" s="162" t="inlineStr">
        <is>
          <t>Hazards &amp; Resilience</t>
        </is>
      </c>
      <c r="D20" s="163" t="n">
        <v>4</v>
      </c>
      <c r="E20" s="178" t="inlineStr">
        <is>
          <t>Watch only</t>
        </is>
      </c>
      <c r="F20" s="165" t="inlineStr">
        <is>
          <t>To review</t>
        </is>
      </c>
      <c r="G20" s="166" t="n"/>
      <c r="H20" s="167" t="n"/>
      <c r="I20" s="168" t="inlineStr">
        <is>
          <t>How should geotechnical hazard assessment guide the relocation of thousands of households from high-risk landslide zones, and what criteria apply?</t>
        </is>
      </c>
      <c r="J20" s="168" t="inlineStr">
        <is>
          <t>Vietnam.vn</t>
        </is>
      </c>
      <c r="K20" s="169" t="n">
        <v>46322</v>
      </c>
      <c r="L20" s="168" t="inlineStr">
        <is>
          <t>Son La: Más de 4.600 familias siguen sin poder ser reubicadas de las zonas de alto riesgo de deslizamientos de tierra.</t>
        </is>
      </c>
      <c r="M20" s="168" t="inlineStr">
        <is>
          <t>Son La provincial People's Committee</t>
        </is>
      </c>
      <c r="N20" s="170" t="inlineStr">
        <is>
          <t>Vietnam</t>
        </is>
      </c>
      <c r="O20" s="168" t="inlineStr">
        <is>
          <t>Son La province</t>
        </is>
      </c>
      <c r="P20" s="168" t="n"/>
      <c r="Q20" s="171" t="inlineStr">
        <is>
          <t>Spain</t>
        </is>
      </c>
      <c r="R20" s="169" t="n">
        <v>46321</v>
      </c>
      <c r="S20" s="170" t="inlineStr">
        <is>
          <t>2026-Q4</t>
        </is>
      </c>
      <c r="T20" s="172" t="inlineStr">
        <is>
          <t>landslide</t>
        </is>
      </c>
      <c r="U20" s="160" t="n">
        <v>4</v>
      </c>
      <c r="V20"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Nine dead in landslide in a...</t>
        </is>
      </c>
      <c r="C21" s="162" t="inlineStr">
        <is>
          <t>Hazards &amp; Resilience</t>
        </is>
      </c>
      <c r="D21" s="163" t="n">
        <v>4</v>
      </c>
      <c r="E21" s="178" t="inlineStr">
        <is>
          <t>Watch only</t>
        </is>
      </c>
      <c r="F21" s="165" t="inlineStr">
        <is>
          <t>To review</t>
        </is>
      </c>
      <c r="G21" s="166" t="n"/>
      <c r="H21" s="167" t="n"/>
      <c r="I21" s="168" t="inlineStr">
        <is>
          <t>What ground and rainfall conditions produced this fatal slope failure, and what early warning and slope assessment would have reduced the toll?</t>
        </is>
      </c>
      <c r="J21" s="168" t="inlineStr">
        <is>
          <t>Panamericana TV</t>
        </is>
      </c>
      <c r="K21" s="169" t="n">
        <v>46322</v>
      </c>
      <c r="L21" s="168" t="inlineStr">
        <is>
          <t>Nueve muertos deja deslizamiento de tierra en una...</t>
        </is>
      </c>
      <c r="M21" s="168" t="n"/>
      <c r="N21" s="170" t="n"/>
      <c r="O21" s="168" t="n"/>
      <c r="P21" s="168" t="n"/>
      <c r="Q21" s="171" t="inlineStr">
        <is>
          <t>Spain</t>
        </is>
      </c>
      <c r="R21" s="169" t="n">
        <v>46321</v>
      </c>
      <c r="S21" s="170" t="inlineStr">
        <is>
          <t>2026-Q4</t>
        </is>
      </c>
      <c r="T21" s="172" t="inlineStr">
        <is>
          <t>landslide</t>
        </is>
      </c>
      <c r="U21" s="160" t="n">
        <v>4</v>
      </c>
      <c r="V21"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Debris flow reported in Lo Barnechea and streets flooded in San Carlos de Apoquindo</t>
        </is>
      </c>
      <c r="C22" s="162" t="inlineStr">
        <is>
          <t>Hazards &amp; Resilience</t>
        </is>
      </c>
      <c r="D22" s="163" t="n">
        <v>4</v>
      </c>
      <c r="E22" s="164" t="inlineStr">
        <is>
          <t>Feature lead</t>
        </is>
      </c>
      <c r="F22" s="165" t="inlineStr">
        <is>
          <t>To review</t>
        </is>
      </c>
      <c r="G22" s="166" t="n"/>
      <c r="H22" s="167" t="n"/>
      <c r="I22" s="168" t="inlineStr">
        <is>
          <t>What ground and catchment conditions in the Andean foothills of Santiago make debris flows so sudden, and what mitigation has been effective there?</t>
        </is>
      </c>
      <c r="J22" s="168" t="inlineStr">
        <is>
          <t>La Tercera</t>
        </is>
      </c>
      <c r="K22" s="169" t="n">
        <v>46322</v>
      </c>
      <c r="L22" s="168" t="inlineStr">
        <is>
          <t>Reportan aluvión en Lo Barnechea y calles anegadas en San Carlos de Apoquindo</t>
        </is>
      </c>
      <c r="M22" s="168" t="inlineStr">
        <is>
          <t>Lo Barnechea municipality and Chile's emergency service SENAPRED</t>
        </is>
      </c>
      <c r="N22" s="170" t="inlineStr">
        <is>
          <t>Chile</t>
        </is>
      </c>
      <c r="O22" s="168" t="inlineStr">
        <is>
          <t>Lo Barnechea, Santiago</t>
        </is>
      </c>
      <c r="P22" s="168" t="n"/>
      <c r="Q22" s="171" t="inlineStr">
        <is>
          <t>Chile</t>
        </is>
      </c>
      <c r="R22" s="169" t="n">
        <v>46321</v>
      </c>
      <c r="S22" s="170" t="inlineStr">
        <is>
          <t>2026-Q4</t>
        </is>
      </c>
      <c r="T22" s="172" t="inlineStr">
        <is>
          <t>debris flow</t>
        </is>
      </c>
      <c r="U22" s="160" t="n">
        <v>4</v>
      </c>
      <c r="V22"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Video: Debris flow in Lo Barnechea and flooding in Las Condes</t>
        </is>
      </c>
      <c r="C23" s="162" t="inlineStr">
        <is>
          <t>Hazards &amp; Resilience</t>
        </is>
      </c>
      <c r="D23" s="163" t="n">
        <v>4</v>
      </c>
      <c r="E23" s="178" t="inlineStr">
        <is>
          <t>Watch only</t>
        </is>
      </c>
      <c r="F23" s="165" t="inlineStr">
        <is>
          <t>To review</t>
        </is>
      </c>
      <c r="G23" s="166" t="n"/>
      <c r="H23" s="167" t="n"/>
      <c r="I23" s="168" t="inlineStr">
        <is>
          <t>Video evidence of a debris flow and flooding could help reconstruct flow behaviour in Santiago's foothills, if verified against field observations.</t>
        </is>
      </c>
      <c r="J23" s="168" t="inlineStr">
        <is>
          <t>TVN</t>
        </is>
      </c>
      <c r="K23" s="169" t="n">
        <v>46322</v>
      </c>
      <c r="L23" s="168" t="inlineStr">
        <is>
          <t>Video: Aluvión en Lo Barnechea e inundaciones en Las Condes</t>
        </is>
      </c>
      <c r="M23" s="168" t="inlineStr">
        <is>
          <t>Chile's emergency service SENAPRED and Las Condes municipality</t>
        </is>
      </c>
      <c r="N23" s="170" t="inlineStr">
        <is>
          <t>Chile</t>
        </is>
      </c>
      <c r="O23" s="168" t="inlineStr">
        <is>
          <t>Lo Barnechea and Las Condes, Santiago</t>
        </is>
      </c>
      <c r="P23" s="168" t="n"/>
      <c r="Q23" s="171" t="inlineStr">
        <is>
          <t>Chile</t>
        </is>
      </c>
      <c r="R23" s="169" t="n">
        <v>46321</v>
      </c>
      <c r="S23" s="170" t="inlineStr">
        <is>
          <t>2026-Q4</t>
        </is>
      </c>
      <c r="T23" s="172" t="inlineStr">
        <is>
          <t>debris flow</t>
        </is>
      </c>
      <c r="U23" s="160" t="n">
        <v>4</v>
      </c>
      <c r="V23"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Debris flow on road to Farellones isolates nearly 150 people, reportedly workers and tourists</t>
        </is>
      </c>
      <c r="C24" s="162" t="inlineStr">
        <is>
          <t>Hazards &amp; Resilience</t>
        </is>
      </c>
      <c r="D24" s="163" t="n">
        <v>4</v>
      </c>
      <c r="E24" s="164" t="inlineStr">
        <is>
          <t>Feature lead</t>
        </is>
      </c>
      <c r="F24" s="165" t="inlineStr">
        <is>
          <t>To review</t>
        </is>
      </c>
      <c r="G24" s="166" t="n"/>
      <c r="H24" s="167" t="n"/>
      <c r="I24" s="168" t="inlineStr">
        <is>
          <t>How can access roads in high mountain catchments be protected from debris flows so that workers and tourists are not cut off after storms?</t>
        </is>
      </c>
      <c r="J24" s="168" t="inlineStr">
        <is>
          <t>Teletrece</t>
        </is>
      </c>
      <c r="K24" s="169" t="n">
        <v>46322</v>
      </c>
      <c r="L24" s="168" t="inlineStr">
        <is>
          <t>Aluvión en Camino a Farellones deja a cerca de 150 personas aisladas: serían trabajadores y turistas</t>
        </is>
      </c>
      <c r="M24" s="168" t="inlineStr">
        <is>
          <t>Chile's Ministry of Public Works (MOP) and the road concessionaire</t>
        </is>
      </c>
      <c r="N24" s="170" t="inlineStr">
        <is>
          <t>Chile</t>
        </is>
      </c>
      <c r="O24" s="168" t="inlineStr">
        <is>
          <t>Camino a Farellones</t>
        </is>
      </c>
      <c r="P24" s="168" t="n"/>
      <c r="Q24" s="171" t="inlineStr">
        <is>
          <t>Chile</t>
        </is>
      </c>
      <c r="R24" s="169" t="n">
        <v>46322</v>
      </c>
      <c r="S24" s="170" t="inlineStr">
        <is>
          <t>2026-Q4</t>
        </is>
      </c>
      <c r="T24" s="172" t="inlineStr">
        <is>
          <t>debris flow</t>
        </is>
      </c>
      <c r="U24" s="160" t="n">
        <v>4</v>
      </c>
      <c r="V24"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"Far exceeded expectations": Quebrada Honda in Las Condes overflows again less than three weeks after the debris flow</t>
        </is>
      </c>
      <c r="C25" s="162" t="inlineStr">
        <is>
          <t>Hazards &amp; Resilience</t>
        </is>
      </c>
      <c r="D25" s="163" t="n">
        <v>4</v>
      </c>
      <c r="E25" s="164" t="inlineStr">
        <is>
          <t>Feature lead</t>
        </is>
      </c>
      <c r="F25" s="165" t="inlineStr">
        <is>
          <t>To review</t>
        </is>
      </c>
      <c r="G25" s="166" t="n"/>
      <c r="H25" s="167" t="n"/>
      <c r="I25" s="168" t="inlineStr">
        <is>
          <t>Why did a recently installed debris barrier and channel in a canyon fail to contain a second flood, and what design assumptions need revisiting?</t>
        </is>
      </c>
      <c r="J25" s="168" t="inlineStr">
        <is>
          <t>The Clinic</t>
        </is>
      </c>
      <c r="K25" s="169" t="n">
        <v>46322</v>
      </c>
      <c r="L25" s="168" t="inlineStr">
        <is>
          <t>“Superó totalmente lo que se esperaba”: Quebrada Honda en Las Condes vuelve a desbordarse a menos de tres semanas del aluvión</t>
        </is>
      </c>
      <c r="M25" s="168" t="inlineStr">
        <is>
          <t>Las Condes municipality and the Ministry of Public Works (MOP)</t>
        </is>
      </c>
      <c r="N25" s="170" t="inlineStr">
        <is>
          <t>Chile</t>
        </is>
      </c>
      <c r="O25" s="168" t="inlineStr">
        <is>
          <t>Quebrada Honda, Las Condes</t>
        </is>
      </c>
      <c r="P25" s="168" t="n"/>
      <c r="Q25" s="171" t="inlineStr">
        <is>
          <t>Chile</t>
        </is>
      </c>
      <c r="R25" s="169" t="n">
        <v>46322</v>
      </c>
      <c r="S25" s="170" t="inlineStr">
        <is>
          <t>2026-Q4</t>
        </is>
      </c>
      <c r="T25" s="172" t="inlineStr">
        <is>
          <t>debris flow</t>
        </is>
      </c>
      <c r="U25" s="160" t="n">
        <v>4</v>
      </c>
      <c r="V25"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Las Condes and MOP begin work on dynamic debris nets in San Carlos de Apoquindo after debris flow</t>
        </is>
      </c>
      <c r="C26" s="162" t="inlineStr">
        <is>
          <t>Hazards &amp; Resilience</t>
        </is>
      </c>
      <c r="D26" s="163" t="n">
        <v>4</v>
      </c>
      <c r="E26" s="164" t="inlineStr">
        <is>
          <t>Feature lead</t>
        </is>
      </c>
      <c r="F26" s="165" t="inlineStr">
        <is>
          <t>To review</t>
        </is>
      </c>
      <c r="G26" s="166" t="n"/>
      <c r="H26" s="167" t="n"/>
      <c r="I26" s="168" t="inlineStr">
        <is>
          <t>How do dynamic debris-retention nets perform on steep catchments, and what installation and maintenance details decide whether they work during a flow?</t>
        </is>
      </c>
      <c r="J26" s="168" t="inlineStr">
        <is>
          <t>La Tercera</t>
        </is>
      </c>
      <c r="K26" s="169" t="n">
        <v>46322</v>
      </c>
      <c r="L26" s="168" t="inlineStr">
        <is>
          <t>Las Condes y el MOP comienzan los trabajos de las mallas dinámicas en San Carlos de Apoquindo después del aluvión</t>
        </is>
      </c>
      <c r="M26" s="168" t="inlineStr">
        <is>
          <t>Las Condes municipality and the Ministry of Public Works (MOP)</t>
        </is>
      </c>
      <c r="N26" s="170" t="inlineStr">
        <is>
          <t>Chile</t>
        </is>
      </c>
      <c r="O26" s="168" t="inlineStr">
        <is>
          <t>San Carlos de Apoquindo, Las Condes</t>
        </is>
      </c>
      <c r="P26" s="168" t="n"/>
      <c r="Q26" s="171" t="inlineStr">
        <is>
          <t>Chile</t>
        </is>
      </c>
      <c r="R26" s="169" t="n">
        <v>46321</v>
      </c>
      <c r="S26" s="170" t="inlineStr">
        <is>
          <t>2026-Q4</t>
        </is>
      </c>
      <c r="T26" s="172" t="inlineStr">
        <is>
          <t>debris flow</t>
        </is>
      </c>
      <c r="U26" s="160" t="n">
        <v>4</v>
      </c>
      <c r="V26"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New high speed rail viaduct for the UK</t>
        </is>
      </c>
      <c r="C27" s="176" t="inlineStr">
        <is>
          <t>Infrastructure &amp; the Underground City</t>
        </is>
      </c>
      <c r="D27" s="163" t="n">
        <v>4</v>
      </c>
      <c r="E27" s="177" t="inlineStr">
        <is>
          <t>News brief</t>
        </is>
      </c>
      <c r="F27" s="165" t="inlineStr">
        <is>
          <t>To review</t>
        </is>
      </c>
      <c r="G27" s="166" t="n"/>
      <c r="H27" s="167" t="n"/>
      <c r="I27" s="168" t="inlineStr">
        <is>
          <t>How were raised embankments and the launched viaduct decks designed for the constrained site over a busy motorway, and what ground conditions shaped those choices?</t>
        </is>
      </c>
      <c r="J27" s="168" t="inlineStr">
        <is>
          <t>World Highways</t>
        </is>
      </c>
      <c r="K27" s="169" t="n">
        <v>46322</v>
      </c>
      <c r="L27" s="168" t="n"/>
      <c r="M27" s="168" t="inlineStr">
        <is>
          <t>HS2 Ltd</t>
        </is>
      </c>
      <c r="N27" s="170" t="inlineStr">
        <is>
          <t>United Kingdom</t>
        </is>
      </c>
      <c r="O27" s="168" t="inlineStr">
        <is>
          <t>HS2 M6 viaduct crossing</t>
        </is>
      </c>
      <c r="P27" s="168" t="n"/>
      <c r="Q27" s="171" t="n"/>
      <c r="R27" s="169" t="n">
        <v>46322</v>
      </c>
      <c r="S27" s="170" t="inlineStr">
        <is>
          <t>2026-Q4</t>
        </is>
      </c>
      <c r="T27" s="172" t="inlineStr">
        <is>
          <t>embankment</t>
        </is>
      </c>
      <c r="U27" s="160" t="n">
        <v>3</v>
      </c>
      <c r="V27" s="173" t="inlineStr">
        <is>
          <t>https://globalhighways.com/new-high-speed-rail-viaduct-for-the-uk/</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First Yonge North Subway Extension TBM Arrives</t>
        </is>
      </c>
      <c r="C28" s="176" t="inlineStr">
        <is>
          <t>Infrastructure &amp; the Underground City</t>
        </is>
      </c>
      <c r="D28" s="163" t="n">
        <v>4</v>
      </c>
      <c r="E28" s="164" t="inlineStr">
        <is>
          <t>Feature lead</t>
        </is>
      </c>
      <c r="F28" s="165" t="inlineStr">
        <is>
          <t>To review</t>
        </is>
      </c>
      <c r="G28" s="166" t="n"/>
      <c r="H28" s="167" t="n"/>
      <c r="I28" s="168" t="inlineStr">
        <is>
          <t>What ground conditions did the tunnel boring machine encounter on this Toronto extension, and how did they inform the tunnelling risk management?</t>
        </is>
      </c>
      <c r="J28" s="168" t="inlineStr">
        <is>
          <t>Metrolinx</t>
        </is>
      </c>
      <c r="K28" s="169" t="n">
        <v>46322</v>
      </c>
      <c r="L28" s="168" t="n"/>
      <c r="M28" s="168" t="inlineStr">
        <is>
          <t>Metrolinx</t>
        </is>
      </c>
      <c r="N28" s="170" t="inlineStr">
        <is>
          <t>Canada</t>
        </is>
      </c>
      <c r="O28" s="168" t="inlineStr">
        <is>
          <t>Yonge North Subway Extension, Toronto</t>
        </is>
      </c>
      <c r="P28" s="168" t="n"/>
      <c r="Q28" s="171" t="inlineStr">
        <is>
          <t>United Kingdom</t>
        </is>
      </c>
      <c r="R28" s="169" t="n">
        <v>46321</v>
      </c>
      <c r="S28" s="170" t="inlineStr">
        <is>
          <t>2026-Q4</t>
        </is>
      </c>
      <c r="T28" s="172" t="inlineStr">
        <is>
          <t>tbm</t>
        </is>
      </c>
      <c r="U28" s="160" t="n">
        <v>3</v>
      </c>
      <c r="V28"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53" customHeight="1">
      <c r="A29" s="160" t="n">
        <v>26</v>
      </c>
      <c r="B29" s="161" t="inlineStr">
        <is>
          <t>Traffic starts on trial basis on bridge-tunnel route linking Kedarnath and Badrinath highways</t>
        </is>
      </c>
      <c r="C29" s="176" t="inlineStr">
        <is>
          <t>Infrastructure &amp; the Underground City</t>
        </is>
      </c>
      <c r="D29" s="163" t="n">
        <v>4</v>
      </c>
      <c r="E29" s="181" t="inlineStr">
        <is>
          <t>Regional insight</t>
        </is>
      </c>
      <c r="F29" s="165" t="inlineStr">
        <is>
          <t>To review</t>
        </is>
      </c>
      <c r="G29" s="166" t="n"/>
      <c r="H29" s="167" t="n"/>
      <c r="I29" s="168" t="inlineStr">
        <is>
          <t>What geotechnical challenges arise when a bridge and tunnel link is built through Himalayan slopes, and what should be monitored during the trial traffic phase?</t>
        </is>
      </c>
      <c r="J29" s="168" t="inlineStr">
        <is>
          <t>ThePrint Hindi</t>
        </is>
      </c>
      <c r="K29" s="169" t="n">
        <v>46322</v>
      </c>
      <c r="L29" s="168" t="inlineStr">
        <is>
          <t>केदारनाथ-बदरीनाथ राजमार्गों को जोड़ने वाले पुल-सुरंग मार्ग पर परीक्षण के तौर पर यातायात शुरू</t>
        </is>
      </c>
      <c r="M29" s="168" t="inlineStr">
        <is>
          <t>NHIDCL and the Uttarakhand Public Works Department</t>
        </is>
      </c>
      <c r="N29" s="170" t="inlineStr">
        <is>
          <t>India</t>
        </is>
      </c>
      <c r="O29" s="168" t="inlineStr">
        <is>
          <t>Rudraprayag, Uttarakhand</t>
        </is>
      </c>
      <c r="P29" s="168" t="n"/>
      <c r="Q29" s="171" t="inlineStr">
        <is>
          <t>India</t>
        </is>
      </c>
      <c r="R29" s="169" t="n">
        <v>46321</v>
      </c>
      <c r="S29" s="170" t="inlineStr">
        <is>
          <t>2026-Q4</t>
        </is>
      </c>
      <c r="T29" s="172" t="inlineStr">
        <is>
          <t>tunnel</t>
        </is>
      </c>
      <c r="U29" s="160" t="n">
        <v>2</v>
      </c>
      <c r="V29"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Vehicles begin moving through newly built Rudraprayag bridge and tunnel; CM Dhami reviews</t>
        </is>
      </c>
      <c r="C30" s="176" t="inlineStr">
        <is>
          <t>Infrastructure &amp; the Underground City</t>
        </is>
      </c>
      <c r="D30" s="163" t="n">
        <v>4</v>
      </c>
      <c r="E30" s="178" t="inlineStr">
        <is>
          <t>Watch only</t>
        </is>
      </c>
      <c r="F30" s="165" t="inlineStr">
        <is>
          <t>To review</t>
        </is>
      </c>
      <c r="G30" s="166" t="n"/>
      <c r="H30" s="167" t="n"/>
      <c r="I30" s="168" t="inlineStr">
        <is>
          <t>The opening of the Rudraprayag bridge and tunnel could support a later piece on tunnel performance, once geotechnical data are obtained.</t>
        </is>
      </c>
      <c r="J30" s="168" t="inlineStr">
        <is>
          <t>ETV Bharat</t>
        </is>
      </c>
      <c r="K30" s="169" t="n">
        <v>46322</v>
      </c>
      <c r="L30" s="168" t="inlineStr">
        <is>
          <t>रुद्रप्रयाग में नवनिर्मित पुल और सुरंग से वाहनों की आवाजाही शुरू, सीएम धामी ने लिया जायजा</t>
        </is>
      </c>
      <c r="M30" s="168" t="inlineStr">
        <is>
          <t>NHIDCL and the Uttarakhand Public Works Department</t>
        </is>
      </c>
      <c r="N30" s="170" t="inlineStr">
        <is>
          <t>India</t>
        </is>
      </c>
      <c r="O30" s="168" t="inlineStr">
        <is>
          <t>Rudraprayag, Uttarakhand</t>
        </is>
      </c>
      <c r="P30" s="168" t="n"/>
      <c r="Q30" s="171" t="inlineStr">
        <is>
          <t>India</t>
        </is>
      </c>
      <c r="R30" s="169" t="n">
        <v>46321</v>
      </c>
      <c r="S30" s="170" t="inlineStr">
        <is>
          <t>2026-Q4</t>
        </is>
      </c>
      <c r="T30" s="172" t="inlineStr">
        <is>
          <t>tunnel</t>
        </is>
      </c>
      <c r="U30" s="160" t="n">
        <v>2</v>
      </c>
      <c r="V30"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Completion of excavation pit for National Centre "Russia" under way</t>
        </is>
      </c>
      <c r="C31" s="176" t="inlineStr">
        <is>
          <t>Infrastructure &amp; the Underground City</t>
        </is>
      </c>
      <c r="D31" s="163" t="n">
        <v>4</v>
      </c>
      <c r="E31" s="164" t="inlineStr">
        <is>
          <t>Feature lead</t>
        </is>
      </c>
      <c r="F31" s="165" t="inlineStr">
        <is>
          <t>To review</t>
        </is>
      </c>
      <c r="G31" s="166" t="n"/>
      <c r="H31" s="167" t="n"/>
      <c r="I31" s="168" t="inlineStr">
        <is>
          <t>How are deep excavation support and dewatering managed for a very large central Moscow pit, and what lessons does it offer for urban deep excavations?</t>
        </is>
      </c>
      <c r="J31" s="168" t="inlineStr">
        <is>
          <t>mos.ru</t>
        </is>
      </c>
      <c r="K31" s="169" t="n">
        <v>46322</v>
      </c>
      <c r="L31" s="168" t="inlineStr">
        <is>
          <t>Завершается устройство котлована национального центра «Россия» / Новости города / Сайт Москвы</t>
        </is>
      </c>
      <c r="M31" s="168" t="inlineStr">
        <is>
          <t>the Moscow city government and the project developer</t>
        </is>
      </c>
      <c r="N31" s="170" t="inlineStr">
        <is>
          <t>Russia</t>
        </is>
      </c>
      <c r="O31" s="168" t="inlineStr">
        <is>
          <t>Moscow, National Centre Russia</t>
        </is>
      </c>
      <c r="P31" s="168" t="n"/>
      <c r="Q31" s="171" t="inlineStr">
        <is>
          <t>Russia</t>
        </is>
      </c>
      <c r="R31" s="169" t="n">
        <v>46321</v>
      </c>
      <c r="S31" s="170" t="inlineStr">
        <is>
          <t>2026-Q4</t>
        </is>
      </c>
      <c r="T31" s="172" t="inlineStr">
        <is>
          <t>excavation</t>
        </is>
      </c>
      <c r="U31" s="160" t="n">
        <v>2</v>
      </c>
      <c r="V31" s="173" t="inlineStr">
        <is>
          <t>https://news.google.com/rss/articles/CBMiUEFVX3lxTE5RM0RVWHhhUFhCVEhXclY3YWpCOVF4R1FwejczdjdMcE5ic19hRDBuaGFDWnpzcmhvUE5nYjUyRkYwXy1YSndqNEhOWWswMHJX?oc=5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Char Dham Yatra 2027 may bring pilgrims the Silkyara tunnel, cutting 26 km from the route</t>
        </is>
      </c>
      <c r="C32" s="176" t="inlineStr">
        <is>
          <t>Infrastructure &amp; the Underground City</t>
        </is>
      </c>
      <c r="D32" s="163" t="n">
        <v>4</v>
      </c>
      <c r="E32" s="164" t="inlineStr">
        <is>
          <t>Feature lead</t>
        </is>
      </c>
      <c r="F32" s="165" t="inlineStr">
        <is>
          <t>To review</t>
        </is>
      </c>
      <c r="G32" s="166" t="n"/>
      <c r="H32" s="167" t="n"/>
      <c r="I32" s="168" t="inlineStr">
        <is>
          <t>What ground-investigation and excavation lessons from the Silkyara collapse should guide tunnelling through weak Himalayan rock on this new route?</t>
        </is>
      </c>
      <c r="J32" s="168" t="inlineStr">
        <is>
          <t>ETV Bharat</t>
        </is>
      </c>
      <c r="K32" s="169" t="n">
        <v>46322</v>
      </c>
      <c r="L32" s="168" t="inlineStr">
        <is>
          <t>चारधाम यात्रा 2027 में यात्रियों को मिल सकती है सिलक्यारा टनल की सौगात, 26 किमी की दूरी होगी कम</t>
        </is>
      </c>
      <c r="M32" s="168" t="inlineStr">
        <is>
          <t>NHIDCL, the Uttarakhand highway project owner</t>
        </is>
      </c>
      <c r="N32" s="170" t="inlineStr">
        <is>
          <t>India</t>
        </is>
      </c>
      <c r="O32" s="168" t="inlineStr">
        <is>
          <t>Silkyara tunnel, Uttarakhand</t>
        </is>
      </c>
      <c r="P32" s="168" t="inlineStr">
        <is>
          <t>Silkyara tunnel, Uttarkashi, India · Update · 2 reports</t>
        </is>
      </c>
      <c r="Q32" s="171" t="inlineStr">
        <is>
          <t>India</t>
        </is>
      </c>
      <c r="R32" s="169" t="n">
        <v>46321</v>
      </c>
      <c r="S32" s="170" t="inlineStr">
        <is>
          <t>2026-Q4</t>
        </is>
      </c>
      <c r="T32" s="172" t="n"/>
      <c r="U32" s="160" t="n">
        <v>0</v>
      </c>
      <c r="V32"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Son La: over 4,600 households still unable to relocate from landslide-risk areas</t>
        </is>
      </c>
      <c r="C33" s="162" t="inlineStr">
        <is>
          <t>Hazards &amp; Resilience</t>
        </is>
      </c>
      <c r="D33" s="163" t="n">
        <v>4</v>
      </c>
      <c r="E33" s="181" t="inlineStr">
        <is>
          <t>Regional insight</t>
        </is>
      </c>
      <c r="F33" s="165" t="inlineStr">
        <is>
          <t>To review</t>
        </is>
      </c>
      <c r="G33" s="166" t="n"/>
      <c r="H33" s="167" t="n"/>
      <c r="I33" s="168" t="inlineStr">
        <is>
          <t>How should landslide risk zoning inform resettlement decisions, and why do so many households remain in hazard-prone slopes?</t>
        </is>
      </c>
      <c r="J33" s="168" t="inlineStr">
        <is>
          <t>Vietnam.vn</t>
        </is>
      </c>
      <c r="K33" s="169" t="n">
        <v>46322</v>
      </c>
      <c r="L33" s="168" t="inlineStr">
        <is>
          <t>سون لا: لا تزال أكثر من 4600 أسرة غير قادرة على الانتقال من المناطق المعرضة لخطر الانهيارات الأرضية.</t>
        </is>
      </c>
      <c r="M33" s="168" t="inlineStr">
        <is>
          <t>Son La provincial People's Committee</t>
        </is>
      </c>
      <c r="N33" s="170" t="inlineStr">
        <is>
          <t>Vietnam</t>
        </is>
      </c>
      <c r="O33" s="168" t="inlineStr">
        <is>
          <t>Son La province</t>
        </is>
      </c>
      <c r="P33" s="168" t="n"/>
      <c r="Q33" s="171" t="inlineStr">
        <is>
          <t>Egypt</t>
        </is>
      </c>
      <c r="R33" s="169" t="n">
        <v>46321</v>
      </c>
      <c r="S33" s="170" t="inlineStr">
        <is>
          <t>2026-Q4</t>
        </is>
      </c>
      <c r="T33" s="172" t="n"/>
      <c r="U33" s="160" t="n">
        <v>0</v>
      </c>
      <c r="V33"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40.5" customHeight="1">
      <c r="A34" s="160" t="n">
        <v>31</v>
      </c>
      <c r="B34" s="161" t="inlineStr">
        <is>
          <t>Gas leak in Pasto after accidental pipe perforation during soil study</t>
        </is>
      </c>
      <c r="C34" s="182" t="inlineStr">
        <is>
          <t>Characterisation &amp; Modelling</t>
        </is>
      </c>
      <c r="D34" s="163" t="n">
        <v>3</v>
      </c>
      <c r="E34" s="177" t="inlineStr">
        <is>
          <t>News brief</t>
        </is>
      </c>
      <c r="F34" s="165" t="inlineStr">
        <is>
          <t>To review</t>
        </is>
      </c>
      <c r="G34" s="166" t="n"/>
      <c r="H34" s="167" t="n"/>
      <c r="I34" s="168" t="inlineStr">
        <is>
          <t>How can site investigation planning avoid striking buried utilities, and what checks should precede boring in urban streets?</t>
        </is>
      </c>
      <c r="J34" s="168" t="inlineStr">
        <is>
          <t>Toda la información de Nariño, Colombia y El Mundo</t>
        </is>
      </c>
      <c r="K34" s="169" t="n">
        <v>46322</v>
      </c>
      <c r="L34" s="168" t="inlineStr">
        <is>
          <t>Fuga de gas en Pasto por perforación accidental de tubería durante estudio de suelos</t>
        </is>
      </c>
      <c r="M34" s="168" t="inlineStr">
        <is>
          <t>Pasto gas utility and the soil study contractor</t>
        </is>
      </c>
      <c r="N34" s="170" t="inlineStr">
        <is>
          <t>Colombia</t>
        </is>
      </c>
      <c r="O34" s="168" t="inlineStr">
        <is>
          <t>Pasto, Nariño</t>
        </is>
      </c>
      <c r="P34" s="168" t="n"/>
      <c r="Q34" s="171" t="inlineStr">
        <is>
          <t>Peru</t>
        </is>
      </c>
      <c r="R34" s="169" t="n">
        <v>46321</v>
      </c>
      <c r="S34" s="170" t="inlineStr">
        <is>
          <t>2026-Q4</t>
        </is>
      </c>
      <c r="T34" s="172" t="inlineStr">
        <is>
          <t>site investigation, soil</t>
        </is>
      </c>
      <c r="U34" s="160" t="n">
        <v>5</v>
      </c>
      <c r="V34" s="173" t="inlineStr">
        <is>
          <t>https://news.google.com/rss/articles/CBMihwFBVV95cUxNT3pfOVdocDBpLXJuQ1kyZkptV2l0bnJwTGZySW5MMzFDMDZMU0N4Rzlfa0pBVDhVVDR0S05QRzZTUDFMNUFHQ2RBS0lPckhZZ1ZPQks2WUMwcUF2bXZhR2VOU2R1VUU0dHcwbjBKOExtbTBYWmJUUmdudnViTGc5aGprWERWUzQ?oc=5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53" customHeight="1">
      <c r="A35" s="160" t="n">
        <v>32</v>
      </c>
      <c r="B35" s="161" t="inlineStr">
        <is>
          <t>Floating Offshore Wind Turbine Stability: The Impact of Mooring Systems</t>
        </is>
      </c>
      <c r="C35" s="183" t="inlineStr">
        <is>
          <t>Offshore, Coasts &amp; Water</t>
        </is>
      </c>
      <c r="D35" s="163" t="n">
        <v>3</v>
      </c>
      <c r="E35" s="179" t="inlineStr">
        <is>
          <t>Academia-to-Industry topic</t>
        </is>
      </c>
      <c r="F35" s="165" t="inlineStr">
        <is>
          <t>To review</t>
        </is>
      </c>
      <c r="G35" s="166" t="n"/>
      <c r="H35" s="167" t="n"/>
      <c r="I35" s="168" t="inlineStr">
        <is>
          <t>How do soil-mooring anchor interactions under cyclic loading affect floating wind turbine stability, and what site data are needed for design?</t>
        </is>
      </c>
      <c r="J35" s="168" t="inlineStr">
        <is>
          <t>Institution of Civil Engineers (ICE)</t>
        </is>
      </c>
      <c r="K35" s="169" t="n">
        <v>46322</v>
      </c>
      <c r="L35" s="168" t="n"/>
      <c r="M35" s="168" t="inlineStr">
        <is>
          <t>Institution of Civil Engineers publication authors</t>
        </is>
      </c>
      <c r="N35" s="170" t="n"/>
      <c r="O35" s="168" t="n"/>
      <c r="P35" s="168" t="n"/>
      <c r="Q35" s="171" t="inlineStr">
        <is>
          <t>United Kingdom</t>
        </is>
      </c>
      <c r="R35" s="169" t="n">
        <v>46321</v>
      </c>
      <c r="S35" s="170" t="inlineStr">
        <is>
          <t>2026-Q4</t>
        </is>
      </c>
      <c r="T35" s="172" t="inlineStr">
        <is>
          <t>offshore wind</t>
        </is>
      </c>
      <c r="U35" s="160" t="n">
        <v>5</v>
      </c>
      <c r="V35"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Soil survey begins for 120-unit TOKİ housing project in Salıpazarı</t>
        </is>
      </c>
      <c r="C36" s="182" t="inlineStr">
        <is>
          <t>Characterisation &amp; Modelling</t>
        </is>
      </c>
      <c r="D36" s="163" t="n">
        <v>3</v>
      </c>
      <c r="E36" s="178" t="inlineStr">
        <is>
          <t>Watch only</t>
        </is>
      </c>
      <c r="F36" s="165" t="inlineStr">
        <is>
          <t>To review</t>
        </is>
      </c>
      <c r="G36" s="166" t="n"/>
      <c r="H36" s="167" t="n"/>
      <c r="I36" s="168" t="inlineStr">
        <is>
          <t>What ground investigation is needed on this coastal site for a 120-unit housing block, and what soil conditions should it target?</t>
        </is>
      </c>
      <c r="J36" s="168" t="inlineStr">
        <is>
          <t>Habertürk</t>
        </is>
      </c>
      <c r="K36" s="169" t="n">
        <v>46322</v>
      </c>
      <c r="L36" s="168" t="inlineStr">
        <is>
          <t>Salıpazarı'nda 120 konutluk TOKİ projesi için zemin etüdü başladı</t>
        </is>
      </c>
      <c r="M36" s="168" t="inlineStr">
        <is>
          <t>TOKİ (Housing Development Administration)</t>
        </is>
      </c>
      <c r="N36" s="170" t="inlineStr">
        <is>
          <t>Türkiye</t>
        </is>
      </c>
      <c r="O36" s="168" t="inlineStr">
        <is>
          <t>Salıpazarı</t>
        </is>
      </c>
      <c r="P36" s="168" t="n"/>
      <c r="Q36" s="171" t="inlineStr">
        <is>
          <t>Türkiye</t>
        </is>
      </c>
      <c r="R36" s="169" t="n">
        <v>46321</v>
      </c>
      <c r="S36" s="170" t="inlineStr">
        <is>
          <t>2026-Q4</t>
        </is>
      </c>
      <c r="T36" s="172" t="inlineStr">
        <is>
          <t>site investigation, soil</t>
        </is>
      </c>
      <c r="U36" s="160" t="n">
        <v>5</v>
      </c>
      <c r="V36"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United Utilities seeks design partner for £3.7bn Windermere scheme</t>
        </is>
      </c>
      <c r="C37" s="176" t="inlineStr">
        <is>
          <t>Infrastructure &amp; the Underground City</t>
        </is>
      </c>
      <c r="D37" s="163" t="n">
        <v>3</v>
      </c>
      <c r="E37" s="177" t="inlineStr">
        <is>
          <t>News brief</t>
        </is>
      </c>
      <c r="F37" s="165" t="inlineStr">
        <is>
          <t>To review</t>
        </is>
      </c>
      <c r="G37" s="166" t="n"/>
      <c r="H37" s="167" t="n"/>
      <c r="I37" s="168" t="inlineStr">
        <is>
          <t>What ground investigation and tunnelling risks should a design partner address on a large water-supply scheme in fractured Lake District geology?</t>
        </is>
      </c>
      <c r="J37" s="168" t="inlineStr">
        <is>
          <t>Tunnelling Journal</t>
        </is>
      </c>
      <c r="K37" s="169" t="n">
        <v>46322</v>
      </c>
      <c r="L37" s="168" t="n"/>
      <c r="M37" s="168" t="inlineStr">
        <is>
          <t>United Utilities</t>
        </is>
      </c>
      <c r="N37" s="170" t="inlineStr">
        <is>
          <t>United Kingdom</t>
        </is>
      </c>
      <c r="O37" s="168" t="inlineStr">
        <is>
          <t>Windermere, Cumbria</t>
        </is>
      </c>
      <c r="P37" s="168" t="n"/>
      <c r="Q37" s="171" t="n"/>
      <c r="R37" s="169" t="n">
        <v>46321</v>
      </c>
      <c r="S37" s="170" t="inlineStr">
        <is>
          <t>2026-Q4</t>
        </is>
      </c>
      <c r="T37" s="172" t="inlineStr">
        <is>
          <t>tunnelling</t>
        </is>
      </c>
      <c r="U37" s="160" t="n">
        <v>5</v>
      </c>
      <c r="V37" s="173" t="inlineStr">
        <is>
          <t>https://tunnellingjournal.com/united-utilities-seeks-design-partner-for-3-7bn-windermere-scheme/</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Studies to start this week on largest sinkhole on Mazatlán seafront promenade: Public Works</t>
        </is>
      </c>
      <c r="C38" s="183" t="inlineStr">
        <is>
          <t>Offshore, Coasts &amp; Water</t>
        </is>
      </c>
      <c r="D38" s="163" t="n">
        <v>3</v>
      </c>
      <c r="E38" s="177" t="inlineStr">
        <is>
          <t>News brief</t>
        </is>
      </c>
      <c r="F38" s="165" t="inlineStr">
        <is>
          <t>To review</t>
        </is>
      </c>
      <c r="G38" s="166" t="n"/>
      <c r="H38" s="167" t="n"/>
      <c r="I38" s="168" t="inlineStr">
        <is>
          <t>What investigation would explain the cause of this coastal sinkhole, and how do ground and wave conditions affect a seafront promenade?</t>
        </is>
      </c>
      <c r="J38" s="168" t="inlineStr">
        <is>
          <t>www.noroeste.com.mx</t>
        </is>
      </c>
      <c r="K38" s="169" t="n">
        <v>46322</v>
      </c>
      <c r="L38" s="168" t="inlineStr">
        <is>
          <t>Iniciarán esta semana estudios en socavón más grande en malecón de Mazatlán: Obras Públicas</t>
        </is>
      </c>
      <c r="M38" s="168" t="inlineStr">
        <is>
          <t>Mazatlán municipal public works department</t>
        </is>
      </c>
      <c r="N38" s="170" t="inlineStr">
        <is>
          <t>Mexico</t>
        </is>
      </c>
      <c r="O38" s="168" t="inlineStr">
        <is>
          <t>Malecón, Mazatlán, Sinaloa</t>
        </is>
      </c>
      <c r="P38" s="168" t="inlineStr">
        <is>
          <t>Mazatlán malecón wave sinkhole, Mexico (Oct 2026) · Investigation &amp; inquiry · 4 reports</t>
        </is>
      </c>
      <c r="Q38" s="171" t="inlineStr">
        <is>
          <t>Colombia</t>
        </is>
      </c>
      <c r="R38" s="169" t="n">
        <v>46321</v>
      </c>
      <c r="S38" s="170" t="inlineStr">
        <is>
          <t>2026-Q4</t>
        </is>
      </c>
      <c r="T38" s="172" t="inlineStr">
        <is>
          <t>sinkhole</t>
        </is>
      </c>
      <c r="U38" s="160" t="n">
        <v>4</v>
      </c>
      <c r="V38"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Aneka Jaringan Unit Bags MYR53 Million Bored Piling Works Deal</t>
        </is>
      </c>
      <c r="C39" s="176" t="inlineStr">
        <is>
          <t>Infrastructure &amp; the Underground City</t>
        </is>
      </c>
      <c r="D39" s="163" t="n">
        <v>3</v>
      </c>
      <c r="E39" s="177" t="inlineStr">
        <is>
          <t>News brief</t>
        </is>
      </c>
      <c r="F39" s="165" t="inlineStr">
        <is>
          <t>To review</t>
        </is>
      </c>
      <c r="G39" s="166" t="n"/>
      <c r="H39" s="167" t="n"/>
      <c r="I39" s="168" t="inlineStr">
        <is>
          <t>How do bored pile design and ground conditions in Kuala Lumpur's sedimentary profiles influence cost and risk on high-rise projects?</t>
        </is>
      </c>
      <c r="J39" s="168" t="inlineStr">
        <is>
          <t>www.marketscreener.com</t>
        </is>
      </c>
      <c r="K39" s="169" t="n">
        <v>46322</v>
      </c>
      <c r="L39" s="168" t="n"/>
      <c r="M39" s="168" t="inlineStr">
        <is>
          <t>Aneka Jaringan Holdings</t>
        </is>
      </c>
      <c r="N39" s="170" t="inlineStr">
        <is>
          <t>Malaysia</t>
        </is>
      </c>
      <c r="O39" s="168" t="inlineStr">
        <is>
          <t>Kuala Lumpur</t>
        </is>
      </c>
      <c r="P39" s="168" t="n"/>
      <c r="Q39" s="171" t="inlineStr">
        <is>
          <t>United Kingdom</t>
        </is>
      </c>
      <c r="R39" s="169" t="n">
        <v>46321</v>
      </c>
      <c r="S39" s="170" t="inlineStr">
        <is>
          <t>2026-Q4</t>
        </is>
      </c>
      <c r="T39" s="172" t="inlineStr">
        <is>
          <t>piling</t>
        </is>
      </c>
      <c r="U39" s="160" t="n">
        <v>4</v>
      </c>
      <c r="V39"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Econpile bags RM24m piling contract for 53-storey KL development</t>
        </is>
      </c>
      <c r="C40" s="176" t="inlineStr">
        <is>
          <t>Infrastructure &amp; the Underground City</t>
        </is>
      </c>
      <c r="D40" s="163" t="n">
        <v>3</v>
      </c>
      <c r="E40" s="177" t="inlineStr">
        <is>
          <t>News brief</t>
        </is>
      </c>
      <c r="F40" s="165" t="inlineStr">
        <is>
          <t>To review</t>
        </is>
      </c>
      <c r="G40" s="166" t="n"/>
      <c r="H40" s="167" t="n"/>
      <c r="I40" s="168" t="inlineStr">
        <is>
          <t>What ground investigation and pile testing are needed for a 53-storey tower on Kuala Lumpur ground, and how do they shape the piling contract?</t>
        </is>
      </c>
      <c r="J40" s="168" t="inlineStr">
        <is>
          <t>The Malaysian Reserve</t>
        </is>
      </c>
      <c r="K40" s="169" t="n">
        <v>46322</v>
      </c>
      <c r="L40" s="168" t="n"/>
      <c r="M40" s="168" t="inlineStr">
        <is>
          <t>Econpile Holdings</t>
        </is>
      </c>
      <c r="N40" s="170" t="inlineStr">
        <is>
          <t>Malaysia</t>
        </is>
      </c>
      <c r="O40" s="168" t="inlineStr">
        <is>
          <t>Kuala Lumpur</t>
        </is>
      </c>
      <c r="P40" s="168" t="n"/>
      <c r="Q40" s="171" t="inlineStr">
        <is>
          <t>United Kingdom</t>
        </is>
      </c>
      <c r="R40" s="169" t="n">
        <v>46321</v>
      </c>
      <c r="S40" s="170" t="inlineStr">
        <is>
          <t>2026-Q4</t>
        </is>
      </c>
      <c r="T40" s="172" t="inlineStr">
        <is>
          <t>piling</t>
        </is>
      </c>
      <c r="U40" s="160" t="n">
        <v>4</v>
      </c>
      <c r="V40"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53" customHeight="1">
      <c r="A41" s="160" t="n">
        <v>38</v>
      </c>
      <c r="B41" s="161" t="inlineStr">
        <is>
          <t>Econpile secures RM24.4 million piling works contract for Kuala Lumpur serviced apartment project</t>
        </is>
      </c>
      <c r="C41" s="176" t="inlineStr">
        <is>
          <t>Infrastructure &amp; the Underground City</t>
        </is>
      </c>
      <c r="D41" s="163" t="n">
        <v>3</v>
      </c>
      <c r="E41" s="178" t="inlineStr">
        <is>
          <t>Watch only</t>
        </is>
      </c>
      <c r="F41" s="165" t="inlineStr">
        <is>
          <t>To review</t>
        </is>
      </c>
      <c r="G41" s="166" t="n"/>
      <c r="H41" s="167" t="n"/>
      <c r="I41" s="168" t="inlineStr">
        <is>
          <t>How does a piling works contract for a serviced apartment project reflect site ground conditions and the choice of pile type in Kuala Lumpur?</t>
        </is>
      </c>
      <c r="J41" s="168" t="inlineStr">
        <is>
          <t>Traders Union</t>
        </is>
      </c>
      <c r="K41" s="169" t="n">
        <v>46322</v>
      </c>
      <c r="L41" s="168" t="n"/>
      <c r="M41" s="168" t="inlineStr">
        <is>
          <t>Econpile Holdings</t>
        </is>
      </c>
      <c r="N41" s="170" t="inlineStr">
        <is>
          <t>Malaysia</t>
        </is>
      </c>
      <c r="O41" s="168" t="inlineStr">
        <is>
          <t>Kuala Lumpur</t>
        </is>
      </c>
      <c r="P41" s="168" t="n"/>
      <c r="Q41" s="171" t="inlineStr">
        <is>
          <t>United Kingdom</t>
        </is>
      </c>
      <c r="R41" s="169" t="n">
        <v>46321</v>
      </c>
      <c r="S41" s="170" t="inlineStr">
        <is>
          <t>2026-Q4</t>
        </is>
      </c>
      <c r="T41" s="172" t="inlineStr">
        <is>
          <t>piling</t>
        </is>
      </c>
      <c r="U41" s="160" t="n">
        <v>4</v>
      </c>
      <c r="V41" s="173" t="inlineStr">
        <is>
          <t>https://news.google.com/rss/articles/CBMikgFBVV95cUxPY2tyYmItR2xIQ0cxdEhaLWhsVzl2Z2YwcEtMbEZDdkx6RUNwcUZ5VzRhcXZzOUREVTJTVFdqR192S0tIalBuMlQ0NjM0MHY2ZldTa2JJbUhGSHFxZ28xME9rVWNwZlJRaTZMNWVGdWVfOFZjQnVueC1ZWE15LUtOd1ZSTGFFTUFUbEV2UEpKUlVDdw?oc=5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Aneka Jaringan secures RM53.35 mil piling contract for IOI Properties project</t>
        </is>
      </c>
      <c r="C42" s="176" t="inlineStr">
        <is>
          <t>Infrastructure &amp; the Underground City</t>
        </is>
      </c>
      <c r="D42" s="163" t="n">
        <v>3</v>
      </c>
      <c r="E42" s="178" t="inlineStr">
        <is>
          <t>Watch only</t>
        </is>
      </c>
      <c r="F42" s="165" t="inlineStr">
        <is>
          <t>To review</t>
        </is>
      </c>
      <c r="G42" s="166" t="n"/>
      <c r="H42" s="167" t="n"/>
      <c r="I42" s="168" t="inlineStr">
        <is>
          <t>What ground conditions and pile design choices drive the piling scope on this IOI Properties development in Malaysia?</t>
        </is>
      </c>
      <c r="J42" s="168" t="inlineStr">
        <is>
          <t>KLSE Screener</t>
        </is>
      </c>
      <c r="K42" s="169" t="n">
        <v>46322</v>
      </c>
      <c r="L42" s="168" t="n"/>
      <c r="M42" s="168" t="inlineStr">
        <is>
          <t>Aneka Jaringan Holdings and IOI Properties</t>
        </is>
      </c>
      <c r="N42" s="170" t="inlineStr">
        <is>
          <t>Malaysia</t>
        </is>
      </c>
      <c r="O42" s="168" t="inlineStr">
        <is>
          <t>IOI Properties project, Malaysia</t>
        </is>
      </c>
      <c r="P42" s="168" t="n"/>
      <c r="Q42" s="171" t="inlineStr">
        <is>
          <t>South Africa</t>
        </is>
      </c>
      <c r="R42" s="169" t="n">
        <v>46321</v>
      </c>
      <c r="S42" s="170" t="inlineStr">
        <is>
          <t>2026-Q4</t>
        </is>
      </c>
      <c r="T42" s="172" t="inlineStr">
        <is>
          <t>piling</t>
        </is>
      </c>
      <c r="U42" s="160" t="n">
        <v>4</v>
      </c>
      <c r="V42"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Lang Be road embankment construction progressing slowly</t>
        </is>
      </c>
      <c r="C43" s="176" t="inlineStr">
        <is>
          <t>Infrastructure &amp; the Underground City</t>
        </is>
      </c>
      <c r="D43" s="163" t="n">
        <v>3</v>
      </c>
      <c r="E43" s="177" t="inlineStr">
        <is>
          <t>News brief</t>
        </is>
      </c>
      <c r="F43" s="165" t="inlineStr">
        <is>
          <t>To review</t>
        </is>
      </c>
      <c r="G43" s="166" t="n"/>
      <c r="H43" s="167" t="n"/>
      <c r="I43" s="168" t="inlineStr">
        <is>
          <t>Why do road embankments on soft ground in the Lang Be area progress slowly, and what settlement and stability monitoring would explain the delays?</t>
        </is>
      </c>
      <c r="J43" s="168" t="inlineStr">
        <is>
          <t>Vietnam.vn</t>
        </is>
      </c>
      <c r="K43" s="169" t="n">
        <v>46322</v>
      </c>
      <c r="L43" s="168" t="inlineStr">
        <is>
          <t>Строительство дорожной насыпи Лан Бе продвигается медленными темпами.</t>
        </is>
      </c>
      <c r="M43" s="168" t="inlineStr">
        <is>
          <t>the Hanoi project management board responsible for the Lang Be road</t>
        </is>
      </c>
      <c r="N43" s="170" t="inlineStr">
        <is>
          <t>Vietnam</t>
        </is>
      </c>
      <c r="O43" s="168" t="inlineStr">
        <is>
          <t>Lang Be, Hanoi</t>
        </is>
      </c>
      <c r="P43" s="168" t="n"/>
      <c r="Q43" s="171" t="inlineStr">
        <is>
          <t>Russia</t>
        </is>
      </c>
      <c r="R43" s="169" t="n">
        <v>46322</v>
      </c>
      <c r="S43" s="170" t="inlineStr">
        <is>
          <t>2026-Q4</t>
        </is>
      </c>
      <c r="T43" s="172" t="inlineStr">
        <is>
          <t>embankment</t>
        </is>
      </c>
      <c r="U43" s="160" t="n">
        <v>3</v>
      </c>
      <c r="V43" s="173" t="inlineStr">
        <is>
          <t>https://news.google.com/rss/articles/CBMibEFVX3lxTE1YU3pCSDNNVjV6cDl1TDRHX3RtZ3hYeDFOcXRaZEp6MlBlTTRGVHAyRURlaTdmV01nV0lHZlYyUXRXWVNTcmltZGxUZmtiVmROanhJdjhTMzJ1aGRHWV8yeC1ZMmZ6TGNKZUthcQ?oc=5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Zero cycle: how Setl Group builds 3D excavation models with nanoCAD GeoniCS</t>
        </is>
      </c>
      <c r="C44" s="184" t="inlineStr">
        <is>
          <t>Digital Geotechnics</t>
        </is>
      </c>
      <c r="D44" s="163" t="n">
        <v>3</v>
      </c>
      <c r="E44" s="179" t="inlineStr">
        <is>
          <t>Academia-to-Industry topic</t>
        </is>
      </c>
      <c r="F44" s="165" t="inlineStr">
        <is>
          <t>To review</t>
        </is>
      </c>
      <c r="G44" s="166" t="n"/>
      <c r="H44" s="167" t="n"/>
      <c r="I44" s="168" t="inlineStr">
        <is>
          <t>How can 3D excavation models built in CAD software support design checks and construction sequencing for residential excavations?</t>
        </is>
      </c>
      <c r="J44" s="168" t="inlineStr">
        <is>
          <t>Хабр</t>
        </is>
      </c>
      <c r="K44" s="169" t="n">
        <v>46322</v>
      </c>
      <c r="L44" s="168" t="inlineStr">
        <is>
          <t>Нулевой цикл: как в Setl Group создают 3D модели котлованов жилых зданий при помощи nanoCAD GeoniCS</t>
        </is>
      </c>
      <c r="M44" s="168" t="inlineStr">
        <is>
          <t>Setl Group and the nanoCAD GeoniCS software developer</t>
        </is>
      </c>
      <c r="N44" s="170" t="n"/>
      <c r="O44" s="168" t="n"/>
      <c r="P44" s="168" t="inlineStr">
        <is>
          <t>Zero cycle: how Setl Group creates 3D excavation models for residenti… (Oct 2026) · Update · 2 reports</t>
        </is>
      </c>
      <c r="Q44" s="171" t="inlineStr">
        <is>
          <t>Russia</t>
        </is>
      </c>
      <c r="R44" s="169" t="n">
        <v>46321</v>
      </c>
      <c r="S44" s="170" t="inlineStr">
        <is>
          <t>2026-Q4</t>
        </is>
      </c>
      <c r="T44" s="172" t="inlineStr">
        <is>
          <t>excavation</t>
        </is>
      </c>
      <c r="U44" s="160" t="n">
        <v>2</v>
      </c>
      <c r="V44"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Capital Group begins installing strut system for MASTERS house excavation</t>
        </is>
      </c>
      <c r="C45" s="176" t="inlineStr">
        <is>
          <t>Infrastructure &amp; the Underground City</t>
        </is>
      </c>
      <c r="D45" s="163" t="n">
        <v>3</v>
      </c>
      <c r="E45" s="177" t="inlineStr">
        <is>
          <t>News brief</t>
        </is>
      </c>
      <c r="F45" s="165" t="inlineStr">
        <is>
          <t>To review</t>
        </is>
      </c>
      <c r="G45" s="166" t="n"/>
      <c r="H45" s="167" t="n"/>
      <c r="I45" s="168" t="inlineStr">
        <is>
          <t>How do strut systems control wall movements in a Moscow excavation, and what monitoring confirms that adjacent ground stays within limits?</t>
        </is>
      </c>
      <c r="J45" s="168" t="inlineStr">
        <is>
          <t>Движение.ру</t>
        </is>
      </c>
      <c r="K45" s="169" t="n">
        <v>46322</v>
      </c>
      <c r="L45" s="168" t="inlineStr">
        <is>
          <t>Capital Group начала монтаж распорной системы котлована дома МАСТЕРС</t>
        </is>
      </c>
      <c r="M45" s="168" t="inlineStr">
        <is>
          <t>Capital Group</t>
        </is>
      </c>
      <c r="N45" s="170" t="inlineStr">
        <is>
          <t>Russia</t>
        </is>
      </c>
      <c r="O45" s="168" t="inlineStr">
        <is>
          <t>MASTERS residential building, Moscow</t>
        </is>
      </c>
      <c r="P45" s="168" t="n"/>
      <c r="Q45" s="171" t="inlineStr">
        <is>
          <t>Russia</t>
        </is>
      </c>
      <c r="R45" s="169" t="n">
        <v>46321</v>
      </c>
      <c r="S45" s="170" t="inlineStr">
        <is>
          <t>2026-Q4</t>
        </is>
      </c>
      <c r="T45" s="172" t="inlineStr">
        <is>
          <t>excavation</t>
        </is>
      </c>
      <c r="U45" s="160" t="n">
        <v>2</v>
      </c>
      <c r="V45"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Kumamoto earthquake: 96% of liquefaction sites reoccurred</t>
        </is>
      </c>
      <c r="C46" s="162" t="inlineStr">
        <is>
          <t>Hazards &amp; Resilience</t>
        </is>
      </c>
      <c r="D46" s="163" t="n">
        <v>5</v>
      </c>
      <c r="E46" s="164" t="inlineStr">
        <is>
          <t>Feature lead</t>
        </is>
      </c>
      <c r="F46" s="165" t="inlineStr">
        <is>
          <t>To review</t>
        </is>
      </c>
      <c r="G46" s="166" t="n"/>
      <c r="H46" s="167" t="n"/>
      <c r="I46" s="168" t="inlineStr">
        <is>
          <t>Why do the same sites re-liquefy in repeated earthquakes, and which ground improvement or site-specific measures actually stop recurrence?</t>
        </is>
      </c>
      <c r="J46" s="168" t="inlineStr">
        <is>
          <t>Yahoo!ニュース</t>
        </is>
      </c>
      <c r="K46" s="169" t="n">
        <v>46321</v>
      </c>
      <c r="L46" s="168" t="inlineStr">
        <is>
          <t>熊本地震 液状化地点の96%で再発</t>
        </is>
      </c>
      <c r="M46" s="168" t="inlineStr">
        <is>
          <t>Kumamoto Prefectural Government and the research team behind the liquefaction survey</t>
        </is>
      </c>
      <c r="N46" s="170" t="inlineStr">
        <is>
          <t>Japan</t>
        </is>
      </c>
      <c r="O46" s="168" t="inlineStr">
        <is>
          <t>Kumamoto Prefecture</t>
        </is>
      </c>
      <c r="P46" s="168" t="n"/>
      <c r="Q46" s="171" t="inlineStr">
        <is>
          <t>Japan</t>
        </is>
      </c>
      <c r="R46" s="169" t="n">
        <v>46321</v>
      </c>
      <c r="S46" s="170" t="inlineStr">
        <is>
          <t>2026-Q4</t>
        </is>
      </c>
      <c r="T46" s="172" t="inlineStr">
        <is>
          <t>liquefaction, earthquake</t>
        </is>
      </c>
      <c r="U46" s="160" t="n">
        <v>7</v>
      </c>
      <c r="V46" s="173" t="inlineStr">
        <is>
          <t>https://news.google.com/rss/articles/CBMiUEFVX3lxTE9sUlNwdEcwMURBRkNDb3dEd0NfVFIzaG9RTUMtYkQ0dnNpT3ByQjFVWFJPYkhjWDNqOFlXNkVrOFk3VzB6NHB1MGtjU1Bfa0d6?oc=5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96% of sites with upper seismic intensity 6 in the Kumamoto earthquake re-liquefied; experts urge advance countermeasures.</t>
        </is>
      </c>
      <c r="C47" s="162" t="inlineStr">
        <is>
          <t>Hazards &amp; Resilience</t>
        </is>
      </c>
      <c r="D47" s="163" t="n">
        <v>5</v>
      </c>
      <c r="E47" s="178" t="inlineStr">
        <is>
          <t>Watch only</t>
        </is>
      </c>
      <c r="F47" s="165" t="inlineStr">
        <is>
          <t>To review</t>
        </is>
      </c>
      <c r="G47" s="166" t="n"/>
      <c r="H47" s="167" t="n"/>
      <c r="I47" s="168" t="inlineStr">
        <is>
          <t>Why do the same sites re-liquefy in repeated earthquakes, and which ground improvement or site-specific measures actually stop recurrence?</t>
        </is>
      </c>
      <c r="J47" s="168" t="inlineStr">
        <is>
          <t>読売新聞</t>
        </is>
      </c>
      <c r="K47" s="169" t="n">
        <v>46321</v>
      </c>
      <c r="L47" s="168" t="inlineStr">
        <is>
          <t>熊本地震「震度６強」の９６％が再液状化…繰り返される被害、専門家は事前対策訴え</t>
        </is>
      </c>
      <c r="M47" s="168" t="inlineStr">
        <is>
          <t>Kumamoto Prefectural Government and the research team behind the liquefaction survey</t>
        </is>
      </c>
      <c r="N47" s="170" t="inlineStr">
        <is>
          <t>Japan</t>
        </is>
      </c>
      <c r="O47" s="168" t="inlineStr">
        <is>
          <t>Kumamoto Prefecture</t>
        </is>
      </c>
      <c r="P47" s="168" t="inlineStr">
        <is>
          <t>Kumamoto earthquake re-liquefaction study, Japan · Event · 4 reports</t>
        </is>
      </c>
      <c r="Q47" s="171" t="inlineStr">
        <is>
          <t>Japan</t>
        </is>
      </c>
      <c r="R47" s="169" t="n">
        <v>46320</v>
      </c>
      <c r="S47" s="170" t="inlineStr">
        <is>
          <t>2026-Q4</t>
        </is>
      </c>
      <c r="T47" s="172" t="inlineStr">
        <is>
          <t>liquefaction, earthquake</t>
        </is>
      </c>
      <c r="U47" s="160" t="n">
        <v>7</v>
      </c>
      <c r="V47" s="173" t="inlineStr">
        <is>
          <t>https://news.google.com/rss/articles/CBMiZkFVX3lxTFA3VmNVcVpnS3U1V0ZuanVlb3VQdnhpaDN3NGlETGFPa3h5bURmWGJUUGJsdjh6SENpWGFUUHNGa3pMbUJNd0FndDBkakstVzV2b0U5bjVMOFRFVDFrTS1ob3RwTTZPZw?oc=5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Ancient Earthquakes Triggered Massive 10,000-Year-Old Landslides In Kashmir Himalaya, New Study Reveals</t>
        </is>
      </c>
      <c r="C48" s="162" t="inlineStr">
        <is>
          <t>Hazards &amp; Resilience</t>
        </is>
      </c>
      <c r="D48" s="163" t="n">
        <v>5</v>
      </c>
      <c r="E48" s="164" t="inlineStr">
        <is>
          <t>Feature lead</t>
        </is>
      </c>
      <c r="F48" s="165" t="inlineStr">
        <is>
          <t>To review</t>
        </is>
      </c>
      <c r="G48" s="166" t="n"/>
      <c r="H48" s="167" t="n"/>
      <c r="I48" s="168" t="inlineStr">
        <is>
          <t>Can dating of ancient landslide deposits be used to infer earthquake recurrence and slope hazard in tectonically active Himalayan terrain?</t>
        </is>
      </c>
      <c r="J48" s="168" t="inlineStr">
        <is>
          <t>Kashmir Life</t>
        </is>
      </c>
      <c r="K48" s="169" t="n">
        <v>46321</v>
      </c>
      <c r="L48" s="168" t="n"/>
      <c r="M48" s="168" t="inlineStr">
        <is>
          <t>the study's lead research institution (check the journal paper)</t>
        </is>
      </c>
      <c r="N48" s="170" t="inlineStr">
        <is>
          <t>India</t>
        </is>
      </c>
      <c r="O48" s="168" t="inlineStr">
        <is>
          <t>Kashmir Himalaya</t>
        </is>
      </c>
      <c r="P48" s="168" t="n"/>
      <c r="Q48" s="171" t="inlineStr">
        <is>
          <t>United Kingdom</t>
        </is>
      </c>
      <c r="R48" s="169" t="n">
        <v>46321</v>
      </c>
      <c r="S48" s="170" t="inlineStr">
        <is>
          <t>2026-Q4</t>
        </is>
      </c>
      <c r="T48" s="172" t="inlineStr">
        <is>
          <t>landslide, earthquake</t>
        </is>
      </c>
      <c r="U48" s="160" t="n">
        <v>6</v>
      </c>
      <c r="V48"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65.5" customHeight="1">
      <c r="A49" s="160" t="n">
        <v>46</v>
      </c>
      <c r="B49" s="161" t="inlineStr">
        <is>
          <t>Niscemi, nine months after the landslide: the town hanging over the void and thirty years of broken promises.</t>
        </is>
      </c>
      <c r="C49" s="162" t="inlineStr">
        <is>
          <t>Hazards &amp; Resilience</t>
        </is>
      </c>
      <c r="D49" s="163" t="n">
        <v>5</v>
      </c>
      <c r="E49" s="164" t="inlineStr">
        <is>
          <t>Feature lead</t>
        </is>
      </c>
      <c r="F49" s="165" t="inlineStr">
        <is>
          <t>To review</t>
        </is>
      </c>
      <c r="G49" s="166" t="n"/>
      <c r="H49" s="167" t="n"/>
      <c r="I49" s="168" t="inlineStr">
        <is>
          <t>Why does a large landslide keep a hilltop town in limbo months later, and what geotechnical monitoring and stabilisation strategy could justify either remaining or relocating residents?</t>
        </is>
      </c>
      <c r="J49" s="168" t="inlineStr">
        <is>
          <t>la Repubblica</t>
        </is>
      </c>
      <c r="K49" s="169" t="n">
        <v>46321</v>
      </c>
      <c r="L49" s="168" t="inlineStr">
        <is>
          <t>Niscemi, nove mesi dopo la frana: la città sospesa sul vuoto e trent'anni di promesse tradite</t>
        </is>
      </c>
      <c r="M49" s="168" t="inlineStr">
        <is>
          <t>Italian Civil Protection Department and Comune di Niscemi</t>
        </is>
      </c>
      <c r="N49" s="170" t="inlineStr">
        <is>
          <t>Italy</t>
        </is>
      </c>
      <c r="O49" s="168" t="inlineStr">
        <is>
          <t>Niscemi, Sicily</t>
        </is>
      </c>
      <c r="P49" s="168" t="inlineStr">
        <is>
          <t>Niscemi landslide, Sicily (Jan 2026) · Update · 2 reports</t>
        </is>
      </c>
      <c r="Q49" s="171" t="inlineStr">
        <is>
          <t>Italy</t>
        </is>
      </c>
      <c r="R49" s="169" t="n">
        <v>46321</v>
      </c>
      <c r="S49" s="170" t="inlineStr">
        <is>
          <t>2026-Q4</t>
        </is>
      </c>
      <c r="T49" s="172" t="inlineStr">
        <is>
          <t>landslide</t>
        </is>
      </c>
      <c r="U49" s="160" t="n">
        <v>4</v>
      </c>
      <c r="V49"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65.5" customHeight="1">
      <c r="A50" s="160" t="n">
        <v>47</v>
      </c>
      <c r="B50" s="161" t="inlineStr">
        <is>
          <t>Liu Yushui garden earth collapse kills; SAM says it warned repeatedly about hillside development risks</t>
        </is>
      </c>
      <c r="C50" s="162" t="inlineStr">
        <is>
          <t>Hazards &amp; Resilience</t>
        </is>
      </c>
      <c r="D50" s="163" t="n">
        <v>5</v>
      </c>
      <c r="E50" s="164" t="inlineStr">
        <is>
          <t>Feature lead</t>
        </is>
      </c>
      <c r="F50" s="165" t="inlineStr">
        <is>
          <t>To review</t>
        </is>
      </c>
      <c r="G50" s="166" t="n"/>
      <c r="H50" s="167" t="n"/>
      <c r="I50" s="168" t="inlineStr">
        <is>
          <t>How do hillside development practices and repeated unheeded warnings contribute to fatal slope failures, and what geotechnical due diligence should apply to hillside housing?</t>
        </is>
      </c>
      <c r="J50" s="168" t="inlineStr">
        <is>
          <t>China Press</t>
        </is>
      </c>
      <c r="K50" s="169" t="n">
        <v>46321</v>
      </c>
      <c r="L50" s="168" t="inlineStr">
        <is>
          <t>刘玉水花园土崩夺命 SAM：已多次警告 山坡发展风险</t>
        </is>
      </c>
      <c r="M50" s="168" t="inlineStr">
        <is>
          <t>Penang state government and the police</t>
        </is>
      </c>
      <c r="N50" s="170" t="inlineStr">
        <is>
          <t>Malaysia</t>
        </is>
      </c>
      <c r="O50" s="168" t="n"/>
      <c r="P50" s="168" t="inlineStr">
        <is>
          <t>Paya Terubong landslide, Penang, Malaysia (Oct 2026) · Investigation &amp; inquiry · 7 reports</t>
        </is>
      </c>
      <c r="Q50" s="171" t="inlineStr">
        <is>
          <t>China</t>
        </is>
      </c>
      <c r="R50" s="169" t="n">
        <v>46320</v>
      </c>
      <c r="S50" s="170" t="inlineStr">
        <is>
          <t>2026-Q4</t>
        </is>
      </c>
      <c r="T50" s="172" t="inlineStr">
        <is>
          <t>slope</t>
        </is>
      </c>
      <c r="U50" s="160" t="n">
        <v>2</v>
      </c>
      <c r="V50"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65.5" customHeight="1">
      <c r="A51" s="160" t="n">
        <v>48</v>
      </c>
      <c r="B51" s="161" t="inlineStr">
        <is>
          <t>Ground crumbles and gas escapes: thousands of dangerous sites identified in Yamal</t>
        </is>
      </c>
      <c r="C51" s="185" t="inlineStr">
        <is>
          <t>Sustainability &amp; the Energy Transition</t>
        </is>
      </c>
      <c r="D51" s="163" t="n">
        <v>5</v>
      </c>
      <c r="E51" s="164" t="inlineStr">
        <is>
          <t>Feature lead</t>
        </is>
      </c>
      <c r="F51" s="165" t="inlineStr">
        <is>
          <t>To review</t>
        </is>
      </c>
      <c r="G51" s="166" t="n"/>
      <c r="H51" s="167" t="n"/>
      <c r="I51" s="168" t="inlineStr">
        <is>
          <t>How is permafrost thaw and gas migration causing ground collapse and craters across Yamal, and what monitoring and foundation strategies can manage thousands of hazardous sites?</t>
        </is>
      </c>
      <c r="J51" s="168" t="inlineStr">
        <is>
          <t>Life.ru</t>
        </is>
      </c>
      <c r="K51" s="169" t="n">
        <v>46321</v>
      </c>
      <c r="L51" s="168" t="inlineStr">
        <is>
          <t>Грунт рушится, а газ рвётся наружу: На Ямале выявили тысячи опасных участков</t>
        </is>
      </c>
      <c r="M51" s="168" t="inlineStr">
        <is>
          <t>Yamal regional authorities and the gas operators</t>
        </is>
      </c>
      <c r="N51" s="170" t="inlineStr">
        <is>
          <t>Russia</t>
        </is>
      </c>
      <c r="O51" s="168" t="inlineStr">
        <is>
          <t>Yamal</t>
        </is>
      </c>
      <c r="P51" s="168" t="n"/>
      <c r="Q51" s="171" t="inlineStr">
        <is>
          <t>Russia</t>
        </is>
      </c>
      <c r="R51" s="169" t="n">
        <v>46320</v>
      </c>
      <c r="S51" s="170" t="inlineStr">
        <is>
          <t>2026-Q4</t>
        </is>
      </c>
      <c r="T51" s="172" t="inlineStr">
        <is>
          <t>soil</t>
        </is>
      </c>
      <c r="U51" s="160" t="n">
        <v>1</v>
      </c>
      <c r="V51" s="173" t="inlineStr">
        <is>
          <t>https://news.google.com/rss/articles/CBMilgFBVV95cUxNdFl6QWFvMFBRQ3hMOFc2S0hRdkIzNWViQXFZaFB1b2h5eEx5czUwbnhOeFNKX3MybWRfLVhhdlJjb0s0eFUtMDloNFJoUTEtb0dRRElGdllDbFVOejZFS0o4NzUwN2lhNlkyMzdlZzBCR1NpaXhKN1ZSZjZHRG1RV1JFQVpJRFNxQW1xcTBZWUMxWnVxRnc?oc=5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Silkyara tunnel may open before the upcoming Char Dham yatra, company claims; Yamunotri distance to shrink by 26 km</t>
        </is>
      </c>
      <c r="C52" s="176" t="inlineStr">
        <is>
          <t>Infrastructure &amp; the Underground City</t>
        </is>
      </c>
      <c r="D52" s="163" t="n">
        <v>5</v>
      </c>
      <c r="E52" s="164" t="inlineStr">
        <is>
          <t>Feature lead</t>
        </is>
      </c>
      <c r="F52" s="165" t="inlineStr">
        <is>
          <t>To review</t>
        </is>
      </c>
      <c r="G52" s="166" t="n"/>
      <c r="H52" s="167" t="n"/>
      <c r="I52" s="168" t="inlineStr">
        <is>
          <t>What ground stabilisation and rock mass conditions must be verified before a collapsed Himalayan tunnel can safely reopen, and how credible is the proposed schedule?</t>
        </is>
      </c>
      <c r="J52" s="168" t="inlineStr">
        <is>
          <t>Dainik Bhaskar</t>
        </is>
      </c>
      <c r="K52" s="169" t="n">
        <v>46321</v>
      </c>
      <c r="L52" s="168" t="inlineStr">
        <is>
          <t>सिलक्यारा टनल आगामी चारधाम यात्रा तक खुल सकती है: कंपनी का दावा; यमुनोत्री धाम की 26 किमी दूरी घटेगी, समय औ...</t>
        </is>
      </c>
      <c r="M52" s="168" t="inlineStr">
        <is>
          <t>NHIDCL (the project owner) and the contractor</t>
        </is>
      </c>
      <c r="N52" s="170" t="inlineStr">
        <is>
          <t>India</t>
        </is>
      </c>
      <c r="O52" s="168" t="inlineStr">
        <is>
          <t>Silkyara tunnel, Uttarkashi</t>
        </is>
      </c>
      <c r="P52" s="168" t="inlineStr">
        <is>
          <t>Silkyara tunnel, Uttarkashi, India · Event · 2 reports</t>
        </is>
      </c>
      <c r="Q52" s="171" t="inlineStr">
        <is>
          <t>India</t>
        </is>
      </c>
      <c r="R52" s="169" t="n">
        <v>46320</v>
      </c>
      <c r="S52" s="170" t="inlineStr">
        <is>
          <t>2026-Q4</t>
        </is>
      </c>
      <c r="T52" s="172" t="n"/>
      <c r="U52" s="160" t="n">
        <v>0</v>
      </c>
      <c r="V52"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Rock blocks over 500 tonnes threaten Turkey–Georgia road; experts demand inspection of 50 km</t>
        </is>
      </c>
      <c r="C53" s="162" t="inlineStr">
        <is>
          <t>Hazards &amp; Resilience</t>
        </is>
      </c>
      <c r="D53" s="163" t="n">
        <v>5</v>
      </c>
      <c r="E53" s="164" t="inlineStr">
        <is>
          <t>Feature lead</t>
        </is>
      </c>
      <c r="F53" s="165" t="inlineStr">
        <is>
          <t>To review</t>
        </is>
      </c>
      <c r="G53" s="166" t="n"/>
      <c r="H53" s="167" t="n"/>
      <c r="I53" s="168" t="inlineStr">
        <is>
          <t>How can rockfall hazard along a mountain highway be assessed for very large blocks, and what slope-scaling and stabilisation approach suits a 50 km stretch?</t>
        </is>
      </c>
      <c r="J53" s="168" t="inlineStr">
        <is>
          <t>تركيا عاجل</t>
        </is>
      </c>
      <c r="K53" s="169" t="n">
        <v>46321</v>
      </c>
      <c r="L53" s="168" t="inlineStr">
        <is>
          <t>كتل صخرية تتجاوز 500 طن تهدد طريق تركيا-جورجيا.. خبراء يطالبون بفحص 50 كيلومترًا</t>
        </is>
      </c>
      <c r="M53" s="168" t="inlineStr">
        <is>
          <t>the General Directorate of Highways (KGM)</t>
        </is>
      </c>
      <c r="N53" s="170" t="inlineStr">
        <is>
          <t>Türkiye</t>
        </is>
      </c>
      <c r="O53" s="168" t="inlineStr">
        <is>
          <t>Turkey–Georgia road</t>
        </is>
      </c>
      <c r="P53" s="168" t="n"/>
      <c r="Q53" s="171" t="inlineStr">
        <is>
          <t>Egypt</t>
        </is>
      </c>
      <c r="R53" s="169" t="n">
        <v>46320</v>
      </c>
      <c r="S53" s="170" t="inlineStr">
        <is>
          <t>2026-Q4</t>
        </is>
      </c>
      <c r="T53" s="172" t="n"/>
      <c r="U53" s="160" t="n">
        <v>0</v>
      </c>
      <c r="V53"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Longwei earth collapse death: autopsy report released, cause is traumatic asphyxia</t>
        </is>
      </c>
      <c r="C54" s="162" t="inlineStr">
        <is>
          <t>Hazards &amp; Resilience</t>
        </is>
      </c>
      <c r="D54" s="163" t="n">
        <v>5</v>
      </c>
      <c r="E54" s="164" t="inlineStr">
        <is>
          <t>Feature lead</t>
        </is>
      </c>
      <c r="F54" s="165" t="inlineStr">
        <is>
          <t>To review</t>
        </is>
      </c>
      <c r="G54" s="166" t="n"/>
      <c r="H54" s="167" t="n"/>
      <c r="I54" s="168" t="inlineStr">
        <is>
          <t>What does the post-mortem finding of a traumatic death reveal about the safety of hillside collapse rescue and the failure of earlier slope warnings?</t>
        </is>
      </c>
      <c r="J54" s="168" t="inlineStr">
        <is>
          <t>China Press</t>
        </is>
      </c>
      <c r="K54" s="169" t="n">
        <v>46321</v>
      </c>
      <c r="L54" s="168" t="inlineStr">
        <is>
          <t>垄尾土崩酿一死｜死者解剖报告出炉 死因是创伤性窒息</t>
        </is>
      </c>
      <c r="M54" s="168" t="inlineStr">
        <is>
          <t>Penang state government and the police</t>
        </is>
      </c>
      <c r="N54" s="170" t="inlineStr">
        <is>
          <t>Malaysia</t>
        </is>
      </c>
      <c r="O54" s="168" t="n"/>
      <c r="P54" s="168" t="n"/>
      <c r="Q54" s="171" t="inlineStr">
        <is>
          <t>China</t>
        </is>
      </c>
      <c r="R54" s="169" t="n">
        <v>46321</v>
      </c>
      <c r="S54" s="170" t="inlineStr">
        <is>
          <t>2026-Q4</t>
        </is>
      </c>
      <c r="T54" s="172" t="n"/>
      <c r="U54" s="160" t="n">
        <v>0</v>
      </c>
      <c r="V54"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Slope collapse affects basements and shops of a shopping plaza in Cuajimalpa</t>
        </is>
      </c>
      <c r="C55" s="162" t="inlineStr">
        <is>
          <t>Hazards &amp; Resilience</t>
        </is>
      </c>
      <c r="D55" s="163" t="n">
        <v>4</v>
      </c>
      <c r="E55" s="164" t="inlineStr">
        <is>
          <t>Feature lead</t>
        </is>
      </c>
      <c r="F55" s="165" t="inlineStr">
        <is>
          <t>To review</t>
        </is>
      </c>
      <c r="G55" s="166" t="n"/>
      <c r="H55" s="167" t="n"/>
      <c r="I55" s="168" t="inlineStr">
        <is>
          <t>How should basements and retail excavations beside unstable natural slopes be designed and monitored so that slope movement does not reach occupied spaces?</t>
        </is>
      </c>
      <c r="J55" s="168" t="inlineStr">
        <is>
          <t>El Universal</t>
        </is>
      </c>
      <c r="K55" s="169" t="n">
        <v>46321</v>
      </c>
      <c r="L55" s="168" t="inlineStr">
        <is>
          <t>Deslizamiento de talud afecta sótanos y locales de plaza comercial en Cuajimalpa</t>
        </is>
      </c>
      <c r="M55" s="168" t="inlineStr">
        <is>
          <t>Mexico City Protección Civil and the borough's building authority</t>
        </is>
      </c>
      <c r="N55" s="170" t="inlineStr">
        <is>
          <t>Mexico</t>
        </is>
      </c>
      <c r="O55" s="168" t="inlineStr">
        <is>
          <t>Cuajimalpa, Mexico City</t>
        </is>
      </c>
      <c r="P55" s="168" t="n"/>
      <c r="Q55" s="171" t="inlineStr">
        <is>
          <t>Spain</t>
        </is>
      </c>
      <c r="R55" s="169" t="n">
        <v>46321</v>
      </c>
      <c r="S55" s="170" t="inlineStr">
        <is>
          <t>2026-Q4</t>
        </is>
      </c>
      <c r="T55" s="172" t="inlineStr">
        <is>
          <t>landslide, retaining wall</t>
        </is>
      </c>
      <c r="U55" s="160" t="n">
        <v>8</v>
      </c>
      <c r="V55"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Heavy landslide at Centro Santa Fe: 30-meter slope collapses and affects shops</t>
        </is>
      </c>
      <c r="C56" s="162" t="inlineStr">
        <is>
          <t>Hazards &amp; Resilience</t>
        </is>
      </c>
      <c r="D56" s="163" t="n">
        <v>4</v>
      </c>
      <c r="E56" s="164" t="inlineStr">
        <is>
          <t>Feature lead</t>
        </is>
      </c>
      <c r="F56" s="165" t="inlineStr">
        <is>
          <t>To review</t>
        </is>
      </c>
      <c r="G56" s="166" t="n"/>
      <c r="H56" s="167" t="n"/>
      <c r="I56" s="168" t="inlineStr">
        <is>
          <t>What failure mechanisms could bring down a 30 m cut slope in a dense urban business district, and what monitoring would have given early warning?</t>
        </is>
      </c>
      <c r="J56" s="168" t="inlineStr">
        <is>
          <t>PostaMx</t>
        </is>
      </c>
      <c r="K56" s="169" t="n">
        <v>46321</v>
      </c>
      <c r="L56" s="168" t="inlineStr">
        <is>
          <t>Fuerte deslave en Centro Santa Fe: colapsa talud de 30 metros y afecta locales</t>
        </is>
      </c>
      <c r="M56" s="168" t="inlineStr">
        <is>
          <t>Mexico City Protección Civil and the developer's geotechnical consultant</t>
        </is>
      </c>
      <c r="N56" s="170" t="inlineStr">
        <is>
          <t>Mexico</t>
        </is>
      </c>
      <c r="O56" s="168" t="inlineStr">
        <is>
          <t>Centro Santa Fe, Mexico City</t>
        </is>
      </c>
      <c r="P56" s="168" t="n"/>
      <c r="Q56" s="171" t="inlineStr">
        <is>
          <t>Spain</t>
        </is>
      </c>
      <c r="R56" s="169" t="n">
        <v>46321</v>
      </c>
      <c r="S56" s="170" t="inlineStr">
        <is>
          <t>2026-Q4</t>
        </is>
      </c>
      <c r="T56" s="172" t="inlineStr">
        <is>
          <t>landslide, retaining wall</t>
        </is>
      </c>
      <c r="U56" s="160" t="n">
        <v>8</v>
      </c>
      <c r="V56"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53" customHeight="1">
      <c r="A57" s="160" t="n">
        <v>54</v>
      </c>
      <c r="B57" s="161" t="inlineStr">
        <is>
          <t>Progress review of dyke and retaining wall packages to prevent landslides along the Tien River.</t>
        </is>
      </c>
      <c r="C57" s="162" t="inlineStr">
        <is>
          <t>Hazards &amp; Resilience</t>
        </is>
      </c>
      <c r="D57" s="163" t="n">
        <v>4</v>
      </c>
      <c r="E57" s="181" t="inlineStr">
        <is>
          <t>Regional insight</t>
        </is>
      </c>
      <c r="F57" s="165" t="inlineStr">
        <is>
          <t>To review</t>
        </is>
      </c>
      <c r="G57" s="166" t="n"/>
      <c r="H57" s="167" t="n"/>
      <c r="I57" s="168" t="inlineStr">
        <is>
          <t>What design and construction sequencing issues arise when riverbank dykes and retaining walls are upgraded in stages along an active erosion-prone river?</t>
        </is>
      </c>
      <c r="J57" s="168" t="inlineStr">
        <is>
          <t>Vietnam.vn</t>
        </is>
      </c>
      <c r="K57" s="169" t="n">
        <v>46321</v>
      </c>
      <c r="L57" s="168" t="inlineStr">
        <is>
          <t>Meninjau kemajuan paket konstruksi dalam Proyek peningkatan tanggul dan dinding penahan untuk mencegah tanah longsor di sepanjang Sungai Tien.</t>
        </is>
      </c>
      <c r="M57" s="168" t="inlineStr">
        <is>
          <t>the provincial project management board for the Tien River dyke works</t>
        </is>
      </c>
      <c r="N57" s="170" t="inlineStr">
        <is>
          <t>Vietnam</t>
        </is>
      </c>
      <c r="O57" s="168" t="inlineStr">
        <is>
          <t>Tien River, Vietnam</t>
        </is>
      </c>
      <c r="P57" s="168" t="n"/>
      <c r="Q57" s="171" t="inlineStr">
        <is>
          <t>Indonesia</t>
        </is>
      </c>
      <c r="R57" s="169" t="n">
        <v>46319</v>
      </c>
      <c r="S57" s="170" t="inlineStr">
        <is>
          <t>2026-Q4</t>
        </is>
      </c>
      <c r="T57" s="172" t="inlineStr">
        <is>
          <t>landslide, embankment</t>
        </is>
      </c>
      <c r="U57" s="160" t="n">
        <v>7</v>
      </c>
      <c r="V57"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No signs of further slope movement at Paya Terubong landslide site, says MBPP</t>
        </is>
      </c>
      <c r="C58" s="162" t="inlineStr">
        <is>
          <t>Hazards &amp; Resilience</t>
        </is>
      </c>
      <c r="D58" s="163" t="n">
        <v>4</v>
      </c>
      <c r="E58" s="164" t="inlineStr">
        <is>
          <t>Feature lead</t>
        </is>
      </c>
      <c r="F58" s="165" t="inlineStr">
        <is>
          <t>To review</t>
        </is>
      </c>
      <c r="G58" s="166" t="n"/>
      <c r="H58" s="167" t="n"/>
      <c r="I58" s="168" t="inlineStr">
        <is>
          <t>How should a landslide site be judged stable again after movement stops, and what monitoring period is needed before reoccupation?</t>
        </is>
      </c>
      <c r="J58" s="168" t="inlineStr">
        <is>
          <t>The Star</t>
        </is>
      </c>
      <c r="K58" s="169" t="n">
        <v>46321</v>
      </c>
      <c r="L58" s="168" t="n"/>
      <c r="M58" s="168" t="inlineStr">
        <is>
          <t>Penang Municipal Council (MBPP)</t>
        </is>
      </c>
      <c r="N58" s="170" t="inlineStr">
        <is>
          <t>Malaysia</t>
        </is>
      </c>
      <c r="O58" s="168" t="inlineStr">
        <is>
          <t>Paya Terubong, Penang</t>
        </is>
      </c>
      <c r="P58" s="168" t="inlineStr">
        <is>
          <t>Paya Terubong landslide, Penang, Malaysia (Oct 2026) · Response &amp; recovery · 7 reports</t>
        </is>
      </c>
      <c r="Q58" s="171" t="inlineStr">
        <is>
          <t>United Kingdom</t>
        </is>
      </c>
      <c r="R58" s="169" t="n">
        <v>46321</v>
      </c>
      <c r="S58" s="170" t="inlineStr">
        <is>
          <t>2026-Q4</t>
        </is>
      </c>
      <c r="T58" s="172" t="inlineStr">
        <is>
          <t>landslide, slope</t>
        </is>
      </c>
      <c r="U58" s="160" t="n">
        <v>6</v>
      </c>
      <c r="V58"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State Govt urged to act on slope safety after landslide kills 73-year-old doctor</t>
        </is>
      </c>
      <c r="C59" s="162" t="inlineStr">
        <is>
          <t>Hazards &amp; Resilience</t>
        </is>
      </c>
      <c r="D59" s="163" t="n">
        <v>4</v>
      </c>
      <c r="E59" s="164" t="inlineStr">
        <is>
          <t>Feature lead</t>
        </is>
      </c>
      <c r="F59" s="165" t="inlineStr">
        <is>
          <t>To review</t>
        </is>
      </c>
      <c r="G59" s="166" t="n"/>
      <c r="H59" s="167" t="n"/>
      <c r="I59" s="168" t="inlineStr">
        <is>
          <t>What would a credible state-wide slope inventory and maintenance regime look like for hill-slope housing in tropical, rain-driven terrain?</t>
        </is>
      </c>
      <c r="J59" s="168" t="inlineStr">
        <is>
          <t>The Vibes</t>
        </is>
      </c>
      <c r="K59" s="169" t="n">
        <v>46321</v>
      </c>
      <c r="L59" s="168" t="n"/>
      <c r="M59" s="168" t="inlineStr">
        <is>
          <t>Penang state government and its slope safety authority</t>
        </is>
      </c>
      <c r="N59" s="170" t="inlineStr">
        <is>
          <t>Malaysia</t>
        </is>
      </c>
      <c r="O59" s="168" t="inlineStr">
        <is>
          <t>Penang</t>
        </is>
      </c>
      <c r="P59" s="168" t="inlineStr">
        <is>
          <t>Paya Terubong landslide, Penang, Malaysia (Oct 2026) · Legal &amp; policy · 7 reports</t>
        </is>
      </c>
      <c r="Q59" s="171" t="inlineStr">
        <is>
          <t>Australia</t>
        </is>
      </c>
      <c r="R59" s="169" t="n">
        <v>46320</v>
      </c>
      <c r="S59" s="170" t="inlineStr">
        <is>
          <t>2026-Q4</t>
        </is>
      </c>
      <c r="T59" s="172" t="inlineStr">
        <is>
          <t>landslide, slope</t>
        </is>
      </c>
      <c r="U59" s="160" t="n">
        <v>6</v>
      </c>
      <c r="V59"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Four Tourists Injured After Poolside Patio Collapses Into Sinkhole At Cozumel Resort</t>
        </is>
      </c>
      <c r="C60" s="176" t="inlineStr">
        <is>
          <t>Infrastructure &amp; the Underground City</t>
        </is>
      </c>
      <c r="D60" s="163" t="n">
        <v>4</v>
      </c>
      <c r="E60" s="164" t="inlineStr">
        <is>
          <t>Feature lead</t>
        </is>
      </c>
      <c r="F60" s="165" t="inlineStr">
        <is>
          <t>To review</t>
        </is>
      </c>
      <c r="G60" s="166" t="n"/>
      <c r="H60" s="167" t="n"/>
      <c r="I60" s="168" t="inlineStr">
        <is>
          <t>How can shallow cavities in karst limestone be detected under resort paving and foundations before a patio collapses into a sinkhole?</t>
        </is>
      </c>
      <c r="J60" s="168" t="inlineStr">
        <is>
          <t>Cancun Sun</t>
        </is>
      </c>
      <c r="K60" s="169" t="n">
        <v>46321</v>
      </c>
      <c r="L60" s="168" t="n"/>
      <c r="M60" s="168" t="inlineStr">
        <is>
          <t>Quintana Roo state civil protection and the resort's engineering consultant</t>
        </is>
      </c>
      <c r="N60" s="170" t="inlineStr">
        <is>
          <t>Mexico</t>
        </is>
      </c>
      <c r="O60" s="168" t="inlineStr">
        <is>
          <t>Cozumel, Quintana Roo</t>
        </is>
      </c>
      <c r="P60" s="168" t="inlineStr">
        <is>
          <t>Occidental Cozumel hotel sinkhole, Mexico (Oct 2026) · Event · 3 reports</t>
        </is>
      </c>
      <c r="Q60" s="171" t="inlineStr">
        <is>
          <t>United Kingdom</t>
        </is>
      </c>
      <c r="R60" s="169" t="n">
        <v>46320</v>
      </c>
      <c r="S60" s="170" t="inlineStr">
        <is>
          <t>2026-Q4</t>
        </is>
      </c>
      <c r="T60" s="172" t="inlineStr">
        <is>
          <t>sinkhole, collapse</t>
        </is>
      </c>
      <c r="U60" s="160" t="n">
        <v>5</v>
      </c>
      <c r="V60"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In Penang, a landslide hit a house and killed a 73-year-old man — Channel NewsAsia</t>
        </is>
      </c>
      <c r="C61" s="162" t="inlineStr">
        <is>
          <t>Hazards &amp; Resilience</t>
        </is>
      </c>
      <c r="D61" s="163" t="n">
        <v>4</v>
      </c>
      <c r="E61" s="178" t="inlineStr">
        <is>
          <t>Watch only</t>
        </is>
      </c>
      <c r="F61" s="165" t="inlineStr">
        <is>
          <t>To review</t>
        </is>
      </c>
      <c r="G61" s="166" t="n"/>
      <c r="H61" s="167" t="n"/>
      <c r="I61" s="168" t="inlineStr">
        <is>
          <t>What slope failure mechanisms and early warning gaps are behind landslides that reach occupied homes on hillside sites?</t>
        </is>
      </c>
      <c r="J61" s="168" t="inlineStr">
        <is>
          <t>UA.NEWS</t>
        </is>
      </c>
      <c r="K61" s="169" t="n">
        <v>46321</v>
      </c>
      <c r="L61" s="168" t="inlineStr">
        <is>
          <t>В Пенанге оползень обрушился на дом, погиб 73-летний мужчина — Channel NewsAsia</t>
        </is>
      </c>
      <c r="M61" s="168" t="inlineStr">
        <is>
          <t>Penang state authorities and Penang Municipal Council (MBPP)</t>
        </is>
      </c>
      <c r="N61" s="170" t="inlineStr">
        <is>
          <t>Malaysia</t>
        </is>
      </c>
      <c r="O61" s="168" t="inlineStr">
        <is>
          <t>Penang</t>
        </is>
      </c>
      <c r="P61" s="168" t="inlineStr">
        <is>
          <t>Paya Terubong landslide, Penang, Malaysia (Oct 2026) · Event · 7 reports</t>
        </is>
      </c>
      <c r="Q61" s="171" t="inlineStr">
        <is>
          <t>Russia</t>
        </is>
      </c>
      <c r="R61" s="169" t="n">
        <v>46321</v>
      </c>
      <c r="S61" s="170" t="inlineStr">
        <is>
          <t>2026-Q4</t>
        </is>
      </c>
      <c r="T61" s="172" t="inlineStr">
        <is>
          <t>landslide, collapse</t>
        </is>
      </c>
      <c r="U61" s="160" t="n">
        <v>5</v>
      </c>
      <c r="V61"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65.5" customHeight="1">
      <c r="A62" s="160" t="n">
        <v>59</v>
      </c>
      <c r="B62" s="161" t="inlineStr">
        <is>
          <t>Strong waves cause a sinkhole and damage to an emblematic seafront promenade in Mexico</t>
        </is>
      </c>
      <c r="C62" s="183" t="inlineStr">
        <is>
          <t>Offshore, Coasts &amp; Water</t>
        </is>
      </c>
      <c r="D62" s="163" t="n">
        <v>4</v>
      </c>
      <c r="E62" s="164" t="inlineStr">
        <is>
          <t>Feature lead</t>
        </is>
      </c>
      <c r="F62" s="165" t="inlineStr">
        <is>
          <t>To review</t>
        </is>
      </c>
      <c r="G62" s="166" t="n"/>
      <c r="H62" s="167" t="n"/>
      <c r="I62" s="168" t="inlineStr">
        <is>
          <t>How do storm waves undermine the backfill behind a seafront promenade wall to create sinkholes, and what coastal protection and geotechnical checks should follow such damage?</t>
        </is>
      </c>
      <c r="J62" s="168" t="inlineStr">
        <is>
          <t>TV Azteca Jalisco</t>
        </is>
      </c>
      <c r="K62" s="169" t="n">
        <v>46321</v>
      </c>
      <c r="L62" s="168" t="inlineStr">
        <is>
          <t>Fuerte oleaje provoca un socavón y daños en un malecón emblemático de México</t>
        </is>
      </c>
      <c r="M62" s="168" t="inlineStr">
        <is>
          <t>Mazatlán municipal government and Sinaloa civil protection</t>
        </is>
      </c>
      <c r="N62" s="170" t="inlineStr">
        <is>
          <t>Mexico</t>
        </is>
      </c>
      <c r="O62" s="168" t="inlineStr">
        <is>
          <t>Mazatlán malecón, Sinaloa</t>
        </is>
      </c>
      <c r="P62" s="168" t="inlineStr">
        <is>
          <t>Mazatlán malecón wave sinkhole, Mexico (Oct 2026) · Event · 4 reports</t>
        </is>
      </c>
      <c r="Q62" s="171" t="inlineStr">
        <is>
          <t>Colombia</t>
        </is>
      </c>
      <c r="R62" s="169" t="n">
        <v>46319</v>
      </c>
      <c r="S62" s="170" t="inlineStr">
        <is>
          <t>2026-Q4</t>
        </is>
      </c>
      <c r="T62" s="172" t="inlineStr">
        <is>
          <t>sinkhole</t>
        </is>
      </c>
      <c r="U62" s="160" t="n">
        <v>4</v>
      </c>
      <c r="V62"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65.5" customHeight="1">
      <c r="A63" s="160" t="n">
        <v>60</v>
      </c>
      <c r="B63" s="161" t="inlineStr">
        <is>
          <t>Repair of sinkhole caused by strong waves begins next to the Monument to the Mazatlan Woman</t>
        </is>
      </c>
      <c r="C63" s="183" t="inlineStr">
        <is>
          <t>Offshore, Coasts &amp; Water</t>
        </is>
      </c>
      <c r="D63" s="163" t="n">
        <v>4</v>
      </c>
      <c r="E63" s="181" t="inlineStr">
        <is>
          <t>Regional insight</t>
        </is>
      </c>
      <c r="F63" s="165" t="inlineStr">
        <is>
          <t>To review</t>
        </is>
      </c>
      <c r="G63" s="166" t="n"/>
      <c r="H63" s="167" t="n"/>
      <c r="I63" s="168" t="inlineStr">
        <is>
          <t>What repair approach suits a wave-undermined seafront structure, and how should designers balance scour protection, backfill compaction and monument stability at the shoreline?</t>
        </is>
      </c>
      <c r="J63" s="168" t="inlineStr">
        <is>
          <t>Los Noticieristas</t>
        </is>
      </c>
      <c r="K63" s="169" t="n">
        <v>46321</v>
      </c>
      <c r="L63" s="168" t="inlineStr">
        <is>
          <t>Inician reparación de socavón provocado por fuerte oleaje junto al Monumento a la Mujer Mazatleca</t>
        </is>
      </c>
      <c r="M63" s="168" t="inlineStr">
        <is>
          <t>Mazatlán municipal government</t>
        </is>
      </c>
      <c r="N63" s="170" t="inlineStr">
        <is>
          <t>Mexico</t>
        </is>
      </c>
      <c r="O63" s="168" t="inlineStr">
        <is>
          <t>Monumento a la Mujer Mazatleca, Mazatlán</t>
        </is>
      </c>
      <c r="P63" s="168" t="inlineStr">
        <is>
          <t>Mazatlán malecón wave sinkhole, Mexico (Oct 2026) · Repair &amp; reconstruction · 4 reports</t>
        </is>
      </c>
      <c r="Q63" s="171" t="inlineStr">
        <is>
          <t>Colombia</t>
        </is>
      </c>
      <c r="R63" s="169" t="n">
        <v>46318</v>
      </c>
      <c r="S63" s="170" t="inlineStr">
        <is>
          <t>2026-Q4</t>
        </is>
      </c>
      <c r="T63" s="172" t="inlineStr">
        <is>
          <t>sinkhole</t>
        </is>
      </c>
      <c r="U63" s="160" t="n">
        <v>4</v>
      </c>
      <c r="V63"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65.5" customHeight="1">
      <c r="A64" s="160" t="n">
        <v>61</v>
      </c>
      <c r="B64" s="161" t="inlineStr">
        <is>
          <t>City council attends to over 50 sinkholes; repair costs up to 700,000 pesos per point</t>
        </is>
      </c>
      <c r="C64" s="176" t="inlineStr">
        <is>
          <t>Infrastructure &amp; the Underground City</t>
        </is>
      </c>
      <c r="D64" s="163" t="n">
        <v>4</v>
      </c>
      <c r="E64" s="164" t="inlineStr">
        <is>
          <t>Feature lead</t>
        </is>
      </c>
      <c r="F64" s="165" t="inlineStr">
        <is>
          <t>To review</t>
        </is>
      </c>
      <c r="G64" s="166" t="n"/>
      <c r="H64" s="167" t="n"/>
      <c r="I64" s="168" t="inlineStr">
        <is>
          <t>Why do dozens of urban sinkholes appear in one city, and what are the economics and engineering options for locating leaking buried pipes and rehabilitating ground before repairs become recurrent?</t>
        </is>
      </c>
      <c r="J64" s="168" t="inlineStr">
        <is>
          <t>Pulso Diario San Luis</t>
        </is>
      </c>
      <c r="K64" s="169" t="n">
        <v>46321</v>
      </c>
      <c r="L64" s="168" t="inlineStr">
        <is>
          <t>Ayuntamiento atiende más de 50 socavones su reparación cuesta hasta 700 mil pesos por punto</t>
        </is>
      </c>
      <c r="M64" s="168" t="inlineStr">
        <is>
          <t>San Luis Potosí municipal government</t>
        </is>
      </c>
      <c r="N64" s="170" t="inlineStr">
        <is>
          <t>Mexico</t>
        </is>
      </c>
      <c r="O64" s="168" t="inlineStr">
        <is>
          <t>San Luis Potosí city</t>
        </is>
      </c>
      <c r="P64" s="168" t="n"/>
      <c r="Q64" s="171" t="inlineStr">
        <is>
          <t>Colombia</t>
        </is>
      </c>
      <c r="R64" s="169" t="n">
        <v>46320</v>
      </c>
      <c r="S64" s="170" t="inlineStr">
        <is>
          <t>2026-Q4</t>
        </is>
      </c>
      <c r="T64" s="172" t="inlineStr">
        <is>
          <t>sinkhole</t>
        </is>
      </c>
      <c r="U64" s="160" t="n">
        <v>4</v>
      </c>
      <c r="V64"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65.5" customHeight="1">
      <c r="A65" s="160" t="n">
        <v>62</v>
      </c>
      <c r="B65" s="161" t="inlineStr">
        <is>
          <t>Ica: new debris flow could repeat blockage of the Panamericana Sur due to lack of bridge in Ocucaje</t>
        </is>
      </c>
      <c r="C65" s="176" t="inlineStr">
        <is>
          <t>Infrastructure &amp; the Underground City</t>
        </is>
      </c>
      <c r="D65" s="163" t="n">
        <v>4</v>
      </c>
      <c r="E65" s="164" t="inlineStr">
        <is>
          <t>Feature lead</t>
        </is>
      </c>
      <c r="F65" s="165" t="inlineStr">
        <is>
          <t>To review</t>
        </is>
      </c>
      <c r="G65" s="166" t="n"/>
      <c r="H65" s="167" t="n"/>
      <c r="I65" s="168" t="inlineStr">
        <is>
          <t>How do debris flows crossing desert valleys threaten highway embankments and crossings, and what design choices should guide replacement of a missing bridge on this corridor?</t>
        </is>
      </c>
      <c r="J65" s="168" t="inlineStr">
        <is>
          <t>Diario Correo</t>
        </is>
      </c>
      <c r="K65" s="169" t="n">
        <v>46321</v>
      </c>
      <c r="L65" s="168" t="inlineStr">
        <is>
          <t>Ica: nuevo huaico podría repetir el bloqueo de la Panamericana Sur por falta de puente en Ocucaje</t>
        </is>
      </c>
      <c r="M65" s="168" t="inlineStr">
        <is>
          <t>Provías Nacional (MTC)</t>
        </is>
      </c>
      <c r="N65" s="170" t="inlineStr">
        <is>
          <t>Peru</t>
        </is>
      </c>
      <c r="O65" s="168" t="inlineStr">
        <is>
          <t>Ocucaje, Ica</t>
        </is>
      </c>
      <c r="P65" s="168" t="n"/>
      <c r="Q65" s="171" t="inlineStr">
        <is>
          <t>Peru</t>
        </is>
      </c>
      <c r="R65" s="169" t="n">
        <v>46320</v>
      </c>
      <c r="S65" s="170" t="inlineStr">
        <is>
          <t>2026-Q4</t>
        </is>
      </c>
      <c r="T65" s="172" t="inlineStr">
        <is>
          <t>debris flow</t>
        </is>
      </c>
      <c r="U65" s="160" t="n">
        <v>4</v>
      </c>
      <c r="V65"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Panama intervenes at former gold mine after landslide threatens water sources</t>
        </is>
      </c>
      <c r="C66" s="162" t="inlineStr">
        <is>
          <t>Hazards &amp; Resilience</t>
        </is>
      </c>
      <c r="D66" s="163" t="n">
        <v>4</v>
      </c>
      <c r="E66" s="164" t="inlineStr">
        <is>
          <t>Feature lead</t>
        </is>
      </c>
      <c r="F66" s="165" t="inlineStr">
        <is>
          <t>To review</t>
        </is>
      </c>
      <c r="G66" s="166" t="n"/>
      <c r="H66" s="167" t="n"/>
      <c r="I66" s="168" t="inlineStr">
        <is>
          <t>How should slope and waste-material stability in an abandoned mine be assessed where failure threatens downstream water supplies?</t>
        </is>
      </c>
      <c r="J66" s="168" t="inlineStr">
        <is>
          <t>Infobae</t>
        </is>
      </c>
      <c r="K66" s="169" t="n">
        <v>46321</v>
      </c>
      <c r="L66" s="168" t="inlineStr">
        <is>
          <t>Panamá interviene antigua mina de oro tras deslizamiento que amenaza fuentes de agua</t>
        </is>
      </c>
      <c r="M66" s="168" t="inlineStr">
        <is>
          <t>Panama's environment ministry (MiAmbiente)</t>
        </is>
      </c>
      <c r="N66" s="170" t="inlineStr">
        <is>
          <t>Panama</t>
        </is>
      </c>
      <c r="O66" s="168" t="inlineStr">
        <is>
          <t>former gold mine, Panama</t>
        </is>
      </c>
      <c r="P66" s="168" t="n"/>
      <c r="Q66" s="171" t="inlineStr">
        <is>
          <t>Spain</t>
        </is>
      </c>
      <c r="R66" s="169" t="n">
        <v>46320</v>
      </c>
      <c r="S66" s="170" t="inlineStr">
        <is>
          <t>2026-Q4</t>
        </is>
      </c>
      <c r="T66" s="172" t="inlineStr">
        <is>
          <t>landslide</t>
        </is>
      </c>
      <c r="U66" s="160" t="n">
        <v>4</v>
      </c>
      <c r="V66"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65.5" customHeight="1">
      <c r="A67" s="160" t="n">
        <v>64</v>
      </c>
      <c r="B67" s="161" t="inlineStr">
        <is>
          <t>Sinkhole threatens to isolate two neighborhoods in Arraiján</t>
        </is>
      </c>
      <c r="C67" s="162" t="inlineStr">
        <is>
          <t>Hazards &amp; Resilience</t>
        </is>
      </c>
      <c r="D67" s="163" t="n">
        <v>4</v>
      </c>
      <c r="E67" s="164" t="inlineStr">
        <is>
          <t>Feature lead</t>
        </is>
      </c>
      <c r="F67" s="165" t="inlineStr">
        <is>
          <t>To review</t>
        </is>
      </c>
      <c r="G67" s="166" t="n"/>
      <c r="H67" s="167" t="n"/>
      <c r="I67" s="168" t="inlineStr">
        <is>
          <t>What causes a sinkhole to threaten access roads serving residential areas, and how should geotechnical investigation and emergency stabilisation be prioritised to keep communities connected?</t>
        </is>
      </c>
      <c r="J67" s="168" t="inlineStr">
        <is>
          <t>Telemetro</t>
        </is>
      </c>
      <c r="K67" s="169" t="n">
        <v>46321</v>
      </c>
      <c r="L67" s="168" t="inlineStr">
        <is>
          <t>Socavón amenaza con dejar incomunicadas a dos barriadas en Arraiján</t>
        </is>
      </c>
      <c r="M67" s="168" t="inlineStr">
        <is>
          <t>Arraiján municipality and Panama's public works ministry (MOP)</t>
        </is>
      </c>
      <c r="N67" s="170" t="inlineStr">
        <is>
          <t>Panama</t>
        </is>
      </c>
      <c r="O67" s="168" t="inlineStr">
        <is>
          <t>Arraiján, Panamá Oeste</t>
        </is>
      </c>
      <c r="P67" s="168" t="n"/>
      <c r="Q67" s="171" t="inlineStr">
        <is>
          <t>Colombia</t>
        </is>
      </c>
      <c r="R67" s="169" t="n">
        <v>46320</v>
      </c>
      <c r="S67" s="170" t="inlineStr">
        <is>
          <t>2026-Q4</t>
        </is>
      </c>
      <c r="T67" s="172" t="inlineStr">
        <is>
          <t>sinkhole</t>
        </is>
      </c>
      <c r="U67" s="160" t="n">
        <v>4</v>
      </c>
      <c r="V67"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65.5" customHeight="1">
      <c r="A68" s="160" t="n">
        <v>65</v>
      </c>
      <c r="B68" s="161" t="inlineStr">
        <is>
          <t>Four guests reportedly fall into sinkhole at Occidental hotel in Cozumel</t>
        </is>
      </c>
      <c r="C68" s="162" t="inlineStr">
        <is>
          <t>Hazards &amp; Resilience</t>
        </is>
      </c>
      <c r="D68" s="163" t="n">
        <v>4</v>
      </c>
      <c r="E68" s="177" t="inlineStr">
        <is>
          <t>News brief</t>
        </is>
      </c>
      <c r="F68" s="165" t="inlineStr">
        <is>
          <t>To review</t>
        </is>
      </c>
      <c r="G68" s="166" t="n"/>
      <c r="H68" s="167" t="n"/>
      <c r="I68" s="168" t="inlineStr">
        <is>
          <t>What subsurface conditions in coastal limestone, such as cenotes and dissolution cavities, lead to sudden ground collapse beneath resort buildings, and how should such sites be surveyed?</t>
        </is>
      </c>
      <c r="J68" s="168" t="inlineStr">
        <is>
          <t>Quinta Fuerza</t>
        </is>
      </c>
      <c r="K68" s="169" t="n">
        <v>46321</v>
      </c>
      <c r="L68" s="168" t="inlineStr">
        <is>
          <t>Reportan caída de cuatro huéspedes en socavón de hotel Occidental de Cozumel</t>
        </is>
      </c>
      <c r="M68" s="168" t="inlineStr">
        <is>
          <t>Hotel Occidental Cozumel management and Quintana Roo civil protection</t>
        </is>
      </c>
      <c r="N68" s="170" t="inlineStr">
        <is>
          <t>Mexico</t>
        </is>
      </c>
      <c r="O68" s="168" t="inlineStr">
        <is>
          <t>Cozumel, Quintana Roo</t>
        </is>
      </c>
      <c r="P68" s="168" t="inlineStr">
        <is>
          <t>Occidental Cozumel hotel sinkhole, Mexico (Oct 2026) · Event · 3 reports</t>
        </is>
      </c>
      <c r="Q68" s="171" t="inlineStr">
        <is>
          <t>Colombia</t>
        </is>
      </c>
      <c r="R68" s="169" t="n">
        <v>46320</v>
      </c>
      <c r="S68" s="170" t="inlineStr">
        <is>
          <t>2026-Q4</t>
        </is>
      </c>
      <c r="T68" s="172" t="inlineStr">
        <is>
          <t>sinkhole</t>
        </is>
      </c>
      <c r="U68" s="160" t="n">
        <v>4</v>
      </c>
      <c r="V68"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65.5" customHeight="1">
      <c r="A69" s="160" t="n">
        <v>66</v>
      </c>
      <c r="B69" s="161" t="inlineStr">
        <is>
          <t>SMS alerts, signage and evacuation routes: La Reina's plan for future floods</t>
        </is>
      </c>
      <c r="C69" s="162" t="inlineStr">
        <is>
          <t>Hazards &amp; Resilience</t>
        </is>
      </c>
      <c r="D69" s="163" t="n">
        <v>4</v>
      </c>
      <c r="E69" s="164" t="inlineStr">
        <is>
          <t>Feature lead</t>
        </is>
      </c>
      <c r="F69" s="165" t="inlineStr">
        <is>
          <t>To review</t>
        </is>
      </c>
      <c r="G69" s="166" t="n"/>
      <c r="H69" s="167" t="n"/>
      <c r="I69" s="168" t="inlineStr">
        <is>
          <t>Beyond warning systems, what ground-based hazard mapping and debris-flow control measures should a municipality in an Andean foothill commune use to plan evacuation and reduce aluvión exposure?</t>
        </is>
      </c>
      <c r="J69" s="168" t="inlineStr">
        <is>
          <t>Cooperativa</t>
        </is>
      </c>
      <c r="K69" s="169" t="n">
        <v>46321</v>
      </c>
      <c r="L69" s="168" t="inlineStr">
        <is>
          <t>Alertas SMS, señaléticas y rutas de evacuación: el plan de La Reina ante futuros aluviones</t>
        </is>
      </c>
      <c r="M69" s="168" t="inlineStr">
        <is>
          <t>La Reina municipality and Senapred</t>
        </is>
      </c>
      <c r="N69" s="170" t="inlineStr">
        <is>
          <t>Chile</t>
        </is>
      </c>
      <c r="O69" s="168" t="inlineStr">
        <is>
          <t>La Reina, Santiago</t>
        </is>
      </c>
      <c r="P69" s="168" t="n"/>
      <c r="Q69" s="171" t="inlineStr">
        <is>
          <t>Chile</t>
        </is>
      </c>
      <c r="R69" s="169" t="n">
        <v>46319</v>
      </c>
      <c r="S69" s="170" t="inlineStr">
        <is>
          <t>2026-Q4</t>
        </is>
      </c>
      <c r="T69" s="172" t="inlineStr">
        <is>
          <t>debris flow</t>
        </is>
      </c>
      <c r="U69" s="160" t="n">
        <v>4</v>
      </c>
      <c r="V69"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53" customHeight="1">
      <c r="A70" s="160" t="n">
        <v>67</v>
      </c>
      <c r="B70" s="161" t="inlineStr">
        <is>
          <t>ANA installs 12 barriers to reduce impact of debris flows in Lima and Huarochirí</t>
        </is>
      </c>
      <c r="C70" s="162" t="inlineStr">
        <is>
          <t>Hazards &amp; Resilience</t>
        </is>
      </c>
      <c r="D70" s="163" t="n">
        <v>4</v>
      </c>
      <c r="E70" s="164" t="inlineStr">
        <is>
          <t>Feature lead</t>
        </is>
      </c>
      <c r="F70" s="165" t="inlineStr">
        <is>
          <t>To review</t>
        </is>
      </c>
      <c r="G70" s="166" t="n"/>
      <c r="H70" s="167" t="n"/>
      <c r="I70" s="168" t="inlineStr">
        <is>
          <t>Can check dams and barrier structures in steep Andean gullies meaningfully reduce debris-flow impacts, and how should their design and maintenance be evaluated?</t>
        </is>
      </c>
      <c r="J70" s="168" t="inlineStr">
        <is>
          <t>TVPerú</t>
        </is>
      </c>
      <c r="K70" s="169" t="n">
        <v>46321</v>
      </c>
      <c r="L70" s="168" t="inlineStr">
        <is>
          <t>ANA instala 12 barreras para reducir el impacto de huaicos en Lima y Huarochirí</t>
        </is>
      </c>
      <c r="M70" s="168" t="inlineStr">
        <is>
          <t>Autoridad Nacional del Agua (ANA)</t>
        </is>
      </c>
      <c r="N70" s="170" t="inlineStr">
        <is>
          <t>Peru</t>
        </is>
      </c>
      <c r="O70" s="168" t="inlineStr">
        <is>
          <t>Lima and Huarochirí</t>
        </is>
      </c>
      <c r="P70" s="168" t="n"/>
      <c r="Q70" s="171" t="inlineStr">
        <is>
          <t>Peru</t>
        </is>
      </c>
      <c r="R70" s="169" t="n">
        <v>46320</v>
      </c>
      <c r="S70" s="170" t="inlineStr">
        <is>
          <t>2026-Q4</t>
        </is>
      </c>
      <c r="T70" s="172" t="inlineStr">
        <is>
          <t>debris flow</t>
        </is>
      </c>
      <c r="U70" s="160" t="n">
        <v>4</v>
      </c>
      <c r="V70"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65.5" customHeight="1">
      <c r="A71" s="160" t="n">
        <v>68</v>
      </c>
      <c r="B71" s="161" t="inlineStr">
        <is>
          <t>Zero cycle: how Setl Group creates 3D excavation models for residential buildings using nanoCAD GeoniCS</t>
        </is>
      </c>
      <c r="C71" s="184" t="inlineStr">
        <is>
          <t>Digital Geotechnics</t>
        </is>
      </c>
      <c r="D71" s="163" t="n">
        <v>4</v>
      </c>
      <c r="E71" s="164" t="inlineStr">
        <is>
          <t>Feature lead</t>
        </is>
      </c>
      <c r="F71" s="165" t="inlineStr">
        <is>
          <t>To review</t>
        </is>
      </c>
      <c r="G71" s="166" t="n"/>
      <c r="H71" s="167" t="n"/>
      <c r="I71" s="168" t="inlineStr">
        <is>
          <t>How reliable are 3D excavation models built from site investigation data for deep pits in dense urban sites, and how should their accuracy be verified before construction?</t>
        </is>
      </c>
      <c r="J71" s="168" t="inlineStr">
        <is>
          <t>ComNews.ru</t>
        </is>
      </c>
      <c r="K71" s="169" t="n">
        <v>46321</v>
      </c>
      <c r="L71" s="168" t="inlineStr">
        <is>
          <t>Нулевой цикл: как в Setl Group создают 3D модели котлованов жилых зданий при помощи nanoCAD GeoniCS</t>
        </is>
      </c>
      <c r="M71" s="168" t="inlineStr">
        <is>
          <t>Setl Group (developer) and the nanoCAD GeoniCS software vendor</t>
        </is>
      </c>
      <c r="N71" s="170" t="inlineStr">
        <is>
          <t>Russia</t>
        </is>
      </c>
      <c r="O71" s="168" t="n"/>
      <c r="P71" s="168" t="inlineStr">
        <is>
          <t>Zero cycle: how Setl Group creates 3D excavation models for residenti… (Oct 2026) · Event · 2 reports</t>
        </is>
      </c>
      <c r="Q71" s="171" t="inlineStr">
        <is>
          <t>Russia</t>
        </is>
      </c>
      <c r="R71" s="169" t="n">
        <v>46320</v>
      </c>
      <c r="S71" s="170" t="inlineStr">
        <is>
          <t>2026-Q4</t>
        </is>
      </c>
      <c r="T71" s="172" t="inlineStr">
        <is>
          <t>excavation</t>
        </is>
      </c>
      <c r="U71" s="160" t="n">
        <v>2</v>
      </c>
      <c r="V71"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Cuernavaca city council announces temporary closure of Avenida Universidad for subsidence review</t>
        </is>
      </c>
      <c r="C72" s="176" t="inlineStr">
        <is>
          <t>Infrastructure &amp; the Underground City</t>
        </is>
      </c>
      <c r="D72" s="163" t="n">
        <v>4</v>
      </c>
      <c r="E72" s="177" t="inlineStr">
        <is>
          <t>News brief</t>
        </is>
      </c>
      <c r="F72" s="165" t="inlineStr">
        <is>
          <t>To review</t>
        </is>
      </c>
      <c r="G72" s="166" t="n"/>
      <c r="H72" s="167" t="n"/>
      <c r="I72" s="168" t="inlineStr">
        <is>
          <t>What ground or utility causes are behind the subsidence on Avenida Universidad, and what investigation should determine whether the road can safely reopen?</t>
        </is>
      </c>
      <c r="J72" s="168" t="inlineStr">
        <is>
          <t>La Jornada Morelos</t>
        </is>
      </c>
      <c r="K72" s="169" t="n">
        <v>46321</v>
      </c>
      <c r="L72" s="168" t="inlineStr">
        <is>
          <t>Anuncia Ayuntamiento de Cuernavaca cierre temporal de Avenida Universidad por revisión de hundimiento</t>
        </is>
      </c>
      <c r="M72" s="168" t="inlineStr">
        <is>
          <t>the Cuernavaca city council</t>
        </is>
      </c>
      <c r="N72" s="170" t="inlineStr">
        <is>
          <t>Mexico</t>
        </is>
      </c>
      <c r="O72" s="168" t="inlineStr">
        <is>
          <t>Avenida Universidad, Cuernavaca</t>
        </is>
      </c>
      <c r="P72" s="168" t="n"/>
      <c r="Q72" s="171" t="inlineStr">
        <is>
          <t>Argentina</t>
        </is>
      </c>
      <c r="R72" s="169" t="n">
        <v>46319</v>
      </c>
      <c r="S72" s="170" t="inlineStr">
        <is>
          <t>2026-Q4</t>
        </is>
      </c>
      <c r="T72" s="172" t="n"/>
      <c r="U72" s="160" t="n">
        <v>0</v>
      </c>
      <c r="V72"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53" customHeight="1">
      <c r="A73" s="160" t="n">
        <v>70</v>
      </c>
      <c r="B73" s="161" t="inlineStr">
        <is>
          <t>India's first bullet train: station to be built 100 feet underground, high-speed train to pass beneath the sea</t>
        </is>
      </c>
      <c r="C73" s="176" t="inlineStr">
        <is>
          <t>Infrastructure &amp; the Underground City</t>
        </is>
      </c>
      <c r="D73" s="163" t="n">
        <v>4</v>
      </c>
      <c r="E73" s="164" t="inlineStr">
        <is>
          <t>Feature lead</t>
        </is>
      </c>
      <c r="F73" s="165" t="inlineStr">
        <is>
          <t>To review</t>
        </is>
      </c>
      <c r="G73" s="166" t="n"/>
      <c r="H73" s="167" t="n"/>
      <c r="I73" s="168" t="inlineStr">
        <is>
          <t>What ground conditions and deep excavation methods are needed for a 30 m deep station and an undersea tunnel on India's first bullet train route?</t>
        </is>
      </c>
      <c r="J73" s="168" t="inlineStr">
        <is>
          <t>Inh News</t>
        </is>
      </c>
      <c r="K73" s="169" t="n">
        <v>46321</v>
      </c>
      <c r="L73" s="168" t="inlineStr">
        <is>
          <t>भारत की पहली बुलेट ट्रेन: 100 फीट नीचे बनेगा स्टेशन, समुद्र के नीचे से गुजरेगी हाई-स्पीड ट्रेन</t>
        </is>
      </c>
      <c r="M73" s="168" t="inlineStr">
        <is>
          <t>NHSRCL (National High Speed Rail Corporation)</t>
        </is>
      </c>
      <c r="N73" s="170" t="inlineStr">
        <is>
          <t>India</t>
        </is>
      </c>
      <c r="O73" s="168" t="inlineStr">
        <is>
          <t>Mumbai–Ahmedabad bullet train corridor</t>
        </is>
      </c>
      <c r="P73" s="168" t="n"/>
      <c r="Q73" s="171" t="inlineStr">
        <is>
          <t>India</t>
        </is>
      </c>
      <c r="R73" s="169" t="n">
        <v>46320</v>
      </c>
      <c r="S73" s="170" t="inlineStr">
        <is>
          <t>2026-Q4</t>
        </is>
      </c>
      <c r="T73" s="172" t="n"/>
      <c r="U73" s="160" t="n">
        <v>0</v>
      </c>
      <c r="V73"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Disaster R&amp;D to prevent sinkhole and ageing elevated structure collapses using veteran field technology.</t>
        </is>
      </c>
      <c r="C74" s="176" t="inlineStr">
        <is>
          <t>Infrastructure &amp; the Underground City</t>
        </is>
      </c>
      <c r="D74" s="163" t="n">
        <v>3</v>
      </c>
      <c r="E74" s="179" t="inlineStr">
        <is>
          <t>Academia-to-Industry topic</t>
        </is>
      </c>
      <c r="F74" s="165" t="inlineStr">
        <is>
          <t>To review</t>
        </is>
      </c>
      <c r="G74" s="166" t="n"/>
      <c r="H74" s="167" t="n"/>
      <c r="I74" s="168" t="inlineStr">
        <is>
          <t>Which field-proven ground investigation techniques could detect cavities and deteriorating foundations before sinkholes or elevated structure collapses occur?</t>
        </is>
      </c>
      <c r="J74" s="168" t="inlineStr">
        <is>
          <t>한국일보</t>
        </is>
      </c>
      <c r="K74" s="169" t="n">
        <v>46321</v>
      </c>
      <c r="L74" s="168" t="inlineStr">
        <is>
          <t>싱크홀·노후 고가 붕괴 사고 막는다... 현장 베테랑 기술력 접목해 재난재해 해결 R&amp;D</t>
        </is>
      </c>
      <c r="M74" s="168" t="inlineStr">
        <is>
          <t>the government ministry funding the disaster R&amp;D programme</t>
        </is>
      </c>
      <c r="N74" s="170" t="inlineStr">
        <is>
          <t>South Korea</t>
        </is>
      </c>
      <c r="O74" s="168" t="n"/>
      <c r="P74" s="168" t="n"/>
      <c r="Q74" s="171" t="inlineStr">
        <is>
          <t>South Korea</t>
        </is>
      </c>
      <c r="R74" s="169" t="n">
        <v>46321</v>
      </c>
      <c r="S74" s="170" t="inlineStr">
        <is>
          <t>2026-Q4</t>
        </is>
      </c>
      <c r="T74" s="172" t="inlineStr">
        <is>
          <t>sinkhole, collapse</t>
        </is>
      </c>
      <c r="U74" s="160" t="n">
        <v>5</v>
      </c>
      <c r="V74"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Focus resources on relocating people living in areas at risk of landslides.</t>
        </is>
      </c>
      <c r="C75" s="186" t="inlineStr">
        <is>
          <t>Geotechnics &amp; Society</t>
        </is>
      </c>
      <c r="D75" s="163" t="n">
        <v>3</v>
      </c>
      <c r="E75" s="164" t="inlineStr">
        <is>
          <t>Feature lead</t>
        </is>
      </c>
      <c r="F75" s="165" t="inlineStr">
        <is>
          <t>To review</t>
        </is>
      </c>
      <c r="G75" s="166" t="n"/>
      <c r="H75" s="167" t="n"/>
      <c r="I75" s="168" t="inlineStr">
        <is>
          <t>How should relocation programmes for households in landslide-prone zones be prioritised using ground hazard evidence?</t>
        </is>
      </c>
      <c r="J75" s="168" t="inlineStr">
        <is>
          <t>Vietnam.vn</t>
        </is>
      </c>
      <c r="K75" s="169" t="n">
        <v>46321</v>
      </c>
      <c r="L75" s="168" t="inlineStr">
        <is>
          <t>Concentrer les ressources sur le relogement des personnes vivant dans les zones à risque de glissements de terrain.</t>
        </is>
      </c>
      <c r="M75" s="168" t="inlineStr">
        <is>
          <t>Vietnam's ministry responsible for disaster prevention</t>
        </is>
      </c>
      <c r="N75" s="170" t="inlineStr">
        <is>
          <t>Vietnam</t>
        </is>
      </c>
      <c r="O75" s="168" t="n"/>
      <c r="P75" s="168" t="n"/>
      <c r="Q75" s="171" t="inlineStr">
        <is>
          <t>France</t>
        </is>
      </c>
      <c r="R75" s="169" t="n">
        <v>46321</v>
      </c>
      <c r="S75" s="170" t="inlineStr">
        <is>
          <t>2026-Q4</t>
        </is>
      </c>
      <c r="T75" s="172" t="inlineStr">
        <is>
          <t>landslide</t>
        </is>
      </c>
      <c r="U75" s="160" t="n">
        <v>4</v>
      </c>
      <c r="V75" s="173" t="inlineStr">
        <is>
          <t>https://news.google.com/rss/articles/CBMilAFBVV95cUxNSHZ2QXBIZEZ6bnJfNURvNG8xZ01rMkdnY3UwSGY4cjB4ZXpCcmRBSVZtQUprTExRNVlmdnE4Q0pPcllIZmlhYjN1WV9qejJVYzhIWC10QTFzcjdQc0gwbDJsamIzMVdxZVBiWjhLVDY5X0tOZEFqQnBITF84M2hyNkZmUmY4czZIMDIzRjgyaVBVQXBJ?oc=5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Using AI to detect landslide risks early.</t>
        </is>
      </c>
      <c r="C76" s="184" t="inlineStr">
        <is>
          <t>Digital Geotechnics</t>
        </is>
      </c>
      <c r="D76" s="163" t="n">
        <v>3</v>
      </c>
      <c r="E76" s="179" t="inlineStr">
        <is>
          <t>Academia-to-Industry topic</t>
        </is>
      </c>
      <c r="F76" s="165" t="inlineStr">
        <is>
          <t>To review</t>
        </is>
      </c>
      <c r="G76" s="166" t="n"/>
      <c r="H76" s="167" t="n"/>
      <c r="I76" s="168" t="inlineStr">
        <is>
          <t>Can machine learning on rainfall and monitoring data reliably predict landslide initiation, and what validation would engineers need?</t>
        </is>
      </c>
      <c r="J76" s="168" t="inlineStr">
        <is>
          <t>Vietnam.vn</t>
        </is>
      </c>
      <c r="K76" s="169" t="n">
        <v>46321</v>
      </c>
      <c r="L76" s="168" t="inlineStr">
        <is>
          <t>Utiliser l'IA pour détecter précocement les risques de glissements de terrain.</t>
        </is>
      </c>
      <c r="M76" s="168" t="n"/>
      <c r="N76" s="170" t="inlineStr">
        <is>
          <t>Vietnam</t>
        </is>
      </c>
      <c r="O76" s="168" t="n"/>
      <c r="P76" s="168" t="inlineStr">
        <is>
          <t>AI landslide early warning, Vietnam · Update · 3 reports</t>
        </is>
      </c>
      <c r="Q76" s="171" t="inlineStr">
        <is>
          <t>France</t>
        </is>
      </c>
      <c r="R76" s="169" t="n">
        <v>46319</v>
      </c>
      <c r="S76" s="170" t="inlineStr">
        <is>
          <t>2026-Q4</t>
        </is>
      </c>
      <c r="T76" s="172" t="inlineStr">
        <is>
          <t>landslide</t>
        </is>
      </c>
      <c r="U76" s="160" t="n">
        <v>4</v>
      </c>
      <c r="V76" s="173" t="inlineStr">
        <is>
          <t>https://news.google.com/rss/articles/CBMibkFVX3lxTE9QQVZhX29ySmV5Wk9oVElzYXZVaUdkc3NkcERtSm5RZEVEZDNWN0pFUml2aC03WFNHRWJRRUk4YXY3bExHLU5iajZoV1V3Tm1xVVRBVmRWZklRN0thMDNfUUJTaFZLZ2NXWXRwRE9R?oc=5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Using artificial intelligence to provide early warnings of landslide risk.</t>
        </is>
      </c>
      <c r="C77" s="184" t="inlineStr">
        <is>
          <t>Digital Geotechnics</t>
        </is>
      </c>
      <c r="D77" s="163" t="n">
        <v>3</v>
      </c>
      <c r="E77" s="178" t="inlineStr">
        <is>
          <t>Watch only</t>
        </is>
      </c>
      <c r="F77" s="165" t="inlineStr">
        <is>
          <t>To review</t>
        </is>
      </c>
      <c r="G77" s="166" t="n"/>
      <c r="H77" s="167" t="n"/>
      <c r="I77" s="168" t="inlineStr">
        <is>
          <t>Can machine learning on rainfall and monitoring data reliably predict landslide initiation, and what validation would engineers need?</t>
        </is>
      </c>
      <c r="J77" s="168" t="inlineStr">
        <is>
          <t>Vietnam.vn</t>
        </is>
      </c>
      <c r="K77" s="169" t="n">
        <v>46321</v>
      </c>
      <c r="L77" s="168" t="inlineStr">
        <is>
          <t>Utilizar la inteligencia artificial para proporcionar alertas tempranas sobre riesgos de deslizamientos de tierra.</t>
        </is>
      </c>
      <c r="M77" s="168" t="n"/>
      <c r="N77" s="170" t="inlineStr">
        <is>
          <t>Vietnam</t>
        </is>
      </c>
      <c r="O77" s="168" t="n"/>
      <c r="P77" s="168" t="inlineStr">
        <is>
          <t>AI landslide early warning, Vietnam · Update · 3 reports</t>
        </is>
      </c>
      <c r="Q77" s="171" t="inlineStr">
        <is>
          <t>Spain</t>
        </is>
      </c>
      <c r="R77" s="169" t="n">
        <v>46319</v>
      </c>
      <c r="S77" s="170" t="inlineStr">
        <is>
          <t>2026-Q4</t>
        </is>
      </c>
      <c r="T77" s="172" t="inlineStr">
        <is>
          <t>landslide</t>
        </is>
      </c>
      <c r="U77" s="160" t="n">
        <v>4</v>
      </c>
      <c r="V77" s="173" t="inlineStr">
        <is>
          <t>https://news.google.com/rss/articles/CBMibkFVX3lxTE1WQ0c3RjRvbm50dlNYYi1UcTNoTDRQbllDZzJ0X0d5NVVkbHdMdmNNeGNxZmJPelQ0T1V0Y291aVF0Tmt2bDFEbDZyeWgtZXEwZ1NRQ0oxVF9pN0tTbnZYWVhDdFVBbE9obFRhSHNn?oc=5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Earthworks begin on second section of damaged collector in Voronezh</t>
        </is>
      </c>
      <c r="C78" s="176" t="inlineStr">
        <is>
          <t>Infrastructure &amp; the Underground City</t>
        </is>
      </c>
      <c r="D78" s="163" t="n">
        <v>3</v>
      </c>
      <c r="E78" s="177" t="inlineStr">
        <is>
          <t>News brief</t>
        </is>
      </c>
      <c r="F78" s="165" t="inlineStr">
        <is>
          <t>To review</t>
        </is>
      </c>
      <c r="G78" s="166" t="n"/>
      <c r="H78" s="167" t="n"/>
      <c r="I78" s="168" t="inlineStr">
        <is>
          <t>What ground conditions and excavation support measures govern safe repair of a buried collector in soft urban soils?</t>
        </is>
      </c>
      <c r="J78" s="168" t="inlineStr">
        <is>
          <t>Новости Воронежа интернет-газета</t>
        </is>
      </c>
      <c r="K78" s="169" t="n">
        <v>46321</v>
      </c>
      <c r="L78" s="168" t="inlineStr">
        <is>
          <t>В Воронеже начали земляные работы на втором участке поврежденного коллектора</t>
        </is>
      </c>
      <c r="M78" s="168" t="inlineStr">
        <is>
          <t>Voronezh city water utility (Voronezhvodokanal)</t>
        </is>
      </c>
      <c r="N78" s="170" t="inlineStr">
        <is>
          <t>Russia</t>
        </is>
      </c>
      <c r="O78" s="168" t="inlineStr">
        <is>
          <t>Voronezh</t>
        </is>
      </c>
      <c r="P78" s="168" t="inlineStr">
        <is>
          <t>Voronezh Moskovsky Avenue collector repair, Russia · Repair &amp; reconstruction · 2 reports</t>
        </is>
      </c>
      <c r="Q78" s="171" t="inlineStr">
        <is>
          <t>Russia</t>
        </is>
      </c>
      <c r="R78" s="169" t="n">
        <v>46320</v>
      </c>
      <c r="S78" s="170" t="inlineStr">
        <is>
          <t>2026-Q4</t>
        </is>
      </c>
      <c r="T78" s="172" t="inlineStr">
        <is>
          <t>earthworks</t>
        </is>
      </c>
      <c r="U78" s="160" t="n">
        <v>4</v>
      </c>
      <c r="V78" s="173" t="inlineStr">
        <is>
          <t>https://news.google.com/rss/articles/CBMiWEFVX3lxTE40bjhiX3RGaTgxc0h6UU1ENDdRSGFlNkRMOTdvakVpalctY3B2bW4wYjNNcno2UHNrNVItVmJGZHB4aTdOX1ljNjNJUnJVbk5DV1ltRl8tN3o?oc=5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Alóag-Santo Domingo road has controlled passage after landslide at km 35</t>
        </is>
      </c>
      <c r="C79" s="176" t="inlineStr">
        <is>
          <t>Infrastructure &amp; the Underground City</t>
        </is>
      </c>
      <c r="D79" s="163" t="n">
        <v>3</v>
      </c>
      <c r="E79" s="177" t="inlineStr">
        <is>
          <t>News brief</t>
        </is>
      </c>
      <c r="F79" s="165" t="inlineStr">
        <is>
          <t>To review</t>
        </is>
      </c>
      <c r="G79" s="166" t="n"/>
      <c r="H79" s="167" t="n"/>
      <c r="I79" s="168" t="inlineStr">
        <is>
          <t>What slope monitoring and remediation are needed on a major highway section where slides repeatedly force controlled traffic?</t>
        </is>
      </c>
      <c r="J79" s="168" t="inlineStr">
        <is>
          <t>El Comercio</t>
        </is>
      </c>
      <c r="K79" s="169" t="n">
        <v>46321</v>
      </c>
      <c r="L79" s="168" t="inlineStr">
        <is>
          <t>Vía Alóag-Santo Domingo tiene paso controlado tras deslizamiento en el km 35</t>
        </is>
      </c>
      <c r="M79" s="168" t="inlineStr">
        <is>
          <t>Ecuador's transport ministry (MTOP)</t>
        </is>
      </c>
      <c r="N79" s="170" t="inlineStr">
        <is>
          <t>Ecuador</t>
        </is>
      </c>
      <c r="O79" s="168" t="inlineStr">
        <is>
          <t>Alóag-Santo Domingo road, km 35</t>
        </is>
      </c>
      <c r="P79" s="168" t="n"/>
      <c r="Q79" s="171" t="inlineStr">
        <is>
          <t>Spain</t>
        </is>
      </c>
      <c r="R79" s="169" t="n">
        <v>46321</v>
      </c>
      <c r="S79" s="170" t="inlineStr">
        <is>
          <t>2026-Q4</t>
        </is>
      </c>
      <c r="T79" s="172" t="inlineStr">
        <is>
          <t>landslide</t>
        </is>
      </c>
      <c r="U79" s="160" t="n">
        <v>4</v>
      </c>
      <c r="V79"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Riobamba–Penipe–Baños road reopened after landslide</t>
        </is>
      </c>
      <c r="C80" s="176" t="inlineStr">
        <is>
          <t>Infrastructure &amp; the Underground City</t>
        </is>
      </c>
      <c r="D80" s="163" t="n">
        <v>3</v>
      </c>
      <c r="E80" s="177" t="inlineStr">
        <is>
          <t>News brief</t>
        </is>
      </c>
      <c r="F80" s="165" t="inlineStr">
        <is>
          <t>To review</t>
        </is>
      </c>
      <c r="G80" s="166" t="n"/>
      <c r="H80" s="167" t="n"/>
      <c r="I80" s="168" t="inlineStr">
        <is>
          <t>How should a mountain road reopened after a slide be assessed for residual hazard and re-failure risk?</t>
        </is>
      </c>
      <c r="J80" s="168" t="inlineStr">
        <is>
          <t>diariolosandes.com.ec</t>
        </is>
      </c>
      <c r="K80" s="169" t="n">
        <v>46321</v>
      </c>
      <c r="L80" s="168" t="inlineStr">
        <is>
          <t>Vía Riobamba–Penipe–Baños fue habilitada tras deslizamiento</t>
        </is>
      </c>
      <c r="M80" s="168" t="inlineStr">
        <is>
          <t>Chimborazo provincial road authority (MTOP)</t>
        </is>
      </c>
      <c r="N80" s="170" t="inlineStr">
        <is>
          <t>Ecuador</t>
        </is>
      </c>
      <c r="O80" s="168" t="inlineStr">
        <is>
          <t>Riobamba–Penipe–Baños road</t>
        </is>
      </c>
      <c r="P80" s="168" t="n"/>
      <c r="Q80" s="171" t="inlineStr">
        <is>
          <t>Spain</t>
        </is>
      </c>
      <c r="R80" s="169" t="n">
        <v>46320</v>
      </c>
      <c r="S80" s="170" t="inlineStr">
        <is>
          <t>2026-Q4</t>
        </is>
      </c>
      <c r="T80" s="172" t="inlineStr">
        <is>
          <t>landslide</t>
        </is>
      </c>
      <c r="U80" s="160" t="n">
        <v>4</v>
      </c>
      <c r="V80" s="173" t="inlineStr">
        <is>
          <t>https://news.google.com/rss/articles/CBMilAFBVV95cUxPcnRNQzY0bndiRjZuWTR4SzEtdjFNZEtFOGxBVVI0dml6X3NTVE1Fa0xLSTg5X3ZkNUQxQ1lMNjR5cExKcDd3RU51WHFVMGhfNndZZFhLSk5XTjNodVFqYy1Bb2ctXzl6NTV3VDEzSXZ0VnZHWWhnSHNTenRoNEt0TmxtMnZ5bDZnZGJnbXBUbzY0d1pF?oc=5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Áncash: landslide damaged 15 meters of local road in Shupluy</t>
        </is>
      </c>
      <c r="C81" s="176" t="inlineStr">
        <is>
          <t>Infrastructure &amp; the Underground City</t>
        </is>
      </c>
      <c r="D81" s="163" t="n">
        <v>3</v>
      </c>
      <c r="E81" s="177" t="inlineStr">
        <is>
          <t>News brief</t>
        </is>
      </c>
      <c r="F81" s="165" t="inlineStr">
        <is>
          <t>To review</t>
        </is>
      </c>
      <c r="G81" s="166" t="n"/>
      <c r="H81" s="167" t="n"/>
      <c r="I81" s="168" t="inlineStr">
        <is>
          <t>What drainage and slope protection would keep a rural access road operational during Andean rainy seasons?</t>
        </is>
      </c>
      <c r="J81" s="168" t="inlineStr">
        <is>
          <t>luminanoticias.pe</t>
        </is>
      </c>
      <c r="K81" s="169" t="n">
        <v>46321</v>
      </c>
      <c r="L81" s="168" t="inlineStr">
        <is>
          <t>Áncash: deslizamiento de tierra dañó 15 metros de vía vecinal en Shupluy -</t>
        </is>
      </c>
      <c r="M81" s="168" t="inlineStr">
        <is>
          <t>Áncash regional government road authority</t>
        </is>
      </c>
      <c r="N81" s="170" t="inlineStr">
        <is>
          <t>Peru</t>
        </is>
      </c>
      <c r="O81" s="168" t="inlineStr">
        <is>
          <t>Shupluy, Áncash</t>
        </is>
      </c>
      <c r="P81" s="168" t="n"/>
      <c r="Q81" s="171" t="inlineStr">
        <is>
          <t>Spain</t>
        </is>
      </c>
      <c r="R81" s="169" t="n">
        <v>46320</v>
      </c>
      <c r="S81" s="170" t="inlineStr">
        <is>
          <t>2026-Q4</t>
        </is>
      </c>
      <c r="T81" s="172" t="inlineStr">
        <is>
          <t>landslide</t>
        </is>
      </c>
      <c r="U81" s="160" t="n">
        <v>4</v>
      </c>
      <c r="V81"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65.5" customHeight="1">
      <c r="A82" s="160" t="n">
        <v>79</v>
      </c>
      <c r="B82" s="161" t="inlineStr">
        <is>
          <t>Pickup truck stranded in sinkhole in Fronteriza neighborhood in Juárez</t>
        </is>
      </c>
      <c r="C82" s="176" t="inlineStr">
        <is>
          <t>Infrastructure &amp; the Underground City</t>
        </is>
      </c>
      <c r="D82" s="163" t="n">
        <v>3</v>
      </c>
      <c r="E82" s="177" t="inlineStr">
        <is>
          <t>News brief</t>
        </is>
      </c>
      <c r="F82" s="165" t="inlineStr">
        <is>
          <t>To review</t>
        </is>
      </c>
      <c r="G82" s="166" t="n"/>
      <c r="H82" s="167" t="n"/>
      <c r="I82" s="168" t="inlineStr">
        <is>
          <t>What failure mechanisms allow a road surface to collapse under a vehicle in a neighbourhood with poor drainage, and what subsurface survey would identify such voids before vehicles are trapped?</t>
        </is>
      </c>
      <c r="J82" s="168" t="inlineStr">
        <is>
          <t>Netnoticias.mx</t>
        </is>
      </c>
      <c r="K82" s="169" t="n">
        <v>46321</v>
      </c>
      <c r="L82" s="168" t="inlineStr">
        <is>
          <t>Camioneta varada en socavón de la colonia Fronteriza en Juárez</t>
        </is>
      </c>
      <c r="M82" s="168" t="inlineStr">
        <is>
          <t>Ciudad Juárez municipal government</t>
        </is>
      </c>
      <c r="N82" s="170" t="inlineStr">
        <is>
          <t>Mexico</t>
        </is>
      </c>
      <c r="O82" s="168" t="inlineStr">
        <is>
          <t>Colonia Fronteriza, Ciudad Juárez</t>
        </is>
      </c>
      <c r="P82" s="168" t="n"/>
      <c r="Q82" s="171" t="inlineStr">
        <is>
          <t>Colombia</t>
        </is>
      </c>
      <c r="R82" s="169" t="n">
        <v>46320</v>
      </c>
      <c r="S82" s="170" t="inlineStr">
        <is>
          <t>2026-Q4</t>
        </is>
      </c>
      <c r="T82" s="172" t="inlineStr">
        <is>
          <t>sinkhole</t>
        </is>
      </c>
      <c r="U82" s="160" t="n">
        <v>4</v>
      </c>
      <c r="V82" s="173" t="inlineStr">
        <is>
          <t>https://news.google.com/rss/articles/CBMilAFBVV95cUxPNEV1bllwT1R4cXk3NlhndEdqZm5YWXAxRXl5LThrb0dzbEdqdTJXRVB4VDMxN2NzSGtzSHR1RmxhYUdsTHVHaEJLNmZ5NTNWajhVT2VabHhRMGNCUTZDZVZRZVNmRThEckdaNVdWbEJPM3FYS0NVVDhKTlhTUE9HODdHWFE0SUpCQnE4d3N4Y0E4cldj?oc=5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Repair of sinkhole on Terrazas del Valle bridge starts tomorrow</t>
        </is>
      </c>
      <c r="C83" s="176" t="inlineStr">
        <is>
          <t>Infrastructure &amp; the Underground City</t>
        </is>
      </c>
      <c r="D83" s="163" t="n">
        <v>3</v>
      </c>
      <c r="E83" s="177" t="inlineStr">
        <is>
          <t>News brief</t>
        </is>
      </c>
      <c r="F83" s="165" t="inlineStr">
        <is>
          <t>To review</t>
        </is>
      </c>
      <c r="G83" s="166" t="n"/>
      <c r="H83" s="167" t="n"/>
      <c r="I83" s="168" t="inlineStr">
        <is>
          <t>What causes a sinkhole to form at a bridge abutment or approach, and what foundation and backfill investigation should precede a repair to prevent recurrence?</t>
        </is>
      </c>
      <c r="J83" s="168" t="inlineStr">
        <is>
          <t>Punto Norte</t>
        </is>
      </c>
      <c r="K83" s="169" t="n">
        <v>46321</v>
      </c>
      <c r="L83" s="168" t="inlineStr">
        <is>
          <t>Mañana inicia la reparación del socavón en el puente Terrazas del Valle</t>
        </is>
      </c>
      <c r="M83" s="168" t="inlineStr">
        <is>
          <t>municipal public works department</t>
        </is>
      </c>
      <c r="N83" s="170" t="inlineStr">
        <is>
          <t>Mexico</t>
        </is>
      </c>
      <c r="O83" s="168" t="inlineStr">
        <is>
          <t>Terrazas del Valle bridge</t>
        </is>
      </c>
      <c r="P83" s="168" t="inlineStr">
        <is>
          <t>Terrazas del Valle bridge sinkhole, Tijuana, Mexico · Repair &amp; reconstruction · 2 reports</t>
        </is>
      </c>
      <c r="Q83" s="171" t="inlineStr">
        <is>
          <t>Colombia</t>
        </is>
      </c>
      <c r="R83" s="169" t="n">
        <v>46318</v>
      </c>
      <c r="S83" s="170" t="inlineStr">
        <is>
          <t>2026-Q4</t>
        </is>
      </c>
      <c r="T83" s="172" t="inlineStr">
        <is>
          <t>sinkhole</t>
        </is>
      </c>
      <c r="U83" s="160" t="n">
        <v>4</v>
      </c>
      <c r="V83"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Heavy rains cause landslide on access to SP-294 in Garça</t>
        </is>
      </c>
      <c r="C84" s="176" t="inlineStr">
        <is>
          <t>Infrastructure &amp; the Underground City</t>
        </is>
      </c>
      <c r="D84" s="163" t="n">
        <v>3</v>
      </c>
      <c r="E84" s="177" t="inlineStr">
        <is>
          <t>News brief</t>
        </is>
      </c>
      <c r="F84" s="165" t="inlineStr">
        <is>
          <t>To review</t>
        </is>
      </c>
      <c r="G84" s="166" t="n"/>
      <c r="H84" s="167" t="n"/>
      <c r="I84" s="168" t="inlineStr">
        <is>
          <t>What causes a cut or embankment on a state highway access road to fail under heavy rain, and what stabilisation is appropriate for such slopes?</t>
        </is>
      </c>
      <c r="J84" s="168" t="inlineStr">
        <is>
          <t>Marília Notícia</t>
        </is>
      </c>
      <c r="K84" s="169" t="n">
        <v>46321</v>
      </c>
      <c r="L84" s="168" t="inlineStr">
        <is>
          <t>Fortes chuvas provocam deslizamento de terra em acesso da SP-294 em Garça</t>
        </is>
      </c>
      <c r="M84" s="168" t="inlineStr">
        <is>
          <t>DER-SP (São Paulo state roads department)</t>
        </is>
      </c>
      <c r="N84" s="170" t="inlineStr">
        <is>
          <t>Brazil</t>
        </is>
      </c>
      <c r="O84" s="168" t="inlineStr">
        <is>
          <t>Garça, SP-294 access road</t>
        </is>
      </c>
      <c r="P84" s="168" t="n"/>
      <c r="Q84" s="171" t="inlineStr">
        <is>
          <t>Brazil</t>
        </is>
      </c>
      <c r="R84" s="169" t="n">
        <v>46320</v>
      </c>
      <c r="S84" s="170" t="inlineStr">
        <is>
          <t>2026-Q4</t>
        </is>
      </c>
      <c r="T84" s="172" t="inlineStr">
        <is>
          <t>landslide</t>
        </is>
      </c>
      <c r="U84" s="160" t="n">
        <v>4</v>
      </c>
      <c r="V84"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Landslide and trees block highway between Tatuí and Boituva</t>
        </is>
      </c>
      <c r="C85" s="176" t="inlineStr">
        <is>
          <t>Infrastructure &amp; the Underground City</t>
        </is>
      </c>
      <c r="D85" s="163" t="n">
        <v>3</v>
      </c>
      <c r="E85" s="177" t="inlineStr">
        <is>
          <t>News brief</t>
        </is>
      </c>
      <c r="F85" s="165" t="inlineStr">
        <is>
          <t>To review</t>
        </is>
      </c>
      <c r="G85" s="166" t="n"/>
      <c r="H85" s="167" t="n"/>
      <c r="I85" s="168" t="inlineStr">
        <is>
          <t>What triggered a slope to shed soil and vegetation onto a regional highway, and what slope inspection would prevent repeated closures on this route?</t>
        </is>
      </c>
      <c r="J85" s="168" t="inlineStr">
        <is>
          <t>G1</t>
        </is>
      </c>
      <c r="K85" s="169" t="n">
        <v>46321</v>
      </c>
      <c r="L85" s="168" t="inlineStr">
        <is>
          <t>Deslizamento de terra e árvores bloqueia rodovia entre Tatuí e Boituva</t>
        </is>
      </c>
      <c r="M85" s="168" t="inlineStr">
        <is>
          <t>DER-SP (São Paulo state roads department)</t>
        </is>
      </c>
      <c r="N85" s="170" t="inlineStr">
        <is>
          <t>Brazil</t>
        </is>
      </c>
      <c r="O85" s="168" t="inlineStr">
        <is>
          <t>Tatuí–Boituva road, São Paulo</t>
        </is>
      </c>
      <c r="P85" s="168" t="n"/>
      <c r="Q85" s="171" t="inlineStr">
        <is>
          <t>Brazil</t>
        </is>
      </c>
      <c r="R85" s="169" t="n">
        <v>46320</v>
      </c>
      <c r="S85" s="170" t="inlineStr">
        <is>
          <t>2026-Q4</t>
        </is>
      </c>
      <c r="T85" s="172" t="inlineStr">
        <is>
          <t>landslide</t>
        </is>
      </c>
      <c r="U85" s="160" t="n">
        <v>4</v>
      </c>
      <c r="V85"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Landslide closes highway between Realeza and Planalto</t>
        </is>
      </c>
      <c r="C86" s="176" t="inlineStr">
        <is>
          <t>Infrastructure &amp; the Underground City</t>
        </is>
      </c>
      <c r="D86" s="163" t="n">
        <v>3</v>
      </c>
      <c r="E86" s="177" t="inlineStr">
        <is>
          <t>News brief</t>
        </is>
      </c>
      <c r="F86" s="165" t="inlineStr">
        <is>
          <t>To review</t>
        </is>
      </c>
      <c r="G86" s="166" t="n"/>
      <c r="H86" s="167" t="n"/>
      <c r="I86" s="168" t="inlineStr">
        <is>
          <t>Why do rural highway cuts in this region fail during rain, and what slope stability assessment would inform repair and prevent future interdictions?</t>
        </is>
      </c>
      <c r="J86" s="168" t="inlineStr">
        <is>
          <t>Jornal Novo Tempo</t>
        </is>
      </c>
      <c r="K86" s="169" t="n">
        <v>46321</v>
      </c>
      <c r="L86" s="168" t="inlineStr">
        <is>
          <t>Deslizamento de terra interdita rodovia entre Realeza e Planalto</t>
        </is>
      </c>
      <c r="M86" s="168" t="inlineStr">
        <is>
          <t>DER-PR (Paraná state roads department)</t>
        </is>
      </c>
      <c r="N86" s="170" t="inlineStr">
        <is>
          <t>Brazil</t>
        </is>
      </c>
      <c r="O86" s="168" t="inlineStr">
        <is>
          <t>Realeza–Planalto road, Paraná</t>
        </is>
      </c>
      <c r="P86" s="168" t="n"/>
      <c r="Q86" s="171" t="inlineStr">
        <is>
          <t>Brazil</t>
        </is>
      </c>
      <c r="R86" s="169" t="n">
        <v>46320</v>
      </c>
      <c r="S86" s="170" t="inlineStr">
        <is>
          <t>2026-Q4</t>
        </is>
      </c>
      <c r="T86" s="172" t="inlineStr">
        <is>
          <t>landslide</t>
        </is>
      </c>
      <c r="U86" s="160" t="n">
        <v>4</v>
      </c>
      <c r="V86"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BR-277 reopened after landslide in Serra da Esperança, in Guarapuava</t>
        </is>
      </c>
      <c r="C87" s="176" t="inlineStr">
        <is>
          <t>Infrastructure &amp; the Underground City</t>
        </is>
      </c>
      <c r="D87" s="163" t="n">
        <v>3</v>
      </c>
      <c r="E87" s="177" t="inlineStr">
        <is>
          <t>News brief</t>
        </is>
      </c>
      <c r="F87" s="165" t="inlineStr">
        <is>
          <t>To review</t>
        </is>
      </c>
      <c r="G87" s="166" t="n"/>
      <c r="H87" s="167" t="n"/>
      <c r="I87" s="168" t="inlineStr">
        <is>
          <t>What triggered the mountain slope failure on this highway, and what monitoring and remediation would reduce the time the route is closed after storms?</t>
        </is>
      </c>
      <c r="J87" s="168" t="inlineStr">
        <is>
          <t>Catve</t>
        </is>
      </c>
      <c r="K87" s="169" t="n">
        <v>46321</v>
      </c>
      <c r="L87" s="168" t="inlineStr">
        <is>
          <t>BR-277 é liberada após deslizamento de terra na Serra da Esperança, em Guarapuava</t>
        </is>
      </c>
      <c r="M87" s="168" t="inlineStr">
        <is>
          <t>DNIT and the BR-277 concessionaire</t>
        </is>
      </c>
      <c r="N87" s="170" t="inlineStr">
        <is>
          <t>Brazil</t>
        </is>
      </c>
      <c r="O87" s="168" t="inlineStr">
        <is>
          <t>Serra da Esperança, Guarapuava</t>
        </is>
      </c>
      <c r="P87" s="168" t="n"/>
      <c r="Q87" s="171" t="inlineStr">
        <is>
          <t>Brazil</t>
        </is>
      </c>
      <c r="R87" s="169" t="n">
        <v>46319</v>
      </c>
      <c r="S87" s="170" t="inlineStr">
        <is>
          <t>2026-Q4</t>
        </is>
      </c>
      <c r="T87" s="172" t="inlineStr">
        <is>
          <t>landslide</t>
        </is>
      </c>
      <c r="U87" s="160" t="n">
        <v>4</v>
      </c>
      <c r="V87" s="173" t="inlineStr">
        <is>
          <t>https://news.google.com/rss/articles/CBMiR0FVX3lxTE94OUJCMW4zNWdhYkRhdHNyanpLUDRXZ0gtZERXYjNCdnM0X3Z0WnV3QlVaX09kem5CMko5Vy0wamJTUnZkWjRB?oc=5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Landslide at Km 43 in Cajamar puts drivers on alert</t>
        </is>
      </c>
      <c r="C88" s="176" t="inlineStr">
        <is>
          <t>Infrastructure &amp; the Underground City</t>
        </is>
      </c>
      <c r="D88" s="163" t="n">
        <v>3</v>
      </c>
      <c r="E88" s="177" t="inlineStr">
        <is>
          <t>News brief</t>
        </is>
      </c>
      <c r="F88" s="165" t="inlineStr">
        <is>
          <t>To review</t>
        </is>
      </c>
      <c r="G88" s="166" t="n"/>
      <c r="H88" s="167" t="n"/>
      <c r="I88" s="168" t="inlineStr">
        <is>
          <t>What caused soil to slide onto this highway cut, and what slope inspection and drainage check should follow before traffic is fully normal?</t>
        </is>
      </c>
      <c r="J88" s="168" t="inlineStr">
        <is>
          <t>JORNAL DA REGIÃO</t>
        </is>
      </c>
      <c r="K88" s="169" t="n">
        <v>46321</v>
      </c>
      <c r="L88" s="168" t="inlineStr">
        <is>
          <t>Deslizamento de terra no Km 43, em Cajamar, coloca motoristas em alerta</t>
        </is>
      </c>
      <c r="M88" s="168" t="inlineStr">
        <is>
          <t>DER-SP and the road concessionaire</t>
        </is>
      </c>
      <c r="N88" s="170" t="inlineStr">
        <is>
          <t>Brazil</t>
        </is>
      </c>
      <c r="O88" s="168" t="inlineStr">
        <is>
          <t>Cajamar, São Paulo</t>
        </is>
      </c>
      <c r="P88" s="168" t="n"/>
      <c r="Q88" s="171" t="inlineStr">
        <is>
          <t>Brazil</t>
        </is>
      </c>
      <c r="R88" s="169" t="n">
        <v>46320</v>
      </c>
      <c r="S88" s="170" t="inlineStr">
        <is>
          <t>2026-Q4</t>
        </is>
      </c>
      <c r="T88" s="172" t="inlineStr">
        <is>
          <t>landslide</t>
        </is>
      </c>
      <c r="U88" s="160" t="n">
        <v>4</v>
      </c>
      <c r="V88"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More than 100 days after Kalladi landslip, twin-tunnel road project awaits safety reports</t>
        </is>
      </c>
      <c r="C89" s="162" t="inlineStr">
        <is>
          <t>Hazards &amp; Resilience</t>
        </is>
      </c>
      <c r="D89" s="163" t="n">
        <v>5</v>
      </c>
      <c r="E89" s="164" t="inlineStr">
        <is>
          <t>Feature lead</t>
        </is>
      </c>
      <c r="F89" s="165" t="inlineStr">
        <is>
          <t>To review</t>
        </is>
      </c>
      <c r="G89" s="166" t="n"/>
      <c r="H89" s="167" t="n"/>
      <c r="I89" s="168" t="inlineStr">
        <is>
          <t>How should twin-tunnel road projects be geotechnically assessed and safety-verified in landslide-prone hill terrain after a major slope failure?</t>
        </is>
      </c>
      <c r="J89" s="168" t="inlineStr">
        <is>
          <t>Onmanorama</t>
        </is>
      </c>
      <c r="K89" s="169" t="n">
        <v>46320</v>
      </c>
      <c r="L89" s="168" t="n"/>
      <c r="M89" s="168" t="n"/>
      <c r="N89" s="170" t="inlineStr">
        <is>
          <t>India</t>
        </is>
      </c>
      <c r="O89" s="168" t="inlineStr">
        <is>
          <t>Kalladi, Kerala</t>
        </is>
      </c>
      <c r="P89" s="168" t="n"/>
      <c r="Q89" s="171" t="inlineStr">
        <is>
          <t>South Africa</t>
        </is>
      </c>
      <c r="R89" s="169" t="n">
        <v>46319</v>
      </c>
      <c r="S89" s="170" t="inlineStr">
        <is>
          <t>2026-Q4</t>
        </is>
      </c>
      <c r="T89" s="172" t="inlineStr">
        <is>
          <t>landslip, tunnel</t>
        </is>
      </c>
      <c r="U89" s="160" t="n">
        <v>6</v>
      </c>
      <c r="V89"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Fragility of port disaster prevention exposed: liquefaction halts logistics at Yatsushiro</t>
        </is>
      </c>
      <c r="C90" s="162" t="inlineStr">
        <is>
          <t>Hazards &amp; Resilience</t>
        </is>
      </c>
      <c r="D90" s="163" t="n">
        <v>5</v>
      </c>
      <c r="E90" s="164" t="inlineStr">
        <is>
          <t>Feature lead</t>
        </is>
      </c>
      <c r="F90" s="165" t="inlineStr">
        <is>
          <t>To review</t>
        </is>
      </c>
      <c r="G90" s="166" t="n"/>
      <c r="H90" s="167" t="n"/>
      <c r="I90" s="168" t="inlineStr">
        <is>
          <t>Why do reclaimed port areas liquefy during earthquakes, and how can quay and yard design reduce the risk of losing logistics function after shaking?</t>
        </is>
      </c>
      <c r="J90" s="168" t="inlineStr">
        <is>
          <t>山陽新聞</t>
        </is>
      </c>
      <c r="K90" s="169" t="n">
        <v>46320</v>
      </c>
      <c r="L90" s="168" t="inlineStr">
        <is>
          <t>港湾防災のもろさ露呈 八代、液状化で物流停止</t>
        </is>
      </c>
      <c r="M90" s="168" t="n"/>
      <c r="N90" s="170" t="inlineStr">
        <is>
          <t>Japan</t>
        </is>
      </c>
      <c r="O90" s="168" t="inlineStr">
        <is>
          <t>Yatsushiro port, Kumamoto</t>
        </is>
      </c>
      <c r="P90" s="168" t="n"/>
      <c r="Q90" s="171" t="inlineStr">
        <is>
          <t>Japan</t>
        </is>
      </c>
      <c r="R90" s="169" t="n">
        <v>46318</v>
      </c>
      <c r="S90" s="170" t="inlineStr">
        <is>
          <t>2026-Q4</t>
        </is>
      </c>
      <c r="T90" s="172" t="inlineStr">
        <is>
          <t>liquefaction</t>
        </is>
      </c>
      <c r="U90" s="160" t="n">
        <v>5</v>
      </c>
      <c r="V90" s="173" t="inlineStr">
        <is>
          <t>https://news.google.com/rss/articles/CBMiZ0FVX3lxTE5leHlqNFI1UXh5aXh5dU5RMVFSUmI5Y2VCOFkzTzhla0Rwa25XbDk5ZlBNblFrdEw2UDc2ZTA4VWtaWmJuN25hLWlBdjNpRDJEU045aldfR3dLbzhzdGZmN3ltV3lxQ3M?oc=5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Arauco sinkhole: government acknowledges earlier warnings about unstable land and keeps 152 families evacuated</t>
        </is>
      </c>
      <c r="C91" s="162" t="inlineStr">
        <is>
          <t>Hazards &amp; Resilience</t>
        </is>
      </c>
      <c r="D91" s="163" t="n">
        <v>5</v>
      </c>
      <c r="E91" s="164" t="inlineStr">
        <is>
          <t>Feature lead</t>
        </is>
      </c>
      <c r="F91" s="165" t="inlineStr">
        <is>
          <t>To review</t>
        </is>
      </c>
      <c r="G91" s="166" t="n"/>
      <c r="H91" s="167" t="n"/>
      <c r="I91" s="168" t="inlineStr">
        <is>
          <t>How should authorities act on prior geotechnical warnings about unstable ground, and what criteria should govern long-term evacuation and land reuse?</t>
        </is>
      </c>
      <c r="J91" s="168" t="inlineStr">
        <is>
          <t>Publimicro</t>
        </is>
      </c>
      <c r="K91" s="169" t="n">
        <v>46320</v>
      </c>
      <c r="L91" s="168" t="inlineStr">
        <is>
          <t>Socavón de Arauco: Gobierno reconoce advertencias previas sobre terrenos inestables y mantiene evacuación de 152 familias</t>
        </is>
      </c>
      <c r="M91" s="168" t="n"/>
      <c r="N91" s="170" t="inlineStr">
        <is>
          <t>Chile</t>
        </is>
      </c>
      <c r="O91" s="168" t="inlineStr">
        <is>
          <t>Arauco</t>
        </is>
      </c>
      <c r="P91" s="168" t="inlineStr">
        <is>
          <t>Arauco sinkhole, Chile (Oct 2026) · Response &amp; recovery · 2 reports</t>
        </is>
      </c>
      <c r="Q91" s="171" t="inlineStr">
        <is>
          <t>Colombia</t>
        </is>
      </c>
      <c r="R91" s="169" t="n">
        <v>46320</v>
      </c>
      <c r="S91" s="170" t="inlineStr">
        <is>
          <t>2026-Q4</t>
        </is>
      </c>
      <c r="T91" s="172" t="inlineStr">
        <is>
          <t>sinkhole</t>
        </is>
      </c>
      <c r="U91" s="160" t="n">
        <v>4</v>
      </c>
      <c r="V91"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Up to 1.20 metres of ground moved during the 7.5 earthquake that shook Panama</t>
        </is>
      </c>
      <c r="C92" s="162" t="inlineStr">
        <is>
          <t>Hazards &amp; Resilience</t>
        </is>
      </c>
      <c r="D92" s="163" t="n">
        <v>5</v>
      </c>
      <c r="E92" s="164" t="inlineStr">
        <is>
          <t>Feature lead</t>
        </is>
      </c>
      <c r="F92" s="165" t="inlineStr">
        <is>
          <t>To review</t>
        </is>
      </c>
      <c r="G92" s="166" t="n"/>
      <c r="H92" s="167" t="n"/>
      <c r="I92" s="168" t="inlineStr">
        <is>
          <t>What mechanisms produced metre-scale ground displacement during this magnitude 7.5 earthquake, and what do they imply for fault-zone hazard assessment in Panama?</t>
        </is>
      </c>
      <c r="J92" s="168" t="inlineStr">
        <is>
          <t>Infobae</t>
        </is>
      </c>
      <c r="K92" s="169" t="n">
        <v>46320</v>
      </c>
      <c r="L92" s="168" t="inlineStr">
        <is>
          <t>Hasta 1.20 metros se desplazó el suelo durante el terremoto de 7.5 que sacudió Panamá</t>
        </is>
      </c>
      <c r="M92" s="168" t="n"/>
      <c r="N92" s="170" t="inlineStr">
        <is>
          <t>Panama</t>
        </is>
      </c>
      <c r="O92" s="168" t="inlineStr">
        <is>
          <t>Panama</t>
        </is>
      </c>
      <c r="P92" s="168" t="n"/>
      <c r="Q92" s="171" t="inlineStr">
        <is>
          <t>Argentina</t>
        </is>
      </c>
      <c r="R92" s="169" t="n">
        <v>46317</v>
      </c>
      <c r="S92" s="170" t="inlineStr">
        <is>
          <t>2026-Q4</t>
        </is>
      </c>
      <c r="T92" s="172" t="inlineStr">
        <is>
          <t>earthquake, soil</t>
        </is>
      </c>
      <c r="U92" s="160" t="n">
        <v>3</v>
      </c>
      <c r="V92"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Zaruma sits on old gold galleries: where is the sinkhole risk concentrated?</t>
        </is>
      </c>
      <c r="C93" s="162" t="inlineStr">
        <is>
          <t>Hazards &amp; Resilience</t>
        </is>
      </c>
      <c r="D93" s="163" t="n">
        <v>5</v>
      </c>
      <c r="E93" s="164" t="inlineStr">
        <is>
          <t>Feature lead</t>
        </is>
      </c>
      <c r="F93" s="165" t="inlineStr">
        <is>
          <t>To review</t>
        </is>
      </c>
      <c r="G93" s="166" t="n"/>
      <c r="H93" s="167" t="n"/>
      <c r="I93" s="168" t="inlineStr">
        <is>
          <t>How do abandoned shallow gold mine galleries affect ground stability beneath an urban area, and how can the sinkhole risk be mapped and managed?</t>
        </is>
      </c>
      <c r="J93" s="168" t="inlineStr">
        <is>
          <t>Revista Digital Minera REDIMIN</t>
        </is>
      </c>
      <c r="K93" s="169" t="n">
        <v>46320</v>
      </c>
      <c r="L93" s="168" t="inlineStr">
        <is>
          <t>Zaruma está sobre antiguas galerías de oro: ¿Dónde se concentra el riesgo de hundimiento?</t>
        </is>
      </c>
      <c r="M93" s="168" t="n"/>
      <c r="N93" s="170" t="inlineStr">
        <is>
          <t>Ecuador</t>
        </is>
      </c>
      <c r="O93" s="168" t="inlineStr">
        <is>
          <t>Zaruma</t>
        </is>
      </c>
      <c r="P93" s="168" t="n"/>
      <c r="Q93" s="171" t="inlineStr">
        <is>
          <t>Argentina</t>
        </is>
      </c>
      <c r="R93" s="169" t="n">
        <v>46319</v>
      </c>
      <c r="S93" s="170" t="inlineStr">
        <is>
          <t>2026-Q4</t>
        </is>
      </c>
      <c r="T93" s="172" t="n"/>
      <c r="U93" s="160" t="n">
        <v>0</v>
      </c>
      <c r="V93"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53" customHeight="1">
      <c r="A94" s="160" t="n">
        <v>91</v>
      </c>
      <c r="B94" s="161" t="inlineStr">
        <is>
          <t>Rockfall and landslide on the mountain of the Noah's Ark legend captured on camera; climbers escape unhurt</t>
        </is>
      </c>
      <c r="C94" s="162" t="inlineStr">
        <is>
          <t>Hazards &amp; Resilience</t>
        </is>
      </c>
      <c r="D94" s="163" t="n">
        <v>4</v>
      </c>
      <c r="E94" s="177" t="inlineStr">
        <is>
          <t>News brief</t>
        </is>
      </c>
      <c r="F94" s="165" t="inlineStr">
        <is>
          <t>To review</t>
        </is>
      </c>
      <c r="G94" s="166" t="n"/>
      <c r="H94" s="167" t="n"/>
      <c r="I94" s="168" t="inlineStr">
        <is>
          <t>What triggers rockfall and debris slides on steep volcanic-sedimentary mountain slopes, and how should hazard zoning account for such events near visitor routes?</t>
        </is>
      </c>
      <c r="J94" s="168" t="inlineStr">
        <is>
          <t>FNNプライムオンライン</t>
        </is>
      </c>
      <c r="K94" s="169" t="n">
        <v>46320</v>
      </c>
      <c r="L94" s="168" t="inlineStr">
        <is>
          <t>「ノアの箱舟」伝説の山で落石・土砂崩れ 「来るぞ！走れ！逃げろ！」カメラが捉えた発生の瞬間 “間一髪”の登山者らけがなし トルコ</t>
        </is>
      </c>
      <c r="M94" s="168" t="n"/>
      <c r="N94" s="170" t="inlineStr">
        <is>
          <t>Türkiye</t>
        </is>
      </c>
      <c r="O94" s="168" t="inlineStr">
        <is>
          <t>Mount Ararat, Ağrı</t>
        </is>
      </c>
      <c r="P94" s="168" t="n"/>
      <c r="Q94" s="171" t="inlineStr">
        <is>
          <t>Japan</t>
        </is>
      </c>
      <c r="R94" s="169" t="n">
        <v>46318</v>
      </c>
      <c r="S94" s="170" t="inlineStr">
        <is>
          <t>2026-Q4</t>
        </is>
      </c>
      <c r="T94" s="172" t="inlineStr">
        <is>
          <t>landslide, rockfall</t>
        </is>
      </c>
      <c r="U94" s="160" t="n">
        <v>8</v>
      </c>
      <c r="V94" s="173" t="inlineStr">
        <is>
          <t>https://news.google.com/rss/articles/CBMiTkFVX3lxTE1uZEw5RnB3UEJsWjd6MFZFRXhhUkV0d0QwMURpMVNQVjhUR3BIdHNrRWZ4OFFJWS12Z3JIcEthQkFhOU9WeC1fVHdiM3hLQQ?oc=5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Nghe An: urgent measures needed for landslide on the seaside road embankment</t>
        </is>
      </c>
      <c r="C95" s="183" t="inlineStr">
        <is>
          <t>Offshore, Coasts &amp; Water</t>
        </is>
      </c>
      <c r="D95" s="163" t="n">
        <v>4</v>
      </c>
      <c r="E95" s="177" t="inlineStr">
        <is>
          <t>News brief</t>
        </is>
      </c>
      <c r="F95" s="165" t="inlineStr">
        <is>
          <t>To review</t>
        </is>
      </c>
      <c r="G95" s="166" t="n"/>
      <c r="H95" s="167" t="n"/>
      <c r="I95" s="168" t="inlineStr">
        <is>
          <t>Why do coastal road embankments fail by landslide, and what emergency stabilisation and monitoring are appropriate for dyke slopes exposed to waves and rainfall?</t>
        </is>
      </c>
      <c r="J95" s="168" t="inlineStr">
        <is>
          <t>Vietnam.vn</t>
        </is>
      </c>
      <c r="K95" s="169" t="n">
        <v>46320</v>
      </c>
      <c r="L95" s="168" t="inlineStr">
        <is>
          <t>응에안성: 해안 도로 제방의 산사태 발생에 대한 긴급 조치가 필요합니다.</t>
        </is>
      </c>
      <c r="M95" s="168" t="n"/>
      <c r="N95" s="170" t="inlineStr">
        <is>
          <t>Vietnam</t>
        </is>
      </c>
      <c r="O95" s="168" t="inlineStr">
        <is>
          <t>Nghe An coastal road</t>
        </is>
      </c>
      <c r="P95" s="168" t="inlineStr">
        <is>
          <t>Nghe An coastal road embankment landslide, Vietnam (Oct 2026) · Response &amp; recovery · 2 reports</t>
        </is>
      </c>
      <c r="Q95" s="171" t="inlineStr">
        <is>
          <t>South Korea</t>
        </is>
      </c>
      <c r="R95" s="169" t="n">
        <v>46318</v>
      </c>
      <c r="S95" s="170" t="inlineStr">
        <is>
          <t>2026-Q4</t>
        </is>
      </c>
      <c r="T95" s="172" t="inlineStr">
        <is>
          <t>landslide, embankment</t>
        </is>
      </c>
      <c r="U95" s="160" t="n">
        <v>7</v>
      </c>
      <c r="V95" s="173" t="inlineStr">
        <is>
          <t>https://news.google.com/rss/articles/CBMilwFBVV95cUxPVWtrMThoQUYxQjFSLS1VQ01fYmEzUW8tamxpSHVxS3hnaWV4YWl2MV9oRUw1ekE0SG01SHJxZTM2c1p6aXMzNWh2Q2M0bXhyYjFjQm9zRGlJUUJ2TWE5VE5TYW41ZTFqSV9vaG9ZRjAyNEJNYkVrU1BrRlN3QTFQZjlUQndtZE94WWpaVXQ4RTRCZmM1enNJ?oc=5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Quang Tri: severe coastal erosion threatens dykes, embankments and residents' lives.</t>
        </is>
      </c>
      <c r="C96" s="183" t="inlineStr">
        <is>
          <t>Offshore, Coasts &amp; Water</t>
        </is>
      </c>
      <c r="D96" s="163" t="n">
        <v>4</v>
      </c>
      <c r="E96" s="164" t="inlineStr">
        <is>
          <t>Feature lead</t>
        </is>
      </c>
      <c r="F96" s="165" t="inlineStr">
        <is>
          <t>To review</t>
        </is>
      </c>
      <c r="G96" s="166" t="n"/>
      <c r="H96" s="167" t="n"/>
      <c r="I96" s="168" t="inlineStr">
        <is>
          <t>How can coastal erosion monitoring and erosion-resistant embankment design protect dykes and communities when shoreline retreat accelerates?</t>
        </is>
      </c>
      <c r="J96" s="168" t="inlineStr">
        <is>
          <t>Vietnam.vn</t>
        </is>
      </c>
      <c r="K96" s="169" t="n">
        <v>46320</v>
      </c>
      <c r="L96" s="168" t="inlineStr">
        <is>
          <t>꽝찌: 심각한 해안 침식으로 인해 제방과 둑, 그리고 주민들의 생명이 위협받고 있습니다.</t>
        </is>
      </c>
      <c r="M96" s="168" t="n"/>
      <c r="N96" s="170" t="inlineStr">
        <is>
          <t>Vietnam</t>
        </is>
      </c>
      <c r="O96" s="168" t="inlineStr">
        <is>
          <t>Quang Tri province</t>
        </is>
      </c>
      <c r="P96" s="168" t="inlineStr">
        <is>
          <t>Quang Tri coastal erosion threatening dykes, Vietnam (Oct 2026) · Event · 2 reports</t>
        </is>
      </c>
      <c r="Q96" s="171" t="inlineStr">
        <is>
          <t>South Korea</t>
        </is>
      </c>
      <c r="R96" s="169" t="n">
        <v>46318</v>
      </c>
      <c r="S96" s="170" t="inlineStr">
        <is>
          <t>2026-Q4</t>
        </is>
      </c>
      <c r="T96" s="172" t="inlineStr">
        <is>
          <t>embankment, erosion</t>
        </is>
      </c>
      <c r="U96" s="160" t="n">
        <v>5</v>
      </c>
      <c r="V96"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53" customHeight="1">
      <c r="A97" s="160" t="n">
        <v>94</v>
      </c>
      <c r="B97" s="161" t="inlineStr">
        <is>
          <t>Survived against the odds: home destroyed in typhoon No. 25 landslide in Kamogawa; Iimura Hiroshi says fear comes with consciousness</t>
        </is>
      </c>
      <c r="C97" s="162" t="inlineStr">
        <is>
          <t>Hazards &amp; Resilience</t>
        </is>
      </c>
      <c r="D97" s="163" t="n">
        <v>4</v>
      </c>
      <c r="E97" s="177" t="inlineStr">
        <is>
          <t>News brief</t>
        </is>
      </c>
      <c r="F97" s="165" t="inlineStr">
        <is>
          <t>To review</t>
        </is>
      </c>
      <c r="G97" s="166" t="n"/>
      <c r="H97" s="167" t="n"/>
      <c r="I97" s="168" t="inlineStr">
        <is>
          <t>What slope and saturation conditions cause houses on hillsides to be destroyed by debris slides during typhoon rainfall, and how can early warning address them?</t>
        </is>
      </c>
      <c r="J97" s="168" t="inlineStr">
        <is>
          <t>千葉日報オンライン</t>
        </is>
      </c>
      <c r="K97" s="169" t="n">
        <v>46320</v>
      </c>
      <c r="L97" s="168" t="inlineStr">
        <is>
          <t>自宅崩壊“九死に一生” 台風２５号 鴨川で土砂崩れ多発 生き埋めから生還 飯村浩さん 意識あるからこそ恐怖</t>
        </is>
      </c>
      <c r="M97" s="168" t="n"/>
      <c r="N97" s="170" t="inlineStr">
        <is>
          <t>Japan</t>
        </is>
      </c>
      <c r="O97" s="168" t="inlineStr">
        <is>
          <t>Kamogawa, Chiba</t>
        </is>
      </c>
      <c r="P97" s="168" t="inlineStr">
        <is>
          <t>Typhoon 25 landslides, Bōsō Peninsula, Japan (Oct 2026) · Event · 2 reports</t>
        </is>
      </c>
      <c r="Q97" s="171" t="inlineStr">
        <is>
          <t>Japan</t>
        </is>
      </c>
      <c r="R97" s="169" t="n">
        <v>46319</v>
      </c>
      <c r="S97" s="170" t="inlineStr">
        <is>
          <t>2026-Q4</t>
        </is>
      </c>
      <c r="T97" s="172" t="inlineStr">
        <is>
          <t>landslide, collapse</t>
        </is>
      </c>
      <c r="U97" s="160" t="n">
        <v>5</v>
      </c>
      <c r="V97" s="173" t="inlineStr">
        <is>
          <t>https://news.google.com/rss/articles/CBMiWEFVX3lxTFBTQ25tOTZGZzZsUWdHamNXa3hxMGdGTG8ySno0dWhQSzl1SnVtZHBuSUtrM3d3VTJPekZvbFZXRDY0TWhFZ1NDWDllM3RSeDI5SUZkRWZtQzU?oc=5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Four guests fall into sinkhole at Occidental Cozumel hotel</t>
        </is>
      </c>
      <c r="C98" s="176" t="inlineStr">
        <is>
          <t>Infrastructure &amp; the Underground City</t>
        </is>
      </c>
      <c r="D98" s="163" t="n">
        <v>4</v>
      </c>
      <c r="E98" s="177" t="inlineStr">
        <is>
          <t>News brief</t>
        </is>
      </c>
      <c r="F98" s="165" t="inlineStr">
        <is>
          <t>To review</t>
        </is>
      </c>
      <c r="G98" s="166" t="n"/>
      <c r="H98" s="167" t="n"/>
      <c r="I98" s="168" t="inlineStr">
        <is>
          <t>How do karst cavities and dissolution features in coastal limestone create sudden collapses beneath hotel and tourist structures?</t>
        </is>
      </c>
      <c r="J98" s="168" t="inlineStr">
        <is>
          <t>Quintana Roo Hoy</t>
        </is>
      </c>
      <c r="K98" s="169" t="n">
        <v>46320</v>
      </c>
      <c r="L98" s="168" t="inlineStr">
        <is>
          <t>Cuatro huéspedes caen en socavón del hotel Occidental Cozumel</t>
        </is>
      </c>
      <c r="M98" s="168" t="n"/>
      <c r="N98" s="170" t="inlineStr">
        <is>
          <t>Mexico</t>
        </is>
      </c>
      <c r="O98" s="168" t="inlineStr">
        <is>
          <t>Cozumel, Quintana Roo</t>
        </is>
      </c>
      <c r="P98" s="168" t="inlineStr">
        <is>
          <t>Occidental Cozumel hotel sinkhole, Mexico (Oct 2026) · Event · 3 reports</t>
        </is>
      </c>
      <c r="Q98" s="171" t="inlineStr">
        <is>
          <t>Colombia</t>
        </is>
      </c>
      <c r="R98" s="169" t="n">
        <v>46319</v>
      </c>
      <c r="S98" s="170" t="inlineStr">
        <is>
          <t>2026-Q4</t>
        </is>
      </c>
      <c r="T98" s="172" t="inlineStr">
        <is>
          <t>sinkhole</t>
        </is>
      </c>
      <c r="U98" s="160" t="n">
        <v>4</v>
      </c>
      <c r="V98"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Close-up of giant 120 m deep sinkhole just discovered in Phong Nha-Ke Bang</t>
        </is>
      </c>
      <c r="C99" s="182" t="inlineStr">
        <is>
          <t>Characterisation &amp; Modelling</t>
        </is>
      </c>
      <c r="D99" s="163" t="n">
        <v>4</v>
      </c>
      <c r="E99" s="164" t="inlineStr">
        <is>
          <t>Feature lead</t>
        </is>
      </c>
      <c r="F99" s="165" t="inlineStr">
        <is>
          <t>To review</t>
        </is>
      </c>
      <c r="G99" s="166" t="n"/>
      <c r="H99" s="167" t="n"/>
      <c r="I99" s="168" t="inlineStr">
        <is>
          <t>How are very deep karst sinkholes investigated, and what does their formation reveal about hazards around cave systems?</t>
        </is>
      </c>
      <c r="J99" s="168" t="inlineStr">
        <is>
          <t>Laodong.vn</t>
        </is>
      </c>
      <c r="K99" s="169" t="n">
        <v>46320</v>
      </c>
      <c r="L99" s="168" t="inlineStr">
        <is>
          <t>퐁냐케방에서 방금 발견된 깊이 120m의 거대한 싱크홀 근접 촬영</t>
        </is>
      </c>
      <c r="M99" s="168" t="n"/>
      <c r="N99" s="170" t="inlineStr">
        <is>
          <t>Vietnam</t>
        </is>
      </c>
      <c r="O99" s="168" t="inlineStr">
        <is>
          <t>Phong Nha-Ke Bang</t>
        </is>
      </c>
      <c r="P99" s="168" t="inlineStr">
        <is>
          <t>Phong Nha-Ke Bang 120 m sinkhole discovery, Vietnam · Update · 4 reports</t>
        </is>
      </c>
      <c r="Q99" s="171" t="inlineStr">
        <is>
          <t>South Korea</t>
        </is>
      </c>
      <c r="R99" s="169" t="n">
        <v>46320</v>
      </c>
      <c r="S99" s="170" t="inlineStr">
        <is>
          <t>2026-Q4</t>
        </is>
      </c>
      <c r="T99" s="172" t="inlineStr">
        <is>
          <t>sinkhole</t>
        </is>
      </c>
      <c r="U99" s="160" t="n">
        <v>4</v>
      </c>
      <c r="V99"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40.5" customHeight="1">
      <c r="A100" s="160" t="n">
        <v>97</v>
      </c>
      <c r="B100" s="161" t="inlineStr">
        <is>
          <t>Using AI to provide early warning of landslide risks.</t>
        </is>
      </c>
      <c r="C100" s="184" t="inlineStr">
        <is>
          <t>Digital Geotechnics</t>
        </is>
      </c>
      <c r="D100" s="163" t="n">
        <v>4</v>
      </c>
      <c r="E100" s="164" t="inlineStr">
        <is>
          <t>Feature lead</t>
        </is>
      </c>
      <c r="F100" s="165" t="inlineStr">
        <is>
          <t>To review</t>
        </is>
      </c>
      <c r="G100" s="166" t="n"/>
      <c r="H100" s="167" t="n"/>
      <c r="I100" s="168" t="inlineStr">
        <is>
          <t>How reliable are AI-based landslide early-warning models when trained on sparse ground monitoring data?</t>
        </is>
      </c>
      <c r="J100" s="168" t="inlineStr">
        <is>
          <t>Vietnam.vn</t>
        </is>
      </c>
      <c r="K100" s="169" t="n">
        <v>46320</v>
      </c>
      <c r="L100" s="168" t="n"/>
      <c r="M100" s="168" t="n"/>
      <c r="N100" s="170" t="n"/>
      <c r="O100" s="168" t="n"/>
      <c r="P100" s="168" t="inlineStr">
        <is>
          <t>AI landslide early warning, Vietnam · Event · 3 reports</t>
        </is>
      </c>
      <c r="Q100" s="171" t="inlineStr">
        <is>
          <t>United Kingdom</t>
        </is>
      </c>
      <c r="R100" s="169" t="n">
        <v>46319</v>
      </c>
      <c r="S100" s="170" t="inlineStr">
        <is>
          <t>2026-Q4</t>
        </is>
      </c>
      <c r="T100" s="172" t="inlineStr">
        <is>
          <t>landslide</t>
        </is>
      </c>
      <c r="U100" s="160" t="n">
        <v>4</v>
      </c>
      <c r="V100" s="173" t="inlineStr">
        <is>
          <t>https://news.google.com/rss/articles/CBMibkFVX3lxTFBHcTd0RXlKUzRRSnNZS2RrSFdQSTlnajJrcWxrUWt4S2E5cDNqSkhzRDNiRl84eW1Obll6MDJiLTUxSURzUG5GVWtnOVR3TlhyMUpPMzNHYW1XNlNyRFNweHlQMDA1RjNqQS1KZnRn?oc=5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40.5" customHeight="1">
      <c r="A101" s="160" t="n">
        <v>98</v>
      </c>
      <c r="B101" s="161" t="inlineStr">
        <is>
          <t>Reconstruction of the Terrazas del Valle bridge begins after sinkhole</t>
        </is>
      </c>
      <c r="C101" s="176" t="inlineStr">
        <is>
          <t>Infrastructure &amp; the Underground City</t>
        </is>
      </c>
      <c r="D101" s="163" t="n">
        <v>4</v>
      </c>
      <c r="E101" s="177" t="inlineStr">
        <is>
          <t>News brief</t>
        </is>
      </c>
      <c r="F101" s="165" t="inlineStr">
        <is>
          <t>To review</t>
        </is>
      </c>
      <c r="G101" s="166" t="n"/>
      <c r="H101" s="167" t="n"/>
      <c r="I101" s="168" t="inlineStr">
        <is>
          <t>What investigation and foundation design are needed to rebuild a bridge whose support ground has collapsed into a sinkhole?</t>
        </is>
      </c>
      <c r="J101" s="168" t="inlineStr">
        <is>
          <t>NDT Noticias de Tijuana</t>
        </is>
      </c>
      <c r="K101" s="169" t="n">
        <v>46320</v>
      </c>
      <c r="L101" s="168" t="inlineStr">
        <is>
          <t>Inician reconstrucción del puente de Terrazas del Valle tras socavón</t>
        </is>
      </c>
      <c r="M101" s="168" t="n"/>
      <c r="N101" s="170" t="inlineStr">
        <is>
          <t>Mexico</t>
        </is>
      </c>
      <c r="O101" s="168" t="inlineStr">
        <is>
          <t>Terrazas del Valle bridge, Tijuana</t>
        </is>
      </c>
      <c r="P101" s="168" t="inlineStr">
        <is>
          <t>Terrazas del Valle bridge sinkhole, Tijuana, Mexico · Event · 2 reports</t>
        </is>
      </c>
      <c r="Q101" s="171" t="inlineStr">
        <is>
          <t>Colombia</t>
        </is>
      </c>
      <c r="R101" s="169" t="n">
        <v>46319</v>
      </c>
      <c r="S101" s="170" t="inlineStr">
        <is>
          <t>2026-Q4</t>
        </is>
      </c>
      <c r="T101" s="172" t="inlineStr">
        <is>
          <t>sinkhole</t>
        </is>
      </c>
      <c r="U101" s="160" t="n">
        <v>4</v>
      </c>
      <c r="V101" s="173" t="inlineStr">
        <is>
          <t>https://news.google.com/rss/articles/CBMikgFBVV95cUxOTnI4emxtUmVodDFQV3Z1REstXzUyWWxvdHg5SGoxeXdNUmdPRUppY2hOZ090aElnMGpLWUZ5TEVvUVNJbVVYcDh3VjNEbWNsekVpXzNKNHFEbVRUZTVaazZ3TlpzMGNHU3A3S2g1WkgxWkdEaUo4dE5WRXB6UkQ0QjdneVMyOUZfODViZHBJZlpvQQ?oc=5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40.5" customHeight="1">
      <c r="A102" s="160" t="n">
        <v>99</v>
      </c>
      <c r="B102" s="161" t="inlineStr">
        <is>
          <t>120 m deep sinkhole containing primeval forest discovered in Phong Nha-Ke Bang area</t>
        </is>
      </c>
      <c r="C102" s="182" t="inlineStr">
        <is>
          <t>Characterisation &amp; Modelling</t>
        </is>
      </c>
      <c r="D102" s="163" t="n">
        <v>4</v>
      </c>
      <c r="E102" s="164" t="inlineStr">
        <is>
          <t>Feature lead</t>
        </is>
      </c>
      <c r="F102" s="165" t="inlineStr">
        <is>
          <t>To review</t>
        </is>
      </c>
      <c r="G102" s="166" t="n"/>
      <c r="H102" s="167" t="n"/>
      <c r="I102" s="168" t="inlineStr">
        <is>
          <t>How are very deep karst sinkholes investigated, and what does their formation reveal about hazards around cave systems?</t>
        </is>
      </c>
      <c r="J102" s="168" t="inlineStr">
        <is>
          <t>Vietnam.vn</t>
        </is>
      </c>
      <c r="K102" s="169" t="n">
        <v>46320</v>
      </c>
      <c r="L102" s="168" t="inlineStr">
        <is>
          <t>퐁냐-케방 지역에서 원시림이 포함된 깊이 120미터의 싱크홀이 발견되었습니다.</t>
        </is>
      </c>
      <c r="M102" s="168" t="n"/>
      <c r="N102" s="170" t="inlineStr">
        <is>
          <t>Vietnam</t>
        </is>
      </c>
      <c r="O102" s="168" t="inlineStr">
        <is>
          <t>Phong Nha-Ke Bang</t>
        </is>
      </c>
      <c r="P102" s="168" t="inlineStr">
        <is>
          <t>Phong Nha-Ke Bang 120 m sinkhole discovery, Vietnam · Update · 4 reports</t>
        </is>
      </c>
      <c r="Q102" s="171" t="inlineStr">
        <is>
          <t>South Korea</t>
        </is>
      </c>
      <c r="R102" s="169" t="n">
        <v>46317</v>
      </c>
      <c r="S102" s="170" t="inlineStr">
        <is>
          <t>2026-Q4</t>
        </is>
      </c>
      <c r="T102" s="172" t="inlineStr">
        <is>
          <t>sinkhole</t>
        </is>
      </c>
      <c r="U102" s="160" t="n">
        <v>4</v>
      </c>
      <c r="V102" s="173" t="inlineStr">
        <is>
          <t>https://news.google.com/rss/articles/CBMilgFBVV95cUxOaWxCcjZNMEJuSVgyc2QwRzY3ZzZMblFuNWxLV0NvSl9yRnFQLWY3NG9pRTRuVU5fdHB0YUVSd0w3V2VDSVdaLXdDYWJOUlVyM0VhWVpLQ0E1SjJxOHVMUG9pTC1JcWpKUGVNZDF6c25nZlRoZ3hwOVZPSEtqbzRIREJpTUR6UjBjbVdPckE3eTBCWU43S0E?oc=5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40.5" customHeight="1">
      <c r="A103" s="160" t="n">
        <v>100</v>
      </c>
      <c r="B103" s="161" t="inlineStr">
        <is>
          <t>Can Tho to invest over 500 billion dong in dykes against erosion at Cu Lao Dung</t>
        </is>
      </c>
      <c r="C103" s="183" t="inlineStr">
        <is>
          <t>Offshore, Coasts &amp; Water</t>
        </is>
      </c>
      <c r="D103" s="163" t="n">
        <v>4</v>
      </c>
      <c r="E103" s="164" t="inlineStr">
        <is>
          <t>Feature lead</t>
        </is>
      </c>
      <c r="F103" s="165" t="inlineStr">
        <is>
          <t>To review</t>
        </is>
      </c>
      <c r="G103" s="166" t="n"/>
      <c r="H103" s="167" t="n"/>
      <c r="I103" s="168" t="inlineStr">
        <is>
          <t>How should dyke and bank protection balance erosion control against settlement and stability on soft deltaic soils?</t>
        </is>
      </c>
      <c r="J103" s="168" t="inlineStr">
        <is>
          <t>Báo Nhân Dân điện tử</t>
        </is>
      </c>
      <c r="K103" s="169" t="n">
        <v>46320</v>
      </c>
      <c r="L103" s="168" t="inlineStr">
        <is>
          <t>Cần Thơ đầu tư hơn 500 tỷ đồng xây dựng đê phòng, chống sạt lở ở Cù Lao Dung</t>
        </is>
      </c>
      <c r="M103" s="168" t="n"/>
      <c r="N103" s="170" t="inlineStr">
        <is>
          <t>Vietnam</t>
        </is>
      </c>
      <c r="O103" s="168" t="inlineStr">
        <is>
          <t>Cu Lao Dung, Can Tho</t>
        </is>
      </c>
      <c r="P103" s="168" t="n"/>
      <c r="Q103" s="171" t="inlineStr">
        <is>
          <t>Vietnam</t>
        </is>
      </c>
      <c r="R103" s="169" t="n">
        <v>46319</v>
      </c>
      <c r="S103" s="170" t="inlineStr">
        <is>
          <t>2026-Q4</t>
        </is>
      </c>
      <c r="T103" s="172" t="inlineStr">
        <is>
          <t>landslide</t>
        </is>
      </c>
      <c r="U103" s="160" t="n">
        <v>4</v>
      </c>
      <c r="V103"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40.5" customHeight="1">
      <c r="A104" s="160" t="n">
        <v>101</v>
      </c>
      <c r="B104" s="161" t="inlineStr">
        <is>
          <t>Krong No river erosion in Lam Dong threatens irrigation works and farmland</t>
        </is>
      </c>
      <c r="C104" s="183" t="inlineStr">
        <is>
          <t>Offshore, Coasts &amp; Water</t>
        </is>
      </c>
      <c r="D104" s="163" t="n">
        <v>4</v>
      </c>
      <c r="E104" s="164" t="inlineStr">
        <is>
          <t>Feature lead</t>
        </is>
      </c>
      <c r="F104" s="165" t="inlineStr">
        <is>
          <t>To review</t>
        </is>
      </c>
      <c r="G104" s="166" t="n"/>
      <c r="H104" s="167" t="n"/>
      <c r="I104" s="168" t="inlineStr">
        <is>
          <t>How can riverbank erosion be assessed and countered to protect irrigation infrastructure and farmland?</t>
        </is>
      </c>
      <c r="J104" s="168" t="inlineStr">
        <is>
          <t>tin.skydoor.net</t>
        </is>
      </c>
      <c r="K104" s="169" t="n">
        <v>46320</v>
      </c>
      <c r="L104" s="168" t="inlineStr">
        <is>
          <t>Sạt lở sông Krông Nô tại Lâm Đồng đe dọa công trình thủy lợi và đất canh tác</t>
        </is>
      </c>
      <c r="M104" s="168" t="n"/>
      <c r="N104" s="170" t="inlineStr">
        <is>
          <t>Vietnam</t>
        </is>
      </c>
      <c r="O104" s="168" t="inlineStr">
        <is>
          <t>Krong No River, Lam Dong</t>
        </is>
      </c>
      <c r="P104" s="168" t="n"/>
      <c r="Q104" s="171" t="inlineStr">
        <is>
          <t>Vietnam</t>
        </is>
      </c>
      <c r="R104" s="169" t="n">
        <v>46319</v>
      </c>
      <c r="S104" s="170" t="inlineStr">
        <is>
          <t>2026-Q4</t>
        </is>
      </c>
      <c r="T104" s="172" t="inlineStr">
        <is>
          <t>landslide</t>
        </is>
      </c>
      <c r="U104" s="160" t="n">
        <v>4</v>
      </c>
      <c r="V104" s="173" t="inlineStr">
        <is>
          <t>https://news.google.com/rss/articles/CBMihAFBVV95cUxPVlNqT093MU81eURKNm9vZDdtTTNRdkRYZ0J2SXdSeHZqQXV1QUZCbEtiVVplNy1MTGdxbkk1a2hkN0toZ0NPakFvOENXYkRnT2JWQWczUVVLOGpYZ0dtZ1NweXUzb1NxM29TWmhUcUdOVXZfT1dBV3ZuZU5uVXhvaWpXR3Q?oc=5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Accelerating clean-up work after landslides on Provincial Road 160 along the Chay River.</t>
        </is>
      </c>
      <c r="C105" s="162" t="inlineStr">
        <is>
          <t>Hazards &amp; Resilience</t>
        </is>
      </c>
      <c r="D105" s="163" t="n">
        <v>4</v>
      </c>
      <c r="E105" s="177" t="inlineStr">
        <is>
          <t>News brief</t>
        </is>
      </c>
      <c r="F105" s="165" t="inlineStr">
        <is>
          <t>To review</t>
        </is>
      </c>
      <c r="G105" s="166" t="n"/>
      <c r="H105" s="167" t="n"/>
      <c r="I105" s="168" t="inlineStr">
        <is>
          <t>What slope stabilisation and post-failure assessment methods are suited to repeated landslides along a road built beside a river valley?</t>
        </is>
      </c>
      <c r="J105" s="168" t="inlineStr">
        <is>
          <t>Vietnam.vn</t>
        </is>
      </c>
      <c r="K105" s="169" t="n">
        <v>46320</v>
      </c>
      <c r="L105" s="168" t="inlineStr">
        <is>
          <t>Agilizar las labores de saneamiento tras los deslizamientos de tierra ocurridos en la carretera provincial 160 a lo largo del río Chay.</t>
        </is>
      </c>
      <c r="M105" s="168" t="n"/>
      <c r="N105" s="170" t="inlineStr">
        <is>
          <t>Vietnam</t>
        </is>
      </c>
      <c r="O105" s="168" t="inlineStr">
        <is>
          <t>Provincial Road 160, Chay River</t>
        </is>
      </c>
      <c r="P105" s="168" t="inlineStr">
        <is>
          <t>Provincial Road 160 Chay River landslides, Vietnam (Oct 2026) · Response &amp; recovery · 2 reports</t>
        </is>
      </c>
      <c r="Q105" s="171" t="inlineStr">
        <is>
          <t>Spain</t>
        </is>
      </c>
      <c r="R105" s="169" t="n">
        <v>46320</v>
      </c>
      <c r="S105" s="170" t="inlineStr">
        <is>
          <t>2026-Q4</t>
        </is>
      </c>
      <c r="T105" s="172" t="inlineStr">
        <is>
          <t>landslide</t>
        </is>
      </c>
      <c r="U105" s="160" t="n">
        <v>4</v>
      </c>
      <c r="V105" s="173" t="inlineStr">
        <is>
          <t>https://news.google.com/rss/articles/CBMiiwFBVV95cUxQTnhUTTY5LUVOY0tLRGhBb1lubjROLVg5c0FETHFDbFdpNFlBNFl6Z1hhTzg2VDZTZVUtdDQxSDdhbENHdnc3bGhBTUVHaHc5R0hEMDdxYlN4QV9vMVBkOTA5czhjYlpsU2gzcEZyTnhPT01pMnVPLTFoSzBJT2E1eHpiamtUSjdhYWxB?oc=5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Tragedy in Tecate: a worker dies after being buried by an earth slope on 23 October.</t>
        </is>
      </c>
      <c r="C106" s="162" t="inlineStr">
        <is>
          <t>Hazards &amp; Resilience</t>
        </is>
      </c>
      <c r="D106" s="163" t="n">
        <v>4</v>
      </c>
      <c r="E106" s="164" t="inlineStr">
        <is>
          <t>Feature lead</t>
        </is>
      </c>
      <c r="F106" s="165" t="inlineStr">
        <is>
          <t>To review</t>
        </is>
      </c>
      <c r="G106" s="166" t="n"/>
      <c r="H106" s="167" t="n"/>
      <c r="I106" s="168" t="inlineStr">
        <is>
          <t>What failure mechanisms and excavation safety controls would have prevented a worker being buried by an earth slope during construction?</t>
        </is>
      </c>
      <c r="J106" s="168" t="inlineStr">
        <is>
          <t>El Congresista</t>
        </is>
      </c>
      <c r="K106" s="169" t="n">
        <v>46320</v>
      </c>
      <c r="L106" s="168" t="inlineStr">
        <is>
          <t>Tragedia en Tecate: un trabajador muere tras ser sepultado por un talud de tierra el 23 de octubre.</t>
        </is>
      </c>
      <c r="M106" s="168" t="n"/>
      <c r="N106" s="170" t="inlineStr">
        <is>
          <t>Mexico</t>
        </is>
      </c>
      <c r="O106" s="168" t="inlineStr">
        <is>
          <t>Tecate, Baja California</t>
        </is>
      </c>
      <c r="P106" s="168" t="n"/>
      <c r="Q106" s="171" t="inlineStr">
        <is>
          <t>Spain</t>
        </is>
      </c>
      <c r="R106" s="169" t="n">
        <v>46320</v>
      </c>
      <c r="S106" s="170" t="inlineStr">
        <is>
          <t>2026-Q4</t>
        </is>
      </c>
      <c r="T106" s="172" t="inlineStr">
        <is>
          <t>retaining wall</t>
        </is>
      </c>
      <c r="U106" s="160" t="n">
        <v>4</v>
      </c>
      <c r="V106" s="173" t="inlineStr">
        <is>
          <t>https://news.google.com/rss/articles/CBMikwFBVV95cUxQZF9LM09jNm4yMjFEYUYwRWpsb2pDcVdwZ2hGMU45UGdHcUpNamhkRjhnUzEyM3NNck9TeEhjbXhqWDVTOUxWWTRROWVUdlNPRGI3QzZlM3VxeWcxVUMydjMyS3dnSDVEenFoNXpSQklwdmczQURyZXY5U2JPZV9LUzFwcGZWZkF2MnRpTVZkbHpuWUE?oc=5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40.5" customHeight="1">
      <c r="A107" s="160" t="n">
        <v>104</v>
      </c>
      <c r="B107" s="161" t="inlineStr">
        <is>
          <t>Three homes destroyed after landslide in rural area of Moniquirá.</t>
        </is>
      </c>
      <c r="C107" s="162" t="inlineStr">
        <is>
          <t>Hazards &amp; Resilience</t>
        </is>
      </c>
      <c r="D107" s="163" t="n">
        <v>4</v>
      </c>
      <c r="E107" s="177" t="inlineStr">
        <is>
          <t>News brief</t>
        </is>
      </c>
      <c r="F107" s="165" t="inlineStr">
        <is>
          <t>To review</t>
        </is>
      </c>
      <c r="G107" s="166" t="n"/>
      <c r="H107" s="167" t="n"/>
      <c r="I107" s="168" t="inlineStr">
        <is>
          <t>What triggering conditions and hazard mapping would identify rural slopes at risk of landslides destroying housing?</t>
        </is>
      </c>
      <c r="J107" s="168" t="inlineStr">
        <is>
          <t>Noticias Caracol</t>
        </is>
      </c>
      <c r="K107" s="169" t="n">
        <v>46320</v>
      </c>
      <c r="L107" s="168" t="inlineStr">
        <is>
          <t>Tres viviendas quedaron destruidas tras deslizamiento en zona rural de Moniquirá</t>
        </is>
      </c>
      <c r="M107" s="168" t="n"/>
      <c r="N107" s="170" t="inlineStr">
        <is>
          <t>Colombia</t>
        </is>
      </c>
      <c r="O107" s="168" t="inlineStr">
        <is>
          <t>Moniquirá, Boyacá</t>
        </is>
      </c>
      <c r="P107" s="168" t="n"/>
      <c r="Q107" s="171" t="inlineStr">
        <is>
          <t>Mexico</t>
        </is>
      </c>
      <c r="R107" s="169" t="n">
        <v>46318</v>
      </c>
      <c r="S107" s="170" t="inlineStr">
        <is>
          <t>2026-Q4</t>
        </is>
      </c>
      <c r="T107" s="172" t="inlineStr">
        <is>
          <t>landslide</t>
        </is>
      </c>
      <c r="U107" s="160" t="n">
        <v>4</v>
      </c>
      <c r="V107"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40.5" customHeight="1">
      <c r="A108" s="160" t="n">
        <v>105</v>
      </c>
      <c r="B108" s="161" t="inlineStr">
        <is>
          <t>Large landslide on Tofana di Dentro. No hikers involved.</t>
        </is>
      </c>
      <c r="C108" s="162" t="inlineStr">
        <is>
          <t>Hazards &amp; Resilience</t>
        </is>
      </c>
      <c r="D108" s="163" t="n">
        <v>4</v>
      </c>
      <c r="E108" s="164" t="inlineStr">
        <is>
          <t>Feature lead</t>
        </is>
      </c>
      <c r="F108" s="165" t="inlineStr">
        <is>
          <t>To review</t>
        </is>
      </c>
      <c r="G108" s="166" t="n"/>
      <c r="H108" s="167" t="n"/>
      <c r="I108" s="168" t="inlineStr">
        <is>
          <t>What controls rock slope instability in Dolomite mountains, and how can monitoring reduce risk to hikers from large rockfalls?</t>
        </is>
      </c>
      <c r="J108" s="168" t="inlineStr">
        <is>
          <t>Giornale Nord Est</t>
        </is>
      </c>
      <c r="K108" s="169" t="n">
        <v>46320</v>
      </c>
      <c r="L108" s="168" t="inlineStr">
        <is>
          <t>Frana di grandi dimensioni sulla Tofana di Dentro. Nessun escursionista coinvolto</t>
        </is>
      </c>
      <c r="M108" s="168" t="n"/>
      <c r="N108" s="170" t="inlineStr">
        <is>
          <t>Italy</t>
        </is>
      </c>
      <c r="O108" s="168" t="inlineStr">
        <is>
          <t>Tofana di Dentro, Dolomites</t>
        </is>
      </c>
      <c r="P108" s="168" t="n"/>
      <c r="Q108" s="171" t="inlineStr">
        <is>
          <t>Italy</t>
        </is>
      </c>
      <c r="R108" s="169" t="n">
        <v>46319</v>
      </c>
      <c r="S108" s="170" t="inlineStr">
        <is>
          <t>2026-Q4</t>
        </is>
      </c>
      <c r="T108" s="172" t="inlineStr">
        <is>
          <t>landslide</t>
        </is>
      </c>
      <c r="U108" s="160" t="n">
        <v>4</v>
      </c>
      <c r="V108" s="173" t="inlineStr">
        <is>
          <t>https://news.google.com/rss/articles/CBMiiAFBVV95cUxQMGVMSVUxdDNvS2xIRTB5RS0tT1RVUEVZUERpNjZLYkVMellJS1lVbnhGZ0NJLUdHOGk4ek5md29MWVJZSGxMYWp4b0lWTmJjQ0h5cV9vRjVsbkpoZ3NtQUxCOWxacDZhVkdHbDBHdG1TeENnZ09PdnF4cVpZLUplbk4tQlVaYUdY?oc=5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40.5" customHeight="1">
      <c r="A109" s="160" t="n">
        <v>106</v>
      </c>
      <c r="B109" s="161" t="inlineStr">
        <is>
          <t>Sicily, from the Niscemi landslide to Cyclone Harry: the Army rewards the Engineer Sappers.</t>
        </is>
      </c>
      <c r="C109" s="162" t="inlineStr">
        <is>
          <t>Hazards &amp; Resilience</t>
        </is>
      </c>
      <c r="D109" s="163" t="n">
        <v>4</v>
      </c>
      <c r="E109" s="164" t="inlineStr">
        <is>
          <t>Feature lead</t>
        </is>
      </c>
      <c r="F109" s="165" t="inlineStr">
        <is>
          <t>To review</t>
        </is>
      </c>
      <c r="G109" s="166" t="n"/>
      <c r="H109" s="167" t="n"/>
      <c r="I109" s="168" t="inlineStr">
        <is>
          <t>What lessons do the Niscemi landslide and Cyclone Harry offer about slope instability and engineering response in Sicily?</t>
        </is>
      </c>
      <c r="J109" s="168" t="inlineStr">
        <is>
          <t>StrettoWeb</t>
        </is>
      </c>
      <c r="K109" s="169" t="n">
        <v>46320</v>
      </c>
      <c r="L109" s="168" t="inlineStr">
        <is>
          <t>Sicilia, dalla frana di Niscemi al ciclone Harry: l’Esercito premia il Genio Guastatori</t>
        </is>
      </c>
      <c r="M109" s="168" t="n"/>
      <c r="N109" s="170" t="inlineStr">
        <is>
          <t>Italy</t>
        </is>
      </c>
      <c r="O109" s="168" t="inlineStr">
        <is>
          <t>Niscemi, Sicily</t>
        </is>
      </c>
      <c r="P109" s="168" t="inlineStr">
        <is>
          <t>Niscemi landslide, Sicily (Jan 2026) · Event · 2 reports</t>
        </is>
      </c>
      <c r="Q109" s="171" t="inlineStr">
        <is>
          <t>Italy</t>
        </is>
      </c>
      <c r="R109" s="169" t="n">
        <v>46318</v>
      </c>
      <c r="S109" s="170" t="inlineStr">
        <is>
          <t>2026-Q4</t>
        </is>
      </c>
      <c r="T109" s="172" t="inlineStr">
        <is>
          <t>landslide</t>
        </is>
      </c>
      <c r="U109" s="160" t="n">
        <v>4</v>
      </c>
      <c r="V109"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40.5" customHeight="1">
      <c r="A110" s="160" t="n">
        <v>107</v>
      </c>
      <c r="B110" s="161" t="inlineStr">
        <is>
          <t>Rapidly advancing clean-up work for landslides on Provincial Road 160 along the Chay River.</t>
        </is>
      </c>
      <c r="C110" s="162" t="inlineStr">
        <is>
          <t>Hazards &amp; Resilience</t>
        </is>
      </c>
      <c r="D110" s="163" t="n">
        <v>4</v>
      </c>
      <c r="E110" s="178" t="inlineStr">
        <is>
          <t>Watch only</t>
        </is>
      </c>
      <c r="F110" s="165" t="inlineStr">
        <is>
          <t>To review</t>
        </is>
      </c>
      <c r="G110" s="166" t="n"/>
      <c r="H110" s="167" t="n"/>
      <c r="I110" s="168" t="inlineStr">
        <is>
          <t>Duplicate of the Chay River road landslide clean-up story; monitor for follow-up on repair methods.</t>
        </is>
      </c>
      <c r="J110" s="168" t="inlineStr">
        <is>
          <t>Vietnam.vn</t>
        </is>
      </c>
      <c r="K110" s="169" t="n">
        <v>46320</v>
      </c>
      <c r="L110" s="168" t="inlineStr">
        <is>
          <t>チャイ川沿いの州道160号線における土砂崩れの復旧作業を迅速に進める。</t>
        </is>
      </c>
      <c r="M110" s="168" t="n"/>
      <c r="N110" s="170" t="inlineStr">
        <is>
          <t>Vietnam</t>
        </is>
      </c>
      <c r="O110" s="168" t="inlineStr">
        <is>
          <t>Provincial Road 160, Chay River</t>
        </is>
      </c>
      <c r="P110" s="168" t="inlineStr">
        <is>
          <t>Provincial Road 160 Chay River landslides, Vietnam (Oct 2026) · Response &amp; recovery · 2 reports</t>
        </is>
      </c>
      <c r="Q110" s="171" t="inlineStr">
        <is>
          <t>Japan</t>
        </is>
      </c>
      <c r="R110" s="169" t="n">
        <v>46320</v>
      </c>
      <c r="S110" s="170" t="inlineStr">
        <is>
          <t>2026-Q4</t>
        </is>
      </c>
      <c r="T110" s="172" t="inlineStr">
        <is>
          <t>landslide</t>
        </is>
      </c>
      <c r="U110" s="160" t="n">
        <v>4</v>
      </c>
      <c r="V110" s="173" t="inlineStr">
        <is>
          <t>https://news.google.com/rss/articles/CBMiiwFBVV95cUxQN1M1UUFnNFVScGV6VVBTbjZJSEFHOFpBQzNsNHNJTVhScXFfNGs5dVFkTkRHX2VsN3BtUk5LLWtoeHFGTWRicWtVa2wwOFpnV1o2ZkVqbC03Y09hdWVBdDlrV09PZHRtdG9NdS1DZmp6aWtGaXY1ekxpekVKbzRMa295Q19vSDlCYkk0?oc=5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Special feature: landslides frequent after Typhoon 25; hidden danger in Chiba's Bōsō Peninsula terrain, 'high valley density'.</t>
        </is>
      </c>
      <c r="C111" s="162" t="inlineStr">
        <is>
          <t>Hazards &amp; Resilience</t>
        </is>
      </c>
      <c r="D111" s="163" t="n">
        <v>4</v>
      </c>
      <c r="E111" s="164" t="inlineStr">
        <is>
          <t>Feature lead</t>
        </is>
      </c>
      <c r="F111" s="165" t="inlineStr">
        <is>
          <t>To review</t>
        </is>
      </c>
      <c r="G111" s="166" t="n"/>
      <c r="H111" s="167" t="n"/>
      <c r="I111" s="168" t="inlineStr">
        <is>
          <t>Why does valley density in the Bōsō Peninsula terrain increase landslide hazard during typhoon rainfall, and how should it be mapped?</t>
        </is>
      </c>
      <c r="J111" s="168" t="inlineStr">
        <is>
          <t>Yahoo!ニュース</t>
        </is>
      </c>
      <c r="K111" s="169" t="n">
        <v>46320</v>
      </c>
      <c r="L111" s="168" t="inlineStr">
        <is>
          <t>【特集】台風25号で土砂崩れ多発 千葉・房総半島の地形に潜む危険 「谷密度が高い」 (チバテレ)</t>
        </is>
      </c>
      <c r="M111" s="168" t="n"/>
      <c r="N111" s="170" t="inlineStr">
        <is>
          <t>Japan</t>
        </is>
      </c>
      <c r="O111" s="168" t="inlineStr">
        <is>
          <t>Bōsō Peninsula, Chiba</t>
        </is>
      </c>
      <c r="P111" s="168" t="inlineStr">
        <is>
          <t>Typhoon 25 landslides, Bōsō Peninsula, Japan (Oct 2026) · Investigation &amp; inquiry · 2 reports</t>
        </is>
      </c>
      <c r="Q111" s="171" t="inlineStr">
        <is>
          <t>Japan</t>
        </is>
      </c>
      <c r="R111" s="169" t="n">
        <v>46318</v>
      </c>
      <c r="S111" s="170" t="inlineStr">
        <is>
          <t>2026-Q4</t>
        </is>
      </c>
      <c r="T111" s="172" t="inlineStr">
        <is>
          <t>landslide</t>
        </is>
      </c>
      <c r="U111" s="160" t="n">
        <v>4</v>
      </c>
      <c r="V111" s="173" t="inlineStr">
        <is>
          <t>https://news.google.com/rss/articles/CBMijgFBVV95cUxPejNsdUVrN2NfZVROYjRBSV9BN0lGMU8tRDdVcHRMV1lkamdqQWU0b3JVb0d2aWJIb0haUWlLMVR5MGoxb1VQdXc3OU5IZG9NdGNRclg3QkZCQ2gtQldzRl9RS0J6R3hZYTFzMWpKQTBzd3RLVWdDWVlWRE5rOGRoQnRUbzFCVlU2anlxSG1B?oc=5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40.5" customHeight="1">
      <c r="A112" s="160" t="n">
        <v>109</v>
      </c>
      <c r="B112" s="161" t="inlineStr">
        <is>
          <t>Forestry expert with 20 years' experience: newly found sinkhole in Pong Nha–Ke Bang is a 'difficult problem to solve'.</t>
        </is>
      </c>
      <c r="C112" s="162" t="inlineStr">
        <is>
          <t>Hazards &amp; Resilience</t>
        </is>
      </c>
      <c r="D112" s="163" t="n">
        <v>4</v>
      </c>
      <c r="E112" s="164" t="inlineStr">
        <is>
          <t>Feature lead</t>
        </is>
      </c>
      <c r="F112" s="165" t="inlineStr">
        <is>
          <t>To review</t>
        </is>
      </c>
      <c r="G112" s="166" t="n"/>
      <c r="H112" s="167" t="n"/>
      <c r="I112" s="168" t="inlineStr">
        <is>
          <t>Why are sinkholes in karst or soluble terrain so difficult to resolve, and what investigation methods identify them early?</t>
        </is>
      </c>
      <c r="J112" s="168" t="inlineStr">
        <is>
          <t>Vietnam.vn</t>
        </is>
      </c>
      <c r="K112" s="169" t="n">
        <v>46320</v>
      </c>
      <c r="L112" s="168" t="inlineStr">
        <is>
          <t>20년 경력의 산림 전문가: 퐁냐-케방에서 새로 발견된 싱크홀은 "해결하기 어려운 문제"다.</t>
        </is>
      </c>
      <c r="M112" s="168" t="n"/>
      <c r="N112" s="170" t="inlineStr">
        <is>
          <t>Vietnam</t>
        </is>
      </c>
      <c r="O112" s="168" t="inlineStr">
        <is>
          <t>Phong Nha–Ke Bang</t>
        </is>
      </c>
      <c r="P112" s="168" t="inlineStr">
        <is>
          <t>Phong Nha-Ke Bang 120 m sinkhole discovery, Vietnam · Update · 4 reports</t>
        </is>
      </c>
      <c r="Q112" s="171" t="inlineStr">
        <is>
          <t>South Korea</t>
        </is>
      </c>
      <c r="R112" s="169" t="n">
        <v>46320</v>
      </c>
      <c r="S112" s="170" t="inlineStr">
        <is>
          <t>2026-Q4</t>
        </is>
      </c>
      <c r="T112" s="172" t="inlineStr">
        <is>
          <t>sinkhole</t>
        </is>
      </c>
      <c r="U112" s="160" t="n">
        <v>4</v>
      </c>
      <c r="V112"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Body of doctor pulled from rubble, residents evacuated after Paya Terubong landslide</t>
        </is>
      </c>
      <c r="C113" s="162" t="inlineStr">
        <is>
          <t>Hazards &amp; Resilience</t>
        </is>
      </c>
      <c r="D113" s="163" t="n">
        <v>4</v>
      </c>
      <c r="E113" s="164" t="inlineStr">
        <is>
          <t>Feature lead</t>
        </is>
      </c>
      <c r="F113" s="165" t="inlineStr">
        <is>
          <t>To review</t>
        </is>
      </c>
      <c r="G113" s="166" t="n"/>
      <c r="H113" s="167" t="n"/>
      <c r="I113" s="168" t="inlineStr">
        <is>
          <t>What triggered the fatal Paya Terubong hillside failure, and how should residential slopes be assessed before evacuation and recovery?</t>
        </is>
      </c>
      <c r="J113" s="168" t="inlineStr">
        <is>
          <t>Malay Mail</t>
        </is>
      </c>
      <c r="K113" s="169" t="n">
        <v>46320</v>
      </c>
      <c r="L113" s="168" t="n"/>
      <c r="M113" s="168" t="n"/>
      <c r="N113" s="170" t="inlineStr">
        <is>
          <t>Malaysia</t>
        </is>
      </c>
      <c r="O113" s="168" t="inlineStr">
        <is>
          <t>Paya Terubong, Penang</t>
        </is>
      </c>
      <c r="P113" s="168" t="inlineStr">
        <is>
          <t>Paya Terubong landslide, Penang, Malaysia (Oct 2026) · Response &amp; recovery · 7 reports</t>
        </is>
      </c>
      <c r="Q113" s="171" t="inlineStr">
        <is>
          <t>United Kingdom</t>
        </is>
      </c>
      <c r="R113" s="169" t="n">
        <v>46320</v>
      </c>
      <c r="S113" s="170" t="inlineStr">
        <is>
          <t>2026-Q4</t>
        </is>
      </c>
      <c r="T113" s="172" t="inlineStr">
        <is>
          <t>landslide</t>
        </is>
      </c>
      <c r="U113" s="160" t="n">
        <v>4</v>
      </c>
      <c r="V113"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Penang council halts hillside construction, roadworks after fatal landslide</t>
        </is>
      </c>
      <c r="C114" s="162" t="inlineStr">
        <is>
          <t>Hazards &amp; Resilience</t>
        </is>
      </c>
      <c r="D114" s="163" t="n">
        <v>4</v>
      </c>
      <c r="E114" s="164" t="inlineStr">
        <is>
          <t>Feature lead</t>
        </is>
      </c>
      <c r="F114" s="165" t="inlineStr">
        <is>
          <t>To review</t>
        </is>
      </c>
      <c r="G114" s="166" t="n"/>
      <c r="H114" s="167" t="n"/>
      <c r="I114" s="168" t="inlineStr">
        <is>
          <t>Should hillside development be halted after a fatal landslide, and what slope stability criteria should govern such construction?</t>
        </is>
      </c>
      <c r="J114" s="168" t="inlineStr">
        <is>
          <t>The Sun Malaysia</t>
        </is>
      </c>
      <c r="K114" s="169" t="n">
        <v>46320</v>
      </c>
      <c r="L114" s="168" t="n"/>
      <c r="M114" s="168" t="n"/>
      <c r="N114" s="170" t="inlineStr">
        <is>
          <t>Malaysia</t>
        </is>
      </c>
      <c r="O114" s="168" t="inlineStr">
        <is>
          <t>Penang hillside</t>
        </is>
      </c>
      <c r="P114" s="168" t="inlineStr">
        <is>
          <t>Paya Terubong landslide, Penang, Malaysia (Oct 2026) · Legal &amp; policy · 7 reports</t>
        </is>
      </c>
      <c r="Q114" s="171" t="inlineStr">
        <is>
          <t>United Kingdom</t>
        </is>
      </c>
      <c r="R114" s="169" t="n">
        <v>46320</v>
      </c>
      <c r="S114" s="170" t="inlineStr">
        <is>
          <t>2026-Q4</t>
        </is>
      </c>
      <c r="T114" s="172" t="inlineStr">
        <is>
          <t>landslide</t>
        </is>
      </c>
      <c r="U114" s="160" t="n">
        <v>4</v>
      </c>
      <c r="V114"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Rain batters Nilgiris; landslide buries government bus, driver loses life</t>
        </is>
      </c>
      <c r="C115" s="162" t="inlineStr">
        <is>
          <t>Hazards &amp; Resilience</t>
        </is>
      </c>
      <c r="D115" s="163" t="n">
        <v>4</v>
      </c>
      <c r="E115" s="177" t="inlineStr">
        <is>
          <t>News brief</t>
        </is>
      </c>
      <c r="F115" s="165" t="inlineStr">
        <is>
          <t>To review</t>
        </is>
      </c>
      <c r="G115" s="166" t="n"/>
      <c r="H115" s="167" t="n"/>
      <c r="I115" s="168" t="inlineStr">
        <is>
          <t>How can landslide risk on hill-road corridors be managed when a government bus is buried during heavy rain?</t>
        </is>
      </c>
      <c r="J115" s="168" t="inlineStr">
        <is>
          <t>The New Indian Express</t>
        </is>
      </c>
      <c r="K115" s="169" t="n">
        <v>46320</v>
      </c>
      <c r="L115" s="168" t="n"/>
      <c r="M115" s="168" t="n"/>
      <c r="N115" s="170" t="inlineStr">
        <is>
          <t>India</t>
        </is>
      </c>
      <c r="O115" s="168" t="inlineStr">
        <is>
          <t>Nilgiris, Tamil Nadu</t>
        </is>
      </c>
      <c r="P115" s="168" t="n"/>
      <c r="Q115" s="171" t="inlineStr">
        <is>
          <t>United Kingdom</t>
        </is>
      </c>
      <c r="R115" s="169" t="n">
        <v>46320</v>
      </c>
      <c r="S115" s="170" t="inlineStr">
        <is>
          <t>2026-Q4</t>
        </is>
      </c>
      <c r="T115" s="172" t="inlineStr">
        <is>
          <t>landslide</t>
        </is>
      </c>
      <c r="U115" s="160" t="n">
        <v>4</v>
      </c>
      <c r="V115"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[Land disappearing beneath the sea] Double attack of climate-driven sea-level rise and ground subsidence; global lands vanishing from maps.</t>
        </is>
      </c>
      <c r="C116" s="183" t="inlineStr">
        <is>
          <t>Offshore, Coasts &amp; Water</t>
        </is>
      </c>
      <c r="D116" s="163" t="n">
        <v>4</v>
      </c>
      <c r="E116" s="164" t="inlineStr">
        <is>
          <t>Feature lead</t>
        </is>
      </c>
      <c r="F116" s="165" t="inlineStr">
        <is>
          <t>To review</t>
        </is>
      </c>
      <c r="G116" s="166" t="n"/>
      <c r="H116" s="167" t="n"/>
      <c r="I116" s="168" t="inlineStr">
        <is>
          <t>How do sea-level rise and land subsidence combine to lower coastal ground, and what engineering responses can slow the loss of land?</t>
        </is>
      </c>
      <c r="J116" s="168" t="inlineStr">
        <is>
          <t>AI넷</t>
        </is>
      </c>
      <c r="K116" s="169" t="n">
        <v>46320</v>
      </c>
      <c r="L116" s="168" t="inlineStr">
        <is>
          <t>[국토가 바닷속으로 사라진다] 기후변화 발 해수면 상승·지반 침하의 이중 습격, 지도에서 지워지는 지구촌</t>
        </is>
      </c>
      <c r="M116" s="168" t="n"/>
      <c r="N116" s="170" t="n"/>
      <c r="O116" s="168" t="n"/>
      <c r="P116" s="168" t="n"/>
      <c r="Q116" s="171" t="inlineStr">
        <is>
          <t>South Korea</t>
        </is>
      </c>
      <c r="R116" s="169" t="n">
        <v>46320</v>
      </c>
      <c r="S116" s="170" t="inlineStr">
        <is>
          <t>2026-Q4</t>
        </is>
      </c>
      <c r="T116" s="172" t="inlineStr">
        <is>
          <t>subsidence</t>
        </is>
      </c>
      <c r="U116" s="160" t="n">
        <v>3</v>
      </c>
      <c r="V116" s="173" t="inlineStr">
        <is>
          <t>https://news.google.com/rss/articles/CBMiQEFVX3lxTE5xNDZoRUVLVUFyUVB6d3duejJIdUpLZjlKZ21qRXJtLWsycEZCU2RuWWtvblNOVHFJc1JpSW1HMkk?oc=5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Shield 'Nadezhda' completes tunnelling to future metro stations in Primorsky district</t>
        </is>
      </c>
      <c r="C117" s="176" t="inlineStr">
        <is>
          <t>Infrastructure &amp; the Underground City</t>
        </is>
      </c>
      <c r="D117" s="163" t="n">
        <v>4</v>
      </c>
      <c r="E117" s="177" t="inlineStr">
        <is>
          <t>News brief</t>
        </is>
      </c>
      <c r="F117" s="165" t="inlineStr">
        <is>
          <t>To review</t>
        </is>
      </c>
      <c r="G117" s="166" t="n"/>
      <c r="H117" s="167" t="n"/>
      <c r="I117" s="168" t="inlineStr">
        <is>
          <t>How did the shield tunnelling through the local soils, with groundwater and face-stability conditions, shape the progress of the St Petersburg metro extension?</t>
        </is>
      </c>
      <c r="J117" s="168" t="inlineStr">
        <is>
          <t>Piter.tv</t>
        </is>
      </c>
      <c r="K117" s="169" t="n">
        <v>46320</v>
      </c>
      <c r="L117" s="168" t="inlineStr">
        <is>
          <t>Щит "Надежда" завершил проходку тоннеля к будущим станциям метро Приморского района</t>
        </is>
      </c>
      <c r="M117" s="168" t="n"/>
      <c r="N117" s="170" t="inlineStr">
        <is>
          <t>Russia</t>
        </is>
      </c>
      <c r="O117" s="168" t="inlineStr">
        <is>
          <t>Primorsky district, St Petersburg</t>
        </is>
      </c>
      <c r="P117" s="168" t="n"/>
      <c r="Q117" s="171" t="inlineStr">
        <is>
          <t>Russia</t>
        </is>
      </c>
      <c r="R117" s="169" t="n">
        <v>46318</v>
      </c>
      <c r="S117" s="170" t="inlineStr">
        <is>
          <t>2026-Q4</t>
        </is>
      </c>
      <c r="T117" s="172" t="inlineStr">
        <is>
          <t>tunnel, metro line</t>
        </is>
      </c>
      <c r="U117" s="160" t="n">
        <v>2</v>
      </c>
      <c r="V117"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Experts comment on the plan to level Mot mountain in Quy Nhon</t>
        </is>
      </c>
      <c r="C118" s="176" t="inlineStr">
        <is>
          <t>Infrastructure &amp; the Underground City</t>
        </is>
      </c>
      <c r="D118" s="163" t="n">
        <v>4</v>
      </c>
      <c r="E118" s="164" t="inlineStr">
        <is>
          <t>Feature lead</t>
        </is>
      </c>
      <c r="F118" s="165" t="inlineStr">
        <is>
          <t>To review</t>
        </is>
      </c>
      <c r="G118" s="166" t="n"/>
      <c r="H118" s="167" t="n"/>
      <c r="I118" s="168" t="inlineStr">
        <is>
          <t>What are the slope stability, rock-cutting and environmental trade-offs in levelling a granite mountain inside an urban area, and how should experts weigh them?</t>
        </is>
      </c>
      <c r="J118" s="168" t="inlineStr">
        <is>
          <t>Vietnam.vn</t>
        </is>
      </c>
      <c r="K118" s="169" t="n">
        <v>46320</v>
      </c>
      <c r="L118" s="168" t="inlineStr">
        <is>
          <t>Des experts s'expriment sur le projet de rasage du mont Mot à Quy Nhon.</t>
        </is>
      </c>
      <c r="M118" s="168" t="n"/>
      <c r="N118" s="170" t="inlineStr">
        <is>
          <t>Vietnam</t>
        </is>
      </c>
      <c r="O118" s="168" t="inlineStr">
        <is>
          <t>Mot Mountain, Quy Nhon</t>
        </is>
      </c>
      <c r="P118" s="168" t="inlineStr">
        <is>
          <t>Mot Mountain levelling proposal, Quy Nhon, Vietnam · Update · 2 reports</t>
        </is>
      </c>
      <c r="Q118" s="171" t="inlineStr">
        <is>
          <t>France</t>
        </is>
      </c>
      <c r="R118" s="169" t="n">
        <v>46318</v>
      </c>
      <c r="S118" s="170" t="inlineStr">
        <is>
          <t>2026-Q4</t>
        </is>
      </c>
      <c r="T118" s="172" t="n"/>
      <c r="U118" s="160" t="n">
        <v>0</v>
      </c>
      <c r="V118" s="173" t="inlineStr">
        <is>
          <t>https://news.google.com/rss/articles/CBMijwFBVV95cUxNVGtiZ0lmT1lzdnltdVZfN1RsaGl0c3g2Sll0bDJUMHd6UDdFQXN3VlJteWJjTTNHZ1R1TXVJcVBZTl94UDFaczBDUjdObXpScmpZeFZPVkpHRjBUSXFteDJ2dlhFeWxPdVgzamFWaFFRQ1lhSG55VFJKQnRWV1pkNE5TcEs1WWlIT25qbUxVbw?oc=5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Imperial advances planning of block caving method at Red Chris mine</t>
        </is>
      </c>
      <c r="C119" s="176" t="inlineStr">
        <is>
          <t>Infrastructure &amp; the Underground City</t>
        </is>
      </c>
      <c r="D119" s="163" t="n">
        <v>4</v>
      </c>
      <c r="E119" s="179" t="inlineStr">
        <is>
          <t>Academia-to-Industry topic</t>
        </is>
      </c>
      <c r="F119" s="165" t="inlineStr">
        <is>
          <t>To review</t>
        </is>
      </c>
      <c r="G119" s="166" t="n"/>
      <c r="H119" s="167" t="n"/>
      <c r="I119" s="168" t="inlineStr">
        <is>
          <t>What geomechanical data and rock mass characterisation are needed to plan block caving sequences safely in a large porphyry copper mine?</t>
        </is>
      </c>
      <c r="J119" s="168" t="inlineStr">
        <is>
          <t>MarketScreener España</t>
        </is>
      </c>
      <c r="K119" s="169" t="n">
        <v>46320</v>
      </c>
      <c r="L119" s="168" t="inlineStr">
        <is>
          <t>Imperial avanza en la planificación del método de hundimiento por bloques en la mina Red Chris</t>
        </is>
      </c>
      <c r="M119" s="168" t="n"/>
      <c r="N119" s="170" t="inlineStr">
        <is>
          <t>Canada</t>
        </is>
      </c>
      <c r="O119" s="168" t="inlineStr">
        <is>
          <t>Red Chris mine</t>
        </is>
      </c>
      <c r="P119" s="168" t="n"/>
      <c r="Q119" s="171" t="inlineStr">
        <is>
          <t>Argentina</t>
        </is>
      </c>
      <c r="R119" s="169" t="n">
        <v>46318</v>
      </c>
      <c r="S119" s="170" t="inlineStr">
        <is>
          <t>2026-Q4</t>
        </is>
      </c>
      <c r="T119" s="172" t="n"/>
      <c r="U119" s="160" t="n">
        <v>0</v>
      </c>
      <c r="V119"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40.5" customHeight="1">
      <c r="A120" s="160" t="n">
        <v>117</v>
      </c>
      <c r="B120" s="161" t="inlineStr">
        <is>
          <t>SAM demands answers over fatal Penang landslide which killed doctor</t>
        </is>
      </c>
      <c r="C120" s="186" t="inlineStr">
        <is>
          <t>Geotechnics &amp; Society</t>
        </is>
      </c>
      <c r="D120" s="163" t="n">
        <v>3</v>
      </c>
      <c r="E120" s="177" t="inlineStr">
        <is>
          <t>News brief</t>
        </is>
      </c>
      <c r="F120" s="165" t="inlineStr">
        <is>
          <t>To review</t>
        </is>
      </c>
      <c r="G120" s="166" t="n"/>
      <c r="H120" s="167" t="n"/>
      <c r="I120" s="168" t="inlineStr">
        <is>
          <t>What accountability and slope regulation gaps are revealed after a fatal landslide in a hillside urban area?</t>
        </is>
      </c>
      <c r="J120" s="168" t="inlineStr">
        <is>
          <t>NST Online</t>
        </is>
      </c>
      <c r="K120" s="169" t="n">
        <v>46320</v>
      </c>
      <c r="L120" s="168" t="n"/>
      <c r="M120" s="168" t="n"/>
      <c r="N120" s="170" t="inlineStr">
        <is>
          <t>Malaysia</t>
        </is>
      </c>
      <c r="O120" s="168" t="inlineStr">
        <is>
          <t>Penang</t>
        </is>
      </c>
      <c r="P120" s="168" t="inlineStr">
        <is>
          <t>Paya Terubong landslide, Penang, Malaysia (Oct 2026) · Legal &amp; policy · 7 reports</t>
        </is>
      </c>
      <c r="Q120" s="171" t="inlineStr">
        <is>
          <t>United Kingdom</t>
        </is>
      </c>
      <c r="R120" s="169" t="n">
        <v>46320</v>
      </c>
      <c r="S120" s="170" t="inlineStr">
        <is>
          <t>2026-Q4</t>
        </is>
      </c>
      <c r="T120" s="172" t="inlineStr">
        <is>
          <t>landslide</t>
        </is>
      </c>
      <c r="U120" s="160" t="n">
        <v>4</v>
      </c>
      <c r="V120"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'The 1956 Landslide and the Church of San Pietro': photographic exhibition extended</t>
        </is>
      </c>
      <c r="C121" s="186" t="inlineStr">
        <is>
          <t>Geotechnics &amp; Society</t>
        </is>
      </c>
      <c r="D121" s="163" t="n">
        <v>3</v>
      </c>
      <c r="E121" s="178" t="inlineStr">
        <is>
          <t>Watch only</t>
        </is>
      </c>
      <c r="F121" s="165" t="inlineStr">
        <is>
          <t>To review</t>
        </is>
      </c>
      <c r="G121" s="166" t="n"/>
      <c r="H121" s="167" t="n"/>
      <c r="I121" s="168" t="inlineStr">
        <is>
          <t>How did the 1956 landslide shape settlement decisions and church site safety, and what does that history teach about landslide memory?</t>
        </is>
      </c>
      <c r="J121" s="168" t="inlineStr">
        <is>
          <t>Trigno.net</t>
        </is>
      </c>
      <c r="K121" s="169" t="n">
        <v>46320</v>
      </c>
      <c r="L121" s="168" t="inlineStr">
        <is>
          <t>"La Frana del 1956 e la Chiesa di San Pietro", prorogata la mostra fotografica</t>
        </is>
      </c>
      <c r="M121" s="168" t="n"/>
      <c r="N121" s="170" t="inlineStr">
        <is>
          <t>Italy</t>
        </is>
      </c>
      <c r="O121" s="168" t="n"/>
      <c r="P121" s="168" t="n"/>
      <c r="Q121" s="171" t="inlineStr">
        <is>
          <t>Italy</t>
        </is>
      </c>
      <c r="R121" s="169" t="n">
        <v>46319</v>
      </c>
      <c r="S121" s="170" t="inlineStr">
        <is>
          <t>2026-Q4</t>
        </is>
      </c>
      <c r="T121" s="172" t="inlineStr">
        <is>
          <t>landslide</t>
        </is>
      </c>
      <c r="U121" s="160" t="n">
        <v>4</v>
      </c>
      <c r="V121"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Exploring Phong Nha-Ke Bang’s famous sinkholes</t>
        </is>
      </c>
      <c r="C122" s="182" t="inlineStr">
        <is>
          <t>Characterisation &amp; Modelling</t>
        </is>
      </c>
      <c r="D122" s="163" t="n">
        <v>3</v>
      </c>
      <c r="E122" s="181" t="inlineStr">
        <is>
          <t>Regional insight</t>
        </is>
      </c>
      <c r="F122" s="165" t="inlineStr">
        <is>
          <t>To review</t>
        </is>
      </c>
      <c r="G122" s="166" t="n"/>
      <c r="H122" s="167" t="n"/>
      <c r="I122" s="168" t="inlineStr">
        <is>
          <t>How can karst cave systems and sinkhole susceptibility be mapped and characterised in tropical limestone terrain for tourism and infrastructure?</t>
        </is>
      </c>
      <c r="J122" s="168" t="inlineStr">
        <is>
          <t>DTiNews</t>
        </is>
      </c>
      <c r="K122" s="169" t="n">
        <v>46320</v>
      </c>
      <c r="L122" s="168" t="n"/>
      <c r="M122" s="168" t="n"/>
      <c r="N122" s="170" t="inlineStr">
        <is>
          <t>Vietnam</t>
        </is>
      </c>
      <c r="O122" s="168" t="inlineStr">
        <is>
          <t>Phong Nha-Ke Bang</t>
        </is>
      </c>
      <c r="P122" s="168" t="n"/>
      <c r="Q122" s="171" t="inlineStr">
        <is>
          <t>United Kingdom</t>
        </is>
      </c>
      <c r="R122" s="169" t="n">
        <v>46320</v>
      </c>
      <c r="S122" s="170" t="inlineStr">
        <is>
          <t>2026-Q4</t>
        </is>
      </c>
      <c r="T122" s="172" t="inlineStr">
        <is>
          <t>sinkhole</t>
        </is>
      </c>
      <c r="U122" s="160" t="n">
        <v>4</v>
      </c>
      <c r="V122"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40.5" customHeight="1">
      <c r="A123" s="160" t="n">
        <v>120</v>
      </c>
      <c r="B123" s="161" t="inlineStr">
        <is>
          <t>Dong Thap province spends 330 billion dong to tackle landslide-hit areas</t>
        </is>
      </c>
      <c r="C123" s="183" t="inlineStr">
        <is>
          <t>Offshore, Coasts &amp; Water</t>
        </is>
      </c>
      <c r="D123" s="163" t="n">
        <v>3</v>
      </c>
      <c r="E123" s="181" t="inlineStr">
        <is>
          <t>Regional insight</t>
        </is>
      </c>
      <c r="F123" s="165" t="inlineStr">
        <is>
          <t>To review</t>
        </is>
      </c>
      <c r="G123" s="166" t="n"/>
      <c r="H123" s="167" t="n"/>
      <c r="I123" s="168" t="inlineStr">
        <is>
          <t>How does riverbank failure in the Mekong delta drive the cost and design choice between revetments and managed retreat?</t>
        </is>
      </c>
      <c r="J123" s="168" t="inlineStr">
        <is>
          <t>Vietnam.vn</t>
        </is>
      </c>
      <c r="K123" s="169" t="n">
        <v>46320</v>
      </c>
      <c r="L123" s="168" t="inlineStr">
        <is>
          <t>La provincia di Dong Thap spende 330 miliardi di dong vietnamiti per affrontare le zone colpite dalle frane.</t>
        </is>
      </c>
      <c r="M123" s="168" t="n"/>
      <c r="N123" s="170" t="inlineStr">
        <is>
          <t>Vietnam</t>
        </is>
      </c>
      <c r="O123" s="168" t="inlineStr">
        <is>
          <t>Dong Thap province</t>
        </is>
      </c>
      <c r="P123" s="168" t="n"/>
      <c r="Q123" s="171" t="inlineStr">
        <is>
          <t>Italy</t>
        </is>
      </c>
      <c r="R123" s="169" t="n">
        <v>46318</v>
      </c>
      <c r="S123" s="170" t="inlineStr">
        <is>
          <t>2026-Q4</t>
        </is>
      </c>
      <c r="T123" s="172" t="inlineStr">
        <is>
          <t>landslide</t>
        </is>
      </c>
      <c r="U123" s="160" t="n">
        <v>4</v>
      </c>
      <c r="V123" s="173" t="inlineStr">
        <is>
          <t>https://news.google.com/rss/articles/CBMifkFVX3lxTE1VN2xaNDhXeTdHWkRoTGZuYXhscnI4SnFCeDFqTVdEWHl1anViQ0hlemlUN1FIN1RaSTl0RjRJUlJ2Y2NmWVZuajROZzdULVVZWTRKV2gyeElnWkZ0MUNILXdPeWEwUlNyMldoZkU4MFJEODZSY3dYYnlFOXZ4dw?oc=5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53" customHeight="1">
      <c r="A124" s="160" t="n">
        <v>121</v>
      </c>
      <c r="B124" s="161" t="inlineStr">
        <is>
          <t>A sinkhole in Cerro fills with water and threatens pedestrians and drivers after rains</t>
        </is>
      </c>
      <c r="C124" s="176" t="inlineStr">
        <is>
          <t>Infrastructure &amp; the Underground City</t>
        </is>
      </c>
      <c r="D124" s="163" t="n">
        <v>3</v>
      </c>
      <c r="E124" s="177" t="inlineStr">
        <is>
          <t>News brief</t>
        </is>
      </c>
      <c r="F124" s="165" t="inlineStr">
        <is>
          <t>To review</t>
        </is>
      </c>
      <c r="G124" s="166" t="n"/>
      <c r="H124" s="167" t="n"/>
      <c r="I124" s="168" t="inlineStr">
        <is>
          <t>What causes water-filled sinkholes to form in urban ground after rainfall, and how should pedestrian and traffic exclusion zones be set?</t>
        </is>
      </c>
      <c r="J124" s="168" t="inlineStr">
        <is>
          <t>Infobae</t>
        </is>
      </c>
      <c r="K124" s="169" t="n">
        <v>46320</v>
      </c>
      <c r="L124" s="168" t="inlineStr">
        <is>
          <t>Un socavón en Cerro se llena de agua y amenaza a peatones y conductores tras las lluvias</t>
        </is>
      </c>
      <c r="M124" s="168" t="n"/>
      <c r="N124" s="170" t="n"/>
      <c r="O124" s="168" t="inlineStr">
        <is>
          <t>Cerro</t>
        </is>
      </c>
      <c r="P124" s="168" t="n"/>
      <c r="Q124" s="171" t="inlineStr">
        <is>
          <t>Colombia</t>
        </is>
      </c>
      <c r="R124" s="169" t="n">
        <v>46319</v>
      </c>
      <c r="S124" s="170" t="inlineStr">
        <is>
          <t>2026-Q4</t>
        </is>
      </c>
      <c r="T124" s="172" t="inlineStr">
        <is>
          <t>sinkhole</t>
        </is>
      </c>
      <c r="U124" s="160" t="n">
        <v>4</v>
      </c>
      <c r="V124"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40.5" customHeight="1">
      <c r="A125" s="160" t="n">
        <v>122</v>
      </c>
      <c r="B125" s="161" t="inlineStr">
        <is>
          <t>A sinkhole trapped an ambulance transporting a patient</t>
        </is>
      </c>
      <c r="C125" s="176" t="inlineStr">
        <is>
          <t>Infrastructure &amp; the Underground City</t>
        </is>
      </c>
      <c r="D125" s="163" t="n">
        <v>3</v>
      </c>
      <c r="E125" s="177" t="inlineStr">
        <is>
          <t>News brief</t>
        </is>
      </c>
      <c r="F125" s="165" t="inlineStr">
        <is>
          <t>To review</t>
        </is>
      </c>
      <c r="G125" s="166" t="n"/>
      <c r="H125" s="167" t="n"/>
      <c r="I125" s="168" t="inlineStr">
        <is>
          <t>What ground investigation is needed to explain sudden road sinkholes that trap emergency vehicles on mountain-road pavements?</t>
        </is>
      </c>
      <c r="J125" s="168" t="inlineStr">
        <is>
          <t>Diario 7 lagos</t>
        </is>
      </c>
      <c r="K125" s="169" t="n">
        <v>46320</v>
      </c>
      <c r="L125" s="168" t="inlineStr">
        <is>
          <t>Un socavón dejó atrapada a una ambulancia que trasladaba a una paciente</t>
        </is>
      </c>
      <c r="M125" s="168" t="n"/>
      <c r="N125" s="170" t="inlineStr">
        <is>
          <t>Argentina</t>
        </is>
      </c>
      <c r="O125" s="168" t="inlineStr">
        <is>
          <t>Siete Lagos, Patagonia</t>
        </is>
      </c>
      <c r="P125" s="168" t="inlineStr">
        <is>
          <t>Aucapán road sinkhole traps ambulance, Argentina (Oct 2026) · Event · 2 reports</t>
        </is>
      </c>
      <c r="Q125" s="171" t="inlineStr">
        <is>
          <t>Colombia</t>
        </is>
      </c>
      <c r="R125" s="169" t="n">
        <v>46319</v>
      </c>
      <c r="S125" s="170" t="inlineStr">
        <is>
          <t>2026-Q4</t>
        </is>
      </c>
      <c r="T125" s="172" t="inlineStr">
        <is>
          <t>sinkhole</t>
        </is>
      </c>
      <c r="U125" s="160" t="n">
        <v>4</v>
      </c>
      <c r="V125"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Sinkhole endangers motorists and pedestrians in the 21 de Marzo neighbourhood</t>
        </is>
      </c>
      <c r="C126" s="176" t="inlineStr">
        <is>
          <t>Infrastructure &amp; the Underground City</t>
        </is>
      </c>
      <c r="D126" s="163" t="n">
        <v>3</v>
      </c>
      <c r="E126" s="177" t="inlineStr">
        <is>
          <t>News brief</t>
        </is>
      </c>
      <c r="F126" s="165" t="inlineStr">
        <is>
          <t>To review</t>
        </is>
      </c>
      <c r="G126" s="166" t="n"/>
      <c r="H126" s="167" t="n"/>
      <c r="I126" s="168" t="inlineStr">
        <is>
          <t>What are the likely causes of urban road sinkholes, such as leaking pipes or subsurface erosion, and how should they be detected early?</t>
        </is>
      </c>
      <c r="J126" s="168" t="inlineStr">
        <is>
          <t>El Sol de México</t>
        </is>
      </c>
      <c r="K126" s="169" t="n">
        <v>46320</v>
      </c>
      <c r="L126" s="168" t="inlineStr">
        <is>
          <t>Socavón pone en riesgo a automovilistas y peatones en la colonia 21 de Marzo</t>
        </is>
      </c>
      <c r="M126" s="168" t="n"/>
      <c r="N126" s="170" t="inlineStr">
        <is>
          <t>Mexico</t>
        </is>
      </c>
      <c r="O126" s="168" t="inlineStr">
        <is>
          <t>Colonia 21 de Marzo</t>
        </is>
      </c>
      <c r="P126" s="168" t="n"/>
      <c r="Q126" s="171" t="inlineStr">
        <is>
          <t>Colombia</t>
        </is>
      </c>
      <c r="R126" s="169" t="n">
        <v>46320</v>
      </c>
      <c r="S126" s="170" t="inlineStr">
        <is>
          <t>2026-Q4</t>
        </is>
      </c>
      <c r="T126" s="172" t="inlineStr">
        <is>
          <t>sinkhole</t>
        </is>
      </c>
      <c r="U126" s="160" t="n">
        <v>4</v>
      </c>
      <c r="V126"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Government abandons community with an enormous sinkhole</t>
        </is>
      </c>
      <c r="C127" s="176" t="inlineStr">
        <is>
          <t>Infrastructure &amp; the Underground City</t>
        </is>
      </c>
      <c r="D127" s="163" t="n">
        <v>3</v>
      </c>
      <c r="E127" s="178" t="inlineStr">
        <is>
          <t>Watch only</t>
        </is>
      </c>
      <c r="F127" s="165" t="inlineStr">
        <is>
          <t>To review</t>
        </is>
      </c>
      <c r="G127" s="166" t="n"/>
      <c r="H127" s="167" t="n"/>
      <c r="I127" s="168" t="inlineStr">
        <is>
          <t>Large community sinkhole left without official remediation; the geotechnical cause and responsibility for investigation remain open.</t>
        </is>
      </c>
      <c r="J127" s="168" t="inlineStr">
        <is>
          <t>emsavalles.com</t>
        </is>
      </c>
      <c r="K127" s="169" t="n">
        <v>46320</v>
      </c>
      <c r="L127" s="168" t="inlineStr">
        <is>
          <t>Gobierno abandona comunidad con un enorme socavón</t>
        </is>
      </c>
      <c r="M127" s="168" t="n"/>
      <c r="N127" s="170" t="n"/>
      <c r="O127" s="168" t="n"/>
      <c r="P127" s="168" t="n"/>
      <c r="Q127" s="171" t="inlineStr">
        <is>
          <t>Colombia</t>
        </is>
      </c>
      <c r="R127" s="169" t="n">
        <v>46319</v>
      </c>
      <c r="S127" s="170" t="inlineStr">
        <is>
          <t>2026-Q4</t>
        </is>
      </c>
      <c r="T127" s="172" t="inlineStr">
        <is>
          <t>sinkhole</t>
        </is>
      </c>
      <c r="U127" s="160" t="n">
        <v>4</v>
      </c>
      <c r="V127" s="173" t="inlineStr">
        <is>
          <t>https://news.google.com/rss/articles/CBMiiAFBVV95cUxOM3hmcTdXVUJhd1hTblR3RXJ5ZzRQbm80a1dYa21RTlo0T1VmWVUwN1htemlUYnlUbWlxcFZzbjZsQWo2UzZsbGozVHNXRG1MNndqdkJRb1BSVW1GcWFQd1BNdzF0NWNJZGxpWGF0Q3hGNkl3R3E2QnhidTZ1SElMUDFFMm9Ib1lf?oc=5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Sinkhole repair will close Route 241 in Lebanon County for a week</t>
        </is>
      </c>
      <c r="C128" s="176" t="inlineStr">
        <is>
          <t>Infrastructure &amp; the Underground City</t>
        </is>
      </c>
      <c r="D128" s="163" t="n">
        <v>3</v>
      </c>
      <c r="E128" s="177" t="inlineStr">
        <is>
          <t>News brief</t>
        </is>
      </c>
      <c r="F128" s="165" t="inlineStr">
        <is>
          <t>To review</t>
        </is>
      </c>
      <c r="G128" s="166" t="n"/>
      <c r="H128" s="167" t="n"/>
      <c r="I128" s="168" t="inlineStr">
        <is>
          <t>What causes sinkholes under pavement in karst or mined ground, and which investigation methods would have identified the void before the road failed?</t>
        </is>
      </c>
      <c r="J128" s="168" t="inlineStr">
        <is>
          <t>ABC27</t>
        </is>
      </c>
      <c r="K128" s="169" t="n">
        <v>46320</v>
      </c>
      <c r="L128" s="168" t="n"/>
      <c r="M128" s="168" t="n"/>
      <c r="N128" s="170" t="inlineStr">
        <is>
          <t>United States</t>
        </is>
      </c>
      <c r="O128" s="168" t="inlineStr">
        <is>
          <t>Route 241, Lebanon County</t>
        </is>
      </c>
      <c r="P128" s="168" t="n"/>
      <c r="Q128" s="171" t="inlineStr">
        <is>
          <t>United Kingdom</t>
        </is>
      </c>
      <c r="R128" s="169" t="n">
        <v>46319</v>
      </c>
      <c r="S128" s="170" t="inlineStr">
        <is>
          <t>2026-Q4</t>
        </is>
      </c>
      <c r="T128" s="172" t="inlineStr">
        <is>
          <t>sinkhole</t>
        </is>
      </c>
      <c r="U128" s="160" t="n">
        <v>4</v>
      </c>
      <c r="V128"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TBMs to be produced under Aatmanirbhar Bharat, says Ashwini Vaishnaw</t>
        </is>
      </c>
      <c r="C129" s="176" t="inlineStr">
        <is>
          <t>Infrastructure &amp; the Underground City</t>
        </is>
      </c>
      <c r="D129" s="163" t="n">
        <v>3</v>
      </c>
      <c r="E129" s="177" t="inlineStr">
        <is>
          <t>News brief</t>
        </is>
      </c>
      <c r="F129" s="165" t="inlineStr">
        <is>
          <t>To review</t>
        </is>
      </c>
      <c r="G129" s="166" t="n"/>
      <c r="H129" s="167" t="n"/>
      <c r="I129" s="168" t="inlineStr">
        <is>
          <t>How does local manufacturing of tunnel boring machines affect the technical adaptation of TBMs to varied ground conditions in India's tunnelling projects?</t>
        </is>
      </c>
      <c r="J129" s="168" t="inlineStr">
        <is>
          <t>The Hindu</t>
        </is>
      </c>
      <c r="K129" s="169" t="n">
        <v>46320</v>
      </c>
      <c r="L129" s="168" t="n"/>
      <c r="M129" s="168" t="n"/>
      <c r="N129" s="170" t="inlineStr">
        <is>
          <t>India</t>
        </is>
      </c>
      <c r="O129" s="168" t="n"/>
      <c r="P129" s="168" t="n"/>
      <c r="Q129" s="171" t="inlineStr">
        <is>
          <t>United Kingdom</t>
        </is>
      </c>
      <c r="R129" s="169" t="n">
        <v>46318</v>
      </c>
      <c r="S129" s="170" t="inlineStr">
        <is>
          <t>2026-Q4</t>
        </is>
      </c>
      <c r="T129" s="172" t="inlineStr">
        <is>
          <t>tbm</t>
        </is>
      </c>
      <c r="U129" s="160" t="n">
        <v>3</v>
      </c>
      <c r="V129"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 section of the Esquina waterfront promenade closed due to subsidence</t>
        </is>
      </c>
      <c r="C130" s="183" t="inlineStr">
        <is>
          <t>Offshore, Coasts &amp; Water</t>
        </is>
      </c>
      <c r="D130" s="163" t="n">
        <v>3</v>
      </c>
      <c r="E130" s="177" t="inlineStr">
        <is>
          <t>News brief</t>
        </is>
      </c>
      <c r="F130" s="165" t="inlineStr">
        <is>
          <t>To review</t>
        </is>
      </c>
      <c r="G130" s="166" t="n"/>
      <c r="H130" s="167" t="n"/>
      <c r="I130" s="168" t="inlineStr">
        <is>
          <t>What causes subsidence along a riverfront promenade, and what ground investigation would identify the weak or eroded soils behind it?</t>
        </is>
      </c>
      <c r="J130" s="168" t="inlineStr">
        <is>
          <t>Diario 1588</t>
        </is>
      </c>
      <c r="K130" s="169" t="n">
        <v>46320</v>
      </c>
      <c r="L130" s="168" t="inlineStr">
        <is>
          <t>Cerraron un sector de la costanera de Esquina por hundimiento</t>
        </is>
      </c>
      <c r="M130" s="168" t="n"/>
      <c r="N130" s="170" t="inlineStr">
        <is>
          <t>Argentina</t>
        </is>
      </c>
      <c r="O130" s="168" t="inlineStr">
        <is>
          <t>Esquina costanera</t>
        </is>
      </c>
      <c r="P130" s="168" t="inlineStr">
        <is>
          <t>Esquina riverfront promenade subsidence, Argentina (Oct 2026) · Event · 2 reports</t>
        </is>
      </c>
      <c r="Q130" s="171" t="inlineStr">
        <is>
          <t>Argentina</t>
        </is>
      </c>
      <c r="R130" s="169" t="n">
        <v>46317</v>
      </c>
      <c r="S130" s="170" t="inlineStr">
        <is>
          <t>2026-Q4</t>
        </is>
      </c>
      <c r="T130" s="172" t="n"/>
      <c r="U130" s="160" t="n">
        <v>0</v>
      </c>
      <c r="V130" s="173" t="inlineStr">
        <is>
          <t>https://news.google.com/rss/articles/CBMiR0FVX3lxTE5mbFg4a3ZhOWpyZElUSEpyVUR4NllITUlLeGFWV1B2V2JUQng0WUltSk9ENGNmQk1EWVdhM0tjejVqWjJvb0tF0gFHQVVfeXFMTmZsWDhrdmE5anJkSVRISnJVRHg2WUhNSUt4YVZXUHZXYlRCeDRZSW1KT0Q0Y2ZCTURZV2EzS2N6NWpaMm9vS0U?oc=5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Experts from Hong Kong propose solutions to counter sea-level rise in Vietnam</t>
        </is>
      </c>
      <c r="C131" s="183" t="inlineStr">
        <is>
          <t>Offshore, Coasts &amp; Water</t>
        </is>
      </c>
      <c r="D131" s="163" t="n">
        <v>3</v>
      </c>
      <c r="E131" s="181" t="inlineStr">
        <is>
          <t>Regional insight</t>
        </is>
      </c>
      <c r="F131" s="165" t="inlineStr">
        <is>
          <t>To review</t>
        </is>
      </c>
      <c r="G131" s="166" t="n"/>
      <c r="H131" s="167" t="n"/>
      <c r="I131" s="168" t="inlineStr">
        <is>
          <t>Which ground-engineering measures, such as seawalls and soft-soil improvement, best protect low-lying deltas and coasts facing sea-level rise and subsidence?</t>
        </is>
      </c>
      <c r="J131" s="168" t="inlineStr">
        <is>
          <t>Vietnam.vn</t>
        </is>
      </c>
      <c r="K131" s="169" t="n">
        <v>46320</v>
      </c>
      <c r="L131" s="168" t="inlineStr">
        <is>
          <t>来自中国香港的专家为应对越南海平面上升提出了解决方案。</t>
        </is>
      </c>
      <c r="M131" s="168" t="n"/>
      <c r="N131" s="170" t="inlineStr">
        <is>
          <t>Vietnam</t>
        </is>
      </c>
      <c r="O131" s="168" t="inlineStr">
        <is>
          <t>Vietnam coast</t>
        </is>
      </c>
      <c r="P131" s="168" t="n"/>
      <c r="Q131" s="171" t="inlineStr">
        <is>
          <t>China</t>
        </is>
      </c>
      <c r="R131" s="169" t="n">
        <v>46319</v>
      </c>
      <c r="S131" s="170" t="inlineStr">
        <is>
          <t>2026-Q4</t>
        </is>
      </c>
      <c r="T131" s="172" t="n"/>
      <c r="U131" s="160" t="n">
        <v>0</v>
      </c>
      <c r="V131"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53" customHeight="1">
      <c r="A132" s="160" t="n">
        <v>129</v>
      </c>
      <c r="B132" s="161" t="inlineStr">
        <is>
          <t>Paving train rehabilitated Prolongación Moctezuma, but a sinkhole remained in front of a private road and vehicles block sidewalks</t>
        </is>
      </c>
      <c r="C132" s="176" t="inlineStr">
        <is>
          <t>Infrastructure &amp; the Underground City</t>
        </is>
      </c>
      <c r="D132" s="163" t="n">
        <v>3</v>
      </c>
      <c r="E132" s="177" t="inlineStr">
        <is>
          <t>News brief</t>
        </is>
      </c>
      <c r="F132" s="165" t="inlineStr">
        <is>
          <t>To review</t>
        </is>
      </c>
      <c r="G132" s="166" t="n"/>
      <c r="H132" s="167" t="n"/>
      <c r="I132" s="168" t="inlineStr">
        <is>
          <t>Why did the newly paved street develop a subsidence in front of a private road, and how could trench backfill and compaction have prevented it?</t>
        </is>
      </c>
      <c r="J132" s="168" t="inlineStr">
        <is>
          <t>El Portal de Chicoloapan</t>
        </is>
      </c>
      <c r="K132" s="169" t="n">
        <v>46320</v>
      </c>
      <c r="L132" s="168" t="inlineStr">
        <is>
          <t>Con el tren de pavimentación rehabilitaron Prolongación Moctezuma, sin embargo quedó un hundimiento frente a la privada y vehículos bloqueando las banquetas</t>
        </is>
      </c>
      <c r="M132" s="168" t="n"/>
      <c r="N132" s="170" t="inlineStr">
        <is>
          <t>Mexico</t>
        </is>
      </c>
      <c r="O132" s="168" t="inlineStr">
        <is>
          <t>Prolongación Moctezuma, Chicoloapan</t>
        </is>
      </c>
      <c r="P132" s="168" t="n"/>
      <c r="Q132" s="171" t="inlineStr">
        <is>
          <t>Argentina</t>
        </is>
      </c>
      <c r="R132" s="169" t="n">
        <v>46320</v>
      </c>
      <c r="S132" s="170" t="inlineStr">
        <is>
          <t>2026-Q4</t>
        </is>
      </c>
      <c r="T132" s="172" t="n"/>
      <c r="U132" s="160" t="n">
        <v>0</v>
      </c>
      <c r="V132"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Experts comment on the plan to level Mot Mountain in Quy Nhon</t>
        </is>
      </c>
      <c r="C133" s="176" t="inlineStr">
        <is>
          <t>Infrastructure &amp; the Underground City</t>
        </is>
      </c>
      <c r="D133" s="163" t="n">
        <v>3</v>
      </c>
      <c r="E133" s="164" t="inlineStr">
        <is>
          <t>Feature lead</t>
        </is>
      </c>
      <c r="F133" s="165" t="inlineStr">
        <is>
          <t>To review</t>
        </is>
      </c>
      <c r="G133" s="166" t="n"/>
      <c r="H133" s="167" t="n"/>
      <c r="I133" s="168" t="inlineStr">
        <is>
          <t>What geotechnical challenges arise in levelling a hill in Quy Nhon, including slope stability, cut volumes, and the reuse of excavated soil?</t>
        </is>
      </c>
      <c r="J133" s="168" t="inlineStr">
        <is>
          <t>Vietnam.vn</t>
        </is>
      </c>
      <c r="K133" s="169" t="n">
        <v>46320</v>
      </c>
      <c r="L133" s="168" t="inlineStr">
        <is>
          <t>전문가들이 꾸이년의 못산을 평탄화하려는 계획에 대해 의견을 밝혔다.</t>
        </is>
      </c>
      <c r="M133" s="168" t="n"/>
      <c r="N133" s="170" t="inlineStr">
        <is>
          <t>Vietnam</t>
        </is>
      </c>
      <c r="O133" s="168" t="inlineStr">
        <is>
          <t>Quy Nhon, Binh Dinh</t>
        </is>
      </c>
      <c r="P133" s="168" t="inlineStr">
        <is>
          <t>Mot Mountain levelling proposal, Quy Nhon, Vietnam · Update · 2 reports</t>
        </is>
      </c>
      <c r="Q133" s="171" t="inlineStr">
        <is>
          <t>South Korea</t>
        </is>
      </c>
      <c r="R133" s="169" t="n">
        <v>46318</v>
      </c>
      <c r="S133" s="170" t="inlineStr">
        <is>
          <t>2026-Q4</t>
        </is>
      </c>
      <c r="T133" s="172" t="n"/>
      <c r="U133" s="160" t="n">
        <v>0</v>
      </c>
      <c r="V133" s="173" t="inlineStr">
        <is>
          <t>https://news.google.com/rss/articles/CBMijwFBVV95cUxOVjhkZVg1Qms4dWZyT3MxQ2FrSmFPVE1Vak9PNnEwS1RjOTl5dHAxQkZ5WWZkTFlKdHV3U256bU9tZ2syWGFaSnM3YklHNnV2aWVoa1p3SFpnMFBMN1NEVFlVd2laNlhROVh6NFBzX1hxQklRRGk2dGJ3SWhyS2RKYVFOdDRRaHFkR2hueEJqRQ?oc=5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Voronezh replaces another six metres of damaged collector on Moskovsky Avenue</t>
        </is>
      </c>
      <c r="C134" s="176" t="inlineStr">
        <is>
          <t>Infrastructure &amp; the Underground City</t>
        </is>
      </c>
      <c r="D134" s="163" t="n">
        <v>3</v>
      </c>
      <c r="E134" s="177" t="inlineStr">
        <is>
          <t>News brief</t>
        </is>
      </c>
      <c r="F134" s="165" t="inlineStr">
        <is>
          <t>To review</t>
        </is>
      </c>
      <c r="G134" s="166" t="n"/>
      <c r="H134" s="167" t="n"/>
      <c r="I134" s="168" t="inlineStr">
        <is>
          <t>How do ground movements or soil conditions around urban collector pipes cause damage, and what should guide repair and reinstatement works?</t>
        </is>
      </c>
      <c r="J134" s="168" t="inlineStr">
        <is>
          <t>Новости Воронежа интернет-газета</t>
        </is>
      </c>
      <c r="K134" s="169" t="n">
        <v>46320</v>
      </c>
      <c r="L134" s="168" t="inlineStr">
        <is>
          <t>В Воронеже заменили еще шесть метров поврежденного коллектора на Московском проспекте</t>
        </is>
      </c>
      <c r="M134" s="168" t="n"/>
      <c r="N134" s="170" t="inlineStr">
        <is>
          <t>Russia</t>
        </is>
      </c>
      <c r="O134" s="168" t="inlineStr">
        <is>
          <t>Moskovsky Avenue, Voronezh</t>
        </is>
      </c>
      <c r="P134" s="168" t="inlineStr">
        <is>
          <t>Voronezh Moskovsky Avenue collector repair, Russia · Event · 2 reports</t>
        </is>
      </c>
      <c r="Q134" s="171" t="inlineStr">
        <is>
          <t>Russia</t>
        </is>
      </c>
      <c r="R134" s="169" t="n">
        <v>46319</v>
      </c>
      <c r="S134" s="170" t="inlineStr">
        <is>
          <t>2026-Q4</t>
        </is>
      </c>
      <c r="T134" s="172" t="n"/>
      <c r="U134" s="160" t="n">
        <v>0</v>
      </c>
      <c r="V134" s="173" t="inlineStr">
        <is>
          <t>https://news.google.com/rss/articles/CBMiWEFVX3lxTE43cWdqNnRTM1lrNU1sbElSd09YdDFzdGJhdFBFdldKb3V6R2taUV9IbUtjM3ZUUm5jNkU0QnJvcGdMTUVfR3k4UVNGeTRER2oycE1fZEFGeXE?oc=5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Experts weigh in on proposal to level Mot Mountain in Quy Nhon</t>
        </is>
      </c>
      <c r="C135" s="176" t="inlineStr">
        <is>
          <t>Infrastructure &amp; the Underground City</t>
        </is>
      </c>
      <c r="D135" s="163" t="n">
        <v>3</v>
      </c>
      <c r="E135" s="181" t="inlineStr">
        <is>
          <t>Regional insight</t>
        </is>
      </c>
      <c r="F135" s="165" t="inlineStr">
        <is>
          <t>To review</t>
        </is>
      </c>
      <c r="G135" s="166" t="n"/>
      <c r="H135" s="167" t="n"/>
      <c r="I135" s="168" t="inlineStr">
        <is>
          <t>How can slope stability, rock cutting and geohazard risks be assessed when a coastal hill is proposed for levelling in an urban area?</t>
        </is>
      </c>
      <c r="J135" s="168" t="inlineStr">
        <is>
          <t>Vietnam.vn</t>
        </is>
      </c>
      <c r="K135" s="169" t="n">
        <v>46320</v>
      </c>
      <c r="L135" s="168" t="inlineStr">
        <is>
          <t>Para ahli angkat bicara tentang usulan untuk meratakan Gunung Mot di Quy Nhon.</t>
        </is>
      </c>
      <c r="M135" s="168" t="n"/>
      <c r="N135" s="170" t="inlineStr">
        <is>
          <t>Vietnam</t>
        </is>
      </c>
      <c r="O135" s="168" t="inlineStr">
        <is>
          <t>Mot Mountain, Quy Nhon</t>
        </is>
      </c>
      <c r="P135" s="168" t="inlineStr">
        <is>
          <t>Mot Mountain levelling proposal, Quy Nhon, Vietnam · Event · 2 reports</t>
        </is>
      </c>
      <c r="Q135" s="171" t="inlineStr">
        <is>
          <t>Indonesia</t>
        </is>
      </c>
      <c r="R135" s="169" t="n">
        <v>46319</v>
      </c>
      <c r="S135" s="170" t="inlineStr">
        <is>
          <t>2026-Q4</t>
        </is>
      </c>
      <c r="T135" s="172" t="n"/>
      <c r="U135" s="160" t="n">
        <v>0</v>
      </c>
      <c r="V135" s="173" t="inlineStr">
        <is>
          <t>https://news.google.com/rss/articles/CBMijwFBVV95cUxQbVc4RlhHZWJTeHV3YlBWTjYzSURERHpMLTJuWHUwU3lpdWdvcS04WlZBYUNwY01aNEVkQmJpZzBqYXhQRXlTWEVpMHlPcUhjb3lvM3h1YWhNQXVJSWhqTEFYVmRkMGpmRTlkN0FPRW5SZzM1YW4xVXRmMVFpYzlkMk5YMUhabnk2eURnN0NJNA?oc=5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Behavior of Square-Round Shaft Combination Helical Piles and Anchors</t>
        </is>
      </c>
      <c r="C136" s="180" t="inlineStr">
        <is>
          <t>Ground Improvement &amp; Innovation</t>
        </is>
      </c>
      <c r="D136" s="163" t="n">
        <v>5</v>
      </c>
      <c r="E136" s="179" t="inlineStr">
        <is>
          <t>Academia-to-Industry topic</t>
        </is>
      </c>
      <c r="F136" s="165" t="inlineStr">
        <is>
          <t>To review</t>
        </is>
      </c>
      <c r="G136" s="166" t="n"/>
      <c r="H136" s="167" t="n"/>
      <c r="I136" s="168" t="inlineStr">
        <is>
          <t>How do square-round shaft combination helical piles and anchors behave under load, and how can their capacity be predicted reliably?</t>
        </is>
      </c>
      <c r="J136" s="168" t="inlineStr">
        <is>
          <t>Geoengineer.org</t>
        </is>
      </c>
      <c r="K136" s="169" t="n">
        <v>46319</v>
      </c>
      <c r="L136" s="168" t="n"/>
      <c r="M136" s="168" t="n"/>
      <c r="N136" s="170" t="n"/>
      <c r="O136" s="168" t="n"/>
      <c r="P136" s="168" t="n"/>
      <c r="Q136" s="171" t="inlineStr">
        <is>
          <t>United States</t>
        </is>
      </c>
      <c r="R136" s="169" t="n">
        <v>46318</v>
      </c>
      <c r="S136" s="170" t="inlineStr">
        <is>
          <t>2026-Q4</t>
        </is>
      </c>
      <c r="T136" s="172" t="inlineStr">
        <is>
          <t>pile, shaft</t>
        </is>
      </c>
      <c r="U136" s="160" t="n">
        <v>7</v>
      </c>
      <c r="V136"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Floating wind needs grounded solutions</t>
        </is>
      </c>
      <c r="C137" s="183" t="inlineStr">
        <is>
          <t>Offshore, Coasts &amp; Water</t>
        </is>
      </c>
      <c r="D137" s="163" t="n">
        <v>5</v>
      </c>
      <c r="E137" s="164" t="inlineStr">
        <is>
          <t>Feature lead</t>
        </is>
      </c>
      <c r="F137" s="165" t="inlineStr">
        <is>
          <t>To review</t>
        </is>
      </c>
      <c r="G137" s="166" t="n"/>
      <c r="H137" s="167" t="n"/>
      <c r="I137" s="168" t="inlineStr">
        <is>
          <t>What geotechnical challenges arise in anchoring floating offshore wind foundations in variable seabed soils under extreme loading?</t>
        </is>
      </c>
      <c r="J137" s="168" t="inlineStr">
        <is>
          <t>Ground Engineering</t>
        </is>
      </c>
      <c r="K137" s="169" t="n">
        <v>46319</v>
      </c>
      <c r="L137" s="168" t="n"/>
      <c r="M137" s="168" t="n"/>
      <c r="N137" s="170" t="n"/>
      <c r="O137" s="168" t="n"/>
      <c r="P137" s="168" t="n"/>
      <c r="Q137" s="171" t="n"/>
      <c r="R137" s="169" t="n">
        <v>46318</v>
      </c>
      <c r="S137" s="170" t="inlineStr">
        <is>
          <t>2026-Q4</t>
        </is>
      </c>
      <c r="T137" s="172" t="inlineStr">
        <is>
          <t>offshore wind</t>
        </is>
      </c>
      <c r="U137" s="160" t="n">
        <v>6</v>
      </c>
      <c r="V137" s="173" t="inlineStr">
        <is>
          <t>https://www.geplus.co.uk/key-topics/sustainability/floating-wind-needs-grounded-solutions-23-10-2026/</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Sinkhole at excavation site: ground sank even after underground safety assessment</t>
        </is>
      </c>
      <c r="C138" s="176" t="inlineStr">
        <is>
          <t>Infrastructure &amp; the Underground City</t>
        </is>
      </c>
      <c r="D138" s="163" t="n">
        <v>5</v>
      </c>
      <c r="E138" s="164" t="inlineStr">
        <is>
          <t>Feature lead</t>
        </is>
      </c>
      <c r="F138" s="165" t="inlineStr">
        <is>
          <t>To review</t>
        </is>
      </c>
      <c r="G138" s="166" t="n"/>
      <c r="H138" s="167" t="n"/>
      <c r="I138" s="168" t="inlineStr">
        <is>
          <t>Why did ground sink at an excavation despite a completed underground safety assessment, and what gaps exist in such assessments?</t>
        </is>
      </c>
      <c r="J138" s="168" t="inlineStr">
        <is>
          <t>충청신문</t>
        </is>
      </c>
      <c r="K138" s="169" t="n">
        <v>46319</v>
      </c>
      <c r="L138" s="168" t="inlineStr">
        <is>
          <t>장종태, "굴착 현장 싱크홀...지하안전평가 받고도 땅 꺼졌다"</t>
        </is>
      </c>
      <c r="M138" s="168" t="n"/>
      <c r="N138" s="170" t="inlineStr">
        <is>
          <t>South Korea</t>
        </is>
      </c>
      <c r="O138" s="168" t="n"/>
      <c r="P138" s="168" t="n"/>
      <c r="Q138" s="171" t="inlineStr">
        <is>
          <t>South Korea</t>
        </is>
      </c>
      <c r="R138" s="169" t="n">
        <v>46317</v>
      </c>
      <c r="S138" s="170" t="inlineStr">
        <is>
          <t>2026-Q4</t>
        </is>
      </c>
      <c r="T138" s="172" t="inlineStr">
        <is>
          <t>sinkhole, excavation</t>
        </is>
      </c>
      <c r="U138" s="160" t="n">
        <v>6</v>
      </c>
      <c r="V138"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65.5" customHeight="1">
      <c r="A139" s="160" t="n">
        <v>136</v>
      </c>
      <c r="B139" s="161" t="inlineStr">
        <is>
          <t>Mussolini's engineers drilled 361 holes under Pisa's foundations in 1934 to straighten it, making it lean more.</t>
        </is>
      </c>
      <c r="C139" s="180" t="inlineStr">
        <is>
          <t>Ground Improvement &amp; Innovation</t>
        </is>
      </c>
      <c r="D139" s="163" t="n">
        <v>5</v>
      </c>
      <c r="E139" s="164" t="inlineStr">
        <is>
          <t>Feature lead</t>
        </is>
      </c>
      <c r="F139" s="165" t="inlineStr">
        <is>
          <t>To review</t>
        </is>
      </c>
      <c r="G139" s="166" t="n"/>
      <c r="H139" s="167" t="n"/>
      <c r="I139" s="168" t="inlineStr">
        <is>
          <t>Why did drilling holes beneath Pisa's foundations to correct its tilt backfire, and what does this teach about controlled soil removal and differential settlement in stabilisation works?</t>
        </is>
      </c>
      <c r="J139" s="168" t="inlineStr">
        <is>
          <t>Sciencepost</t>
        </is>
      </c>
      <c r="K139" s="169" t="n">
        <v>46319</v>
      </c>
      <c r="L139" s="168" t="inlineStr">
        <is>
          <t>En perçant 361 trous dans ses fondations en 1934 pour la redresser, les ingénieurs de Mussolini ont littéralement fait pencher la tour de Pise encore plus</t>
        </is>
      </c>
      <c r="M139" s="168" t="n"/>
      <c r="N139" s="170" t="inlineStr">
        <is>
          <t>Italy</t>
        </is>
      </c>
      <c r="O139" s="168" t="inlineStr">
        <is>
          <t>Pisa</t>
        </is>
      </c>
      <c r="P139" s="168" t="n"/>
      <c r="Q139" s="171" t="inlineStr">
        <is>
          <t>Senegal</t>
        </is>
      </c>
      <c r="R139" s="169" t="n">
        <v>46319</v>
      </c>
      <c r="S139" s="170" t="inlineStr">
        <is>
          <t>2026-Q4</t>
        </is>
      </c>
      <c r="T139" s="172" t="inlineStr">
        <is>
          <t>foundation</t>
        </is>
      </c>
      <c r="U139" s="160" t="n">
        <v>2</v>
      </c>
      <c r="V139"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65.5" customHeight="1">
      <c r="A140" s="160" t="n">
        <v>137</v>
      </c>
      <c r="B140" s="161" t="inlineStr">
        <is>
          <t>Serious landslides in South Gia Nghia</t>
        </is>
      </c>
      <c r="C140" s="162" t="inlineStr">
        <is>
          <t>Hazards &amp; Resilience</t>
        </is>
      </c>
      <c r="D140" s="163" t="n">
        <v>5</v>
      </c>
      <c r="E140" s="164" t="inlineStr">
        <is>
          <t>Feature lead</t>
        </is>
      </c>
      <c r="F140" s="165" t="inlineStr">
        <is>
          <t>To review</t>
        </is>
      </c>
      <c r="G140" s="166" t="n"/>
      <c r="H140" s="167" t="n"/>
      <c r="I140" s="168" t="inlineStr">
        <is>
          <t>What rainfall and slope geometry triggered this serious landslide in Nam Gia Nghia, and how should weathered residual soils on such slopes be investigated and stabilised?</t>
        </is>
      </c>
      <c r="J140" s="168" t="inlineStr">
        <is>
          <t>Vietnam.vn</t>
        </is>
      </c>
      <c r="K140" s="169" t="n">
        <v>46319</v>
      </c>
      <c r="L140" s="168" t="inlineStr">
        <is>
          <t>Sụt trượt đất nghiêm trọng ở Nam Gia Nghĩa</t>
        </is>
      </c>
      <c r="M140" s="168" t="n"/>
      <c r="N140" s="170" t="inlineStr">
        <is>
          <t>Vietnam</t>
        </is>
      </c>
      <c r="O140" s="168" t="inlineStr">
        <is>
          <t>Nam Gia Nghia, Dak Nong</t>
        </is>
      </c>
      <c r="P140" s="168" t="n"/>
      <c r="Q140" s="171" t="inlineStr">
        <is>
          <t>Vietnam</t>
        </is>
      </c>
      <c r="R140" s="169" t="n">
        <v>46317</v>
      </c>
      <c r="S140" s="170" t="inlineStr">
        <is>
          <t>2026-Q4</t>
        </is>
      </c>
      <c r="T140" s="172" t="n"/>
      <c r="U140" s="160" t="n">
        <v>0</v>
      </c>
      <c r="V140" s="173" t="inlineStr">
        <is>
          <t>https://news.google.com/rss/articles/CBMic0FVX3lxTE1zSGZTbjJtMlg2SGZxUUtTSjJMZVdlSUkxSjZBeEV1WExBUUh4ZjdOZWIzcGRHczE1dVZiOWgyQUxTdkZWOEJfM0Y1dk1mcGpKekl0dGR4VE1YRVhoYTFjV09IZGQ3dUNQcl9BSlN0QzhUSkE?oc=5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Automatic segmentation of rock mass fracture networks from UAV imagery using cross-domain transfer learning under scarce labels.</t>
        </is>
      </c>
      <c r="C141" s="184" t="inlineStr">
        <is>
          <t>Digital Geotechnics</t>
        </is>
      </c>
      <c r="D141" s="163" t="n">
        <v>5</v>
      </c>
      <c r="E141" s="179" t="inlineStr">
        <is>
          <t>Academia-to-Industry topic</t>
        </is>
      </c>
      <c r="F141" s="165" t="inlineStr">
        <is>
          <t>To review</t>
        </is>
      </c>
      <c r="G141" s="166" t="n"/>
      <c r="H141" s="167" t="n"/>
      <c r="I141" s="168" t="inlineStr">
        <is>
          <t>Can transfer learning from related image domains reliably segment rock fracture networks in UAV imagery when labelled data are scarce, and how accurate are the results?</t>
        </is>
      </c>
      <c r="J141" s="168" t="inlineStr">
        <is>
          <t>生物通</t>
        </is>
      </c>
      <c r="K141" s="169" t="n">
        <v>46319</v>
      </c>
      <c r="L141" s="168" t="inlineStr">
        <is>
          <t>标签稀缺条件下基于跨域迁移学习的无人机岩体裂隙网络自动分割方法</t>
        </is>
      </c>
      <c r="M141" s="168" t="n"/>
      <c r="N141" s="170" t="n"/>
      <c r="O141" s="168" t="n"/>
      <c r="P141" s="168" t="n"/>
      <c r="Q141" s="171" t="inlineStr">
        <is>
          <t>China</t>
        </is>
      </c>
      <c r="R141" s="169" t="n">
        <v>46318</v>
      </c>
      <c r="S141" s="170" t="inlineStr">
        <is>
          <t>2026-Q4</t>
        </is>
      </c>
      <c r="T141" s="172" t="n"/>
      <c r="U141" s="160" t="n">
        <v>0</v>
      </c>
      <c r="V141" s="173" t="inlineStr">
        <is>
          <t>https://news.google.com/rss/articles/CBMibkFVX3lxTE8wdVhYVXYyQ3RwMHAtOTNnUkh5TnhCcEtVem9XenhDMFo2UVFHbWtIaGIzVHhLb1BFQmd2akRLZkFMd1pQNWJDRElESUY1SUdvLWFfd1ZaUW5tZ0ZFcmIxckZxbXg1Z1RrbXI5V0Zn?oc=5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M4 landslip work begins as part of wider repair programme</t>
        </is>
      </c>
      <c r="C142" s="162" t="inlineStr">
        <is>
          <t>Hazards &amp; Resilience</t>
        </is>
      </c>
      <c r="D142" s="163" t="n">
        <v>4</v>
      </c>
      <c r="E142" s="164" t="inlineStr">
        <is>
          <t>Feature lead</t>
        </is>
      </c>
      <c r="F142" s="165" t="inlineStr">
        <is>
          <t>To review</t>
        </is>
      </c>
      <c r="G142" s="166" t="n"/>
      <c r="H142" s="167" t="n"/>
      <c r="I142" s="168" t="inlineStr">
        <is>
          <t>How should engineers diagnose and stabilise a landslipped motorway embankment, and what drainage and monitoring measures prevent recurrence?</t>
        </is>
      </c>
      <c r="J142" s="168" t="inlineStr">
        <is>
          <t>Ground Engineering</t>
        </is>
      </c>
      <c r="K142" s="169" t="n">
        <v>46319</v>
      </c>
      <c r="L142" s="168" t="n"/>
      <c r="M142" s="168" t="n"/>
      <c r="N142" s="170" t="inlineStr">
        <is>
          <t>United Kingdom</t>
        </is>
      </c>
      <c r="O142" s="168" t="inlineStr">
        <is>
          <t>M4 Wiltshire</t>
        </is>
      </c>
      <c r="P142" s="168" t="n"/>
      <c r="Q142" s="171" t="n"/>
      <c r="R142" s="169" t="n">
        <v>46318</v>
      </c>
      <c r="S142" s="170" t="inlineStr">
        <is>
          <t>2026-Q4</t>
        </is>
      </c>
      <c r="T142" s="172" t="inlineStr">
        <is>
          <t>landslide, landslip, embankment</t>
        </is>
      </c>
      <c r="U142" s="160" t="n">
        <v>14</v>
      </c>
      <c r="V142" s="173" t="inlineStr">
        <is>
          <t>https://www.geplus.co.uk/news/project-news/m4-landslip-work-begins-as-part-of-wider-repair-programme-23-10-2026/</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53" customHeight="1">
      <c r="A143" s="160" t="n">
        <v>140</v>
      </c>
      <c r="B143" s="161" t="inlineStr">
        <is>
          <t>Landslide-prevention embankment threatens residential area</t>
        </is>
      </c>
      <c r="C143" s="162" t="inlineStr">
        <is>
          <t>Hazards &amp; Resilience</t>
        </is>
      </c>
      <c r="D143" s="163" t="n">
        <v>4</v>
      </c>
      <c r="E143" s="164" t="inlineStr">
        <is>
          <t>Feature lead</t>
        </is>
      </c>
      <c r="F143" s="165" t="inlineStr">
        <is>
          <t>To review</t>
        </is>
      </c>
      <c r="G143" s="166" t="n"/>
      <c r="H143" s="167" t="n"/>
      <c r="I143" s="168" t="inlineStr">
        <is>
          <t>Can retaining and protective embankments be designed to resist landslide loading from upslope slopes beside settlements, and how should such risk be assessed?</t>
        </is>
      </c>
      <c r="J143" s="168" t="inlineStr">
        <is>
          <t>Vietnam.vn</t>
        </is>
      </c>
      <c r="K143" s="169" t="n">
        <v>46319</v>
      </c>
      <c r="L143" s="168" t="inlineStr">
        <is>
          <t>Tanggul pencegah tanah longsor 'mengancam' kawasan permukiman.</t>
        </is>
      </c>
      <c r="M143" s="168" t="n"/>
      <c r="N143" s="170" t="inlineStr">
        <is>
          <t>Indonesia</t>
        </is>
      </c>
      <c r="O143" s="168" t="n"/>
      <c r="P143" s="168" t="n"/>
      <c r="Q143" s="171" t="inlineStr">
        <is>
          <t>Indonesia</t>
        </is>
      </c>
      <c r="R143" s="169" t="n">
        <v>46318</v>
      </c>
      <c r="S143" s="170" t="inlineStr">
        <is>
          <t>2026-Q4</t>
        </is>
      </c>
      <c r="T143" s="172" t="inlineStr">
        <is>
          <t>landslide, embankment</t>
        </is>
      </c>
      <c r="U143" s="160" t="n">
        <v>13</v>
      </c>
      <c r="V143" s="173" t="inlineStr">
        <is>
          <t>https://news.google.com/rss/articles/CBMia0FVX3lxTE45UVhrbTdIV2NXaVloOTBleGdWeThGbHNoSTJtMTE3cFlfalpoYVBnUEFoUVRJQUp5Z2pVOEZvaGZzRUtjRWtOMzY3Wll0RHJOUTB6c0JYdGEzOXk2VXltZUFkc3RURDBUYUg4?oc=5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53" customHeight="1">
      <c r="A144" s="160" t="n">
        <v>141</v>
      </c>
      <c r="B144" s="161" t="inlineStr">
        <is>
          <t>Storms in Liguria, major landslide in Savona: the collapse destroyed a city road</t>
        </is>
      </c>
      <c r="C144" s="162" t="inlineStr">
        <is>
          <t>Hazards &amp; Resilience</t>
        </is>
      </c>
      <c r="D144" s="163" t="n">
        <v>4</v>
      </c>
      <c r="E144" s="177" t="inlineStr">
        <is>
          <t>News brief</t>
        </is>
      </c>
      <c r="F144" s="165" t="inlineStr">
        <is>
          <t>To review</t>
        </is>
      </c>
      <c r="G144" s="166" t="n"/>
      <c r="H144" s="167" t="n"/>
      <c r="I144" s="168" t="inlineStr">
        <is>
          <t>What triggered this large rock or soil slope failure in Savona during heavy rain, and what does the collapse reveal about slope stability in Liguria?</t>
        </is>
      </c>
      <c r="J144" s="168" t="inlineStr">
        <is>
          <t>agenzia giornalistica opinione</t>
        </is>
      </c>
      <c r="K144" s="169" t="n">
        <v>46319</v>
      </c>
      <c r="L144" s="168" t="inlineStr">
        <is>
          <t>RAINEWS * CRONACA: «MALTEMPO IN LIGURIA, GRANDE FRANA A SAVONA: IL CROLLO HA DISTRUTTO UNA STRADA CITTADINA</t>
        </is>
      </c>
      <c r="M144" s="168" t="n"/>
      <c r="N144" s="170" t="inlineStr">
        <is>
          <t>Italy</t>
        </is>
      </c>
      <c r="O144" s="168" t="inlineStr">
        <is>
          <t>Savona, Liguria</t>
        </is>
      </c>
      <c r="P144" s="168" t="n"/>
      <c r="Q144" s="171" t="inlineStr">
        <is>
          <t>Italy</t>
        </is>
      </c>
      <c r="R144" s="169" t="n">
        <v>46317</v>
      </c>
      <c r="S144" s="170" t="inlineStr">
        <is>
          <t>2026-Q4</t>
        </is>
      </c>
      <c r="T144" s="172" t="inlineStr">
        <is>
          <t>landslide, collapse</t>
        </is>
      </c>
      <c r="U144" s="160" t="n">
        <v>11</v>
      </c>
      <c r="V144"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At Khanh Le pass, traffic will be interrupted at 30-minute intervals to deal with landslides; road users should plan accordingly</t>
        </is>
      </c>
      <c r="C145" s="162" t="inlineStr">
        <is>
          <t>Hazards &amp; Resilience</t>
        </is>
      </c>
      <c r="D145" s="163" t="n">
        <v>4</v>
      </c>
      <c r="E145" s="164" t="inlineStr">
        <is>
          <t>Feature lead</t>
        </is>
      </c>
      <c r="F145" s="165" t="inlineStr">
        <is>
          <t>To review</t>
        </is>
      </c>
      <c r="G145" s="166" t="n"/>
      <c r="H145" s="167" t="n"/>
      <c r="I145" s="168" t="inlineStr">
        <is>
          <t>How should traffic management and monitoring be combined with slope stabilisation on mountain passes subject to recurrent landslides?</t>
        </is>
      </c>
      <c r="J145" s="168" t="inlineStr">
        <is>
          <t>Vietnam.vn</t>
        </is>
      </c>
      <c r="K145" s="169" t="n">
        <v>46319</v>
      </c>
      <c r="L145" s="168" t="inlineStr">
        <is>
          <t>En el paso de Khanh Le, el tráfico se interrumpirá a intervalos de 30 minutos para hacer frente a los deslizamientos de tierra; los usuarios de la carretera deben tenerlo en cuenta.</t>
        </is>
      </c>
      <c r="M145" s="168" t="n"/>
      <c r="N145" s="170" t="inlineStr">
        <is>
          <t>Vietnam</t>
        </is>
      </c>
      <c r="O145" s="168" t="inlineStr">
        <is>
          <t>Khanh Le pass</t>
        </is>
      </c>
      <c r="P145" s="168" t="n"/>
      <c r="Q145" s="171" t="inlineStr">
        <is>
          <t>Spain</t>
        </is>
      </c>
      <c r="R145" s="169" t="n">
        <v>46319</v>
      </c>
      <c r="S145" s="170" t="inlineStr">
        <is>
          <t>2026-Q4</t>
        </is>
      </c>
      <c r="T145" s="172" t="inlineStr">
        <is>
          <t>landslide</t>
        </is>
      </c>
      <c r="U145" s="160" t="n">
        <v>10</v>
      </c>
      <c r="V145"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53" customHeight="1">
      <c r="A146" s="160" t="n">
        <v>143</v>
      </c>
      <c r="B146" s="161" t="inlineStr">
        <is>
          <t>Valmontone, bad weather: tuff slope collapses onto Prenestina road, road partially closed</t>
        </is>
      </c>
      <c r="C146" s="162" t="inlineStr">
        <is>
          <t>Hazards &amp; Resilience</t>
        </is>
      </c>
      <c r="D146" s="163" t="n">
        <v>4</v>
      </c>
      <c r="E146" s="177" t="inlineStr">
        <is>
          <t>News brief</t>
        </is>
      </c>
      <c r="F146" s="165" t="inlineStr">
        <is>
          <t>To review</t>
        </is>
      </c>
      <c r="G146" s="166" t="n"/>
      <c r="H146" s="167" t="n"/>
      <c r="I146" s="168" t="inlineStr">
        <is>
          <t>What causes tuff cliff collapse in volcanic deposits under rainfall, and how can such slopes be assessed and stabilised near roads?</t>
        </is>
      </c>
      <c r="J146" s="168" t="inlineStr">
        <is>
          <t>Il Giornale dei Castelli Romani</t>
        </is>
      </c>
      <c r="K146" s="169" t="n">
        <v>46319</v>
      </c>
      <c r="L146" s="168" t="inlineStr">
        <is>
          <t>Valmontone, maltempo: frana costone di tufo sulla via Prenestina, strada parzialmente chiusa</t>
        </is>
      </c>
      <c r="M146" s="168" t="n"/>
      <c r="N146" s="170" t="inlineStr">
        <is>
          <t>Italy</t>
        </is>
      </c>
      <c r="O146" s="168" t="inlineStr">
        <is>
          <t>Valmontone, Prenestina road</t>
        </is>
      </c>
      <c r="P146" s="168" t="n"/>
      <c r="Q146" s="171" t="inlineStr">
        <is>
          <t>Italy</t>
        </is>
      </c>
      <c r="R146" s="169" t="n">
        <v>46319</v>
      </c>
      <c r="S146" s="170" t="inlineStr">
        <is>
          <t>2026-Q4</t>
        </is>
      </c>
      <c r="T146" s="172" t="inlineStr">
        <is>
          <t>landslide</t>
        </is>
      </c>
      <c r="U146" s="160" t="n">
        <v>10</v>
      </c>
      <c r="V146"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53" customHeight="1">
      <c r="A147" s="160" t="n">
        <v>144</v>
      </c>
      <c r="B147" s="161" t="inlineStr">
        <is>
          <t>Bonea, landslide in Capo locality: mayor closes three roads by urgent order</t>
        </is>
      </c>
      <c r="C147" s="162" t="inlineStr">
        <is>
          <t>Hazards &amp; Resilience</t>
        </is>
      </c>
      <c r="D147" s="163" t="n">
        <v>4</v>
      </c>
      <c r="E147" s="177" t="inlineStr">
        <is>
          <t>News brief</t>
        </is>
      </c>
      <c r="F147" s="165" t="inlineStr">
        <is>
          <t>To review</t>
        </is>
      </c>
      <c r="G147" s="166" t="n"/>
      <c r="H147" s="167" t="n"/>
      <c r="I147" s="168" t="inlineStr">
        <is>
          <t>What ground investigation would confirm the landslide mechanism at Capo locality and guide safe reopening of the three closed roads?</t>
        </is>
      </c>
      <c r="J147" s="168" t="inlineStr">
        <is>
          <t>Tv7 Benevento</t>
        </is>
      </c>
      <c r="K147" s="169" t="n">
        <v>46319</v>
      </c>
      <c r="L147" s="168" t="inlineStr">
        <is>
          <t>BONEA, FRANA IN LOCALITÀ CAPO: IL SINDACO CHIUDE TRE STRADE CON ORDINANZA URGENTE</t>
        </is>
      </c>
      <c r="M147" s="168" t="n"/>
      <c r="N147" s="170" t="inlineStr">
        <is>
          <t>Italy</t>
        </is>
      </c>
      <c r="O147" s="168" t="inlineStr">
        <is>
          <t>Bonea, Capo locality</t>
        </is>
      </c>
      <c r="P147" s="168" t="n"/>
      <c r="Q147" s="171" t="inlineStr">
        <is>
          <t>Italy</t>
        </is>
      </c>
      <c r="R147" s="169" t="n">
        <v>46319</v>
      </c>
      <c r="S147" s="170" t="inlineStr">
        <is>
          <t>2026-Q4</t>
        </is>
      </c>
      <c r="T147" s="172" t="inlineStr">
        <is>
          <t>landslide</t>
        </is>
      </c>
      <c r="U147" s="160" t="n">
        <v>10</v>
      </c>
      <c r="V147"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The Cencione landslide: amid mud and controversy, bulldozers are at work</t>
        </is>
      </c>
      <c r="C148" s="162" t="inlineStr">
        <is>
          <t>Hazards &amp; Resilience</t>
        </is>
      </c>
      <c r="D148" s="163" t="n">
        <v>4</v>
      </c>
      <c r="E148" s="164" t="inlineStr">
        <is>
          <t>Feature lead</t>
        </is>
      </c>
      <c r="F148" s="165" t="inlineStr">
        <is>
          <t>To review</t>
        </is>
      </c>
      <c r="G148" s="166" t="n"/>
      <c r="H148" s="167" t="n"/>
      <c r="I148" s="168" t="inlineStr">
        <is>
          <t>How should authorities balance urgent earthworks with geotechnical investigation and accountability when a landslide site becomes politically contested?</t>
        </is>
      </c>
      <c r="J148" s="168" t="inlineStr">
        <is>
          <t>Zazoom Social News</t>
        </is>
      </c>
      <c r="K148" s="169" t="n">
        <v>46319</v>
      </c>
      <c r="L148" s="168" t="inlineStr">
        <is>
          <t>La frana del Cencione Tra fango e polemiche Le ruspe sono al lavoro</t>
        </is>
      </c>
      <c r="M148" s="168" t="n"/>
      <c r="N148" s="170" t="inlineStr">
        <is>
          <t>Italy</t>
        </is>
      </c>
      <c r="O148" s="168" t="inlineStr">
        <is>
          <t>Cencione</t>
        </is>
      </c>
      <c r="P148" s="168" t="n"/>
      <c r="Q148" s="171" t="inlineStr">
        <is>
          <t>Italy</t>
        </is>
      </c>
      <c r="R148" s="169" t="n">
        <v>46318</v>
      </c>
      <c r="S148" s="170" t="inlineStr">
        <is>
          <t>2026-Q4</t>
        </is>
      </c>
      <c r="T148" s="172" t="inlineStr">
        <is>
          <t>landslide</t>
        </is>
      </c>
      <c r="U148" s="160" t="n">
        <v>10</v>
      </c>
      <c r="V148"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40.5" customHeight="1">
      <c r="A149" s="160" t="n">
        <v>146</v>
      </c>
      <c r="B149" s="161" t="inlineStr">
        <is>
          <t>TNI helps landslide victims in Lae Ikan, Subulussalam</t>
        </is>
      </c>
      <c r="C149" s="162" t="inlineStr">
        <is>
          <t>Hazards &amp; Resilience</t>
        </is>
      </c>
      <c r="D149" s="163" t="n">
        <v>4</v>
      </c>
      <c r="E149" s="177" t="inlineStr">
        <is>
          <t>News brief</t>
        </is>
      </c>
      <c r="F149" s="165" t="inlineStr">
        <is>
          <t>To review</t>
        </is>
      </c>
      <c r="G149" s="166" t="n"/>
      <c r="H149" s="167" t="n"/>
      <c r="I149" s="168" t="inlineStr">
        <is>
          <t>What role can emergency response and rapid geotechnical assessment play after a landslide in a mountainous Indonesian village?</t>
        </is>
      </c>
      <c r="J149" s="168" t="inlineStr">
        <is>
          <t>RRI.co.id</t>
        </is>
      </c>
      <c r="K149" s="169" t="n">
        <v>46319</v>
      </c>
      <c r="L149" s="168" t="inlineStr">
        <is>
          <t>TNI Bantu Korban Longsor di Lae Ikan Subulussalam</t>
        </is>
      </c>
      <c r="M149" s="168" t="n"/>
      <c r="N149" s="170" t="inlineStr">
        <is>
          <t>Indonesia</t>
        </is>
      </c>
      <c r="O149" s="168" t="inlineStr">
        <is>
          <t>Lae Ikan, Subulussalam</t>
        </is>
      </c>
      <c r="P149" s="168" t="n"/>
      <c r="Q149" s="171" t="inlineStr">
        <is>
          <t>Indonesia</t>
        </is>
      </c>
      <c r="R149" s="169" t="n">
        <v>46319</v>
      </c>
      <c r="S149" s="170" t="inlineStr">
        <is>
          <t>2026-Q4</t>
        </is>
      </c>
      <c r="T149" s="172" t="inlineStr">
        <is>
          <t>landslide</t>
        </is>
      </c>
      <c r="U149" s="160" t="n">
        <v>10</v>
      </c>
      <c r="V149"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Intense rains cause alluvion in rural sector of Concepción: residents fear new landslides</t>
        </is>
      </c>
      <c r="C150" s="162" t="inlineStr">
        <is>
          <t>Hazards &amp; Resilience</t>
        </is>
      </c>
      <c r="D150" s="163" t="n">
        <v>4</v>
      </c>
      <c r="E150" s="164" t="inlineStr">
        <is>
          <t>Feature lead</t>
        </is>
      </c>
      <c r="F150" s="165" t="inlineStr">
        <is>
          <t>To review</t>
        </is>
      </c>
      <c r="G150" s="166" t="n"/>
      <c r="H150" s="167" t="n"/>
      <c r="I150" s="168" t="inlineStr">
        <is>
          <t>What triggered the rain-induced debris flow and slope failure in this rural hillside, and how can residents' risk of further slides be assessed?</t>
        </is>
      </c>
      <c r="J150" s="168" t="inlineStr">
        <is>
          <t>Meganoticias</t>
        </is>
      </c>
      <c r="K150" s="169" t="n">
        <v>46319</v>
      </c>
      <c r="L150" s="168" t="inlineStr">
        <is>
          <t>Intensas lluvias provocan aluvión en sector rural de Concepción: Vecinos temen nuevos deslizamientos</t>
        </is>
      </c>
      <c r="M150" s="168" t="n"/>
      <c r="N150" s="170" t="inlineStr">
        <is>
          <t>Chile</t>
        </is>
      </c>
      <c r="O150" s="168" t="inlineStr">
        <is>
          <t>Concepción</t>
        </is>
      </c>
      <c r="P150" s="168" t="n"/>
      <c r="Q150" s="171" t="inlineStr">
        <is>
          <t>Chile</t>
        </is>
      </c>
      <c r="R150" s="169" t="n">
        <v>46317</v>
      </c>
      <c r="S150" s="170" t="inlineStr">
        <is>
          <t>2026-Q4</t>
        </is>
      </c>
      <c r="T150" s="172" t="inlineStr">
        <is>
          <t>landslide, debris flow</t>
        </is>
      </c>
      <c r="U150" s="160" t="n">
        <v>8</v>
      </c>
      <c r="V150"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Rockfall onto houses in Chi Lang commune, Lang Son province</t>
        </is>
      </c>
      <c r="C151" s="162" t="inlineStr">
        <is>
          <t>Hazards &amp; Resilience</t>
        </is>
      </c>
      <c r="D151" s="163" t="n">
        <v>4</v>
      </c>
      <c r="E151" s="177" t="inlineStr">
        <is>
          <t>News brief</t>
        </is>
      </c>
      <c r="F151" s="165" t="inlineStr">
        <is>
          <t>To review</t>
        </is>
      </c>
      <c r="G151" s="166" t="n"/>
      <c r="H151" s="167" t="n"/>
      <c r="I151" s="168" t="inlineStr">
        <is>
          <t>What mechanisms cause rockfall onto houses below steep slopes, and how should hazard mitigation be designed for rural settlements?</t>
        </is>
      </c>
      <c r="J151" s="168" t="inlineStr">
        <is>
          <t>Baolangson.vn</t>
        </is>
      </c>
      <c r="K151" s="169" t="n">
        <v>46319</v>
      </c>
      <c r="L151" s="168" t="inlineStr">
        <is>
          <t>Sạt lở đá xuống nhà dân tại xã Chi Lăng - Báo và Phát thanh, Truyền hình Lạng Sơn</t>
        </is>
      </c>
      <c r="M151" s="168" t="n"/>
      <c r="N151" s="170" t="inlineStr">
        <is>
          <t>Vietnam</t>
        </is>
      </c>
      <c r="O151" s="168" t="inlineStr">
        <is>
          <t>Chi Lang commune, Lang Son</t>
        </is>
      </c>
      <c r="P151" s="168" t="n"/>
      <c r="Q151" s="171" t="inlineStr">
        <is>
          <t>Vietnam</t>
        </is>
      </c>
      <c r="R151" s="169" t="n">
        <v>46317</v>
      </c>
      <c r="S151" s="170" t="inlineStr">
        <is>
          <t>2026-Q4</t>
        </is>
      </c>
      <c r="T151" s="172" t="inlineStr">
        <is>
          <t>landslide, rockfall</t>
        </is>
      </c>
      <c r="U151" s="160" t="n">
        <v>8</v>
      </c>
      <c r="V151" s="173" t="inlineStr">
        <is>
          <t>https://news.google.com/rss/articles/CBMif0FVX3lxTE4zQm1aVUtwTUM2RWlZZXpKOEdDX0xZYk41cGNLaDNFNDNlQko2SGxxTmVtLVBBQm9VZkFIOFBmUE1PSE1KclNSUHNQMDhUTGRiWnE0R0ZPcDFFV3E4R3U4M19FZzI2akVUNFRvRkgwSkxuMkZpWmU4Tlh5WTNoQ2M?oc=5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Close-up of a 500-metre street section in Lam Dong province severely damaged by subsidence and landslides</t>
        </is>
      </c>
      <c r="C152" s="162" t="inlineStr">
        <is>
          <t>Hazards &amp; Resilience</t>
        </is>
      </c>
      <c r="D152" s="163" t="n">
        <v>4</v>
      </c>
      <c r="E152" s="181" t="inlineStr">
        <is>
          <t>Regional insight</t>
        </is>
      </c>
      <c r="F152" s="165" t="inlineStr">
        <is>
          <t>To review</t>
        </is>
      </c>
      <c r="G152" s="166" t="n"/>
      <c r="H152" s="167" t="n"/>
      <c r="I152" s="168" t="inlineStr">
        <is>
          <t>What combination of subsidence and landslide processes damaged this 500 m road, and how should such ground be investigated and repaired?</t>
        </is>
      </c>
      <c r="J152" s="168" t="inlineStr">
        <is>
          <t>Vietnam.vn</t>
        </is>
      </c>
      <c r="K152" s="169" t="n">
        <v>46319</v>
      </c>
      <c r="L152" s="168" t="inlineStr">
        <is>
          <t>Крупный план участка улицы длиной 500 метров в провинции Ламдонг, сильно пострадавшего от проседания грунта и оползней.</t>
        </is>
      </c>
      <c r="M152" s="168" t="n"/>
      <c r="N152" s="170" t="inlineStr">
        <is>
          <t>Vietnam</t>
        </is>
      </c>
      <c r="O152" s="168" t="inlineStr">
        <is>
          <t>Lam Dong province</t>
        </is>
      </c>
      <c r="P152" s="168" t="n"/>
      <c r="Q152" s="171" t="inlineStr">
        <is>
          <t>Russia</t>
        </is>
      </c>
      <c r="R152" s="169" t="n">
        <v>46317</v>
      </c>
      <c r="S152" s="170" t="inlineStr">
        <is>
          <t>2026-Q4</t>
        </is>
      </c>
      <c r="T152" s="172" t="inlineStr">
        <is>
          <t>landslide, subsidence, soil</t>
        </is>
      </c>
      <c r="U152" s="160" t="n">
        <v>8</v>
      </c>
      <c r="V152" s="173" t="inlineStr">
        <is>
          <t>https://news.google.com/rss/articles/CBMimwFBVV95cUxPLTkyck5DaWR1VmtTV3hIeXVJaWNDUnNpR1AzZDlLbVdzdC1kSmJfTjM3T000WGlLSWt5S2hfSzItS3Y5MkFJZWRZaktBTlNVVFFyRjNHRndpczhWYkdvNFBFY1MxbXA4VTRWWlpCeVdqTWFNbG9HTldyRlRwQkdUYVV2SDNBOGFRUU9WM3pIMG16RUZBWGttYTRmVQ?oc=5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Quang Tri: Severe coastal erosion threatens dikes, embankments, and people's lives.</t>
        </is>
      </c>
      <c r="C153" s="183" t="inlineStr">
        <is>
          <t>Offshore, Coasts &amp; Water</t>
        </is>
      </c>
      <c r="D153" s="163" t="n">
        <v>4</v>
      </c>
      <c r="E153" s="181" t="inlineStr">
        <is>
          <t>Regional insight</t>
        </is>
      </c>
      <c r="F153" s="165" t="inlineStr">
        <is>
          <t>To review</t>
        </is>
      </c>
      <c r="G153" s="166" t="n"/>
      <c r="H153" s="167" t="n"/>
      <c r="I153" s="168" t="inlineStr">
        <is>
          <t>What processes drive severe coastal erosion undermining dikes, and what protection measures suit such shorelines?</t>
        </is>
      </c>
      <c r="J153" s="168" t="inlineStr">
        <is>
          <t>Vietnam.vn</t>
        </is>
      </c>
      <c r="K153" s="169" t="n">
        <v>46319</v>
      </c>
      <c r="L153" s="168" t="n"/>
      <c r="M153" s="168" t="n"/>
      <c r="N153" s="170" t="inlineStr">
        <is>
          <t>Vietnam</t>
        </is>
      </c>
      <c r="O153" s="168" t="inlineStr">
        <is>
          <t>Quang Tri</t>
        </is>
      </c>
      <c r="P153" s="168" t="inlineStr">
        <is>
          <t>Quang Tri coastal erosion threatening dykes, Vietnam (Oct 2026) · Event · 2 reports</t>
        </is>
      </c>
      <c r="Q153" s="171" t="inlineStr">
        <is>
          <t>Vietnam</t>
        </is>
      </c>
      <c r="R153" s="169" t="n">
        <v>46318</v>
      </c>
      <c r="S153" s="170" t="inlineStr">
        <is>
          <t>2026-Q4</t>
        </is>
      </c>
      <c r="T153" s="172" t="inlineStr">
        <is>
          <t>embankment, dike, erosion</t>
        </is>
      </c>
      <c r="U153" s="160" t="n">
        <v>7</v>
      </c>
      <c r="V153"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40.5" customHeight="1">
      <c r="A154" s="160" t="n">
        <v>151</v>
      </c>
      <c r="B154" s="161" t="inlineStr">
        <is>
          <t>Nghe An: urgent measures needed to prevent landslide on embankment along coastal road</t>
        </is>
      </c>
      <c r="C154" s="183" t="inlineStr">
        <is>
          <t>Offshore, Coasts &amp; Water</t>
        </is>
      </c>
      <c r="D154" s="163" t="n">
        <v>4</v>
      </c>
      <c r="E154" s="181" t="inlineStr">
        <is>
          <t>Regional insight</t>
        </is>
      </c>
      <c r="F154" s="165" t="inlineStr">
        <is>
          <t>To review</t>
        </is>
      </c>
      <c r="G154" s="166" t="n"/>
      <c r="H154" s="167" t="n"/>
      <c r="I154" s="168" t="inlineStr">
        <is>
          <t>What urgent stabilisation options suit a failing embankment on a coastal road, and how should slope failure risk be assessed?</t>
        </is>
      </c>
      <c r="J154" s="168" t="inlineStr">
        <is>
          <t>Vietnam.vn</t>
        </is>
      </c>
      <c r="K154" s="169" t="n">
        <v>46319</v>
      </c>
      <c r="L154" s="168" t="inlineStr">
        <is>
          <t>Нге Ан: Необходимы срочные меры для предотвращения оползня на насыпи вдоль прибрежной дороги.</t>
        </is>
      </c>
      <c r="M154" s="168" t="n"/>
      <c r="N154" s="170" t="inlineStr">
        <is>
          <t>Vietnam</t>
        </is>
      </c>
      <c r="O154" s="168" t="inlineStr">
        <is>
          <t>Nghe An</t>
        </is>
      </c>
      <c r="P154" s="168" t="n"/>
      <c r="Q154" s="171" t="inlineStr">
        <is>
          <t>Russia</t>
        </is>
      </c>
      <c r="R154" s="169" t="n">
        <v>46318</v>
      </c>
      <c r="S154" s="170" t="inlineStr">
        <is>
          <t>2026-Q4</t>
        </is>
      </c>
      <c r="T154" s="172" t="inlineStr">
        <is>
          <t>landslide, embankment</t>
        </is>
      </c>
      <c r="U154" s="160" t="n">
        <v>7</v>
      </c>
      <c r="V154" s="173" t="inlineStr">
        <is>
          <t>https://news.google.com/rss/articles/CBMilwFBVV95cUxNcG13NlMtVlJSQ0ZDYTM0cGN0NmZzaEtGVDFnV2ZGNkIzM1p0MU0wdUFpbnNDdFFDa0l6M1F6NW5hX2pMNFViN2lfWE80dlJFUGpiOWRfSFhBRWN1d1g2b3o5a1kxNUhIVHRNUUJ6TG5EMXdxcnE2bG9TTWxIc2dDUjBLTlpmNjg5WFVtZE15SWhRY0sxSWtv?oc=5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40.5" customHeight="1">
      <c r="A155" s="160" t="n">
        <v>152</v>
      </c>
      <c r="B155" s="161" t="inlineStr">
        <is>
          <t>57-billion-dong erosion revetment in Thanh Hoa subsides and cracks right after completion</t>
        </is>
      </c>
      <c r="C155" s="162" t="inlineStr">
        <is>
          <t>Hazards &amp; Resilience</t>
        </is>
      </c>
      <c r="D155" s="163" t="n">
        <v>4</v>
      </c>
      <c r="E155" s="164" t="inlineStr">
        <is>
          <t>Feature lead</t>
        </is>
      </c>
      <c r="F155" s="165" t="inlineStr">
        <is>
          <t>To review</t>
        </is>
      </c>
      <c r="G155" s="166" t="n"/>
      <c r="H155" s="167" t="n"/>
      <c r="I155" s="168" t="inlineStr">
        <is>
          <t>Why did a newly completed revetment subside and crack so soon, and what foundation or design checks could have prevented it?</t>
        </is>
      </c>
      <c r="J155" s="168" t="inlineStr">
        <is>
          <t>Báo Thanh Niên</t>
        </is>
      </c>
      <c r="K155" s="169" t="n">
        <v>46319</v>
      </c>
      <c r="L155" s="168" t="inlineStr">
        <is>
          <t>Kè chống sạt lở hơn 57 tỉ đồng ở Thanh Hóa vừa làm xong đã sụt lún, đứt gãy</t>
        </is>
      </c>
      <c r="M155" s="168" t="n"/>
      <c r="N155" s="170" t="inlineStr">
        <is>
          <t>Vietnam</t>
        </is>
      </c>
      <c r="O155" s="168" t="inlineStr">
        <is>
          <t>Thanh Hoa</t>
        </is>
      </c>
      <c r="P155" s="168" t="n"/>
      <c r="Q155" s="171" t="inlineStr">
        <is>
          <t>Vietnam</t>
        </is>
      </c>
      <c r="R155" s="169" t="n">
        <v>46319</v>
      </c>
      <c r="S155" s="170" t="inlineStr">
        <is>
          <t>2026-Q4</t>
        </is>
      </c>
      <c r="T155" s="172" t="inlineStr">
        <is>
          <t>landslide, subsidence</t>
        </is>
      </c>
      <c r="U155" s="160" t="n">
        <v>7</v>
      </c>
      <c r="V155"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Lam Dong warns of serious subsidence and sliding on city streets</t>
        </is>
      </c>
      <c r="C156" s="162" t="inlineStr">
        <is>
          <t>Hazards &amp; Resilience</t>
        </is>
      </c>
      <c r="D156" s="163" t="n">
        <v>4</v>
      </c>
      <c r="E156" s="181" t="inlineStr">
        <is>
          <t>Regional insight</t>
        </is>
      </c>
      <c r="F156" s="165" t="inlineStr">
        <is>
          <t>To review</t>
        </is>
      </c>
      <c r="G156" s="166" t="n"/>
      <c r="H156" s="167" t="n"/>
      <c r="I156" s="168" t="inlineStr">
        <is>
          <t>What causes urban street subsidence and sliding in this highland city, and how should authorities monitor and warn residents?</t>
        </is>
      </c>
      <c r="J156" s="168" t="inlineStr">
        <is>
          <t>Báo và phát thanh, truyền hình Đồng Tháp</t>
        </is>
      </c>
      <c r="K156" s="169" t="n">
        <v>46319</v>
      </c>
      <c r="L156" s="168" t="inlineStr">
        <is>
          <t>Lâm Đồng: Cảnh báo sụt lún, sạt trượt nghiêm trọng đường phố</t>
        </is>
      </c>
      <c r="M156" s="168" t="n"/>
      <c r="N156" s="170" t="inlineStr">
        <is>
          <t>Vietnam</t>
        </is>
      </c>
      <c r="O156" s="168" t="inlineStr">
        <is>
          <t>Da Lat, Lam Dong</t>
        </is>
      </c>
      <c r="P156" s="168" t="n"/>
      <c r="Q156" s="171" t="inlineStr">
        <is>
          <t>Vietnam</t>
        </is>
      </c>
      <c r="R156" s="169" t="n">
        <v>46318</v>
      </c>
      <c r="S156" s="170" t="inlineStr">
        <is>
          <t>2026-Q4</t>
        </is>
      </c>
      <c r="T156" s="172" t="inlineStr">
        <is>
          <t>landslide, subsidence</t>
        </is>
      </c>
      <c r="U156" s="160" t="n">
        <v>7</v>
      </c>
      <c r="V156" s="173" t="inlineStr">
        <is>
          <t>https://news.google.com/rss/articles/CBMiigFBVV95cUxPZWVidFMzVlYxMDdISl9EQ2U0U3hiaVU2NmFPN09jYzZUem1CaXB3N1I4S1l0VW9Ka1l1LU9kVnY2bDQzUnFKWUFiNnF3azVkeEZoUGpxREdXNExtd2ZwRWVtNmZPTUkxUnA5TmFsczUyX3hkLUpJYmtFVU5yeTRONV9nb2VfNjVPZnc?oc=5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Identifying a huge sinkhole in Phong Nha-Ke Bang National Park; exploring Thien Ha cave in Ninh Binh</t>
        </is>
      </c>
      <c r="C157" s="162" t="inlineStr">
        <is>
          <t>Hazards &amp; Resilience</t>
        </is>
      </c>
      <c r="D157" s="163" t="n">
        <v>4</v>
      </c>
      <c r="E157" s="164" t="inlineStr">
        <is>
          <t>Feature lead</t>
        </is>
      </c>
      <c r="F157" s="165" t="inlineStr">
        <is>
          <t>To review</t>
        </is>
      </c>
      <c r="G157" s="166" t="n"/>
      <c r="H157" s="167" t="n"/>
      <c r="I157" s="168" t="inlineStr">
        <is>
          <t>What karst processes produce giant sinkholes, and how can they be detected and assessed in limestone terrain?</t>
        </is>
      </c>
      <c r="J157" s="168" t="inlineStr">
        <is>
          <t>Kenh14.vn</t>
        </is>
      </c>
      <c r="K157" s="169" t="n">
        <v>46319</v>
      </c>
      <c r="L157" s="168" t="inlineStr">
        <is>
          <t>Xác định hố sụt lún “khủng” ở Vườn quốc gia Phong Nha-Kẻ Bàng Khám phá hang động Thiên Hà huyền ảo ở Ninh Bình</t>
        </is>
      </c>
      <c r="M157" s="168" t="n"/>
      <c r="N157" s="170" t="inlineStr">
        <is>
          <t>Vietnam</t>
        </is>
      </c>
      <c r="O157" s="168" t="inlineStr">
        <is>
          <t>Phong Nha-Ke Bang National Park</t>
        </is>
      </c>
      <c r="P157" s="168" t="n"/>
      <c r="Q157" s="171" t="inlineStr">
        <is>
          <t>Vietnam</t>
        </is>
      </c>
      <c r="R157" s="169" t="n">
        <v>46318</v>
      </c>
      <c r="S157" s="170" t="inlineStr">
        <is>
          <t>2026-Q4</t>
        </is>
      </c>
      <c r="T157" s="172" t="inlineStr">
        <is>
          <t>sinkhole, subsidence</t>
        </is>
      </c>
      <c r="U157" s="160" t="n">
        <v>7</v>
      </c>
      <c r="V157"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Close-up of a 500-metre street in Lam Dong province, badly hit by subsidence and landslides</t>
        </is>
      </c>
      <c r="C158" s="162" t="inlineStr">
        <is>
          <t>Hazards &amp; Resilience</t>
        </is>
      </c>
      <c r="D158" s="163" t="n">
        <v>4</v>
      </c>
      <c r="E158" s="181" t="inlineStr">
        <is>
          <t>Regional insight</t>
        </is>
      </c>
      <c r="F158" s="165" t="inlineStr">
        <is>
          <t>To review</t>
        </is>
      </c>
      <c r="G158" s="166" t="n"/>
      <c r="H158" s="167" t="n"/>
      <c r="I158" s="168" t="inlineStr">
        <is>
          <t>What combination of subsidence and landslide processes damaged this 500 m road, and how should such ground be investigated and repaired?</t>
        </is>
      </c>
      <c r="J158" s="168" t="inlineStr">
        <is>
          <t>Vietnam.vn</t>
        </is>
      </c>
      <c r="K158" s="169" t="n">
        <v>46319</v>
      </c>
      <c r="L158" s="168" t="inlineStr">
        <is>
          <t>Gros plan sur 500 mètres de rue dans la province de Lam Dong, gravement touchée par des affaissements et des glissements de terrain.</t>
        </is>
      </c>
      <c r="M158" s="168" t="n"/>
      <c r="N158" s="170" t="inlineStr">
        <is>
          <t>Vietnam</t>
        </is>
      </c>
      <c r="O158" s="168" t="inlineStr">
        <is>
          <t>Lam Dong province</t>
        </is>
      </c>
      <c r="P158" s="168" t="n"/>
      <c r="Q158" s="171" t="inlineStr">
        <is>
          <t>Vietnam</t>
        </is>
      </c>
      <c r="R158" s="169" t="n">
        <v>46317</v>
      </c>
      <c r="S158" s="170" t="inlineStr">
        <is>
          <t>2026-Q4</t>
        </is>
      </c>
      <c r="T158" s="172" t="inlineStr">
        <is>
          <t>landslide, subsidence</t>
        </is>
      </c>
      <c r="U158" s="160" t="n">
        <v>7</v>
      </c>
      <c r="V158" s="173" t="inlineStr">
        <is>
          <t>https://news.google.com/rss/articles/CBMimwFBVV95cUxPMFBaWmJuQ3NGTklKMkNGckRqWFA0WW1sLXlvY1QxanR4YkN6YVVpejBld3ctZVREbkVPWnVab2FBOEZtTXoyeVRmTDE3TXF3ck5IRzNkNFJRZ0lmZmlqLTIwWGZhV0N0RFFiNGVPMnJBcHc4RXBBdjRqdmh5WnZSb1VkZ3B2Q3hva0JybF8tbVI0WjVQVFVsNHUxTQ?oc=5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Anti-landslide embankment threatens residential area</t>
        </is>
      </c>
      <c r="C159" s="162" t="inlineStr">
        <is>
          <t>Hazards &amp; Resilience</t>
        </is>
      </c>
      <c r="D159" s="163" t="n">
        <v>4</v>
      </c>
      <c r="E159" s="181" t="inlineStr">
        <is>
          <t>Regional insight</t>
        </is>
      </c>
      <c r="F159" s="165" t="inlineStr">
        <is>
          <t>To review</t>
        </is>
      </c>
      <c r="G159" s="166" t="n"/>
      <c r="H159" s="167" t="n"/>
      <c r="I159" s="168" t="inlineStr">
        <is>
          <t>Why does this anti-landslide embankment threaten housing, and what stability checks should apply to embankments near settlements?</t>
        </is>
      </c>
      <c r="J159" s="168" t="inlineStr">
        <is>
          <t>Vietnam.vn</t>
        </is>
      </c>
      <c r="K159" s="169" t="n">
        <v>46319</v>
      </c>
      <c r="L159" s="168" t="inlineStr">
        <is>
          <t>산사태 방지 제방이 주거 지역을 위협하고 있다.</t>
        </is>
      </c>
      <c r="M159" s="168" t="n"/>
      <c r="N159" s="170" t="inlineStr">
        <is>
          <t>Vietnam</t>
        </is>
      </c>
      <c r="O159" s="168" t="n"/>
      <c r="P159" s="168" t="n"/>
      <c r="Q159" s="171" t="inlineStr">
        <is>
          <t>South Korea</t>
        </is>
      </c>
      <c r="R159" s="169" t="n">
        <v>46319</v>
      </c>
      <c r="S159" s="170" t="inlineStr">
        <is>
          <t>2026-Q4</t>
        </is>
      </c>
      <c r="T159" s="172" t="inlineStr">
        <is>
          <t>landslide, embankment</t>
        </is>
      </c>
      <c r="U159" s="160" t="n">
        <v>7</v>
      </c>
      <c r="V159" s="173" t="inlineStr">
        <is>
          <t>https://news.google.com/rss/articles/CBMia0FVX3lxTE5yN3NxbVRJdUpIaWRZaHJQMGx1MktYUTdSRHlXd0xCR0tiSkhtNEotVmltaFRvVzFvY3Qxcm1JOFVCb1RBWXVtMTZRVWRtdC1DMERha1RoblFxTjhBT01GR1hWQ1JLTlRFMW1V?oc=5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Nghe An: early treatment needed for slope failure on coastal road cut</t>
        </is>
      </c>
      <c r="C160" s="183" t="inlineStr">
        <is>
          <t>Offshore, Coasts &amp; Water</t>
        </is>
      </c>
      <c r="D160" s="163" t="n">
        <v>4</v>
      </c>
      <c r="E160" s="181" t="inlineStr">
        <is>
          <t>Regional insight</t>
        </is>
      </c>
      <c r="F160" s="165" t="inlineStr">
        <is>
          <t>To review</t>
        </is>
      </c>
      <c r="G160" s="166" t="n"/>
      <c r="H160" s="167" t="n"/>
      <c r="I160" s="168" t="inlineStr">
        <is>
          <t>What causes slope failure in coastal road cuts, and which stabilisation methods are most suitable for weathered coastal soils?</t>
        </is>
      </c>
      <c r="J160" s="168" t="inlineStr">
        <is>
          <t>Vietnam.vn</t>
        </is>
      </c>
      <c r="K160" s="169" t="n">
        <v>46319</v>
      </c>
      <c r="L160" s="168" t="inlineStr">
        <is>
          <t>Nghệ An: Cần sớm xử lý sạt lở taluy dương trên tuyến đường ven biển</t>
        </is>
      </c>
      <c r="M160" s="168" t="n"/>
      <c r="N160" s="170" t="inlineStr">
        <is>
          <t>Vietnam</t>
        </is>
      </c>
      <c r="O160" s="168" t="inlineStr">
        <is>
          <t>Nghe An</t>
        </is>
      </c>
      <c r="P160" s="168" t="inlineStr">
        <is>
          <t>Nghe An coastal road embankment landslide, Vietnam (Oct 2026) · Event · 2 reports</t>
        </is>
      </c>
      <c r="Q160" s="171" t="inlineStr">
        <is>
          <t>Vietnam</t>
        </is>
      </c>
      <c r="R160" s="169" t="n">
        <v>46318</v>
      </c>
      <c r="S160" s="170" t="inlineStr">
        <is>
          <t>2026-Q4</t>
        </is>
      </c>
      <c r="T160" s="172" t="inlineStr">
        <is>
          <t>landslide, slope</t>
        </is>
      </c>
      <c r="U160" s="160" t="n">
        <v>6</v>
      </c>
      <c r="V160" s="173" t="inlineStr">
        <is>
          <t>https://news.google.com/rss/articles/CBMikwFBVV95cUxOUmJPNnl3dVdQRml6UUt3S1Joa05VaE9sdjdhNWZZeVN6QUdqdnFIS2NiMWdGMl9KN093Wm1naTRFcDRoek1UTVQxNGJkZ2lkajUyVnhRRFF4ZTV1UlhsS3NodG80YlpGdlpuOHRaaGFnaXJ5cDN4eTd0VFZJdldPMlczVVZ1NmZZdExSemVKM3lXWUk?oc=5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Osan: Jo Yong-ho's restoration of Seobu-ro retaining wall after road collapse, aiming to restore public trust</t>
        </is>
      </c>
      <c r="C161" s="176" t="inlineStr">
        <is>
          <t>Infrastructure &amp; the Underground City</t>
        </is>
      </c>
      <c r="D161" s="163" t="n">
        <v>4</v>
      </c>
      <c r="E161" s="164" t="inlineStr">
        <is>
          <t>Feature lead</t>
        </is>
      </c>
      <c r="F161" s="165" t="inlineStr">
        <is>
          <t>To review</t>
        </is>
      </c>
      <c r="G161" s="166" t="n"/>
      <c r="H161" s="167" t="n"/>
      <c r="I161" s="168" t="inlineStr">
        <is>
          <t>What caused the road collapse behind this retaining wall, and how should wall reconstruction address backfill and drainage?</t>
        </is>
      </c>
      <c r="J161" s="168" t="inlineStr">
        <is>
          <t>아주경제</t>
        </is>
      </c>
      <c r="K161" s="169" t="n">
        <v>46319</v>
      </c>
      <c r="L161" s="168" t="inlineStr">
        <is>
          <t>[강대웅의 정문일침(頂門一鍼)] 조용호 시장의 오산시 서부로 옹벽 복구...무너진 도로 넘어 시민 신뢰 회복</t>
        </is>
      </c>
      <c r="M161" s="168" t="n"/>
      <c r="N161" s="170" t="inlineStr">
        <is>
          <t>South Korea</t>
        </is>
      </c>
      <c r="O161" s="168" t="inlineStr">
        <is>
          <t>Osan, Seobu-ro</t>
        </is>
      </c>
      <c r="P161" s="168" t="n"/>
      <c r="Q161" s="171" t="inlineStr">
        <is>
          <t>South Korea</t>
        </is>
      </c>
      <c r="R161" s="169" t="n">
        <v>46319</v>
      </c>
      <c r="S161" s="170" t="inlineStr">
        <is>
          <t>2026-Q4</t>
        </is>
      </c>
      <c r="T161" s="172" t="inlineStr">
        <is>
          <t>retaining wall, collapse</t>
        </is>
      </c>
      <c r="U161" s="160" t="n">
        <v>5</v>
      </c>
      <c r="V161"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53" customHeight="1">
      <c r="A162" s="160" t="n">
        <v>159</v>
      </c>
      <c r="B162" s="161" t="inlineStr">
        <is>
          <t>Lawmakers warn of major accidents as retaining wall near apartments repeatedly collapses; drainage and private land issues</t>
        </is>
      </c>
      <c r="C162" s="176" t="inlineStr">
        <is>
          <t>Infrastructure &amp; the Underground City</t>
        </is>
      </c>
      <c r="D162" s="163" t="n">
        <v>4</v>
      </c>
      <c r="E162" s="181" t="inlineStr">
        <is>
          <t>Regional insight</t>
        </is>
      </c>
      <c r="F162" s="165" t="inlineStr">
        <is>
          <t>To review</t>
        </is>
      </c>
      <c r="G162" s="166" t="n"/>
      <c r="H162" s="167" t="n"/>
      <c r="I162" s="168" t="inlineStr">
        <is>
          <t>Why do retaining walls beside apartments collapse repeatedly, and how do drainage and private land ownership complicate remediation?</t>
        </is>
      </c>
      <c r="J162" s="168" t="inlineStr">
        <is>
          <t>Naver Blog</t>
        </is>
      </c>
      <c r="K162" s="169" t="n">
        <v>46319</v>
      </c>
      <c r="L162" s="168" t="inlineStr">
        <is>
          <t>반주영 의원 “인명피해로 이어지면 큰 사고”…황성석 의원도 고촌 옹벽 안전대책 촉구 | 아파트 인접 옹벽 반복 붕괴 우려…상부 배수로·사유지 문제에 시의 적극적인 협의 주문</t>
        </is>
      </c>
      <c r="M162" s="168" t="n"/>
      <c r="N162" s="170" t="inlineStr">
        <is>
          <t>South Korea</t>
        </is>
      </c>
      <c r="O162" s="168" t="inlineStr">
        <is>
          <t>Gochon, Gimpo</t>
        </is>
      </c>
      <c r="P162" s="168" t="n"/>
      <c r="Q162" s="171" t="inlineStr">
        <is>
          <t>South Korea</t>
        </is>
      </c>
      <c r="R162" s="169" t="n">
        <v>46318</v>
      </c>
      <c r="S162" s="170" t="inlineStr">
        <is>
          <t>2026-Q4</t>
        </is>
      </c>
      <c r="T162" s="172" t="inlineStr">
        <is>
          <t>retaining wall, collapse</t>
        </is>
      </c>
      <c r="U162" s="160" t="n">
        <v>5</v>
      </c>
      <c r="V162" s="173" t="inlineStr">
        <is>
          <t>https://news.google.com/rss/articles/CBMikgFBVV95cUxPcTFMNDFOcFc5MjJHLWgxTldJbW9TT3doRG10TDRuSzlYNGNSSU5DOU1Razc0dkRYY0IyeVN1OHoyT3U2WG9wNUh5VW81UEd6anIwMDF1Ym1yQ3VlVk4wZ05saEh2VFFBMnZqOV9nbkFud0NMbWZ6NW9UU0pha0E3enQxdHQtU3JaNktBMlNxWTg2Zw?oc=5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Part of a retaining wall collapsed near Pioneer Park in Yalta after rains</t>
        </is>
      </c>
      <c r="C163" s="176" t="inlineStr">
        <is>
          <t>Infrastructure &amp; the Underground City</t>
        </is>
      </c>
      <c r="D163" s="163" t="n">
        <v>4</v>
      </c>
      <c r="E163" s="181" t="inlineStr">
        <is>
          <t>Regional insight</t>
        </is>
      </c>
      <c r="F163" s="165" t="inlineStr">
        <is>
          <t>To review</t>
        </is>
      </c>
      <c r="G163" s="166" t="n"/>
      <c r="H163" s="167" t="n"/>
      <c r="I163" s="168" t="inlineStr">
        <is>
          <t>Why did this retaining wall fail after heavy rain, and what drainage and wall design checks should coastal slopes receive?</t>
        </is>
      </c>
      <c r="J163" s="168" t="inlineStr">
        <is>
          <t>Крыминформ</t>
        </is>
      </c>
      <c r="K163" s="169" t="n">
        <v>46319</v>
      </c>
      <c r="L163" s="168" t="inlineStr">
        <is>
          <t>После ливней у Пионерского парка в Ялте обрушилась часть подпорной стены</t>
        </is>
      </c>
      <c r="M163" s="168" t="n"/>
      <c r="N163" s="170" t="inlineStr">
        <is>
          <t>Ukraine</t>
        </is>
      </c>
      <c r="O163" s="168" t="inlineStr">
        <is>
          <t>Yalta, Pioneer Park</t>
        </is>
      </c>
      <c r="P163" s="168" t="n"/>
      <c r="Q163" s="171" t="inlineStr">
        <is>
          <t>Russia</t>
        </is>
      </c>
      <c r="R163" s="169" t="n">
        <v>46317</v>
      </c>
      <c r="S163" s="170" t="inlineStr">
        <is>
          <t>2026-Q4</t>
        </is>
      </c>
      <c r="T163" s="172" t="inlineStr">
        <is>
          <t>retaining wall, collapse</t>
        </is>
      </c>
      <c r="U163" s="160" t="n">
        <v>5</v>
      </c>
      <c r="V163" s="173" t="inlineStr">
        <is>
          <t>https://news.google.com/rss/articles/CBMiUkFVX3lxTFBBaDhzbmpCUVV6Y1lGN3hyYllJRGRHNkUta1M3SVpkamJ5MGktVWZHdDJqLWloWW40SmVzTldUSWc0UXliVXJOVWR2VmJoWUtGc0E?oc=5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40.5" customHeight="1">
      <c r="A164" s="160" t="n">
        <v>161</v>
      </c>
      <c r="B164" s="161" t="inlineStr">
        <is>
          <t>Two houses collapse due to Tien River bank erosion</t>
        </is>
      </c>
      <c r="C164" s="183" t="inlineStr">
        <is>
          <t>Offshore, Coasts &amp; Water</t>
        </is>
      </c>
      <c r="D164" s="163" t="n">
        <v>4</v>
      </c>
      <c r="E164" s="177" t="inlineStr">
        <is>
          <t>News brief</t>
        </is>
      </c>
      <c r="F164" s="165" t="inlineStr">
        <is>
          <t>To review</t>
        </is>
      </c>
      <c r="G164" s="166" t="n"/>
      <c r="H164" s="167" t="n"/>
      <c r="I164" s="168" t="inlineStr">
        <is>
          <t>What riverbank erosion processes undermined these houses, and how can bank stability be assessed near settlements?</t>
        </is>
      </c>
      <c r="J164" s="168" t="inlineStr">
        <is>
          <t>VTV.vn</t>
        </is>
      </c>
      <c r="K164" s="169" t="n">
        <v>46319</v>
      </c>
      <c r="L164" s="168" t="inlineStr">
        <is>
          <t>Hai căn nhà đổ sập do sạt lở bờ sông Tiền</t>
        </is>
      </c>
      <c r="M164" s="168" t="n"/>
      <c r="N164" s="170" t="inlineStr">
        <is>
          <t>Vietnam</t>
        </is>
      </c>
      <c r="O164" s="168" t="inlineStr">
        <is>
          <t>Tien River</t>
        </is>
      </c>
      <c r="P164" s="168" t="n"/>
      <c r="Q164" s="171" t="inlineStr">
        <is>
          <t>Vietnam</t>
        </is>
      </c>
      <c r="R164" s="169" t="n">
        <v>46318</v>
      </c>
      <c r="S164" s="170" t="inlineStr">
        <is>
          <t>2026-Q4</t>
        </is>
      </c>
      <c r="T164" s="172" t="inlineStr">
        <is>
          <t>landslide, collapse</t>
        </is>
      </c>
      <c r="U164" s="160" t="n">
        <v>5</v>
      </c>
      <c r="V164" s="173" t="inlineStr">
        <is>
          <t>https://news.google.com/rss/articles/CBMihgFBVV95cUxNZlBjUzdTUHFfNm9fQnZtclVPRG1ZdWtERFVpMHRYYzRrTGV1alZYeU4yR240ZnM4bFZEMkhFMEtJbk1fakR3dzgyRm12YkZZdkpnTjE4UGNBR2otMlpsbkVpdDdGbXBPbUdYaU5ldjBqUnA1c1hwcFF4Yjl3NXVFcHRacHlTZw?oc=5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Gochang-Buan Noeuldaegyo Enters Geotechnical Survey Phase; Construction Targeted for January 2028</t>
        </is>
      </c>
      <c r="C165" s="176" t="inlineStr">
        <is>
          <t>Infrastructure &amp; the Underground City</t>
        </is>
      </c>
      <c r="D165" s="163" t="n">
        <v>4</v>
      </c>
      <c r="E165" s="177" t="inlineStr">
        <is>
          <t>News brief</t>
        </is>
      </c>
      <c r="F165" s="165" t="inlineStr">
        <is>
          <t>To review</t>
        </is>
      </c>
      <c r="G165" s="166" t="n"/>
      <c r="H165" s="167" t="n"/>
      <c r="I165" s="168" t="inlineStr">
        <is>
          <t>What ground conditions will the geotechnical survey reveal for this Korean nuclear-related or major construction project, and how will they shape the 2028 schedule?</t>
        </is>
      </c>
      <c r="J165" s="168" t="inlineStr">
        <is>
          <t>아시아경제</t>
        </is>
      </c>
      <c r="K165" s="169" t="n">
        <v>46319</v>
      </c>
      <c r="L165" s="168" t="n"/>
      <c r="M165" s="168" t="n"/>
      <c r="N165" s="170" t="inlineStr">
        <is>
          <t>South Korea</t>
        </is>
      </c>
      <c r="O165" s="168" t="inlineStr">
        <is>
          <t>Gochang-Buan</t>
        </is>
      </c>
      <c r="P165" s="168" t="n"/>
      <c r="Q165" s="171" t="inlineStr">
        <is>
          <t>United Kingdom</t>
        </is>
      </c>
      <c r="R165" s="169" t="n">
        <v>46317</v>
      </c>
      <c r="S165" s="170" t="inlineStr">
        <is>
          <t>2026-Q4</t>
        </is>
      </c>
      <c r="T165" s="172" t="inlineStr">
        <is>
          <t>geotechnical</t>
        </is>
      </c>
      <c r="U165" s="160" t="n">
        <v>5</v>
      </c>
      <c r="V165" s="173" t="inlineStr">
        <is>
          <t>https://news.google.com/rss/articles/CBMibEFVX3lxTE9qd0p2T2p3a1lzbEg5TnFXNDZ2VXRhLWIzbGk1U0pnQlFCUk1RU2tqdFFXeEt4RkM3bThuVUUyelBfNHJMdlFmMThyZG9UakhLLTFqTGJBTDBKVmN1bXlqQmYyX1U3eHIyWTNfTw?oc=5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A sinkhole nearly three football fields in size has been discovered in Phong Nha-Ke Bang.</t>
        </is>
      </c>
      <c r="C166" s="182" t="inlineStr">
        <is>
          <t>Characterisation &amp; Modelling</t>
        </is>
      </c>
      <c r="D166" s="163" t="n">
        <v>4</v>
      </c>
      <c r="E166" s="164" t="inlineStr">
        <is>
          <t>Feature lead</t>
        </is>
      </c>
      <c r="F166" s="165" t="inlineStr">
        <is>
          <t>To review</t>
        </is>
      </c>
      <c r="G166" s="166" t="n"/>
      <c r="H166" s="167" t="n"/>
      <c r="I166" s="168" t="inlineStr">
        <is>
          <t>How do karst dissolution and roof collapse produce giant dolines like the one in Phong Nha Ke Bang, and how can such cavities be characterised?</t>
        </is>
      </c>
      <c r="J166" s="168" t="inlineStr">
        <is>
          <t>Vietnam.vn</t>
        </is>
      </c>
      <c r="K166" s="169" t="n">
        <v>46319</v>
      </c>
      <c r="L166" s="168" t="inlineStr">
        <is>
          <t>Se ha descubierto un socavón del tamaño de casi tres campos de fútbol en Phong Nha Ke Bang.</t>
        </is>
      </c>
      <c r="M166" s="168" t="n"/>
      <c r="N166" s="170" t="inlineStr">
        <is>
          <t>Vietnam</t>
        </is>
      </c>
      <c r="O166" s="168" t="inlineStr">
        <is>
          <t>Phong Nha Ke Bang</t>
        </is>
      </c>
      <c r="P166" s="168" t="n"/>
      <c r="Q166" s="171" t="inlineStr">
        <is>
          <t>Colombia</t>
        </is>
      </c>
      <c r="R166" s="169" t="n">
        <v>46318</v>
      </c>
      <c r="S166" s="170" t="inlineStr">
        <is>
          <t>2026-Q4</t>
        </is>
      </c>
      <c r="T166" s="172" t="inlineStr">
        <is>
          <t>sinkhole</t>
        </is>
      </c>
      <c r="U166" s="160" t="n">
        <v>4</v>
      </c>
      <c r="V166" s="173" t="inlineStr">
        <is>
          <t>https://news.google.com/rss/articles/CBMilgFBVV95cUxPaWJCQW9La1Z3UklqdWVaNWVLV3l0TFplUEg0R3h5ZzBSNlJtZnpNb2FONml5V3FqbnJGTnZvQ2JZSllHZGRoX3NWR0l6Q0oyWE02RXlncnRfREVCa0xBRnVMTDNhcWRxLURrVTNJUEl5UkdlU0RtdU9UcUpVdVFzblQ0UmdOVlR0YTBfTVpDbjZud2p5d1E?oc=5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CEDH finds negligence by Guasave municipality in death of teacher who fell into sinkhole</t>
        </is>
      </c>
      <c r="C167" s="186" t="inlineStr">
        <is>
          <t>Geotechnics &amp; Society</t>
        </is>
      </c>
      <c r="D167" s="163" t="n">
        <v>4</v>
      </c>
      <c r="E167" s="164" t="inlineStr">
        <is>
          <t>Feature lead</t>
        </is>
      </c>
      <c r="F167" s="165" t="inlineStr">
        <is>
          <t>To review</t>
        </is>
      </c>
      <c r="G167" s="166" t="n"/>
      <c r="H167" s="167" t="n"/>
      <c r="I167" s="168" t="inlineStr">
        <is>
          <t>What duty of care should municipalities meet in managing known ground-collapse hazards in urban areas, as the Guasave case suggests?</t>
        </is>
      </c>
      <c r="J167" s="168" t="inlineStr">
        <is>
          <t>www.noroeste.com.mx</t>
        </is>
      </c>
      <c r="K167" s="169" t="n">
        <v>46319</v>
      </c>
      <c r="L167" s="168" t="inlineStr">
        <is>
          <t>CEDH acredita negligencia del Ayuntamiento de Guasave por muerte de profesor que cayó en socavón</t>
        </is>
      </c>
      <c r="M167" s="168" t="n"/>
      <c r="N167" s="170" t="inlineStr">
        <is>
          <t>Mexico</t>
        </is>
      </c>
      <c r="O167" s="168" t="inlineStr">
        <is>
          <t>Guasave, Sinaloa</t>
        </is>
      </c>
      <c r="P167" s="168" t="n"/>
      <c r="Q167" s="171" t="inlineStr">
        <is>
          <t>Colombia</t>
        </is>
      </c>
      <c r="R167" s="169" t="n">
        <v>46317</v>
      </c>
      <c r="S167" s="170" t="inlineStr">
        <is>
          <t>2026-Q4</t>
        </is>
      </c>
      <c r="T167" s="172" t="inlineStr">
        <is>
          <t>sinkhole</t>
        </is>
      </c>
      <c r="U167" s="160" t="n">
        <v>4</v>
      </c>
      <c r="V167"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Close look at the giant 120-meter-deep sinkhole recently discovered in Vietnam.</t>
        </is>
      </c>
      <c r="C168" s="182" t="inlineStr">
        <is>
          <t>Characterisation &amp; Modelling</t>
        </is>
      </c>
      <c r="D168" s="163" t="n">
        <v>4</v>
      </c>
      <c r="E168" s="164" t="inlineStr">
        <is>
          <t>Feature lead</t>
        </is>
      </c>
      <c r="F168" s="165" t="inlineStr">
        <is>
          <t>To review</t>
        </is>
      </c>
      <c r="G168" s="166" t="n"/>
      <c r="H168" s="167" t="n"/>
      <c r="I168" s="168" t="inlineStr">
        <is>
          <t>Which geomorphological and hydrogeological processes produced a 120 m deep collapse, and how can the stability of its steep walls be assessed?</t>
        </is>
      </c>
      <c r="J168" s="168" t="inlineStr">
        <is>
          <t>Vietnam.vn</t>
        </is>
      </c>
      <c r="K168" s="169" t="n">
        <v>46319</v>
      </c>
      <c r="L168" s="168" t="inlineStr">
        <is>
          <t>Vista de cerca del gigantesco socavón de 120 metros de profundidad descubierto recientemente en Vietnam.</t>
        </is>
      </c>
      <c r="M168" s="168" t="n"/>
      <c r="N168" s="170" t="inlineStr">
        <is>
          <t>Vietnam</t>
        </is>
      </c>
      <c r="O168" s="168" t="inlineStr">
        <is>
          <t>Quang Binh</t>
        </is>
      </c>
      <c r="P168" s="168" t="n"/>
      <c r="Q168" s="171" t="inlineStr">
        <is>
          <t>Colombia</t>
        </is>
      </c>
      <c r="R168" s="169" t="n">
        <v>46318</v>
      </c>
      <c r="S168" s="170" t="inlineStr">
        <is>
          <t>2026-Q4</t>
        </is>
      </c>
      <c r="T168" s="172" t="inlineStr">
        <is>
          <t>sinkhole</t>
        </is>
      </c>
      <c r="U168" s="160" t="n">
        <v>4</v>
      </c>
      <c r="V168" s="173" t="inlineStr">
        <is>
          <t>https://news.google.com/rss/articles/CBMijgFBVV95cUxORHhvYWNuVVRGRXIybWtsektBWDRYYkhhLWlYd2FwS0pBV2wzWklDdzN3UGxXLWZpa1ZLT0lWM0RZa1RXY0ZDRS1HYUdDV1RJU2dWWFpWalZ3cEhkaGJsYjk2WUZrWXQ3M2hXTWFVSGxSYjFhUzBOVlNnSUYxdVhtMGNBellTcmV4Q295SDJ3?oc=5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Primeval forest grows at bottom of 120-meter-deep sinkhole in central Vietnam</t>
        </is>
      </c>
      <c r="C169" s="182" t="inlineStr">
        <is>
          <t>Characterisation &amp; Modelling</t>
        </is>
      </c>
      <c r="D169" s="163" t="n">
        <v>4</v>
      </c>
      <c r="E169" s="164" t="inlineStr">
        <is>
          <t>Feature lead</t>
        </is>
      </c>
      <c r="F169" s="165" t="inlineStr">
        <is>
          <t>To review</t>
        </is>
      </c>
      <c r="G169" s="166" t="n"/>
      <c r="H169" s="167" t="n"/>
      <c r="I169" s="168" t="inlineStr">
        <is>
          <t>How do karst collapse sinkholes form in limestone terrain, and what do such deep features reveal about cave ground stability and hazard mapping?</t>
        </is>
      </c>
      <c r="J169" s="168" t="inlineStr">
        <is>
          <t>VnExpress International</t>
        </is>
      </c>
      <c r="K169" s="169" t="n">
        <v>46319</v>
      </c>
      <c r="L169" s="168" t="n"/>
      <c r="M169" s="168" t="n"/>
      <c r="N169" s="170" t="inlineStr">
        <is>
          <t>Vietnam</t>
        </is>
      </c>
      <c r="O169" s="168" t="inlineStr">
        <is>
          <t>Quang Binh</t>
        </is>
      </c>
      <c r="P169" s="168" t="inlineStr">
        <is>
          <t>Phong Nha-Ke Bang 120 m sinkhole discovery, Vietnam · Event · 4 reports</t>
        </is>
      </c>
      <c r="Q169" s="171" t="inlineStr">
        <is>
          <t>United Kingdom</t>
        </is>
      </c>
      <c r="R169" s="169" t="n">
        <v>46319</v>
      </c>
      <c r="S169" s="170" t="inlineStr">
        <is>
          <t>2026-Q4</t>
        </is>
      </c>
      <c r="T169" s="172" t="inlineStr">
        <is>
          <t>sinkhole</t>
        </is>
      </c>
      <c r="U169" s="160" t="n">
        <v>4</v>
      </c>
      <c r="V169"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Mystery in El Bosque: sinkhole appears amid rain and swallows a car</t>
        </is>
      </c>
      <c r="C170" s="176" t="inlineStr">
        <is>
          <t>Infrastructure &amp; the Underground City</t>
        </is>
      </c>
      <c r="D170" s="163" t="n">
        <v>4</v>
      </c>
      <c r="E170" s="177" t="inlineStr">
        <is>
          <t>News brief</t>
        </is>
      </c>
      <c r="F170" s="165" t="inlineStr">
        <is>
          <t>To review</t>
        </is>
      </c>
      <c r="G170" s="166" t="n"/>
      <c r="H170" s="167" t="n"/>
      <c r="I170" s="168" t="inlineStr">
        <is>
          <t>How do rainfall, leaking pipes and soil erosion combine to create sudden road sinkholes that swallow vehicles, as in El Bosque?</t>
        </is>
      </c>
      <c r="J170" s="168" t="inlineStr">
        <is>
          <t>BioBioChile</t>
        </is>
      </c>
      <c r="K170" s="169" t="n">
        <v>46319</v>
      </c>
      <c r="L170" s="168" t="inlineStr">
        <is>
          <t>Misterio en El Bosque: socavón aparece en medio de la lluvia y se traga un auto</t>
        </is>
      </c>
      <c r="M170" s="168" t="n"/>
      <c r="N170" s="170" t="inlineStr">
        <is>
          <t>Chile</t>
        </is>
      </c>
      <c r="O170" s="168" t="inlineStr">
        <is>
          <t>El Bosque, Santiago</t>
        </is>
      </c>
      <c r="P170" s="168" t="n"/>
      <c r="Q170" s="171" t="inlineStr">
        <is>
          <t>Colombia</t>
        </is>
      </c>
      <c r="R170" s="169" t="n">
        <v>46317</v>
      </c>
      <c r="S170" s="170" t="inlineStr">
        <is>
          <t>2026-Q4</t>
        </is>
      </c>
      <c r="T170" s="172" t="inlineStr">
        <is>
          <t>sinkhole</t>
        </is>
      </c>
      <c r="U170" s="160" t="n">
        <v>4</v>
      </c>
      <c r="V170"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300 neighbourhoods at risk from rain; Eloy Alfaro sinkhole casts doubt on Quito's underground infrastructure</t>
        </is>
      </c>
      <c r="C171" s="176" t="inlineStr">
        <is>
          <t>Infrastructure &amp; the Underground City</t>
        </is>
      </c>
      <c r="D171" s="163" t="n">
        <v>4</v>
      </c>
      <c r="E171" s="164" t="inlineStr">
        <is>
          <t>Feature lead</t>
        </is>
      </c>
      <c r="F171" s="165" t="inlineStr">
        <is>
          <t>To review</t>
        </is>
      </c>
      <c r="G171" s="166" t="n"/>
      <c r="H171" s="167" t="n"/>
      <c r="I171" s="168" t="inlineStr">
        <is>
          <t>What does the Eloy Alfaro sinkhole reveal about the condition of Quito's buried infrastructure and the ground beneath rain-affected neighbourhoods?</t>
        </is>
      </c>
      <c r="J171" s="168" t="inlineStr">
        <is>
          <t>El Universo</t>
        </is>
      </c>
      <c r="K171" s="169" t="n">
        <v>46319</v>
      </c>
      <c r="L171" s="168" t="inlineStr">
        <is>
          <t>Más de 300 barrios en riesgo por las lluvias, socavón en la Eloy Alfaro pone en duda la infraestructura subterránea de Quito</t>
        </is>
      </c>
      <c r="M171" s="168" t="n"/>
      <c r="N171" s="170" t="inlineStr">
        <is>
          <t>Ecuador</t>
        </is>
      </c>
      <c r="O171" s="168" t="inlineStr">
        <is>
          <t>Eloy Alfaro, Quito</t>
        </is>
      </c>
      <c r="P171" s="168" t="n"/>
      <c r="Q171" s="171" t="inlineStr">
        <is>
          <t>Colombia</t>
        </is>
      </c>
      <c r="R171" s="169" t="n">
        <v>46318</v>
      </c>
      <c r="S171" s="170" t="inlineStr">
        <is>
          <t>2026-Q4</t>
        </is>
      </c>
      <c r="T171" s="172" t="inlineStr">
        <is>
          <t>sinkhole</t>
        </is>
      </c>
      <c r="U171" s="160" t="n">
        <v>4</v>
      </c>
      <c r="V171"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Presidential delegate on Arauco sinkhole: 'It was built on land that was not optimal'</t>
        </is>
      </c>
      <c r="C172" s="176" t="inlineStr">
        <is>
          <t>Infrastructure &amp; the Underground City</t>
        </is>
      </c>
      <c r="D172" s="163" t="n">
        <v>4</v>
      </c>
      <c r="E172" s="164" t="inlineStr">
        <is>
          <t>Feature lead</t>
        </is>
      </c>
      <c r="F172" s="165" t="inlineStr">
        <is>
          <t>To review</t>
        </is>
      </c>
      <c r="G172" s="166" t="n"/>
      <c r="H172" s="167" t="n"/>
      <c r="I172" s="168" t="inlineStr">
        <is>
          <t>What ground investigation and foundation decisions should be scrutinised when a structure is built on unsuitable terrain, as officials claim in Arauco?</t>
        </is>
      </c>
      <c r="J172" s="168" t="inlineStr">
        <is>
          <t>Cooperativa</t>
        </is>
      </c>
      <c r="K172" s="169" t="n">
        <v>46319</v>
      </c>
      <c r="L172" s="168" t="inlineStr">
        <is>
          <t>Delegado presidencial y el socavón en Arauco: "Aquí se construyó en un terreno que no era óptimo"</t>
        </is>
      </c>
      <c r="M172" s="168" t="n"/>
      <c r="N172" s="170" t="inlineStr">
        <is>
          <t>Chile</t>
        </is>
      </c>
      <c r="O172" s="168" t="inlineStr">
        <is>
          <t>Arauco</t>
        </is>
      </c>
      <c r="P172" s="168" t="n"/>
      <c r="Q172" s="171" t="inlineStr">
        <is>
          <t>Colombia</t>
        </is>
      </c>
      <c r="R172" s="169" t="n">
        <v>46319</v>
      </c>
      <c r="S172" s="170" t="inlineStr">
        <is>
          <t>2026-Q4</t>
        </is>
      </c>
      <c r="T172" s="172" t="inlineStr">
        <is>
          <t>sinkhole</t>
        </is>
      </c>
      <c r="U172" s="160" t="n">
        <v>4</v>
      </c>
      <c r="V172"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40.5" customHeight="1">
      <c r="A173" s="160" t="n">
        <v>170</v>
      </c>
      <c r="B173" s="161" t="inlineStr">
        <is>
          <t>JUMAPAM and Pemex evaluate underground network after sinkhole on Emilio Barragán avenue in Mazatlán</t>
        </is>
      </c>
      <c r="C173" s="176" t="inlineStr">
        <is>
          <t>Infrastructure &amp; the Underground City</t>
        </is>
      </c>
      <c r="D173" s="163" t="n">
        <v>4</v>
      </c>
      <c r="E173" s="164" t="inlineStr">
        <is>
          <t>Feature lead</t>
        </is>
      </c>
      <c r="F173" s="165" t="inlineStr">
        <is>
          <t>To review</t>
        </is>
      </c>
      <c r="G173" s="166" t="n"/>
      <c r="H173" s="167" t="n"/>
      <c r="I173" s="168" t="inlineStr">
        <is>
          <t>How can utilities mapping and leak detection clarify whether pipe defects caused the Emilio Barragán sinkhole in Mazatlán?</t>
        </is>
      </c>
      <c r="J173" s="168" t="inlineStr">
        <is>
          <t>Debate</t>
        </is>
      </c>
      <c r="K173" s="169" t="n">
        <v>46319</v>
      </c>
      <c r="L173" s="168" t="inlineStr">
        <is>
          <t>JUMAPAM y Pemex evalúan red subterránea tras socavón en la avenida Emilio Barragán en Mazatlán</t>
        </is>
      </c>
      <c r="M173" s="168" t="n"/>
      <c r="N173" s="170" t="inlineStr">
        <is>
          <t>Mexico</t>
        </is>
      </c>
      <c r="O173" s="168" t="inlineStr">
        <is>
          <t>Mazatlan, Emilio Barragan avenue</t>
        </is>
      </c>
      <c r="P173" s="168" t="n"/>
      <c r="Q173" s="171" t="inlineStr">
        <is>
          <t>Colombia</t>
        </is>
      </c>
      <c r="R173" s="169" t="n">
        <v>46317</v>
      </c>
      <c r="S173" s="170" t="inlineStr">
        <is>
          <t>2026-Q4</t>
        </is>
      </c>
      <c r="T173" s="172" t="inlineStr">
        <is>
          <t>sinkhole</t>
        </is>
      </c>
      <c r="U173" s="160" t="n">
        <v>4</v>
      </c>
      <c r="V173"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65.5" customHeight="1">
      <c r="A174" s="160" t="n">
        <v>171</v>
      </c>
      <c r="B174" s="161" t="inlineStr">
        <is>
          <t>What lies inside the hole over two hectares wide in the middle of Phong Nha-Ke Bang forest?</t>
        </is>
      </c>
      <c r="C174" s="182" t="inlineStr">
        <is>
          <t>Characterisation &amp; Modelling</t>
        </is>
      </c>
      <c r="D174" s="163" t="n">
        <v>4</v>
      </c>
      <c r="E174" s="164" t="inlineStr">
        <is>
          <t>Feature lead</t>
        </is>
      </c>
      <c r="F174" s="165" t="inlineStr">
        <is>
          <t>To review</t>
        </is>
      </c>
      <c r="G174" s="166" t="n"/>
      <c r="H174" s="167" t="n"/>
      <c r="I174" s="168" t="inlineStr">
        <is>
          <t>What karst processes, such as collapse or dissolution, could create a large sinkhole of over two hectares in a tropical forest, and how should it be investigated and monitored?</t>
        </is>
      </c>
      <c r="J174" s="168" t="inlineStr">
        <is>
          <t>Vietnam.vn</t>
        </is>
      </c>
      <c r="K174" s="169" t="n">
        <v>46319</v>
      </c>
      <c r="L174" s="168" t="inlineStr">
        <is>
          <t>ما الذي يوجد داخل الحفرة التي تزيد مساحتها عن هكتارين في وسط غابة فونغ نها - كي بانغ؟</t>
        </is>
      </c>
      <c r="M174" s="168" t="n"/>
      <c r="N174" s="170" t="inlineStr">
        <is>
          <t>Vietnam</t>
        </is>
      </c>
      <c r="O174" s="168" t="inlineStr">
        <is>
          <t>Phong Nha-Ke Bang</t>
        </is>
      </c>
      <c r="P174" s="168" t="n"/>
      <c r="Q174" s="171" t="inlineStr">
        <is>
          <t>Egypt</t>
        </is>
      </c>
      <c r="R174" s="169" t="n">
        <v>46319</v>
      </c>
      <c r="S174" s="170" t="inlineStr">
        <is>
          <t>2026-Q4</t>
        </is>
      </c>
      <c r="T174" s="172" t="n"/>
      <c r="U174" s="160" t="n">
        <v>0</v>
      </c>
      <c r="V174" s="173" t="inlineStr">
        <is>
          <t>https://news.google.com/rss/articles/CBMijAFBVV95cUxOLWcwOXFBTWY2NnVDYW5EVi1yMldxeWpKd3NNTjB6SjMtS2FFRjBYQUd6ek1FYkVnVndOX0J3YXk1a3dVZW9KRWFCaV9KaHc4a25tdDBTWmFXc2hnU09sWEtNb2gxVjFhQ3RJaEJpVWhURWowRjNwVlV6ZG9RWVRlb1lpYXBrUV9YU0dDOQ?oc=5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Analytical study of 3D transient dynamic response of a cylindrical cavity in an elastic medium under triangular pulse load.</t>
        </is>
      </c>
      <c r="C175" s="182" t="inlineStr">
        <is>
          <t>Characterisation &amp; Modelling</t>
        </is>
      </c>
      <c r="D175" s="163" t="n">
        <v>4</v>
      </c>
      <c r="E175" s="179" t="inlineStr">
        <is>
          <t>Academia-to-Industry topic</t>
        </is>
      </c>
      <c r="F175" s="165" t="inlineStr">
        <is>
          <t>To review</t>
        </is>
      </c>
      <c r="G175" s="166" t="n"/>
      <c r="H175" s="167" t="n"/>
      <c r="I175" s="168" t="inlineStr">
        <is>
          <t>How do analytical solutions for a cylindrical cavity under triangular pulse loads inform the validation of numerical models for underground openings under impact?</t>
        </is>
      </c>
      <c r="J175" s="168" t="inlineStr">
        <is>
          <t>生物通</t>
        </is>
      </c>
      <c r="K175" s="169" t="n">
        <v>46319</v>
      </c>
      <c r="L175" s="168" t="inlineStr">
        <is>
          <t>弹性介质中圆柱形空腔受三角形脉冲冲击载荷的三维瞬态动力响应解析研究</t>
        </is>
      </c>
      <c r="M175" s="168" t="n"/>
      <c r="N175" s="170" t="n"/>
      <c r="O175" s="168" t="n"/>
      <c r="P175" s="168" t="n"/>
      <c r="Q175" s="171" t="inlineStr">
        <is>
          <t>China</t>
        </is>
      </c>
      <c r="R175" s="169" t="n">
        <v>46318</v>
      </c>
      <c r="S175" s="170" t="inlineStr">
        <is>
          <t>2026-Q4</t>
        </is>
      </c>
      <c r="T175" s="172" t="n"/>
      <c r="U175" s="160" t="n">
        <v>0</v>
      </c>
      <c r="V175" s="173" t="inlineStr">
        <is>
          <t>https://news.google.com/rss/articles/CBMibkFVX3lxTE5PclBzMHZTYkNxbkRYVWFacWgzMjRTdE1JdmNYSi1xbTlBaVZLRTVjTHpCTlQ4c2lEQ2xoMk9kcEdROGxBOFI4Zk9YV3JGSXdUZDg1blVlelJzbU54VjkzTkUySEV5Z2x2aHY5R0xB?oc=5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Concerns over riverbank erosion leading to loss of farmland</t>
        </is>
      </c>
      <c r="C176" s="183" t="inlineStr">
        <is>
          <t>Offshore, Coasts &amp; Water</t>
        </is>
      </c>
      <c r="D176" s="163" t="n">
        <v>4</v>
      </c>
      <c r="E176" s="164" t="inlineStr">
        <is>
          <t>Feature lead</t>
        </is>
      </c>
      <c r="F176" s="165" t="inlineStr">
        <is>
          <t>To review</t>
        </is>
      </c>
      <c r="G176" s="166" t="n"/>
      <c r="H176" s="167" t="n"/>
      <c r="I176" s="168" t="inlineStr">
        <is>
          <t>What bank erosion mechanisms and protection measures are effective for riverbanks threatening farmland, and how can they be monitored over time?</t>
        </is>
      </c>
      <c r="J176" s="168" t="inlineStr">
        <is>
          <t>Vietnam.vn</t>
        </is>
      </c>
      <c r="K176" s="169" t="n">
        <v>46319</v>
      </c>
      <c r="L176" s="168" t="inlineStr">
        <is>
          <t>مخاوف بشأن تآكل ضفاف الأنهار مما يؤدي إلى فقدان الأراضي الزراعية.</t>
        </is>
      </c>
      <c r="M176" s="168" t="n"/>
      <c r="N176" s="170" t="inlineStr">
        <is>
          <t>Vietnam</t>
        </is>
      </c>
      <c r="O176" s="168" t="n"/>
      <c r="P176" s="168" t="n"/>
      <c r="Q176" s="171" t="inlineStr">
        <is>
          <t>Egypt</t>
        </is>
      </c>
      <c r="R176" s="169" t="n">
        <v>46318</v>
      </c>
      <c r="S176" s="170" t="inlineStr">
        <is>
          <t>2026-Q4</t>
        </is>
      </c>
      <c r="T176" s="172" t="n"/>
      <c r="U176" s="160" t="n">
        <v>0</v>
      </c>
      <c r="V176" s="173" t="inlineStr">
        <is>
          <t>https://news.google.com/rss/articles/CBMic0FVX3lxTE85MmNnNDd2QkUzaFV4QTZmTmJXNTAzbUZfMjdpdlNaSjEyODN0eW51ZUp0RzE3SHY2NzRuQlZtOHdtcnFQLWlBOGQ5eVQ3QTU1REJMWTRvZm1qTFZHZWZ0ZU9WTGRiYkhJNGVEaEliZW9GZWc?oc=5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Quang Tri: Severe sea erosion threatens dykes and residents' livelihoods</t>
        </is>
      </c>
      <c r="C177" s="183" t="inlineStr">
        <is>
          <t>Offshore, Coasts &amp; Water</t>
        </is>
      </c>
      <c r="D177" s="163" t="n">
        <v>4</v>
      </c>
      <c r="E177" s="164" t="inlineStr">
        <is>
          <t>Feature lead</t>
        </is>
      </c>
      <c r="F177" s="165" t="inlineStr">
        <is>
          <t>To review</t>
        </is>
      </c>
      <c r="G177" s="166" t="n"/>
      <c r="H177" s="167" t="n"/>
      <c r="I177" s="168" t="inlineStr">
        <is>
          <t>How do sea-level-driven erosion and scour undermine sea dyke foundations in Quang Tri, and which revetment and foundation designs suit eroding sandy coastal soils?</t>
        </is>
      </c>
      <c r="J177" s="168" t="inlineStr">
        <is>
          <t>Người Đưa Tin</t>
        </is>
      </c>
      <c r="K177" s="169" t="n">
        <v>46319</v>
      </c>
      <c r="L177" s="168" t="inlineStr">
        <is>
          <t>Quảng Trị: Biển xâm thực nghiêm trọng đe dọa đê kè và đời sống người dân</t>
        </is>
      </c>
      <c r="M177" s="168" t="n"/>
      <c r="N177" s="170" t="inlineStr">
        <is>
          <t>Vietnam</t>
        </is>
      </c>
      <c r="O177" s="168" t="inlineStr">
        <is>
          <t>Quang Tri</t>
        </is>
      </c>
      <c r="P177" s="168" t="n"/>
      <c r="Q177" s="171" t="inlineStr">
        <is>
          <t>Vietnam</t>
        </is>
      </c>
      <c r="R177" s="169" t="n">
        <v>46318</v>
      </c>
      <c r="S177" s="170" t="inlineStr">
        <is>
          <t>2026-Q4</t>
        </is>
      </c>
      <c r="T177" s="172" t="n"/>
      <c r="U177" s="160" t="n">
        <v>0</v>
      </c>
      <c r="V177"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65.5" customHeight="1">
      <c r="A178" s="160" t="n">
        <v>175</v>
      </c>
      <c r="B178" s="161" t="inlineStr">
        <is>
          <t>Ben Thanh - Tham Luong metro to have all 11 stations completed by end of 2026</t>
        </is>
      </c>
      <c r="C178" s="176" t="inlineStr">
        <is>
          <t>Infrastructure &amp; the Underground City</t>
        </is>
      </c>
      <c r="D178" s="163" t="n">
        <v>4</v>
      </c>
      <c r="E178" s="164" t="inlineStr">
        <is>
          <t>Feature lead</t>
        </is>
      </c>
      <c r="F178" s="165" t="inlineStr">
        <is>
          <t>To review</t>
        </is>
      </c>
      <c r="G178" s="166" t="n"/>
      <c r="H178" s="167" t="n"/>
      <c r="I178" s="168" t="inlineStr">
        <is>
          <t>What ground conditions and deep excavation and tunnelling methods are used for metro stations in soft Ho Chi Minh City clays with high groundwater, and what risks follow?</t>
        </is>
      </c>
      <c r="J178" s="168" t="inlineStr">
        <is>
          <t>VOH</t>
        </is>
      </c>
      <c r="K178" s="169" t="n">
        <v>46319</v>
      </c>
      <c r="L178" s="168" t="inlineStr">
        <is>
          <t>Metro Bến Thành - Tham Lương cuối năm 2026 làm cả 11 nhà ga</t>
        </is>
      </c>
      <c r="M178" s="168" t="n"/>
      <c r="N178" s="170" t="inlineStr">
        <is>
          <t>Vietnam</t>
        </is>
      </c>
      <c r="O178" s="168" t="inlineStr">
        <is>
          <t>Ho Chi Minh City</t>
        </is>
      </c>
      <c r="P178" s="168" t="n"/>
      <c r="Q178" s="171" t="inlineStr">
        <is>
          <t>Vietnam</t>
        </is>
      </c>
      <c r="R178" s="169" t="n">
        <v>46318</v>
      </c>
      <c r="S178" s="170" t="inlineStr">
        <is>
          <t>2026-Q4</t>
        </is>
      </c>
      <c r="T178" s="172" t="n"/>
      <c r="U178" s="160" t="n">
        <v>0</v>
      </c>
      <c r="V178"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40.5" customHeight="1">
      <c r="A179" s="160" t="n">
        <v>176</v>
      </c>
      <c r="B179" s="161" t="inlineStr">
        <is>
          <t>Snowy 2.0 cost and completion date revised</t>
        </is>
      </c>
      <c r="C179" s="185" t="inlineStr">
        <is>
          <t>Sustainability &amp; the Energy Transition</t>
        </is>
      </c>
      <c r="D179" s="163" t="n">
        <v>3</v>
      </c>
      <c r="E179" s="177" t="inlineStr">
        <is>
          <t>News brief</t>
        </is>
      </c>
      <c r="F179" s="165" t="inlineStr">
        <is>
          <t>To review</t>
        </is>
      </c>
      <c r="G179" s="166" t="n"/>
      <c r="H179" s="167" t="n"/>
      <c r="I179" s="168" t="inlineStr">
        <is>
          <t>What ground-related risks drive cost and schedule overruns in large pumped hydro cavern and tunnel excavations?</t>
        </is>
      </c>
      <c r="J179" s="168" t="inlineStr">
        <is>
          <t>Tunnels &amp; Tunnelling</t>
        </is>
      </c>
      <c r="K179" s="169" t="n">
        <v>46319</v>
      </c>
      <c r="L179" s="168" t="n"/>
      <c r="M179" s="168" t="n"/>
      <c r="N179" s="170" t="inlineStr">
        <is>
          <t>Australia</t>
        </is>
      </c>
      <c r="O179" s="168" t="inlineStr">
        <is>
          <t>Snowy Mountains</t>
        </is>
      </c>
      <c r="P179" s="168" t="n"/>
      <c r="Q179" s="171" t="n"/>
      <c r="R179" s="169" t="n">
        <v>46318</v>
      </c>
      <c r="S179" s="170" t="inlineStr">
        <is>
          <t>2026-Q4</t>
        </is>
      </c>
      <c r="T179" s="172" t="inlineStr">
        <is>
          <t>excavation, tbm, tunnelling, tunnel</t>
        </is>
      </c>
      <c r="U179" s="160" t="n">
        <v>10</v>
      </c>
      <c r="V179" s="173" t="inlineStr">
        <is>
          <t>https://www.tunnelsandtunnelling.com/news/snowy-2-0-cost-and-completion-date-revised/</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Mobile shield deployed for A14 Vinci Tunnel reconstruction</t>
        </is>
      </c>
      <c r="C180" s="176" t="inlineStr">
        <is>
          <t>Infrastructure &amp; the Underground City</t>
        </is>
      </c>
      <c r="D180" s="163" t="n">
        <v>3</v>
      </c>
      <c r="E180" s="177" t="inlineStr">
        <is>
          <t>News brief</t>
        </is>
      </c>
      <c r="F180" s="165" t="inlineStr">
        <is>
          <t>To review</t>
        </is>
      </c>
      <c r="G180" s="166" t="n"/>
      <c r="H180" s="167" t="n"/>
      <c r="I180" s="168" t="inlineStr">
        <is>
          <t>How does a mobile shield enable tunnel reconstruction within an operating motorway tunnel, and what ground support issues arise?</t>
        </is>
      </c>
      <c r="J180" s="168" t="inlineStr">
        <is>
          <t>Tunnelling Journal</t>
        </is>
      </c>
      <c r="K180" s="169" t="n">
        <v>46319</v>
      </c>
      <c r="L180" s="168" t="n"/>
      <c r="M180" s="168" t="n"/>
      <c r="N180" s="170" t="inlineStr">
        <is>
          <t>Italy</t>
        </is>
      </c>
      <c r="O180" s="168" t="inlineStr">
        <is>
          <t>A14 Vinci Tunnel</t>
        </is>
      </c>
      <c r="P180" s="168" t="n"/>
      <c r="Q180" s="171" t="n"/>
      <c r="R180" s="169" t="n">
        <v>46317</v>
      </c>
      <c r="S180" s="170" t="inlineStr">
        <is>
          <t>2026-Q4</t>
        </is>
      </c>
      <c r="T180" s="172" t="inlineStr">
        <is>
          <t>tunnelling, tunnel</t>
        </is>
      </c>
      <c r="U180" s="160" t="n">
        <v>7</v>
      </c>
      <c r="V180" s="173" t="inlineStr">
        <is>
          <t>https://tunnellingjournal.com/mobile-shield-deployed-for-a14-vinci-tunnel-reconstruction/</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What options exist for Mot Mountain in Quy Nhon: levelling it or preserving the historic site?</t>
        </is>
      </c>
      <c r="C181" s="176" t="inlineStr">
        <is>
          <t>Infrastructure &amp; the Underground City</t>
        </is>
      </c>
      <c r="D181" s="163" t="n">
        <v>3</v>
      </c>
      <c r="E181" s="164" t="inlineStr">
        <is>
          <t>Feature lead</t>
        </is>
      </c>
      <c r="F181" s="165" t="inlineStr">
        <is>
          <t>To review</t>
        </is>
      </c>
      <c r="G181" s="166" t="n"/>
      <c r="H181" s="167" t="n"/>
      <c r="I181" s="168" t="inlineStr">
        <is>
          <t>What geotechnical and heritage considerations should guide levelling versus preserving a rocky hill site in an urban coastal city?</t>
        </is>
      </c>
      <c r="J181" s="168" t="inlineStr">
        <is>
          <t>Vietnam.vn</t>
        </is>
      </c>
      <c r="K181" s="169" t="n">
        <v>46319</v>
      </c>
      <c r="L181" s="168" t="inlineStr">
        <is>
          <t>Apa saja pilihan yang tersedia untuk Gunung Mot di Quy Nhon: meratakannya atau melestarikan situs bersejarah tersebut?</t>
        </is>
      </c>
      <c r="M181" s="168" t="n"/>
      <c r="N181" s="170" t="inlineStr">
        <is>
          <t>Vietnam</t>
        </is>
      </c>
      <c r="O181" s="168" t="inlineStr">
        <is>
          <t>Mot Mountain, Quy Nhon</t>
        </is>
      </c>
      <c r="P181" s="168" t="inlineStr">
        <is>
          <t>Mot Mountain levelling proposal, Quy Nhon, Vietnam · Event · 2 reports</t>
        </is>
      </c>
      <c r="Q181" s="171" t="inlineStr">
        <is>
          <t>Indonesia</t>
        </is>
      </c>
      <c r="R181" s="169" t="n">
        <v>46319</v>
      </c>
      <c r="S181" s="170" t="inlineStr">
        <is>
          <t>2026-Q4</t>
        </is>
      </c>
      <c r="T181" s="172" t="n"/>
      <c r="U181" s="160" t="n">
        <v>6</v>
      </c>
      <c r="V181" s="173" t="inlineStr">
        <is>
          <t>https://news.google.com/rss/articles/CBMilgFBVV95cUxPbVV1NmdrOGFidElfXzZzV1ppbDBCOEc5V0luUWxOSTAwMXNGdmhVMkoxMjUwSUpmbU5lQlBuNkFVTXZGMk5IRzd5Y0taREt0ckRUT3VqSjBfbGFPTmRjUTZFS18wLTQ5Wi1ZdnFtYWd1QmN0U0Nsekx4ZzR0YVk0dmhhTXVpTW1rdEpCbGlKLTZNVXVzMEE?oc=5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Abergeldie awarded patent for underground hydrogen storage solution</t>
        </is>
      </c>
      <c r="C182" s="185" t="inlineStr">
        <is>
          <t>Sustainability &amp; the Energy Transition</t>
        </is>
      </c>
      <c r="D182" s="163" t="n">
        <v>3</v>
      </c>
      <c r="E182" s="179" t="inlineStr">
        <is>
          <t>Academia-to-Industry topic</t>
        </is>
      </c>
      <c r="F182" s="165" t="inlineStr">
        <is>
          <t>To review</t>
        </is>
      </c>
      <c r="G182" s="166" t="n"/>
      <c r="H182" s="167" t="n"/>
      <c r="I182" s="168" t="inlineStr">
        <is>
          <t>What ground conditions and geomechanical criteria govern underground hydrogen storage, and how does blind boring apply?</t>
        </is>
      </c>
      <c r="J182" s="168" t="inlineStr">
        <is>
          <t>Tunnels &amp; Tunnelling</t>
        </is>
      </c>
      <c r="K182" s="169" t="n">
        <v>46319</v>
      </c>
      <c r="L182" s="168" t="n"/>
      <c r="M182" s="168" t="n"/>
      <c r="N182" s="170" t="n"/>
      <c r="O182" s="168" t="n"/>
      <c r="P182" s="168" t="n"/>
      <c r="Q182" s="171" t="n"/>
      <c r="R182" s="169" t="n">
        <v>46318</v>
      </c>
      <c r="S182" s="170" t="inlineStr">
        <is>
          <t>2026-Q4</t>
        </is>
      </c>
      <c r="T182" s="172" t="inlineStr">
        <is>
          <t>tunnelling, tunnel</t>
        </is>
      </c>
      <c r="U182" s="160" t="n">
        <v>5</v>
      </c>
      <c r="V182" s="173" t="inlineStr">
        <is>
          <t>https://www.tunnelsandtunnelling.com/news/abergeldie-awarded-patent-for-underground-hydrogen-storage-solution/</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Snowy 2.0 cost rises to A$22.2bn</t>
        </is>
      </c>
      <c r="C183" s="185" t="inlineStr">
        <is>
          <t>Sustainability &amp; the Energy Transition</t>
        </is>
      </c>
      <c r="D183" s="163" t="n">
        <v>3</v>
      </c>
      <c r="E183" s="177" t="inlineStr">
        <is>
          <t>News brief</t>
        </is>
      </c>
      <c r="F183" s="165" t="inlineStr">
        <is>
          <t>To review</t>
        </is>
      </c>
      <c r="G183" s="166" t="n"/>
      <c r="H183" s="167" t="n"/>
      <c r="I183" s="168" t="inlineStr">
        <is>
          <t>What ground-related factors drive repeated cost increases in large underground pumped hydro projects?</t>
        </is>
      </c>
      <c r="J183" s="168" t="inlineStr">
        <is>
          <t>Tunnelling Journal</t>
        </is>
      </c>
      <c r="K183" s="169" t="n">
        <v>46319</v>
      </c>
      <c r="L183" s="168" t="n"/>
      <c r="M183" s="168" t="n"/>
      <c r="N183" s="170" t="inlineStr">
        <is>
          <t>Australia</t>
        </is>
      </c>
      <c r="O183" s="168" t="inlineStr">
        <is>
          <t>Snowy Mountains</t>
        </is>
      </c>
      <c r="P183" s="168" t="n"/>
      <c r="Q183" s="171" t="n"/>
      <c r="R183" s="169" t="n">
        <v>46318</v>
      </c>
      <c r="S183" s="170" t="inlineStr">
        <is>
          <t>2026-Q4</t>
        </is>
      </c>
      <c r="T183" s="172" t="inlineStr">
        <is>
          <t>tunnelling</t>
        </is>
      </c>
      <c r="U183" s="160" t="n">
        <v>5</v>
      </c>
      <c r="V183" s="173" t="inlineStr">
        <is>
          <t>https://tunnellingjournal.com/snowy-2-0-cost-rises-to-a22-2bn-as-tunnelling-reaches-65-completion/</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53" customHeight="1">
      <c r="A184" s="160" t="n">
        <v>181</v>
      </c>
      <c r="B184" s="161" t="inlineStr">
        <is>
          <t>Minvu advances 121 housing support cases in Villa El Mirador, Arauco, and prepares soil study</t>
        </is>
      </c>
      <c r="C184" s="182" t="inlineStr">
        <is>
          <t>Characterisation &amp; Modelling</t>
        </is>
      </c>
      <c r="D184" s="163" t="n">
        <v>3</v>
      </c>
      <c r="E184" s="177" t="inlineStr">
        <is>
          <t>News brief</t>
        </is>
      </c>
      <c r="F184" s="165" t="inlineStr">
        <is>
          <t>To review</t>
        </is>
      </c>
      <c r="G184" s="166" t="n"/>
      <c r="H184" s="167" t="n"/>
      <c r="I184" s="168" t="inlineStr">
        <is>
          <t>What soil investigation is needed before housing support works on this site, and how should ground conditions shape foundation choice?</t>
        </is>
      </c>
      <c r="J184" s="168" t="inlineStr">
        <is>
          <t>Trade-news.cl</t>
        </is>
      </c>
      <c r="K184" s="169" t="n">
        <v>46319</v>
      </c>
      <c r="L184" s="168" t="inlineStr">
        <is>
          <t>Minvu avanza en 121 casos de apoyo habitacional en la Villa El Mirador de Arauco y prepara estudio de suelos</t>
        </is>
      </c>
      <c r="M184" s="168" t="n"/>
      <c r="N184" s="170" t="inlineStr">
        <is>
          <t>Chile</t>
        </is>
      </c>
      <c r="O184" s="168" t="inlineStr">
        <is>
          <t>Villa El Mirador, Arauco</t>
        </is>
      </c>
      <c r="P184" s="168" t="inlineStr">
        <is>
          <t>Arauco sinkhole, Chile (Oct 2026) · Event · 2 reports</t>
        </is>
      </c>
      <c r="Q184" s="171" t="inlineStr">
        <is>
          <t>Peru</t>
        </is>
      </c>
      <c r="R184" s="169" t="n">
        <v>46318</v>
      </c>
      <c r="S184" s="170" t="inlineStr">
        <is>
          <t>2026-Q4</t>
        </is>
      </c>
      <c r="T184" s="172" t="inlineStr">
        <is>
          <t>site investigation, soil</t>
        </is>
      </c>
      <c r="U184" s="160" t="n">
        <v>5</v>
      </c>
      <c r="V184"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53" customHeight="1">
      <c r="A185" s="160" t="n">
        <v>182</v>
      </c>
      <c r="B185" s="161" t="inlineStr">
        <is>
          <t>Body of miner trapped in a tunnel collapse in Gámeza recovered</t>
        </is>
      </c>
      <c r="C185" s="186" t="inlineStr">
        <is>
          <t>Geotechnics &amp; Society</t>
        </is>
      </c>
      <c r="D185" s="163" t="n">
        <v>3</v>
      </c>
      <c r="E185" s="177" t="inlineStr">
        <is>
          <t>News brief</t>
        </is>
      </c>
      <c r="F185" s="165" t="inlineStr">
        <is>
          <t>To review</t>
        </is>
      </c>
      <c r="G185" s="166" t="n"/>
      <c r="H185" s="167" t="n"/>
      <c r="I185" s="168" t="inlineStr">
        <is>
          <t>What ground and support conditions lead to tunnel collapses in small mines, and how can rescue operations account for ground instability?</t>
        </is>
      </c>
      <c r="J185" s="168" t="inlineStr">
        <is>
          <t>Boyacá 7 Días</t>
        </is>
      </c>
      <c r="K185" s="169" t="n">
        <v>46319</v>
      </c>
      <c r="L185" s="168" t="inlineStr">
        <is>
          <t>Rescatan el cuerpo sin vida del minero que había quedado atrapado en un socavón en Gámeza</t>
        </is>
      </c>
      <c r="M185" s="168" t="n"/>
      <c r="N185" s="170" t="inlineStr">
        <is>
          <t>Colombia</t>
        </is>
      </c>
      <c r="O185" s="168" t="inlineStr">
        <is>
          <t>Gámeza, Boyacá</t>
        </is>
      </c>
      <c r="P185" s="168" t="n"/>
      <c r="Q185" s="171" t="inlineStr">
        <is>
          <t>Colombia</t>
        </is>
      </c>
      <c r="R185" s="169" t="n">
        <v>46317</v>
      </c>
      <c r="S185" s="170" t="inlineStr">
        <is>
          <t>2026-Q4</t>
        </is>
      </c>
      <c r="T185" s="172" t="inlineStr">
        <is>
          <t>sinkhole</t>
        </is>
      </c>
      <c r="U185" s="160" t="n">
        <v>4</v>
      </c>
      <c r="V185"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Strong waves on Mazatlán beaches form sinkhole in monument</t>
        </is>
      </c>
      <c r="C186" s="183" t="inlineStr">
        <is>
          <t>Offshore, Coasts &amp; Water</t>
        </is>
      </c>
      <c r="D186" s="163" t="n">
        <v>3</v>
      </c>
      <c r="E186" s="177" t="inlineStr">
        <is>
          <t>News brief</t>
        </is>
      </c>
      <c r="F186" s="165" t="inlineStr">
        <is>
          <t>To review</t>
        </is>
      </c>
      <c r="G186" s="166" t="n"/>
      <c r="H186" s="167" t="n"/>
      <c r="I186" s="168" t="inlineStr">
        <is>
          <t>How do wave action and beach sand erosion undermine coastal monuments and promenade ground in Mazatlán?</t>
        </is>
      </c>
      <c r="J186" s="168" t="inlineStr">
        <is>
          <t>El Universal</t>
        </is>
      </c>
      <c r="K186" s="169" t="n">
        <v>46319</v>
      </c>
      <c r="L186" s="168" t="inlineStr">
        <is>
          <t>Fuerte oleaje en playas de Mazatlán forma socavón en monumento</t>
        </is>
      </c>
      <c r="M186" s="168" t="n"/>
      <c r="N186" s="170" t="inlineStr">
        <is>
          <t>Mexico</t>
        </is>
      </c>
      <c r="O186" s="168" t="inlineStr">
        <is>
          <t>Mazatlan beaches</t>
        </is>
      </c>
      <c r="P186" s="168" t="inlineStr">
        <is>
          <t>Mazatlán malecón wave sinkhole, Mexico (Oct 2026) · Event · 4 reports</t>
        </is>
      </c>
      <c r="Q186" s="171" t="inlineStr">
        <is>
          <t>Colombia</t>
        </is>
      </c>
      <c r="R186" s="169" t="n">
        <v>46319</v>
      </c>
      <c r="S186" s="170" t="inlineStr">
        <is>
          <t>2026-Q4</t>
        </is>
      </c>
      <c r="T186" s="172" t="inlineStr">
        <is>
          <t>sinkhole</t>
        </is>
      </c>
      <c r="U186" s="160" t="n">
        <v>4</v>
      </c>
      <c r="V186"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Ivan Noskov announced restoration of a retaining wall on Vladimirskaya Street in Samara</t>
        </is>
      </c>
      <c r="C187" s="176" t="inlineStr">
        <is>
          <t>Infrastructure &amp; the Underground City</t>
        </is>
      </c>
      <c r="D187" s="163" t="n">
        <v>3</v>
      </c>
      <c r="E187" s="177" t="inlineStr">
        <is>
          <t>News brief</t>
        </is>
      </c>
      <c r="F187" s="165" t="inlineStr">
        <is>
          <t>To review</t>
        </is>
      </c>
      <c r="G187" s="166" t="n"/>
      <c r="H187" s="167" t="n"/>
      <c r="I187" s="168" t="inlineStr">
        <is>
          <t>What causes retaining-wall deterioration on urban slopes like Samara's, and how should restoration design address overall slope stability?</t>
        </is>
      </c>
      <c r="J187" s="168" t="inlineStr">
        <is>
          <t>Самарская газета</t>
        </is>
      </c>
      <c r="K187" s="169" t="n">
        <v>46319</v>
      </c>
      <c r="L187" s="168" t="inlineStr">
        <is>
          <t>Иван Носков анонсировал восстановление подпорной стены на Владимирской в Самаре</t>
        </is>
      </c>
      <c r="M187" s="168" t="n"/>
      <c r="N187" s="170" t="inlineStr">
        <is>
          <t>Russia</t>
        </is>
      </c>
      <c r="O187" s="168" t="inlineStr">
        <is>
          <t>Samara, Vladimirskaya Street</t>
        </is>
      </c>
      <c r="P187" s="168" t="n"/>
      <c r="Q187" s="171" t="inlineStr">
        <is>
          <t>Russia</t>
        </is>
      </c>
      <c r="R187" s="169" t="n">
        <v>46318</v>
      </c>
      <c r="S187" s="170" t="inlineStr">
        <is>
          <t>2026-Q4</t>
        </is>
      </c>
      <c r="T187" s="172" t="inlineStr">
        <is>
          <t>retaining wall</t>
        </is>
      </c>
      <c r="U187" s="160" t="n">
        <v>4</v>
      </c>
      <c r="V187" s="173" t="inlineStr">
        <is>
          <t>https://news.google.com/rss/articles/CBMiREFVX3lxTE9KcGh5bWlxWEhKT3FXdU5qVjNOd3c3clQ1bGw1YWFmaHljV0U3ckZYcndLVTgtakJFSHZZQ3ViYXg2QnV4?oc=5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40.5" customHeight="1">
      <c r="A188" s="160" t="n">
        <v>185</v>
      </c>
      <c r="B188" s="161" t="inlineStr">
        <is>
          <t>Escobedo begins repair of sinkhole</t>
        </is>
      </c>
      <c r="C188" s="176" t="inlineStr">
        <is>
          <t>Infrastructure &amp; the Underground City</t>
        </is>
      </c>
      <c r="D188" s="163" t="n">
        <v>3</v>
      </c>
      <c r="E188" s="177" t="inlineStr">
        <is>
          <t>News brief</t>
        </is>
      </c>
      <c r="F188" s="165" t="inlineStr">
        <is>
          <t>To review</t>
        </is>
      </c>
      <c r="G188" s="166" t="n"/>
      <c r="H188" s="167" t="n"/>
      <c r="I188" s="168" t="inlineStr">
        <is>
          <t>What investigation and grouting methods are used to repair urban sinkholes like the one in Escobedo?</t>
        </is>
      </c>
      <c r="J188" s="168" t="inlineStr">
        <is>
          <t>Detona, Real News</t>
        </is>
      </c>
      <c r="K188" s="169" t="n">
        <v>46319</v>
      </c>
      <c r="L188" s="168" t="inlineStr">
        <is>
          <t>Inicia Escobedo reparación de socavón</t>
        </is>
      </c>
      <c r="M188" s="168" t="n"/>
      <c r="N188" s="170" t="inlineStr">
        <is>
          <t>Mexico</t>
        </is>
      </c>
      <c r="O188" s="168" t="inlineStr">
        <is>
          <t>Escobedo</t>
        </is>
      </c>
      <c r="P188" s="168" t="n"/>
      <c r="Q188" s="171" t="inlineStr">
        <is>
          <t>Colombia</t>
        </is>
      </c>
      <c r="R188" s="169" t="n">
        <v>46319</v>
      </c>
      <c r="S188" s="170" t="inlineStr">
        <is>
          <t>2026-Q4</t>
        </is>
      </c>
      <c r="T188" s="172" t="inlineStr">
        <is>
          <t>sinkhole</t>
        </is>
      </c>
      <c r="U188" s="160" t="n">
        <v>4</v>
      </c>
      <c r="V188" s="173" t="inlineStr">
        <is>
          <t>https://news.google.com/rss/articles/CBMijAFBVV95cUxQdDFPZ1hLdVRrLUxWRTkyRWtWTjdrMTlTMi1EdW5meVA1dG5ZUWxNZ09MRThFeTk0OThLTDg4QkhBRlQwMzZkTnRBWnh2ZjdTWkhVWTcxX0QxYnNrMW9XOHNyVFZxeHpJMkthZDJRbGtsV0VuTjkwLXFTN0JSS2k2NU85em9uLWgtTjBjUQ?oc=5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Center attends sinkhole in Casa Blanca</t>
        </is>
      </c>
      <c r="C189" s="176" t="inlineStr">
        <is>
          <t>Infrastructure &amp; the Underground City</t>
        </is>
      </c>
      <c r="D189" s="163" t="n">
        <v>3</v>
      </c>
      <c r="E189" s="177" t="inlineStr">
        <is>
          <t>News brief</t>
        </is>
      </c>
      <c r="F189" s="165" t="inlineStr">
        <is>
          <t>To review</t>
        </is>
      </c>
      <c r="G189" s="166" t="n"/>
      <c r="H189" s="167" t="n"/>
      <c r="I189" s="168" t="inlineStr">
        <is>
          <t>What subsurface causes are likely behind the Casa Blanca sinkhole, and how should emergency response proceed?</t>
        </is>
      </c>
      <c r="J189" s="168" t="inlineStr">
        <is>
          <t>Tabasco HOY</t>
        </is>
      </c>
      <c r="K189" s="169" t="n">
        <v>46319</v>
      </c>
      <c r="L189" s="168" t="inlineStr">
        <is>
          <t>Centro atiende socavón en Casa Blanca</t>
        </is>
      </c>
      <c r="M189" s="168" t="n"/>
      <c r="N189" s="170" t="inlineStr">
        <is>
          <t>Mexico</t>
        </is>
      </c>
      <c r="O189" s="168" t="inlineStr">
        <is>
          <t>Casa Blanca, Tabasco</t>
        </is>
      </c>
      <c r="P189" s="168" t="n"/>
      <c r="Q189" s="171" t="inlineStr">
        <is>
          <t>Colombia</t>
        </is>
      </c>
      <c r="R189" s="169" t="n">
        <v>46319</v>
      </c>
      <c r="S189" s="170" t="inlineStr">
        <is>
          <t>2026-Q4</t>
        </is>
      </c>
      <c r="T189" s="172" t="inlineStr">
        <is>
          <t>sinkhole</t>
        </is>
      </c>
      <c r="U189" s="160" t="n">
        <v>4</v>
      </c>
      <c r="V189" s="173" t="inlineStr">
        <is>
          <t>https://news.google.com/rss/articles/CBMic0FVX3lxTE56eFFxMjNpU2dPWkppM1RsMEJJbThwdXcyYk1id0t2V1RCYUFMQTJzVGRGMFBxODZlSi1IVERlM29jWGtJRUtkb1M5em1ISlMwd1hBVnkwNEVOb1hiWlkzNU9JZUJJbWZXNUFZWTh5YkE5SE0?oc=5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Sinkhole forms at top of underpass in Francisco I. Madero</t>
        </is>
      </c>
      <c r="C190" s="176" t="inlineStr">
        <is>
          <t>Infrastructure &amp; the Underground City</t>
        </is>
      </c>
      <c r="D190" s="163" t="n">
        <v>3</v>
      </c>
      <c r="E190" s="177" t="inlineStr">
        <is>
          <t>News brief</t>
        </is>
      </c>
      <c r="F190" s="165" t="inlineStr">
        <is>
          <t>To review</t>
        </is>
      </c>
      <c r="G190" s="166" t="n"/>
      <c r="H190" s="167" t="n"/>
      <c r="I190" s="168" t="inlineStr">
        <is>
          <t>What ground movements and drainage failures beneath an underpass cause sinkholes at its top surface?</t>
        </is>
      </c>
      <c r="J190" s="168" t="inlineStr">
        <is>
          <t>El Siglo de Torreón</t>
        </is>
      </c>
      <c r="K190" s="169" t="n">
        <v>46319</v>
      </c>
      <c r="L190" s="168" t="inlineStr">
        <is>
          <t>Se origina socavón en la parte superior del paso a desnivel en Francisco I. Madero</t>
        </is>
      </c>
      <c r="M190" s="168" t="n"/>
      <c r="N190" s="170" t="inlineStr">
        <is>
          <t>Mexico</t>
        </is>
      </c>
      <c r="O190" s="168" t="inlineStr">
        <is>
          <t>Francisco I. Madero, Torreon</t>
        </is>
      </c>
      <c r="P190" s="168" t="n"/>
      <c r="Q190" s="171" t="inlineStr">
        <is>
          <t>Colombia</t>
        </is>
      </c>
      <c r="R190" s="169" t="n">
        <v>46318</v>
      </c>
      <c r="S190" s="170" t="inlineStr">
        <is>
          <t>2026-Q4</t>
        </is>
      </c>
      <c r="T190" s="172" t="inlineStr">
        <is>
          <t>sinkhole</t>
        </is>
      </c>
      <c r="U190" s="160" t="n">
        <v>4</v>
      </c>
      <c r="V190"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Ambulance left hanging in a sinkhole in Aucapán rescued</t>
        </is>
      </c>
      <c r="C191" s="176" t="inlineStr">
        <is>
          <t>Infrastructure &amp; the Underground City</t>
        </is>
      </c>
      <c r="D191" s="163" t="n">
        <v>3</v>
      </c>
      <c r="E191" s="177" t="inlineStr">
        <is>
          <t>News brief</t>
        </is>
      </c>
      <c r="F191" s="165" t="inlineStr">
        <is>
          <t>To review</t>
        </is>
      </c>
      <c r="G191" s="166" t="n"/>
      <c r="H191" s="167" t="n"/>
      <c r="I191" s="168" t="inlineStr">
        <is>
          <t>How do soil loss and void formation under a road lead to vehicles hanging over sinkholes, and what rescue precautions apply?</t>
        </is>
      </c>
      <c r="J191" s="168" t="inlineStr">
        <is>
          <t>Realidad Sanmartinense</t>
        </is>
      </c>
      <c r="K191" s="169" t="n">
        <v>46319</v>
      </c>
      <c r="L191" s="168" t="inlineStr">
        <is>
          <t>Rescatan ambulancia que quedó colgada en un socavón en Aucapán</t>
        </is>
      </c>
      <c r="M191" s="168" t="n"/>
      <c r="N191" s="170" t="inlineStr">
        <is>
          <t>Argentina</t>
        </is>
      </c>
      <c r="O191" s="168" t="inlineStr">
        <is>
          <t>Aucapan, Neuquen</t>
        </is>
      </c>
      <c r="P191" s="168" t="inlineStr">
        <is>
          <t>Aucapán road sinkhole traps ambulance, Argentina (Oct 2026) · Event · 2 reports</t>
        </is>
      </c>
      <c r="Q191" s="171" t="inlineStr">
        <is>
          <t>Colombia</t>
        </is>
      </c>
      <c r="R191" s="169" t="n">
        <v>46318</v>
      </c>
      <c r="S191" s="170" t="inlineStr">
        <is>
          <t>2026-Q4</t>
        </is>
      </c>
      <c r="T191" s="172" t="inlineStr">
        <is>
          <t>sinkhole</t>
        </is>
      </c>
      <c r="U191" s="160" t="n">
        <v>4</v>
      </c>
      <c r="V191"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Gia Lai province People's Committee chairman discusses proposal to level Mot Mountain.</t>
        </is>
      </c>
      <c r="C192" s="186" t="inlineStr">
        <is>
          <t>Geotechnics &amp; Society</t>
        </is>
      </c>
      <c r="D192" s="163" t="n">
        <v>3</v>
      </c>
      <c r="E192" s="181" t="inlineStr">
        <is>
          <t>Regional insight</t>
        </is>
      </c>
      <c r="F192" s="165" t="inlineStr">
        <is>
          <t>To review</t>
        </is>
      </c>
      <c r="G192" s="166" t="n"/>
      <c r="H192" s="167" t="n"/>
      <c r="I192" s="168" t="inlineStr">
        <is>
          <t>What are the geotechnical feasibility issues of levelling a hill, including rock quality, slope excavation and stability, compared with preservation?</t>
        </is>
      </c>
      <c r="J192" s="168" t="inlineStr">
        <is>
          <t>Vietnam.vn</t>
        </is>
      </c>
      <c r="K192" s="169" t="n">
        <v>46319</v>
      </c>
      <c r="L192" s="168" t="inlineStr">
        <is>
          <t>رئيس اللجنة الشعبية لمقاطعة جيا لاي يتحدث عن اقتراح تسوية جبل موت.</t>
        </is>
      </c>
      <c r="M192" s="168" t="n"/>
      <c r="N192" s="170" t="inlineStr">
        <is>
          <t>Vietnam</t>
        </is>
      </c>
      <c r="O192" s="168" t="inlineStr">
        <is>
          <t>Mot Mountain, Gia Lai</t>
        </is>
      </c>
      <c r="P192" s="168" t="n"/>
      <c r="Q192" s="171" t="inlineStr">
        <is>
          <t>Egypt</t>
        </is>
      </c>
      <c r="R192" s="169" t="n">
        <v>46318</v>
      </c>
      <c r="S192" s="170" t="inlineStr">
        <is>
          <t>2026-Q4</t>
        </is>
      </c>
      <c r="T192" s="172" t="n"/>
      <c r="U192" s="160" t="n">
        <v>0</v>
      </c>
      <c r="V192" s="173" t="inlineStr">
        <is>
          <t>https://news.google.com/rss/articles/CBMijgFBVV95cUxNdzRhVnVlVUVUU1k4S3pUQVo2RFJENXlEM1V6Z2FrVzRMQ2cxb0pZNkJpWUY5UWFHd1ZIUEZmU2x4SGtydEtXN3k2bTBIYWQ3VmZNZkNTRkhfRFctd3JZdThkRW1HTWIxYmVXRDZsazFZVTJsUzVjTWk0R2FIUElZRG5lLUpaeXpHRlZSdFBn?oc=5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What are the options for Mot Mountain in Quy Nhon: level it or preserve the historic site?</t>
        </is>
      </c>
      <c r="C193" s="186" t="inlineStr">
        <is>
          <t>Geotechnics &amp; Society</t>
        </is>
      </c>
      <c r="D193" s="163" t="n">
        <v>3</v>
      </c>
      <c r="E193" s="181" t="inlineStr">
        <is>
          <t>Regional insight</t>
        </is>
      </c>
      <c r="F193" s="165" t="inlineStr">
        <is>
          <t>To review</t>
        </is>
      </c>
      <c r="G193" s="166" t="n"/>
      <c r="H193" s="167" t="n"/>
      <c r="I193" s="168" t="inlineStr">
        <is>
          <t>What geotechnical assessments would be needed to compare levelling Mot Mountain with conserving its historic site, including rock stability and foundation implications?</t>
        </is>
      </c>
      <c r="J193" s="168" t="inlineStr">
        <is>
          <t>Vietnam.vn</t>
        </is>
      </c>
      <c r="K193" s="169" t="n">
        <v>46319</v>
      </c>
      <c r="L193" s="168" t="inlineStr">
        <is>
          <t>Quais são as opções para o Monte Mot em Quy Nhon: nivelá-lo ou preservar o sítio histórico?</t>
        </is>
      </c>
      <c r="M193" s="168" t="n"/>
      <c r="N193" s="170" t="inlineStr">
        <is>
          <t>Vietnam</t>
        </is>
      </c>
      <c r="O193" s="168" t="inlineStr">
        <is>
          <t>Mot Mountain, Quy Nhon</t>
        </is>
      </c>
      <c r="P193" s="168" t="n"/>
      <c r="Q193" s="171" t="inlineStr">
        <is>
          <t>Brazil</t>
        </is>
      </c>
      <c r="R193" s="169" t="n">
        <v>46319</v>
      </c>
      <c r="S193" s="170" t="inlineStr">
        <is>
          <t>2026-Q4</t>
        </is>
      </c>
      <c r="T193" s="172" t="n"/>
      <c r="U193" s="160" t="n">
        <v>0</v>
      </c>
      <c r="V193" s="173" t="inlineStr">
        <is>
          <t>https://news.google.com/rss/articles/CBMilgFBVV95cUxNS29sd2RXaDlmWXJYMzNQSnJKZGpCWmJpOE9kVEdWQ2RFcUd0UHBGdHdRczJLbFRwTHFDb0ZPY1lHOHNsRGtTLXhTb081eGdyWF9YcmcxZkFrc2VNNzBJOUxNU1ppYnZtWlZBTTlZcXNfa2xNVUZWRTUyMkRlTHRUMmJ4Nk95a1kybUNTTmVPaklQSHktWUE?oc=5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A section of the coastal road in a Corrientes city was closed due to subsidence</t>
        </is>
      </c>
      <c r="C194" s="183" t="inlineStr">
        <is>
          <t>Offshore, Coasts &amp; Water</t>
        </is>
      </c>
      <c r="D194" s="163" t="n">
        <v>3</v>
      </c>
      <c r="E194" s="177" t="inlineStr">
        <is>
          <t>News brief</t>
        </is>
      </c>
      <c r="F194" s="165" t="inlineStr">
        <is>
          <t>To review</t>
        </is>
      </c>
      <c r="G194" s="166" t="n"/>
      <c r="H194" s="167" t="n"/>
      <c r="I194" s="168" t="inlineStr">
        <is>
          <t>What causes subsidence along a riverfront promenade in Corrientes, and how should ground investigation guide repair of the costanera?</t>
        </is>
      </c>
      <c r="J194" s="168" t="inlineStr">
        <is>
          <t>El Litoral | Novedades de Corrientes</t>
        </is>
      </c>
      <c r="K194" s="169" t="n">
        <v>46319</v>
      </c>
      <c r="L194" s="168" t="inlineStr">
        <is>
          <t>Cerraron un sector de la costanera de una ciudad correntina por hundimiento</t>
        </is>
      </c>
      <c r="M194" s="168" t="n"/>
      <c r="N194" s="170" t="inlineStr">
        <is>
          <t>Argentina</t>
        </is>
      </c>
      <c r="O194" s="168" t="inlineStr">
        <is>
          <t>Corrientes costanera</t>
        </is>
      </c>
      <c r="P194" s="168" t="inlineStr">
        <is>
          <t>Esquina riverfront promenade subsidence, Argentina (Oct 2026) · Event · 2 reports</t>
        </is>
      </c>
      <c r="Q194" s="171" t="inlineStr">
        <is>
          <t>Argentina</t>
        </is>
      </c>
      <c r="R194" s="169" t="n">
        <v>46317</v>
      </c>
      <c r="S194" s="170" t="inlineStr">
        <is>
          <t>2026-Q4</t>
        </is>
      </c>
      <c r="T194" s="172" t="n"/>
      <c r="U194" s="160" t="n">
        <v>0</v>
      </c>
      <c r="V194"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40.5" customHeight="1">
      <c r="A195" s="160" t="n">
        <v>192</v>
      </c>
      <c r="B195" s="161" t="inlineStr">
        <is>
          <t>Rehabilitation begins after slab subsidence on the Malecón Costero in Coatzacoalcos</t>
        </is>
      </c>
      <c r="C195" s="183" t="inlineStr">
        <is>
          <t>Offshore, Coasts &amp; Water</t>
        </is>
      </c>
      <c r="D195" s="163" t="n">
        <v>3</v>
      </c>
      <c r="E195" s="177" t="inlineStr">
        <is>
          <t>News brief</t>
        </is>
      </c>
      <c r="F195" s="165" t="inlineStr">
        <is>
          <t>To review</t>
        </is>
      </c>
      <c r="G195" s="166" t="n"/>
      <c r="H195" s="167" t="n"/>
      <c r="I195" s="168" t="inlineStr">
        <is>
          <t>What causes slab sinking on a coastal promenade exposed to waves, and what foundation and drainage remedies are appropriate?</t>
        </is>
      </c>
      <c r="J195" s="168" t="inlineStr">
        <is>
          <t>:: Foro Coatza ::</t>
        </is>
      </c>
      <c r="K195" s="169" t="n">
        <v>46319</v>
      </c>
      <c r="L195" s="168" t="inlineStr">
        <is>
          <t>Inician rehabilitación tras hundimiento de losa en el Malecón Costero de Coatzacoalcos</t>
        </is>
      </c>
      <c r="M195" s="168" t="n"/>
      <c r="N195" s="170" t="inlineStr">
        <is>
          <t>Mexico</t>
        </is>
      </c>
      <c r="O195" s="168" t="inlineStr">
        <is>
          <t>Coatzacoalcos malecon</t>
        </is>
      </c>
      <c r="P195" s="168" t="n"/>
      <c r="Q195" s="171" t="inlineStr">
        <is>
          <t>Argentina</t>
        </is>
      </c>
      <c r="R195" s="169" t="n">
        <v>46318</v>
      </c>
      <c r="S195" s="170" t="inlineStr">
        <is>
          <t>2026-Q4</t>
        </is>
      </c>
      <c r="T195" s="172" t="n"/>
      <c r="U195" s="160" t="n">
        <v>0</v>
      </c>
      <c r="V195"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sheetData>
  <conditionalFormatting sqref="F4:F19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95">
    <cfRule type="expression" priority="6" dxfId="15">
      <formula>$F4="Not used"</formula>
    </cfRule>
  </conditionalFormatting>
  <conditionalFormatting sqref="D4:D195">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95"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93"/>
  </tableParts>
</worksheet>
</file>

<file path=xl/worksheets/sheet4.xml><?xml version="1.0" encoding="utf-8"?>
<worksheet xmlns="http://schemas.openxmlformats.org/spreadsheetml/2006/main">
  <sheetPr>
    <tabColor rgb="001F9D63"/>
    <outlinePr applyStyles="0" summaryBelow="0" summaryRight="1"/>
    <pageSetUpPr fitToPage="1"/>
  </sheetPr>
  <dimension ref="A1:I218"/>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4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48</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IFERROR(INDEX(Stories!$F$4:$F$195,MATCH($A6,Stories!$A$4:$A$195,0))&amp;"","")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176</v>
      </c>
      <c r="B7" s="192" t="n">
        <v>3</v>
      </c>
      <c r="C7" s="193" t="inlineStr">
        <is>
          <t>Snowy 2.0 cost and completion date revised</t>
        </is>
      </c>
      <c r="D7" s="194" t="inlineStr">
        <is>
          <t>Open article</t>
        </is>
      </c>
      <c r="E7" s="199" t="inlineStr">
        <is>
          <t>News brief</t>
        </is>
      </c>
      <c r="F7" s="196">
        <f>IFERROR(INDEX(Stories!$F$4:$F$195,MATCH($A7,Stories!$A$4:$A$195,0))&amp;"","")</f>
        <v/>
      </c>
      <c r="G7" s="197" t="inlineStr">
        <is>
          <t>Tunnels &amp; Tunnelling</t>
        </is>
      </c>
      <c r="H7" s="198" t="n">
        <v>46319</v>
      </c>
      <c r="I7" s="197" t="inlineStr">
        <is>
          <t>What ground-related risks drive cost and schedule overruns in large pumped hydro cavern and tunnel excavations?</t>
        </is>
      </c>
    </row>
    <row r="8" outlineLevel="1" ht="41.5" customHeight="1">
      <c r="A8" s="191" t="n">
        <v>179</v>
      </c>
      <c r="B8" s="192" t="n">
        <v>3</v>
      </c>
      <c r="C8" s="193" t="inlineStr">
        <is>
          <t>Abergeldie awarded patent for underground hydrogen storage solution</t>
        </is>
      </c>
      <c r="D8" s="194" t="inlineStr">
        <is>
          <t>Open article</t>
        </is>
      </c>
      <c r="E8" s="200" t="inlineStr">
        <is>
          <t>Academia-to-Industry topic</t>
        </is>
      </c>
      <c r="F8" s="196">
        <f>IFERROR(INDEX(Stories!$F$4:$F$195,MATCH($A8,Stories!$A$4:$A$195,0))&amp;"","")</f>
        <v/>
      </c>
      <c r="G8" s="197" t="inlineStr">
        <is>
          <t>Tunnels &amp; Tunnelling</t>
        </is>
      </c>
      <c r="H8" s="198" t="n">
        <v>46319</v>
      </c>
      <c r="I8" s="197" t="inlineStr">
        <is>
          <t>What ground conditions and geomechanical criteria govern underground hydrogen storage, and how does blind boring apply?</t>
        </is>
      </c>
    </row>
    <row r="9" outlineLevel="1" ht="29" customHeight="1">
      <c r="A9" s="191" t="n">
        <v>180</v>
      </c>
      <c r="B9" s="192" t="n">
        <v>3</v>
      </c>
      <c r="C9" s="193" t="inlineStr">
        <is>
          <t>Snowy 2.0 cost rises to A$22.2bn</t>
        </is>
      </c>
      <c r="D9" s="194" t="inlineStr">
        <is>
          <t>Open article</t>
        </is>
      </c>
      <c r="E9" s="199" t="inlineStr">
        <is>
          <t>News brief</t>
        </is>
      </c>
      <c r="F9" s="196">
        <f>IFERROR(INDEX(Stories!$F$4:$F$195,MATCH($A9,Stories!$A$4:$A$195,0))&amp;"","")</f>
        <v/>
      </c>
      <c r="G9" s="197" t="inlineStr">
        <is>
          <t>Tunnelling Journal</t>
        </is>
      </c>
      <c r="H9" s="198" t="n">
        <v>46319</v>
      </c>
      <c r="I9" s="197" t="inlineStr">
        <is>
          <t>What ground-related factors drive repeated cost increases in large underground pumped hydro projects?</t>
        </is>
      </c>
    </row>
    <row r="10" outlineLevel="1" ht="10" customHeight="1"/>
    <row r="11" ht="26" customHeight="1">
      <c r="A11" s="201" t="inlineStr">
        <is>
          <t>Digital Geotechnics   ·   6 stories   ·   1 rated 5 / 5   ·   2 feature leads</t>
        </is>
      </c>
      <c r="B11" s="202" t="n"/>
      <c r="C11" s="202" t="n"/>
      <c r="D11" s="202" t="n"/>
      <c r="E11" s="202" t="n"/>
      <c r="F11" s="202" t="n"/>
      <c r="G11" s="202" t="n"/>
      <c r="H11" s="202" t="n"/>
      <c r="I11" s="202" t="n"/>
    </row>
    <row r="12" outlineLevel="1">
      <c r="A12" s="203" t="inlineStr">
        <is>
          <t>No.</t>
        </is>
      </c>
      <c r="B12" s="203" t="inlineStr">
        <is>
          <t>Relevance</t>
        </is>
      </c>
      <c r="C12" s="204" t="inlineStr">
        <is>
          <t>Headline</t>
        </is>
      </c>
      <c r="D12" s="203" t="inlineStr">
        <is>
          <t>Link</t>
        </is>
      </c>
      <c r="E12" s="204" t="inlineStr">
        <is>
          <t>Suggested use</t>
        </is>
      </c>
      <c r="F12" s="203" t="inlineStr">
        <is>
          <t>Status</t>
        </is>
      </c>
      <c r="G12" s="204" t="inlineStr">
        <is>
          <t>Source</t>
        </is>
      </c>
      <c r="H12" s="203" t="inlineStr">
        <is>
          <t>Digest</t>
        </is>
      </c>
      <c r="I12" s="204" t="inlineStr">
        <is>
          <t>Magazine angle · check with</t>
        </is>
      </c>
    </row>
    <row r="13" outlineLevel="1" ht="66.5" customHeight="1">
      <c r="A13" s="191" t="n">
        <v>138</v>
      </c>
      <c r="B13" s="192" t="n">
        <v>5</v>
      </c>
      <c r="C13"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4" t="inlineStr">
        <is>
          <t>Open article</t>
        </is>
      </c>
      <c r="E13" s="200" t="inlineStr">
        <is>
          <t>Academia-to-Industry topic</t>
        </is>
      </c>
      <c r="F13" s="196">
        <f>IFERROR(INDEX(Stories!$F$4:$F$195,MATCH($A13,Stories!$A$4:$A$195,0))&amp;"","")</f>
        <v/>
      </c>
      <c r="G13" s="197" t="inlineStr">
        <is>
          <t>生物通</t>
        </is>
      </c>
      <c r="H13" s="198" t="n">
        <v>46319</v>
      </c>
      <c r="I13" s="197" t="inlineStr">
        <is>
          <t>Can transfer learning from related image domains reliably segment rock fracture networks in UAV imagery when labelled data are scarce, and how accurate are the results?</t>
        </is>
      </c>
    </row>
    <row r="14" outlineLevel="1" ht="29" customHeight="1">
      <c r="A14" s="191" t="n">
        <v>97</v>
      </c>
      <c r="B14" s="192" t="n">
        <v>4</v>
      </c>
      <c r="C14" s="193" t="inlineStr">
        <is>
          <t>Using AI to provide early warning of landslide risks.</t>
        </is>
      </c>
      <c r="D14" s="194" t="inlineStr">
        <is>
          <t>Open article</t>
        </is>
      </c>
      <c r="E14" s="195" t="inlineStr">
        <is>
          <t>Feature lead</t>
        </is>
      </c>
      <c r="F14" s="196">
        <f>IFERROR(INDEX(Stories!$F$4:$F$195,MATCH($A14,Stories!$A$4:$A$195,0))&amp;"","")</f>
        <v/>
      </c>
      <c r="G14" s="197" t="inlineStr">
        <is>
          <t>Vietnam.vn</t>
        </is>
      </c>
      <c r="H14" s="198" t="n">
        <v>46320</v>
      </c>
      <c r="I14" s="197" t="inlineStr">
        <is>
          <t>How reliable are AI-based landslide early-warning models when trained on sparse ground monitoring data?</t>
        </is>
      </c>
    </row>
    <row r="15" outlineLevel="1" ht="79" customHeight="1">
      <c r="A15" s="191" t="n">
        <v>68</v>
      </c>
      <c r="B15" s="192" t="n">
        <v>4</v>
      </c>
      <c r="C15"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5" s="194" t="inlineStr">
        <is>
          <t>Open article</t>
        </is>
      </c>
      <c r="E15" s="195" t="inlineStr">
        <is>
          <t>Feature lead</t>
        </is>
      </c>
      <c r="F15" s="196">
        <f>IFERROR(INDEX(Stories!$F$4:$F$195,MATCH($A15,Stories!$A$4:$A$195,0))&amp;"","")</f>
        <v/>
      </c>
      <c r="G15" s="197" t="inlineStr">
        <is>
          <t>ComNews.ru</t>
        </is>
      </c>
      <c r="H15" s="198" t="n">
        <v>46321</v>
      </c>
      <c r="I15" s="197" t="inlineStr">
        <is>
          <t>How reliable are 3D excavation models built from site investigation data for deep pits in dense urban sites, and how should their accuracy be verified before construction?
Check with: Setl Group (developer) and the nanoCAD GeoniCS software vendor</t>
        </is>
      </c>
    </row>
    <row r="16" outlineLevel="1" ht="54" customHeight="1">
      <c r="A16" s="191" t="n">
        <v>73</v>
      </c>
      <c r="B16" s="192" t="n">
        <v>3</v>
      </c>
      <c r="C16" s="193" t="inlineStr">
        <is>
          <t>Using AI to detect landslide risks early.
(English headline translated by Claude · Original: Utiliser l'IA pour détecter précocement les risques de glissements de terrain.)</t>
        </is>
      </c>
      <c r="D16" s="194" t="inlineStr">
        <is>
          <t>Open article</t>
        </is>
      </c>
      <c r="E16" s="200" t="inlineStr">
        <is>
          <t>Academia-to-Industry topic</t>
        </is>
      </c>
      <c r="F16" s="196">
        <f>IFERROR(INDEX(Stories!$F$4:$F$195,MATCH($A16,Stories!$A$4:$A$195,0))&amp;"","")</f>
        <v/>
      </c>
      <c r="G16" s="197" t="inlineStr">
        <is>
          <t>Vietnam.vn</t>
        </is>
      </c>
      <c r="H16" s="198" t="n">
        <v>46321</v>
      </c>
      <c r="I16" s="197" t="inlineStr">
        <is>
          <t>Can machine learning on rainfall and monitoring data reliably predict landslide initiation, and what validation would engineers need?</t>
        </is>
      </c>
    </row>
    <row r="17" outlineLevel="1" ht="66.5" customHeight="1">
      <c r="A17" s="191" t="n">
        <v>74</v>
      </c>
      <c r="B17" s="192" t="n">
        <v>3</v>
      </c>
      <c r="C17" s="193" t="inlineStr">
        <is>
          <t>Using artificial intelligence to provide early warnings of landslide risk.
(English headline translated by Claude · Original: Utilizar la inteligencia artificial para proporcionar alertas tempranas sobre riesgos de deslizamientos de tierra.)</t>
        </is>
      </c>
      <c r="D17" s="194" t="inlineStr">
        <is>
          <t>Open article</t>
        </is>
      </c>
      <c r="E17" s="205" t="inlineStr">
        <is>
          <t>Watch only</t>
        </is>
      </c>
      <c r="F17" s="196">
        <f>IFERROR(INDEX(Stories!$F$4:$F$195,MATCH($A17,Stories!$A$4:$A$195,0))&amp;"","")</f>
        <v/>
      </c>
      <c r="G17" s="197" t="inlineStr">
        <is>
          <t>Vietnam.vn</t>
        </is>
      </c>
      <c r="H17" s="198" t="n">
        <v>46321</v>
      </c>
      <c r="I17" s="197" t="inlineStr">
        <is>
          <t>Can machine learning on rainfall and monitoring data reliably predict landslide initiation, and what validation would engineers need?</t>
        </is>
      </c>
    </row>
    <row r="18" outlineLevel="1" ht="66.5" customHeight="1">
      <c r="A18" s="191" t="n">
        <v>41</v>
      </c>
      <c r="B18" s="192" t="n">
        <v>3</v>
      </c>
      <c r="C18"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18" s="194" t="inlineStr">
        <is>
          <t>Open article</t>
        </is>
      </c>
      <c r="E18" s="200" t="inlineStr">
        <is>
          <t>Academia-to-Industry topic</t>
        </is>
      </c>
      <c r="F18" s="196">
        <f>IFERROR(INDEX(Stories!$F$4:$F$195,MATCH($A18,Stories!$A$4:$A$195,0))&amp;"","")</f>
        <v/>
      </c>
      <c r="G18" s="197" t="inlineStr">
        <is>
          <t>Хабр</t>
        </is>
      </c>
      <c r="H18" s="198" t="n">
        <v>46322</v>
      </c>
      <c r="I18" s="197" t="inlineStr">
        <is>
          <t>How can 3D excavation models built in CAD software support design checks and construction sequencing for residential excavations?
Check with: Setl Group and the nanoCAD GeoniCS software developer</t>
        </is>
      </c>
    </row>
    <row r="19" outlineLevel="1" ht="10" customHeight="1"/>
    <row r="20" ht="26" customHeight="1">
      <c r="A20" s="206" t="inlineStr">
        <is>
          <t>Hazards &amp; Resilience   ·   71 stories   ·   14 rated 5 / 5   ·   42 feature leads</t>
        </is>
      </c>
      <c r="B20" s="207" t="n"/>
      <c r="C20" s="207" t="n"/>
      <c r="D20" s="207" t="n"/>
      <c r="E20" s="207" t="n"/>
      <c r="F20" s="207" t="n"/>
      <c r="G20" s="207" t="n"/>
      <c r="H20" s="207" t="n"/>
      <c r="I20" s="207" t="n"/>
    </row>
    <row r="21" outlineLevel="1">
      <c r="A21" s="208" t="inlineStr">
        <is>
          <t>No.</t>
        </is>
      </c>
      <c r="B21" s="208" t="inlineStr">
        <is>
          <t>Relevance</t>
        </is>
      </c>
      <c r="C21" s="209" t="inlineStr">
        <is>
          <t>Headline</t>
        </is>
      </c>
      <c r="D21" s="208" t="inlineStr">
        <is>
          <t>Link</t>
        </is>
      </c>
      <c r="E21" s="209" t="inlineStr">
        <is>
          <t>Suggested use</t>
        </is>
      </c>
      <c r="F21" s="208" t="inlineStr">
        <is>
          <t>Status</t>
        </is>
      </c>
      <c r="G21" s="209" t="inlineStr">
        <is>
          <t>Source</t>
        </is>
      </c>
      <c r="H21" s="208" t="inlineStr">
        <is>
          <t>Digest</t>
        </is>
      </c>
      <c r="I21" s="209" t="inlineStr">
        <is>
          <t>Magazine angle · check with</t>
        </is>
      </c>
    </row>
    <row r="22" outlineLevel="1" ht="66.5" customHeight="1">
      <c r="A22" s="191" t="n">
        <v>1</v>
      </c>
      <c r="B22" s="192" t="n">
        <v>5</v>
      </c>
      <c r="C22" s="193" t="inlineStr">
        <is>
          <t>Compensations related to the dam collapse of Vale and BHP’s joint venture in Brazil reach US$16.52 billion</t>
        </is>
      </c>
      <c r="D22" s="194" t="inlineStr">
        <is>
          <t>Open article</t>
        </is>
      </c>
      <c r="E22" s="195" t="inlineStr">
        <is>
          <t>Feature lead</t>
        </is>
      </c>
      <c r="F22" s="196">
        <f>IFERROR(INDEX(Stories!$F$4:$F$195,MATCH($A22,Stories!$A$4:$A$195,0))&amp;"","")</f>
        <v/>
      </c>
      <c r="G22" s="197" t="inlineStr">
        <is>
          <t>BNamericas</t>
        </is>
      </c>
      <c r="H22" s="198" t="n">
        <v>46322</v>
      </c>
      <c r="I22" s="197" t="inlineStr">
        <is>
          <t>What geotechnical failure mechanisms and tailings dam design lessons emerge from the Mariana collapse, years after compensation was agreed?
Check with: Samarco, Vale and BHP; Brazilian court records</t>
        </is>
      </c>
    </row>
    <row r="23" outlineLevel="1" ht="66.5" customHeight="1">
      <c r="A23" s="191" t="n">
        <v>43</v>
      </c>
      <c r="B23" s="192" t="n">
        <v>5</v>
      </c>
      <c r="C23" s="193" t="inlineStr">
        <is>
          <t>Kumamoto earthquake: 96% of liquefaction sites reoccurred
(English headline translated by Claude · Original: 熊本地震 液状化地点の96%で再発)</t>
        </is>
      </c>
      <c r="D23" s="194" t="inlineStr">
        <is>
          <t>Open article</t>
        </is>
      </c>
      <c r="E23" s="195" t="inlineStr">
        <is>
          <t>Feature lead</t>
        </is>
      </c>
      <c r="F23" s="196">
        <f>IFERROR(INDEX(Stories!$F$4:$F$195,MATCH($A23,Stories!$A$4:$A$195,0))&amp;"","")</f>
        <v/>
      </c>
      <c r="G23" s="197" t="inlineStr">
        <is>
          <t>Yahoo!ニュース</t>
        </is>
      </c>
      <c r="H23" s="198" t="n">
        <v>46321</v>
      </c>
      <c r="I23" s="197" t="inlineStr">
        <is>
          <t>Why do the same sites re-liquefy in repeated earthquakes, and which ground improvement or site-specific measures actually stop recurrence?
Check with: Kumamoto Prefectural Government and the research team behind the liquefaction survey</t>
        </is>
      </c>
    </row>
    <row r="24" outlineLevel="1" ht="66.5" customHeight="1">
      <c r="A24" s="191" t="n">
        <v>44</v>
      </c>
      <c r="B24" s="192" t="n">
        <v>5</v>
      </c>
      <c r="C24"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4" s="194" t="inlineStr">
        <is>
          <t>Open article</t>
        </is>
      </c>
      <c r="E24" s="205" t="inlineStr">
        <is>
          <t>Watch only</t>
        </is>
      </c>
      <c r="F24" s="196">
        <f>IFERROR(INDEX(Stories!$F$4:$F$195,MATCH($A24,Stories!$A$4:$A$195,0))&amp;"","")</f>
        <v/>
      </c>
      <c r="G24" s="197" t="inlineStr">
        <is>
          <t>読売新聞</t>
        </is>
      </c>
      <c r="H24" s="198" t="n">
        <v>46321</v>
      </c>
      <c r="I24" s="197" t="inlineStr">
        <is>
          <t>Why do the same sites re-liquefy in repeated earthquakes, and which ground improvement or site-specific measures actually stop recurrence?
Check with: Kumamoto Prefectural Government and the research team behind the liquefaction survey</t>
        </is>
      </c>
    </row>
    <row r="25" outlineLevel="1" ht="66.5" customHeight="1">
      <c r="A25" s="191" t="n">
        <v>45</v>
      </c>
      <c r="B25" s="192" t="n">
        <v>5</v>
      </c>
      <c r="C25" s="193" t="inlineStr">
        <is>
          <t>Ancient Earthquakes Triggered Massive 10,000-Year-Old Landslides In Kashmir Himalaya, New Study Reveals</t>
        </is>
      </c>
      <c r="D25" s="194" t="inlineStr">
        <is>
          <t>Open article</t>
        </is>
      </c>
      <c r="E25" s="195" t="inlineStr">
        <is>
          <t>Feature lead</t>
        </is>
      </c>
      <c r="F25" s="196">
        <f>IFERROR(INDEX(Stories!$F$4:$F$195,MATCH($A25,Stories!$A$4:$A$195,0))&amp;"","")</f>
        <v/>
      </c>
      <c r="G25" s="197" t="inlineStr">
        <is>
          <t>Kashmir Life</t>
        </is>
      </c>
      <c r="H25" s="198" t="n">
        <v>46321</v>
      </c>
      <c r="I25" s="197" t="inlineStr">
        <is>
          <t>Can dating of ancient landslide deposits be used to infer earthquake recurrence and slope hazard in tectonically active Himalayan terrain?
Check with: the study's lead research institution (check the journal paper)</t>
        </is>
      </c>
    </row>
    <row r="26" outlineLevel="1" ht="41.5" customHeight="1">
      <c r="A26" s="191" t="n">
        <v>86</v>
      </c>
      <c r="B26" s="192" t="n">
        <v>5</v>
      </c>
      <c r="C26" s="193" t="inlineStr">
        <is>
          <t>More than 100 days after Kalladi landslip, twin-tunnel road project awaits safety reports</t>
        </is>
      </c>
      <c r="D26" s="194" t="inlineStr">
        <is>
          <t>Open article</t>
        </is>
      </c>
      <c r="E26" s="195" t="inlineStr">
        <is>
          <t>Feature lead</t>
        </is>
      </c>
      <c r="F26" s="196">
        <f>IFERROR(INDEX(Stories!$F$4:$F$195,MATCH($A26,Stories!$A$4:$A$195,0))&amp;"","")</f>
        <v/>
      </c>
      <c r="G26" s="197" t="inlineStr">
        <is>
          <t>Onmanorama</t>
        </is>
      </c>
      <c r="H26" s="198" t="n">
        <v>46320</v>
      </c>
      <c r="I26" s="197" t="inlineStr">
        <is>
          <t>How should twin-tunnel road projects be geotechnically assessed and safety-verified in landslide-prone hill terrain after a major slope failure?</t>
        </is>
      </c>
    </row>
    <row r="27" outlineLevel="1" ht="54" customHeight="1">
      <c r="A27" s="191" t="n">
        <v>87</v>
      </c>
      <c r="B27" s="192" t="n">
        <v>5</v>
      </c>
      <c r="C27" s="193" t="inlineStr">
        <is>
          <t>Fragility of port disaster prevention exposed: liquefaction halts logistics at Yatsushiro
(English headline translated by Claude · Original: 港湾防災のもろさ露呈 八代、液状化で物流停止)</t>
        </is>
      </c>
      <c r="D27" s="194" t="inlineStr">
        <is>
          <t>Open article</t>
        </is>
      </c>
      <c r="E27" s="195" t="inlineStr">
        <is>
          <t>Feature lead</t>
        </is>
      </c>
      <c r="F27" s="196">
        <f>IFERROR(INDEX(Stories!$F$4:$F$195,MATCH($A27,Stories!$A$4:$A$195,0))&amp;"","")</f>
        <v/>
      </c>
      <c r="G27" s="197" t="inlineStr">
        <is>
          <t>山陽新聞</t>
        </is>
      </c>
      <c r="H27" s="198" t="n">
        <v>46320</v>
      </c>
      <c r="I27" s="197" t="inlineStr">
        <is>
          <t>Why do reclaimed port areas liquefy during earthquakes, and how can quay and yard design reduce the risk of losing logistics function after shaking?</t>
        </is>
      </c>
    </row>
    <row r="28" outlineLevel="1" ht="79" customHeight="1">
      <c r="A28" s="191" t="n">
        <v>46</v>
      </c>
      <c r="B28" s="192" t="n">
        <v>5</v>
      </c>
      <c r="C28" s="193" t="inlineStr">
        <is>
          <t>Niscemi, nine months after the landslide: the town hanging over the void and thirty years of broken promises.
(English headline translated by Claude · Original: Niscemi, nove mesi dopo la frana: la città sospesa sul vuoto e trent'anni di promesse tradite)</t>
        </is>
      </c>
      <c r="D28" s="194" t="inlineStr">
        <is>
          <t>Open article</t>
        </is>
      </c>
      <c r="E28" s="195" t="inlineStr">
        <is>
          <t>Feature lead</t>
        </is>
      </c>
      <c r="F28" s="196">
        <f>IFERROR(INDEX(Stories!$F$4:$F$195,MATCH($A28,Stories!$A$4:$A$195,0))&amp;"","")</f>
        <v/>
      </c>
      <c r="G28" s="197" t="inlineStr">
        <is>
          <t>la Repubblica</t>
        </is>
      </c>
      <c r="H28" s="198" t="n">
        <v>46321</v>
      </c>
      <c r="I28"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29" outlineLevel="1" ht="66.5" customHeight="1">
      <c r="A29" s="191" t="n">
        <v>88</v>
      </c>
      <c r="B29" s="192" t="n">
        <v>5</v>
      </c>
      <c r="C29"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29" s="194" t="inlineStr">
        <is>
          <t>Open article</t>
        </is>
      </c>
      <c r="E29" s="195" t="inlineStr">
        <is>
          <t>Feature lead</t>
        </is>
      </c>
      <c r="F29" s="196">
        <f>IFERROR(INDEX(Stories!$F$4:$F$195,MATCH($A29,Stories!$A$4:$A$195,0))&amp;"","")</f>
        <v/>
      </c>
      <c r="G29" s="197" t="inlineStr">
        <is>
          <t>Publimicro</t>
        </is>
      </c>
      <c r="H29" s="198" t="n">
        <v>46320</v>
      </c>
      <c r="I29" s="197" t="inlineStr">
        <is>
          <t>How should authorities act on prior geotechnical warnings about unstable ground, and what criteria should govern long-term evacuation and land reuse?</t>
        </is>
      </c>
    </row>
    <row r="30" outlineLevel="1" ht="66.5" customHeight="1">
      <c r="A30" s="191" t="n">
        <v>89</v>
      </c>
      <c r="B30" s="192" t="n">
        <v>5</v>
      </c>
      <c r="C30" s="193" t="inlineStr">
        <is>
          <t>Up to 1.20 metres of ground moved during the 7.5 earthquake that shook Panama
(English headline translated by Claude · Original: Hasta 1.20 metros se desplazó el suelo durante el terremoto de 7.5 que sacudió Panamá)</t>
        </is>
      </c>
      <c r="D30" s="194" t="inlineStr">
        <is>
          <t>Open article</t>
        </is>
      </c>
      <c r="E30" s="195" t="inlineStr">
        <is>
          <t>Feature lead</t>
        </is>
      </c>
      <c r="F30" s="196">
        <f>IFERROR(INDEX(Stories!$F$4:$F$195,MATCH($A30,Stories!$A$4:$A$195,0))&amp;"","")</f>
        <v/>
      </c>
      <c r="G30" s="197" t="inlineStr">
        <is>
          <t>Infobae</t>
        </is>
      </c>
      <c r="H30" s="198" t="n">
        <v>46320</v>
      </c>
      <c r="I30" s="197" t="inlineStr">
        <is>
          <t>What mechanisms produced metre-scale ground displacement during this magnitude 7.5 earthquake, and what do they imply for fault-zone hazard assessment in Panama?</t>
        </is>
      </c>
    </row>
    <row r="31" outlineLevel="1" ht="66.5" customHeight="1">
      <c r="A31" s="191" t="n">
        <v>47</v>
      </c>
      <c r="B31" s="192" t="n">
        <v>5</v>
      </c>
      <c r="C31" s="193" t="inlineStr">
        <is>
          <t>Liu Yushui garden earth collapse kills; SAM says it warned repeatedly about hillside development risks
(English headline translated by Claude · Original: 刘玉水花园土崩夺命 SAM：已多次警告 山坡发展风险)</t>
        </is>
      </c>
      <c r="D31" s="194" t="inlineStr">
        <is>
          <t>Open article</t>
        </is>
      </c>
      <c r="E31" s="195" t="inlineStr">
        <is>
          <t>Feature lead</t>
        </is>
      </c>
      <c r="F31" s="196">
        <f>IFERROR(INDEX(Stories!$F$4:$F$195,MATCH($A31,Stories!$A$4:$A$195,0))&amp;"","")</f>
        <v/>
      </c>
      <c r="G31" s="197" t="inlineStr">
        <is>
          <t>China Press</t>
        </is>
      </c>
      <c r="H31" s="198" t="n">
        <v>46321</v>
      </c>
      <c r="I31" s="197" t="inlineStr">
        <is>
          <t>How do hillside development practices and repeated unheeded warnings contribute to fatal slope failures, and what geotechnical due diligence should apply to hillside housing?
Check with: Penang state government and the police</t>
        </is>
      </c>
    </row>
    <row r="32" outlineLevel="1" ht="66.5" customHeight="1">
      <c r="A32" s="191" t="n">
        <v>50</v>
      </c>
      <c r="B32" s="192" t="n">
        <v>5</v>
      </c>
      <c r="C32"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2" s="194" t="inlineStr">
        <is>
          <t>Open article</t>
        </is>
      </c>
      <c r="E32" s="195" t="inlineStr">
        <is>
          <t>Feature lead</t>
        </is>
      </c>
      <c r="F32" s="196">
        <f>IFERROR(INDEX(Stories!$F$4:$F$195,MATCH($A32,Stories!$A$4:$A$195,0))&amp;"","")</f>
        <v/>
      </c>
      <c r="G32" s="197" t="inlineStr">
        <is>
          <t>تركيا عاجل</t>
        </is>
      </c>
      <c r="H32" s="198" t="n">
        <v>46321</v>
      </c>
      <c r="I32" s="197" t="inlineStr">
        <is>
          <t>How can rockfall hazard along a mountain highway be assessed for very large blocks, and what slope-scaling and stabilisation approach suits a 50 km stretch?
Check with: the General Directorate of Highways (KGM)</t>
        </is>
      </c>
    </row>
    <row r="33" outlineLevel="1" ht="54" customHeight="1">
      <c r="A33" s="191" t="n">
        <v>51</v>
      </c>
      <c r="B33" s="192" t="n">
        <v>5</v>
      </c>
      <c r="C33" s="193" t="inlineStr">
        <is>
          <t>Longwei earth collapse death: autopsy report released, cause is traumatic asphyxia
(English headline translated by Claude · Original: 垄尾土崩酿一死｜死者解剖报告出炉 死因是创伤性窒息)</t>
        </is>
      </c>
      <c r="D33" s="194" t="inlineStr">
        <is>
          <t>Open article</t>
        </is>
      </c>
      <c r="E33" s="195" t="inlineStr">
        <is>
          <t>Feature lead</t>
        </is>
      </c>
      <c r="F33" s="196">
        <f>IFERROR(INDEX(Stories!$F$4:$F$195,MATCH($A33,Stories!$A$4:$A$195,0))&amp;"","")</f>
        <v/>
      </c>
      <c r="G33" s="197" t="inlineStr">
        <is>
          <t>China Press</t>
        </is>
      </c>
      <c r="H33" s="198" t="n">
        <v>46321</v>
      </c>
      <c r="I33" s="197" t="inlineStr">
        <is>
          <t>What does the post-mortem finding of a traumatic death reveal about the safety of hillside collapse rescue and the failure of earlier slope warnings?
Check with: Penang state government and the police</t>
        </is>
      </c>
    </row>
    <row r="34" outlineLevel="1" ht="66.5" customHeight="1">
      <c r="A34" s="191" t="n">
        <v>90</v>
      </c>
      <c r="B34" s="192" t="n">
        <v>5</v>
      </c>
      <c r="C34" s="193" t="inlineStr">
        <is>
          <t>Zaruma sits on old gold galleries: where is the sinkhole risk concentrated?
(English headline translated by Claude · Original: Zaruma está sobre antiguas galerías de oro: ¿Dónde se concentra el riesgo de hundimiento?)</t>
        </is>
      </c>
      <c r="D34" s="194" t="inlineStr">
        <is>
          <t>Open article</t>
        </is>
      </c>
      <c r="E34" s="195" t="inlineStr">
        <is>
          <t>Feature lead</t>
        </is>
      </c>
      <c r="F34" s="196">
        <f>IFERROR(INDEX(Stories!$F$4:$F$195,MATCH($A34,Stories!$A$4:$A$195,0))&amp;"","")</f>
        <v/>
      </c>
      <c r="G34" s="197" t="inlineStr">
        <is>
          <t>Revista Digital Minera REDIMIN</t>
        </is>
      </c>
      <c r="H34" s="198" t="n">
        <v>46320</v>
      </c>
      <c r="I34" s="197" t="inlineStr">
        <is>
          <t>How do abandoned shallow gold mine galleries affect ground stability beneath an urban area, and how can the sinkhole risk be mapped and managed?</t>
        </is>
      </c>
    </row>
    <row r="35" outlineLevel="1" ht="54" customHeight="1">
      <c r="A35" s="191" t="n">
        <v>137</v>
      </c>
      <c r="B35" s="192" t="n">
        <v>5</v>
      </c>
      <c r="C35" s="193" t="inlineStr">
        <is>
          <t>Serious landslides in South Gia Nghia
(English headline translated by Claude · Original: Sụt trượt đất nghiêm trọng ở Nam Gia Nghĩa)</t>
        </is>
      </c>
      <c r="D35" s="194" t="inlineStr">
        <is>
          <t>Open article</t>
        </is>
      </c>
      <c r="E35" s="195" t="inlineStr">
        <is>
          <t>Feature lead</t>
        </is>
      </c>
      <c r="F35" s="196">
        <f>IFERROR(INDEX(Stories!$F$4:$F$195,MATCH($A35,Stories!$A$4:$A$195,0))&amp;"","")</f>
        <v/>
      </c>
      <c r="G35" s="197" t="inlineStr">
        <is>
          <t>Vietnam.vn</t>
        </is>
      </c>
      <c r="H35" s="198" t="n">
        <v>46319</v>
      </c>
      <c r="I35" s="197" t="inlineStr">
        <is>
          <t>What rainfall and slope geometry triggered this serious landslide in Nam Gia Nghia, and how should weathered residual soils on such slopes be investigated and stabilised?</t>
        </is>
      </c>
    </row>
    <row r="36" outlineLevel="1" ht="41.5" customHeight="1">
      <c r="A36" s="191" t="n">
        <v>139</v>
      </c>
      <c r="B36" s="192" t="n">
        <v>4</v>
      </c>
      <c r="C36" s="193" t="inlineStr">
        <is>
          <t>M4 landslip work begins as part of wider repair programme</t>
        </is>
      </c>
      <c r="D36" s="194" t="inlineStr">
        <is>
          <t>Open article</t>
        </is>
      </c>
      <c r="E36" s="195" t="inlineStr">
        <is>
          <t>Feature lead</t>
        </is>
      </c>
      <c r="F36" s="196">
        <f>IFERROR(INDEX(Stories!$F$4:$F$195,MATCH($A36,Stories!$A$4:$A$195,0))&amp;"","")</f>
        <v/>
      </c>
      <c r="G36" s="197" t="inlineStr">
        <is>
          <t>Ground Engineering</t>
        </is>
      </c>
      <c r="H36" s="198" t="n">
        <v>46319</v>
      </c>
      <c r="I36" s="197" t="inlineStr">
        <is>
          <t>How should engineers diagnose and stabilise a landslipped motorway embankment, and what drainage and monitoring measures prevent recurrence?</t>
        </is>
      </c>
    </row>
    <row r="37" outlineLevel="1" ht="54" customHeight="1">
      <c r="A37" s="191" t="n">
        <v>140</v>
      </c>
      <c r="B37" s="192" t="n">
        <v>4</v>
      </c>
      <c r="C37" s="193" t="inlineStr">
        <is>
          <t>Landslide-prevention embankment threatens residential area
(English headline translated by Claude · Original: Tanggul pencegah tanah longsor 'mengancam' kawasan permukiman.)</t>
        </is>
      </c>
      <c r="D37" s="194" t="inlineStr">
        <is>
          <t>Open article</t>
        </is>
      </c>
      <c r="E37" s="195" t="inlineStr">
        <is>
          <t>Feature lead</t>
        </is>
      </c>
      <c r="F37" s="196">
        <f>IFERROR(INDEX(Stories!$F$4:$F$195,MATCH($A37,Stories!$A$4:$A$195,0))&amp;"","")</f>
        <v/>
      </c>
      <c r="G37" s="197" t="inlineStr">
        <is>
          <t>Vietnam.vn</t>
        </is>
      </c>
      <c r="H37" s="198" t="n">
        <v>46319</v>
      </c>
      <c r="I37" s="197" t="inlineStr">
        <is>
          <t>Can retaining and protective embankments be designed to resist landslide loading from upslope slopes beside settlements, and how should such risk be assessed?</t>
        </is>
      </c>
    </row>
    <row r="38" outlineLevel="1" ht="66.5" customHeight="1">
      <c r="A38" s="191" t="n">
        <v>141</v>
      </c>
      <c r="B38" s="192" t="n">
        <v>4</v>
      </c>
      <c r="C38" s="193" t="inlineStr">
        <is>
          <t>Storms in Liguria, major landslide in Savona: the collapse destroyed a city road
(English headline translated by Claude · Original: RAINEWS * CRONACA: «MALTEMPO IN LIGURIA, GRANDE FRANA A SAVONA: IL CROLLO HA DISTRUTTO UNA STRADA CITTADINA)</t>
        </is>
      </c>
      <c r="D38" s="194" t="inlineStr">
        <is>
          <t>Open article</t>
        </is>
      </c>
      <c r="E38" s="199" t="inlineStr">
        <is>
          <t>News brief</t>
        </is>
      </c>
      <c r="F38" s="196">
        <f>IFERROR(INDEX(Stories!$F$4:$F$195,MATCH($A38,Stories!$A$4:$A$195,0))&amp;"","")</f>
        <v/>
      </c>
      <c r="G38" s="197" t="inlineStr">
        <is>
          <t>agenzia giornalistica opinione</t>
        </is>
      </c>
      <c r="H38" s="198" t="n">
        <v>46319</v>
      </c>
      <c r="I38" s="197" t="inlineStr">
        <is>
          <t>What triggered this large rock or soil slope failure in Savona during heavy rain, and what does the collapse reveal about slope stability in Liguria?</t>
        </is>
      </c>
    </row>
    <row r="39" outlineLevel="1" ht="104" customHeight="1">
      <c r="A39" s="191" t="n">
        <v>142</v>
      </c>
      <c r="B39" s="192" t="n">
        <v>4</v>
      </c>
      <c r="C39"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39" s="194" t="inlineStr">
        <is>
          <t>Open article</t>
        </is>
      </c>
      <c r="E39" s="195" t="inlineStr">
        <is>
          <t>Feature lead</t>
        </is>
      </c>
      <c r="F39" s="196">
        <f>IFERROR(INDEX(Stories!$F$4:$F$195,MATCH($A39,Stories!$A$4:$A$195,0))&amp;"","")</f>
        <v/>
      </c>
      <c r="G39" s="197" t="inlineStr">
        <is>
          <t>Vietnam.vn</t>
        </is>
      </c>
      <c r="H39" s="198" t="n">
        <v>46319</v>
      </c>
      <c r="I39" s="197" t="inlineStr">
        <is>
          <t>How should traffic management and monitoring be combined with slope stabilisation on mountain passes subject to recurrent landslides?</t>
        </is>
      </c>
    </row>
    <row r="40" outlineLevel="1" ht="66.5" customHeight="1">
      <c r="A40" s="191" t="n">
        <v>143</v>
      </c>
      <c r="B40" s="192" t="n">
        <v>4</v>
      </c>
      <c r="C40" s="193" t="inlineStr">
        <is>
          <t>Valmontone, bad weather: tuff slope collapses onto Prenestina road, road partially closed
(English headline translated by Claude · Original: Valmontone, maltempo: frana costone di tufo sulla via Prenestina, strada parzialmente chiusa)</t>
        </is>
      </c>
      <c r="D40" s="194" t="inlineStr">
        <is>
          <t>Open article</t>
        </is>
      </c>
      <c r="E40" s="199" t="inlineStr">
        <is>
          <t>News brief</t>
        </is>
      </c>
      <c r="F40" s="196">
        <f>IFERROR(INDEX(Stories!$F$4:$F$195,MATCH($A40,Stories!$A$4:$A$195,0))&amp;"","")</f>
        <v/>
      </c>
      <c r="G40" s="197" t="inlineStr">
        <is>
          <t>Il Giornale dei Castelli Romani</t>
        </is>
      </c>
      <c r="H40" s="198" t="n">
        <v>46319</v>
      </c>
      <c r="I40" s="197" t="inlineStr">
        <is>
          <t>What causes tuff cliff collapse in volcanic deposits under rainfall, and how can such slopes be assessed and stabilised near roads?</t>
        </is>
      </c>
    </row>
    <row r="41" outlineLevel="1" ht="66.5" customHeight="1">
      <c r="A41" s="191" t="n">
        <v>144</v>
      </c>
      <c r="B41" s="192" t="n">
        <v>4</v>
      </c>
      <c r="C41" s="193" t="inlineStr">
        <is>
          <t>Bonea, landslide in Capo locality: mayor closes three roads by urgent order
(English headline translated by Claude · Original: BONEA, FRANA IN LOCALITÀ CAPO: IL SINDACO CHIUDE TRE STRADE CON ORDINANZA URGENTE)</t>
        </is>
      </c>
      <c r="D41" s="194" t="inlineStr">
        <is>
          <t>Open article</t>
        </is>
      </c>
      <c r="E41" s="199" t="inlineStr">
        <is>
          <t>News brief</t>
        </is>
      </c>
      <c r="F41" s="196">
        <f>IFERROR(INDEX(Stories!$F$4:$F$195,MATCH($A41,Stories!$A$4:$A$195,0))&amp;"","")</f>
        <v/>
      </c>
      <c r="G41" s="197" t="inlineStr">
        <is>
          <t>Tv7 Benevento</t>
        </is>
      </c>
      <c r="H41" s="198" t="n">
        <v>46319</v>
      </c>
      <c r="I41" s="197" t="inlineStr">
        <is>
          <t>What ground investigation would confirm the landslide mechanism at Capo locality and guide safe reopening of the three closed roads?</t>
        </is>
      </c>
    </row>
    <row r="42" outlineLevel="1" ht="66.5" customHeight="1">
      <c r="A42" s="191" t="n">
        <v>145</v>
      </c>
      <c r="B42" s="192" t="n">
        <v>4</v>
      </c>
      <c r="C42" s="193" t="inlineStr">
        <is>
          <t>The Cencione landslide: amid mud and controversy, bulldozers are at work
(English headline translated by Claude · Original: La frana del Cencione Tra fango e polemiche Le ruspe sono al lavoro)</t>
        </is>
      </c>
      <c r="D42" s="194" t="inlineStr">
        <is>
          <t>Open article</t>
        </is>
      </c>
      <c r="E42" s="195" t="inlineStr">
        <is>
          <t>Feature lead</t>
        </is>
      </c>
      <c r="F42" s="196">
        <f>IFERROR(INDEX(Stories!$F$4:$F$195,MATCH($A42,Stories!$A$4:$A$195,0))&amp;"","")</f>
        <v/>
      </c>
      <c r="G42" s="197" t="inlineStr">
        <is>
          <t>Zazoom Social News</t>
        </is>
      </c>
      <c r="H42" s="198" t="n">
        <v>46319</v>
      </c>
      <c r="I42" s="197" t="inlineStr">
        <is>
          <t>How should authorities balance urgent earthworks with geotechnical investigation and accountability when a landslide site becomes politically contested?</t>
        </is>
      </c>
    </row>
    <row r="43" outlineLevel="1" ht="41.5" customHeight="1">
      <c r="A43" s="191" t="n">
        <v>146</v>
      </c>
      <c r="B43" s="192" t="n">
        <v>4</v>
      </c>
      <c r="C43" s="193" t="inlineStr">
        <is>
          <t>TNI helps landslide victims in Lae Ikan, Subulussalam
(English headline translated by Claude · Original: TNI Bantu Korban Longsor di Lae Ikan Subulussalam)</t>
        </is>
      </c>
      <c r="D43" s="194" t="inlineStr">
        <is>
          <t>Open article</t>
        </is>
      </c>
      <c r="E43" s="199" t="inlineStr">
        <is>
          <t>News brief</t>
        </is>
      </c>
      <c r="F43" s="196">
        <f>IFERROR(INDEX(Stories!$F$4:$F$195,MATCH($A43,Stories!$A$4:$A$195,0))&amp;"","")</f>
        <v/>
      </c>
      <c r="G43" s="197" t="inlineStr">
        <is>
          <t>RRI.co.id</t>
        </is>
      </c>
      <c r="H43" s="198" t="n">
        <v>46319</v>
      </c>
      <c r="I43" s="197" t="inlineStr">
        <is>
          <t>What role can emergency response and rapid geotechnical assessment play after a landslide in a mountainous Indonesian village?</t>
        </is>
      </c>
    </row>
    <row r="44" outlineLevel="1" ht="66.5" customHeight="1">
      <c r="A44" s="191" t="n">
        <v>52</v>
      </c>
      <c r="B44" s="192" t="n">
        <v>4</v>
      </c>
      <c r="C44" s="193" t="inlineStr">
        <is>
          <t>Slope collapse affects basements and shops of a shopping plaza in Cuajimalpa
(English headline translated by Claude · Original: Deslizamiento de talud afecta sótanos y locales de plaza comercial en Cuajimalpa)</t>
        </is>
      </c>
      <c r="D44" s="194" t="inlineStr">
        <is>
          <t>Open article</t>
        </is>
      </c>
      <c r="E44" s="195" t="inlineStr">
        <is>
          <t>Feature lead</t>
        </is>
      </c>
      <c r="F44" s="196">
        <f>IFERROR(INDEX(Stories!$F$4:$F$195,MATCH($A44,Stories!$A$4:$A$195,0))&amp;"","")</f>
        <v/>
      </c>
      <c r="G44" s="197" t="inlineStr">
        <is>
          <t>El Universal</t>
        </is>
      </c>
      <c r="H44" s="198" t="n">
        <v>46321</v>
      </c>
      <c r="I44" s="197" t="inlineStr">
        <is>
          <t>How should basements and retail excavations beside unstable natural slopes be designed and monitored so that slope movement does not reach occupied spaces?
Check with: Mexico City Protección Civil and the borough's building authority</t>
        </is>
      </c>
    </row>
    <row r="45" outlineLevel="1" ht="66.5" customHeight="1">
      <c r="A45" s="191" t="n">
        <v>53</v>
      </c>
      <c r="B45" s="192" t="n">
        <v>4</v>
      </c>
      <c r="C45" s="193" t="inlineStr">
        <is>
          <t>Heavy landslide at Centro Santa Fe: 30-meter slope collapses and affects shops
(English headline translated by Claude · Original: Fuerte deslave en Centro Santa Fe: colapsa talud de 30 metros y afecta locales)</t>
        </is>
      </c>
      <c r="D45" s="194" t="inlineStr">
        <is>
          <t>Open article</t>
        </is>
      </c>
      <c r="E45" s="195" t="inlineStr">
        <is>
          <t>Feature lead</t>
        </is>
      </c>
      <c r="F45" s="196">
        <f>IFERROR(INDEX(Stories!$F$4:$F$195,MATCH($A45,Stories!$A$4:$A$195,0))&amp;"","")</f>
        <v/>
      </c>
      <c r="G45" s="197" t="inlineStr">
        <is>
          <t>PostaMx</t>
        </is>
      </c>
      <c r="H45" s="198" t="n">
        <v>46321</v>
      </c>
      <c r="I45" s="197" t="inlineStr">
        <is>
          <t>What failure mechanisms could bring down a 30 m cut slope in a dense urban business district, and what monitoring would have given early warning?
Check with: Mexico City Protección Civil and the developer's geotechnical consultant</t>
        </is>
      </c>
    </row>
    <row r="46" outlineLevel="1" ht="54" customHeight="1">
      <c r="A46" s="191" t="n">
        <v>91</v>
      </c>
      <c r="B46" s="192" t="n">
        <v>4</v>
      </c>
      <c r="C46"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6" s="194" t="inlineStr">
        <is>
          <t>Open article</t>
        </is>
      </c>
      <c r="E46" s="199" t="inlineStr">
        <is>
          <t>News brief</t>
        </is>
      </c>
      <c r="F46" s="196">
        <f>IFERROR(INDEX(Stories!$F$4:$F$195,MATCH($A46,Stories!$A$4:$A$195,0))&amp;"","")</f>
        <v/>
      </c>
      <c r="G46" s="197" t="inlineStr">
        <is>
          <t>FNNプライムオンライン</t>
        </is>
      </c>
      <c r="H46" s="198" t="n">
        <v>46320</v>
      </c>
      <c r="I46" s="197" t="inlineStr">
        <is>
          <t>What triggers rockfall and debris slides on steep volcanic-sedimentary mountain slopes, and how should hazard zoning account for such events near visitor routes?</t>
        </is>
      </c>
    </row>
    <row r="47" outlineLevel="1" ht="66.5" customHeight="1">
      <c r="A47" s="191" t="n">
        <v>147</v>
      </c>
      <c r="B47" s="192" t="n">
        <v>4</v>
      </c>
      <c r="C47" s="193" t="inlineStr">
        <is>
          <t>Intense rains cause alluvion in rural sector of Concepción: residents fear new landslides
(English headline translated by Claude · Original: Intensas lluvias provocan aluvión en sector rural de Concepción: Vecinos temen nuevos deslizamientos)</t>
        </is>
      </c>
      <c r="D47" s="194" t="inlineStr">
        <is>
          <t>Open article</t>
        </is>
      </c>
      <c r="E47" s="195" t="inlineStr">
        <is>
          <t>Feature lead</t>
        </is>
      </c>
      <c r="F47" s="196">
        <f>IFERROR(INDEX(Stories!$F$4:$F$195,MATCH($A47,Stories!$A$4:$A$195,0))&amp;"","")</f>
        <v/>
      </c>
      <c r="G47" s="197" t="inlineStr">
        <is>
          <t>Meganoticias</t>
        </is>
      </c>
      <c r="H47" s="198" t="n">
        <v>46319</v>
      </c>
      <c r="I47" s="197" t="inlineStr">
        <is>
          <t>What triggered the rain-induced debris flow and slope failure in this rural hillside, and how can residents' risk of further slides be assessed?</t>
        </is>
      </c>
    </row>
    <row r="48" outlineLevel="1" ht="66.5" customHeight="1">
      <c r="A48" s="191" t="n">
        <v>148</v>
      </c>
      <c r="B48" s="192" t="n">
        <v>4</v>
      </c>
      <c r="C48" s="193" t="inlineStr">
        <is>
          <t>Rockfall onto houses in Chi Lang commune, Lang Son province
(English headline translated by Claude · Original: Sạt lở đá xuống nhà dân tại xã Chi Lăng - Báo và Phát thanh, Truyền hình Lạng Sơn)</t>
        </is>
      </c>
      <c r="D48" s="194" t="inlineStr">
        <is>
          <t>Open article</t>
        </is>
      </c>
      <c r="E48" s="199" t="inlineStr">
        <is>
          <t>News brief</t>
        </is>
      </c>
      <c r="F48" s="196">
        <f>IFERROR(INDEX(Stories!$F$4:$F$195,MATCH($A48,Stories!$A$4:$A$195,0))&amp;"","")</f>
        <v/>
      </c>
      <c r="G48" s="197" t="inlineStr">
        <is>
          <t>Baolangson.vn</t>
        </is>
      </c>
      <c r="H48" s="198" t="n">
        <v>46319</v>
      </c>
      <c r="I48" s="197" t="inlineStr">
        <is>
          <t>What mechanisms cause rockfall onto houses below steep slopes, and how should hazard mitigation be designed for rural settlements?</t>
        </is>
      </c>
    </row>
    <row r="49" outlineLevel="1" ht="66.5" customHeight="1">
      <c r="A49" s="191" t="n">
        <v>149</v>
      </c>
      <c r="B49" s="192" t="n">
        <v>4</v>
      </c>
      <c r="C49"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49" s="194" t="inlineStr">
        <is>
          <t>Open article</t>
        </is>
      </c>
      <c r="E49" s="210" t="inlineStr">
        <is>
          <t>Regional insight</t>
        </is>
      </c>
      <c r="F49" s="196">
        <f>IFERROR(INDEX(Stories!$F$4:$F$195,MATCH($A49,Stories!$A$4:$A$195,0))&amp;"","")</f>
        <v/>
      </c>
      <c r="G49" s="197" t="inlineStr">
        <is>
          <t>Vietnam.vn</t>
        </is>
      </c>
      <c r="H49" s="198" t="n">
        <v>46319</v>
      </c>
      <c r="I49" s="197" t="inlineStr">
        <is>
          <t>What combination of subsidence and landslide processes damaged this 500 m road, and how should such ground be investigated and repaired?</t>
        </is>
      </c>
    </row>
    <row r="50" outlineLevel="1" ht="66.5" customHeight="1">
      <c r="A50" s="191" t="n">
        <v>5</v>
      </c>
      <c r="B50" s="192" t="n">
        <v>4</v>
      </c>
      <c r="C50" s="193" t="inlineStr">
        <is>
          <t>'Proceed with the work': re-liquefaction recurring after Kumamoto earthquake
(English headline translated by Claude · Original: 「工事進めて」熊本地震で再液状化相次ぐ)</t>
        </is>
      </c>
      <c r="D50" s="194" t="inlineStr">
        <is>
          <t>Open article</t>
        </is>
      </c>
      <c r="E50" s="199" t="inlineStr">
        <is>
          <t>News brief</t>
        </is>
      </c>
      <c r="F50" s="196">
        <f>IFERROR(INDEX(Stories!$F$4:$F$195,MATCH($A50,Stories!$A$4:$A$195,0))&amp;"","")</f>
        <v/>
      </c>
      <c r="G50" s="197" t="inlineStr">
        <is>
          <t>読売新聞</t>
        </is>
      </c>
      <c r="H50" s="198" t="n">
        <v>46322</v>
      </c>
      <c r="I50" s="197" t="inlineStr">
        <is>
          <t>Why does liquefaction recur at the same sites after repeated earthquakes, and what ground improvement should be prioritised before rebuilding?
Check with: Kumamoto Prefecture and affected municipal governments</t>
        </is>
      </c>
    </row>
    <row r="51" outlineLevel="1" ht="66.5" customHeight="1">
      <c r="A51" s="191" t="n">
        <v>6</v>
      </c>
      <c r="B51" s="192" t="n">
        <v>4</v>
      </c>
      <c r="C51"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51" s="194" t="inlineStr">
        <is>
          <t>Open article</t>
        </is>
      </c>
      <c r="E51" s="205" t="inlineStr">
        <is>
          <t>Watch only</t>
        </is>
      </c>
      <c r="F51" s="196">
        <f>IFERROR(INDEX(Stories!$F$4:$F$195,MATCH($A51,Stories!$A$4:$A$195,0))&amp;"","")</f>
        <v/>
      </c>
      <c r="G51" s="197" t="inlineStr">
        <is>
          <t>ライブドアニュース</t>
        </is>
      </c>
      <c r="H51" s="198" t="n">
        <v>46322</v>
      </c>
      <c r="I51" s="197" t="inlineStr">
        <is>
          <t>Which ground improvement methods proved effective against repeated liquefaction in the Kumamoto sites, and how should they be specified in design?
Check with: Kumamoto Prefecture and the study's researchers</t>
        </is>
      </c>
    </row>
    <row r="52" outlineLevel="1" ht="66.5" customHeight="1">
      <c r="A52" s="191" t="n">
        <v>7</v>
      </c>
      <c r="B52" s="192" t="n">
        <v>4</v>
      </c>
      <c r="C52"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52" s="194" t="inlineStr">
        <is>
          <t>Open article</t>
        </is>
      </c>
      <c r="E52" s="205" t="inlineStr">
        <is>
          <t>Watch only</t>
        </is>
      </c>
      <c r="F52" s="196">
        <f>IFERROR(INDEX(Stories!$F$4:$F$195,MATCH($A52,Stories!$A$4:$A$195,0))&amp;"","")</f>
        <v/>
      </c>
      <c r="G52" s="197" t="inlineStr">
        <is>
          <t>iXBT.com</t>
        </is>
      </c>
      <c r="H52" s="198" t="n">
        <v>46322</v>
      </c>
      <c r="I52" s="197" t="inlineStr">
        <is>
          <t>How does warming permafrost alter slope stability, and what mechanisms explain these newly identified landslide types?
Check with: Lead researchers' institution and the Geological Survey of Canada</t>
        </is>
      </c>
    </row>
    <row r="53" outlineLevel="1" ht="66.5" customHeight="1">
      <c r="A53" s="191" t="n">
        <v>8</v>
      </c>
      <c r="B53" s="192" t="n">
        <v>4</v>
      </c>
      <c r="C53" s="193" t="inlineStr">
        <is>
          <t>House-size blocks of ice are falling from permafrost landslides in Canada</t>
        </is>
      </c>
      <c r="D53" s="194" t="inlineStr">
        <is>
          <t>Open article</t>
        </is>
      </c>
      <c r="E53" s="195" t="inlineStr">
        <is>
          <t>Feature lead</t>
        </is>
      </c>
      <c r="F53" s="196">
        <f>IFERROR(INDEX(Stories!$F$4:$F$195,MATCH($A53,Stories!$A$4:$A$195,0))&amp;"","")</f>
        <v/>
      </c>
      <c r="G53" s="197" t="inlineStr">
        <is>
          <t>Live Science</t>
        </is>
      </c>
      <c r="H53" s="198" t="n">
        <v>46322</v>
      </c>
      <c r="I53" s="197" t="inlineStr">
        <is>
          <t>What ground ice and thaw processes produce these large block-falling landslides, and how should permafrost slope hazards be monitored in northern infrastructure?
Check with: Lead researchers' institution and the Geological Survey of Canada</t>
        </is>
      </c>
    </row>
    <row r="54" outlineLevel="1" ht="66.5" customHeight="1">
      <c r="A54" s="191" t="n">
        <v>9</v>
      </c>
      <c r="B54" s="192" t="n">
        <v>4</v>
      </c>
      <c r="C54" s="193" t="inlineStr">
        <is>
          <t>New type of permafrost landslides discovered in Canada — Live Science</t>
        </is>
      </c>
      <c r="D54" s="194" t="inlineStr">
        <is>
          <t>Open article</t>
        </is>
      </c>
      <c r="E54" s="205" t="inlineStr">
        <is>
          <t>Watch only</t>
        </is>
      </c>
      <c r="F54" s="196">
        <f>IFERROR(INDEX(Stories!$F$4:$F$195,MATCH($A54,Stories!$A$4:$A$195,0))&amp;"","")</f>
        <v/>
      </c>
      <c r="G54" s="197" t="inlineStr">
        <is>
          <t>UA.NEWS</t>
        </is>
      </c>
      <c r="H54" s="198" t="n">
        <v>46322</v>
      </c>
      <c r="I54" s="197" t="inlineStr">
        <is>
          <t>What distinguishes this newly recognised permafrost landslide type from conventional thaw slumps in terms of ground mechanics?
Check with: Lead researchers' institution and the Geological Survey of Canada</t>
        </is>
      </c>
    </row>
    <row r="55" outlineLevel="1" ht="79" customHeight="1">
      <c r="A55" s="191" t="n">
        <v>54</v>
      </c>
      <c r="B55" s="192" t="n">
        <v>4</v>
      </c>
      <c r="C55"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55" s="194" t="inlineStr">
        <is>
          <t>Open article</t>
        </is>
      </c>
      <c r="E55" s="210" t="inlineStr">
        <is>
          <t>Regional insight</t>
        </is>
      </c>
      <c r="F55" s="196">
        <f>IFERROR(INDEX(Stories!$F$4:$F$195,MATCH($A55,Stories!$A$4:$A$195,0))&amp;"","")</f>
        <v/>
      </c>
      <c r="G55" s="197" t="inlineStr">
        <is>
          <t>Vietnam.vn</t>
        </is>
      </c>
      <c r="H55" s="198" t="n">
        <v>46321</v>
      </c>
      <c r="I55" s="197" t="inlineStr">
        <is>
          <t>What design and construction sequencing issues arise when riverbank dykes and retaining walls are upgraded in stages along an active erosion-prone river?
Check with: the provincial project management board for the Tien River dyke works</t>
        </is>
      </c>
    </row>
    <row r="56" outlineLevel="1" ht="66.5" customHeight="1">
      <c r="A56" s="191" t="n">
        <v>152</v>
      </c>
      <c r="B56" s="192" t="n">
        <v>4</v>
      </c>
      <c r="C56" s="193" t="inlineStr">
        <is>
          <t>57-billion-dong erosion revetment in Thanh Hoa subsides and cracks right after completion
(English headline translated by Claude · Original: Kè chống sạt lở hơn 57 tỉ đồng ở Thanh Hóa vừa làm xong đã sụt lún, đứt gãy)</t>
        </is>
      </c>
      <c r="D56" s="194" t="inlineStr">
        <is>
          <t>Open article</t>
        </is>
      </c>
      <c r="E56" s="195" t="inlineStr">
        <is>
          <t>Feature lead</t>
        </is>
      </c>
      <c r="F56" s="196">
        <f>IFERROR(INDEX(Stories!$F$4:$F$195,MATCH($A56,Stories!$A$4:$A$195,0))&amp;"","")</f>
        <v/>
      </c>
      <c r="G56" s="197" t="inlineStr">
        <is>
          <t>Báo Thanh Niên</t>
        </is>
      </c>
      <c r="H56" s="198" t="n">
        <v>46319</v>
      </c>
      <c r="I56" s="197" t="inlineStr">
        <is>
          <t>Why did a newly completed revetment subside and crack so soon, and what foundation or design checks could have prevented it?</t>
        </is>
      </c>
    </row>
    <row r="57" outlineLevel="1" ht="54" customHeight="1">
      <c r="A57" s="191" t="n">
        <v>153</v>
      </c>
      <c r="B57" s="192" t="n">
        <v>4</v>
      </c>
      <c r="C57" s="193" t="inlineStr">
        <is>
          <t>Lam Dong warns of serious subsidence and sliding on city streets
(English headline translated by Claude · Original: Lâm Đồng: Cảnh báo sụt lún, sạt trượt nghiêm trọng đường phố)</t>
        </is>
      </c>
      <c r="D57" s="194" t="inlineStr">
        <is>
          <t>Open article</t>
        </is>
      </c>
      <c r="E57" s="210" t="inlineStr">
        <is>
          <t>Regional insight</t>
        </is>
      </c>
      <c r="F57" s="196">
        <f>IFERROR(INDEX(Stories!$F$4:$F$195,MATCH($A57,Stories!$A$4:$A$195,0))&amp;"","")</f>
        <v/>
      </c>
      <c r="G57" s="197" t="inlineStr">
        <is>
          <t>Báo và phát thanh, truyền hình Đồng Tháp</t>
        </is>
      </c>
      <c r="H57" s="198" t="n">
        <v>46319</v>
      </c>
      <c r="I57" s="197" t="inlineStr">
        <is>
          <t>What causes urban street subsidence and sliding in this highland city, and how should authorities monitor and warn residents?</t>
        </is>
      </c>
    </row>
    <row r="58" outlineLevel="1" ht="66.5" customHeight="1">
      <c r="A58" s="191" t="n">
        <v>154</v>
      </c>
      <c r="B58" s="192" t="n">
        <v>4</v>
      </c>
      <c r="C58"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58" s="194" t="inlineStr">
        <is>
          <t>Open article</t>
        </is>
      </c>
      <c r="E58" s="195" t="inlineStr">
        <is>
          <t>Feature lead</t>
        </is>
      </c>
      <c r="F58" s="196">
        <f>IFERROR(INDEX(Stories!$F$4:$F$195,MATCH($A58,Stories!$A$4:$A$195,0))&amp;"","")</f>
        <v/>
      </c>
      <c r="G58" s="197" t="inlineStr">
        <is>
          <t>Kenh14.vn</t>
        </is>
      </c>
      <c r="H58" s="198" t="n">
        <v>46319</v>
      </c>
      <c r="I58" s="197" t="inlineStr">
        <is>
          <t>What karst processes produce giant sinkholes, and how can they be detected and assessed in limestone terrain?</t>
        </is>
      </c>
    </row>
    <row r="59" outlineLevel="1" ht="79" customHeight="1">
      <c r="A59" s="191" t="n">
        <v>155</v>
      </c>
      <c r="B59" s="192" t="n">
        <v>4</v>
      </c>
      <c r="C59"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59" s="194" t="inlineStr">
        <is>
          <t>Open article</t>
        </is>
      </c>
      <c r="E59" s="210" t="inlineStr">
        <is>
          <t>Regional insight</t>
        </is>
      </c>
      <c r="F59" s="196">
        <f>IFERROR(INDEX(Stories!$F$4:$F$195,MATCH($A59,Stories!$A$4:$A$195,0))&amp;"","")</f>
        <v/>
      </c>
      <c r="G59" s="197" t="inlineStr">
        <is>
          <t>Vietnam.vn</t>
        </is>
      </c>
      <c r="H59" s="198" t="n">
        <v>46319</v>
      </c>
      <c r="I59" s="197" t="inlineStr">
        <is>
          <t>What combination of subsidence and landslide processes damaged this 500 m road, and how should such ground be investigated and repaired?</t>
        </is>
      </c>
    </row>
    <row r="60" outlineLevel="1" ht="41.5" customHeight="1">
      <c r="A60" s="191" t="n">
        <v>156</v>
      </c>
      <c r="B60" s="192" t="n">
        <v>4</v>
      </c>
      <c r="C60" s="193" t="inlineStr">
        <is>
          <t>Anti-landslide embankment threatens residential area
(English headline translated by Claude · Original: 산사태 방지 제방이 주거 지역을 위협하고 있다.)</t>
        </is>
      </c>
      <c r="D60" s="194" t="inlineStr">
        <is>
          <t>Open article</t>
        </is>
      </c>
      <c r="E60" s="210" t="inlineStr">
        <is>
          <t>Regional insight</t>
        </is>
      </c>
      <c r="F60" s="196">
        <f>IFERROR(INDEX(Stories!$F$4:$F$195,MATCH($A60,Stories!$A$4:$A$195,0))&amp;"","")</f>
        <v/>
      </c>
      <c r="G60" s="197" t="inlineStr">
        <is>
          <t>Vietnam.vn</t>
        </is>
      </c>
      <c r="H60" s="198" t="n">
        <v>46319</v>
      </c>
      <c r="I60" s="197" t="inlineStr">
        <is>
          <t>Why does this anti-landslide embankment threaten housing, and what stability checks should apply to embankments near settlements?</t>
        </is>
      </c>
    </row>
    <row r="61" outlineLevel="1" ht="66.5" customHeight="1">
      <c r="A61" s="191" t="n">
        <v>10</v>
      </c>
      <c r="B61" s="192" t="n">
        <v>4</v>
      </c>
      <c r="C61" s="193" t="inlineStr">
        <is>
          <t>Roads on the Brink: Mapping Compound Earthquake and Landslide Vulnerability in Ethiopia’s Rift</t>
        </is>
      </c>
      <c r="D61" s="194" t="inlineStr">
        <is>
          <t>Open article</t>
        </is>
      </c>
      <c r="E61" s="200" t="inlineStr">
        <is>
          <t>Academia-to-Industry topic</t>
        </is>
      </c>
      <c r="F61" s="196">
        <f>IFERROR(INDEX(Stories!$F$4:$F$195,MATCH($A61,Stories!$A$4:$A$195,0))&amp;"","")</f>
        <v/>
      </c>
      <c r="G61" s="197" t="inlineStr">
        <is>
          <t>Bioengineer.org</t>
        </is>
      </c>
      <c r="H61" s="198" t="n">
        <v>46322</v>
      </c>
      <c r="I61" s="197" t="inlineStr">
        <is>
          <t>How can combined seismic and landslide hazard mapping be used to prioritise road upgrades in rift-valley terrain with weak soils and steep slopes?
Check with: Authors' university, via the journal publication</t>
        </is>
      </c>
    </row>
    <row r="62" outlineLevel="1" ht="54" customHeight="1">
      <c r="A62" s="191" t="n">
        <v>55</v>
      </c>
      <c r="B62" s="192" t="n">
        <v>4</v>
      </c>
      <c r="C62" s="193" t="inlineStr">
        <is>
          <t>No signs of further slope movement at Paya Terubong landslide site, says MBPP</t>
        </is>
      </c>
      <c r="D62" s="194" t="inlineStr">
        <is>
          <t>Open article</t>
        </is>
      </c>
      <c r="E62" s="195" t="inlineStr">
        <is>
          <t>Feature lead</t>
        </is>
      </c>
      <c r="F62" s="196">
        <f>IFERROR(INDEX(Stories!$F$4:$F$195,MATCH($A62,Stories!$A$4:$A$195,0))&amp;"","")</f>
        <v/>
      </c>
      <c r="G62" s="197" t="inlineStr">
        <is>
          <t>The Star</t>
        </is>
      </c>
      <c r="H62" s="198" t="n">
        <v>46321</v>
      </c>
      <c r="I62" s="197" t="inlineStr">
        <is>
          <t>How should a landslide site be judged stable again after movement stops, and what monitoring period is needed before reoccupation?
Check with: Penang Municipal Council (MBPP)</t>
        </is>
      </c>
    </row>
    <row r="63" outlineLevel="1" ht="66.5" customHeight="1">
      <c r="A63" s="191" t="n">
        <v>56</v>
      </c>
      <c r="B63" s="192" t="n">
        <v>4</v>
      </c>
      <c r="C63" s="193" t="inlineStr">
        <is>
          <t>State Govt urged to act on slope safety after landslide kills 73-year-old doctor</t>
        </is>
      </c>
      <c r="D63" s="194" t="inlineStr">
        <is>
          <t>Open article</t>
        </is>
      </c>
      <c r="E63" s="195" t="inlineStr">
        <is>
          <t>Feature lead</t>
        </is>
      </c>
      <c r="F63" s="196">
        <f>IFERROR(INDEX(Stories!$F$4:$F$195,MATCH($A63,Stories!$A$4:$A$195,0))&amp;"","")</f>
        <v/>
      </c>
      <c r="G63" s="197" t="inlineStr">
        <is>
          <t>The Vibes</t>
        </is>
      </c>
      <c r="H63" s="198" t="n">
        <v>46321</v>
      </c>
      <c r="I63" s="197" t="inlineStr">
        <is>
          <t>What would a credible state-wide slope inventory and maintenance regime look like for hill-slope housing in tropical, rain-driven terrain?
Check with: Penang state government and its slope safety authority</t>
        </is>
      </c>
    </row>
    <row r="64" outlineLevel="1" ht="66.5" customHeight="1">
      <c r="A64" s="191" t="n">
        <v>14</v>
      </c>
      <c r="B64" s="192" t="n">
        <v>4</v>
      </c>
      <c r="C64"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64" s="194" t="inlineStr">
        <is>
          <t>Open article</t>
        </is>
      </c>
      <c r="E64" s="199" t="inlineStr">
        <is>
          <t>News brief</t>
        </is>
      </c>
      <c r="F64" s="196">
        <f>IFERROR(INDEX(Stories!$F$4:$F$195,MATCH($A64,Stories!$A$4:$A$195,0))&amp;"","")</f>
        <v/>
      </c>
      <c r="G64" s="197" t="inlineStr">
        <is>
          <t>El Dínamo</t>
        </is>
      </c>
      <c r="H64" s="198" t="n">
        <v>46322</v>
      </c>
      <c r="I64" s="197" t="inlineStr">
        <is>
          <t>Which ground and rainfall conditions explain the debris-flow and landslide risk across ten communes, and how is it mapped?
Check with: Senapred (national emergency service)</t>
        </is>
      </c>
    </row>
    <row r="65" outlineLevel="1" ht="66.5" customHeight="1">
      <c r="A65" s="191" t="n">
        <v>58</v>
      </c>
      <c r="B65" s="192" t="n">
        <v>4</v>
      </c>
      <c r="C65"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65" s="194" t="inlineStr">
        <is>
          <t>Open article</t>
        </is>
      </c>
      <c r="E65" s="205" t="inlineStr">
        <is>
          <t>Watch only</t>
        </is>
      </c>
      <c r="F65" s="196">
        <f>IFERROR(INDEX(Stories!$F$4:$F$195,MATCH($A65,Stories!$A$4:$A$195,0))&amp;"","")</f>
        <v/>
      </c>
      <c r="G65" s="197" t="inlineStr">
        <is>
          <t>UA.NEWS</t>
        </is>
      </c>
      <c r="H65" s="198" t="n">
        <v>46321</v>
      </c>
      <c r="I65" s="197" t="inlineStr">
        <is>
          <t>What slope failure mechanisms and early warning gaps are behind landslides that reach occupied homes on hillside sites?
Check with: Penang state authorities and Penang Municipal Council (MBPP)</t>
        </is>
      </c>
    </row>
    <row r="66" outlineLevel="1" ht="66.5" customHeight="1">
      <c r="A66" s="191" t="n">
        <v>94</v>
      </c>
      <c r="B66" s="192" t="n">
        <v>4</v>
      </c>
      <c r="C66"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66" s="194" t="inlineStr">
        <is>
          <t>Open article</t>
        </is>
      </c>
      <c r="E66" s="199" t="inlineStr">
        <is>
          <t>News brief</t>
        </is>
      </c>
      <c r="F66" s="196">
        <f>IFERROR(INDEX(Stories!$F$4:$F$195,MATCH($A66,Stories!$A$4:$A$195,0))&amp;"","")</f>
        <v/>
      </c>
      <c r="G66" s="197" t="inlineStr">
        <is>
          <t>千葉日報オンライン</t>
        </is>
      </c>
      <c r="H66" s="198" t="n">
        <v>46320</v>
      </c>
      <c r="I66" s="197" t="inlineStr">
        <is>
          <t>What slope and saturation conditions cause houses on hillsides to be destroyed by debris slides during typhoon rainfall, and how can early warning address them?</t>
        </is>
      </c>
    </row>
    <row r="67" outlineLevel="1" ht="66.5" customHeight="1">
      <c r="A67" s="191" t="n">
        <v>15</v>
      </c>
      <c r="B67" s="192" t="n">
        <v>4</v>
      </c>
      <c r="C67" s="193" t="inlineStr">
        <is>
          <t>3 months after landslide, L'Ascension still waiting to fill its sinkhole
(English headline translated by Claude · Original: 3 mois après le glissement de terrain, L’Ascension attend encore de remplir son gouffre)</t>
        </is>
      </c>
      <c r="D67" s="194" t="inlineStr">
        <is>
          <t>Open article</t>
        </is>
      </c>
      <c r="E67" s="195" t="inlineStr">
        <is>
          <t>Feature lead</t>
        </is>
      </c>
      <c r="F67" s="196">
        <f>IFERROR(INDEX(Stories!$F$4:$F$195,MATCH($A67,Stories!$A$4:$A$195,0))&amp;"","")</f>
        <v/>
      </c>
      <c r="G67" s="197" t="inlineStr">
        <is>
          <t>Radio-Canada</t>
        </is>
      </c>
      <c r="H67" s="198" t="n">
        <v>46322</v>
      </c>
      <c r="I67" s="197" t="inlineStr">
        <is>
          <t>How should a landslide-triggered sinkhole be investigated and backfilled, and what does the delay reveal about ground remediation planning after slope failures?
Check with: the municipality of L'Ascension</t>
        </is>
      </c>
    </row>
    <row r="68" outlineLevel="1" ht="66.5" customHeight="1">
      <c r="A68" s="191" t="n">
        <v>16</v>
      </c>
      <c r="B68" s="192" t="n">
        <v>4</v>
      </c>
      <c r="C68"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68" s="194" t="inlineStr">
        <is>
          <t>Open article</t>
        </is>
      </c>
      <c r="E68" s="195" t="inlineStr">
        <is>
          <t>Feature lead</t>
        </is>
      </c>
      <c r="F68" s="196">
        <f>IFERROR(INDEX(Stories!$F$4:$F$195,MATCH($A68,Stories!$A$4:$A$195,0))&amp;"","")</f>
        <v/>
      </c>
      <c r="G68" s="197" t="inlineStr">
        <is>
          <t>Vietnam.vn</t>
        </is>
      </c>
      <c r="H68" s="198" t="n">
        <v>46322</v>
      </c>
      <c r="I68" s="197" t="inlineStr">
        <is>
          <t>How should geotechnical hazard assessment guide the relocation of thousands of households from high-risk landslide zones, and what criteria apply?
Check with: Son La provincial People's Committee</t>
        </is>
      </c>
    </row>
    <row r="69" outlineLevel="1" ht="66.5" customHeight="1">
      <c r="A69" s="191" t="n">
        <v>17</v>
      </c>
      <c r="B69" s="192" t="n">
        <v>4</v>
      </c>
      <c r="C69"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69" s="194" t="inlineStr">
        <is>
          <t>Open article</t>
        </is>
      </c>
      <c r="E69" s="205" t="inlineStr">
        <is>
          <t>Watch only</t>
        </is>
      </c>
      <c r="F69" s="196">
        <f>IFERROR(INDEX(Stories!$F$4:$F$195,MATCH($A69,Stories!$A$4:$A$195,0))&amp;"","")</f>
        <v/>
      </c>
      <c r="G69" s="197" t="inlineStr">
        <is>
          <t>Vietnam.vn</t>
        </is>
      </c>
      <c r="H69" s="198" t="n">
        <v>46322</v>
      </c>
      <c r="I69" s="197" t="inlineStr">
        <is>
          <t>How should geotechnical hazard assessment guide the relocation of thousands of households from high-risk landslide zones, and what criteria apply?
Check with: Son La provincial People's Committee</t>
        </is>
      </c>
    </row>
    <row r="70" outlineLevel="1" ht="41.5" customHeight="1">
      <c r="A70" s="191" t="n">
        <v>18</v>
      </c>
      <c r="B70" s="192" t="n">
        <v>4</v>
      </c>
      <c r="C70" s="193" t="inlineStr">
        <is>
          <t>Nine dead in landslide in a...
(English headline translated by Claude · Original: Nueve muertos deja deslizamiento de tierra en una...)</t>
        </is>
      </c>
      <c r="D70" s="194" t="inlineStr">
        <is>
          <t>Open article</t>
        </is>
      </c>
      <c r="E70" s="205" t="inlineStr">
        <is>
          <t>Watch only</t>
        </is>
      </c>
      <c r="F70" s="196">
        <f>IFERROR(INDEX(Stories!$F$4:$F$195,MATCH($A70,Stories!$A$4:$A$195,0))&amp;"","")</f>
        <v/>
      </c>
      <c r="G70" s="197" t="inlineStr">
        <is>
          <t>Panamericana TV</t>
        </is>
      </c>
      <c r="H70" s="198" t="n">
        <v>46322</v>
      </c>
      <c r="I70" s="197" t="inlineStr">
        <is>
          <t>What ground and rainfall conditions produced this fatal slope failure, and what early warning and slope assessment would have reduced the toll?</t>
        </is>
      </c>
    </row>
    <row r="71" outlineLevel="1" ht="66.5" customHeight="1">
      <c r="A71" s="191" t="n">
        <v>19</v>
      </c>
      <c r="B71" s="192" t="n">
        <v>4</v>
      </c>
      <c r="C71" s="193" t="inlineStr">
        <is>
          <t>Debris flow reported in Lo Barnechea and streets flooded in San Carlos de Apoquindo
(English headline translated by Claude · Original: Reportan aluvión en Lo Barnechea y calles anegadas en San Carlos de Apoquindo)</t>
        </is>
      </c>
      <c r="D71" s="194" t="inlineStr">
        <is>
          <t>Open article</t>
        </is>
      </c>
      <c r="E71" s="195" t="inlineStr">
        <is>
          <t>Feature lead</t>
        </is>
      </c>
      <c r="F71" s="196">
        <f>IFERROR(INDEX(Stories!$F$4:$F$195,MATCH($A71,Stories!$A$4:$A$195,0))&amp;"","")</f>
        <v/>
      </c>
      <c r="G71" s="197" t="inlineStr">
        <is>
          <t>La Tercera</t>
        </is>
      </c>
      <c r="H71" s="198" t="n">
        <v>46322</v>
      </c>
      <c r="I71" s="197" t="inlineStr">
        <is>
          <t>What ground and catchment conditions in the Andean foothills of Santiago make debris flows so sudden, and what mitigation has been effective there?
Check with: Lo Barnechea municipality and Chile's emergency service SENAPRED</t>
        </is>
      </c>
    </row>
    <row r="72" outlineLevel="1" ht="66.5" customHeight="1">
      <c r="A72" s="191" t="n">
        <v>20</v>
      </c>
      <c r="B72" s="192" t="n">
        <v>4</v>
      </c>
      <c r="C72" s="193" t="inlineStr">
        <is>
          <t>Video: Debris flow in Lo Barnechea and flooding in Las Condes
(English headline translated by Claude · Original: Video: Aluvión en Lo Barnechea e inundaciones en Las Condes)</t>
        </is>
      </c>
      <c r="D72" s="194" t="inlineStr">
        <is>
          <t>Open article</t>
        </is>
      </c>
      <c r="E72" s="205" t="inlineStr">
        <is>
          <t>Watch only</t>
        </is>
      </c>
      <c r="F72" s="196">
        <f>IFERROR(INDEX(Stories!$F$4:$F$195,MATCH($A72,Stories!$A$4:$A$195,0))&amp;"","")</f>
        <v/>
      </c>
      <c r="G72" s="197" t="inlineStr">
        <is>
          <t>TVN</t>
        </is>
      </c>
      <c r="H72" s="198" t="n">
        <v>46322</v>
      </c>
      <c r="I72" s="197" t="inlineStr">
        <is>
          <t>Video evidence of a debris flow and flooding could help reconstruct flow behaviour in Santiago's foothills, if verified against field observations.
Check with: Chile's emergency service SENAPRED and Las Condes municipality</t>
        </is>
      </c>
    </row>
    <row r="73" outlineLevel="1" ht="66.5" customHeight="1">
      <c r="A73" s="191" t="n">
        <v>21</v>
      </c>
      <c r="B73" s="192" t="n">
        <v>4</v>
      </c>
      <c r="C73" s="193" t="inlineStr">
        <is>
          <t>Debris flow on road to Farellones isolates nearly 150 people, reportedly workers and tourists
(English headline translated by Claude · Original: Aluvión en Camino a Farellones deja a cerca de 150 personas aisladas: serían trabajadores y turistas)</t>
        </is>
      </c>
      <c r="D73" s="194" t="inlineStr">
        <is>
          <t>Open article</t>
        </is>
      </c>
      <c r="E73" s="195" t="inlineStr">
        <is>
          <t>Feature lead</t>
        </is>
      </c>
      <c r="F73" s="196">
        <f>IFERROR(INDEX(Stories!$F$4:$F$195,MATCH($A73,Stories!$A$4:$A$195,0))&amp;"","")</f>
        <v/>
      </c>
      <c r="G73" s="197" t="inlineStr">
        <is>
          <t>Teletrece</t>
        </is>
      </c>
      <c r="H73" s="198" t="n">
        <v>46322</v>
      </c>
      <c r="I73" s="197" t="inlineStr">
        <is>
          <t>How can access roads in high mountain catchments be protected from debris flows so that workers and tourists are not cut off after storms?
Check with: Chile's Ministry of Public Works (MOP) and the road concessionaire</t>
        </is>
      </c>
    </row>
    <row r="74" outlineLevel="1" ht="91.5" customHeight="1">
      <c r="A74" s="191" t="n">
        <v>22</v>
      </c>
      <c r="B74" s="192" t="n">
        <v>4</v>
      </c>
      <c r="C74"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74" s="194" t="inlineStr">
        <is>
          <t>Open article</t>
        </is>
      </c>
      <c r="E74" s="195" t="inlineStr">
        <is>
          <t>Feature lead</t>
        </is>
      </c>
      <c r="F74" s="196">
        <f>IFERROR(INDEX(Stories!$F$4:$F$195,MATCH($A74,Stories!$A$4:$A$195,0))&amp;"","")</f>
        <v/>
      </c>
      <c r="G74" s="197" t="inlineStr">
        <is>
          <t>The Clinic</t>
        </is>
      </c>
      <c r="H74" s="198" t="n">
        <v>46322</v>
      </c>
      <c r="I74" s="197" t="inlineStr">
        <is>
          <t>Why did a recently installed debris barrier and channel in a canyon fail to contain a second flood, and what design assumptions need revisiting?
Check with: Las Condes municipality and the Ministry of Public Works (MOP)</t>
        </is>
      </c>
    </row>
    <row r="75" outlineLevel="1" ht="66.5" customHeight="1">
      <c r="A75" s="191" t="n">
        <v>23</v>
      </c>
      <c r="B75" s="192" t="n">
        <v>4</v>
      </c>
      <c r="C75"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75" s="194" t="inlineStr">
        <is>
          <t>Open article</t>
        </is>
      </c>
      <c r="E75" s="195" t="inlineStr">
        <is>
          <t>Feature lead</t>
        </is>
      </c>
      <c r="F75" s="196">
        <f>IFERROR(INDEX(Stories!$F$4:$F$195,MATCH($A75,Stories!$A$4:$A$195,0))&amp;"","")</f>
        <v/>
      </c>
      <c r="G75" s="197" t="inlineStr">
        <is>
          <t>La Tercera</t>
        </is>
      </c>
      <c r="H75" s="198" t="n">
        <v>46322</v>
      </c>
      <c r="I75" s="197" t="inlineStr">
        <is>
          <t>How do dynamic debris-retention nets perform on steep catchments, and what installation and maintenance details decide whether they work during a flow?
Check with: Las Condes municipality and the Ministry of Public Works (MOP)</t>
        </is>
      </c>
    </row>
    <row r="76" outlineLevel="1" ht="66.5" customHeight="1">
      <c r="A76" s="191" t="n">
        <v>63</v>
      </c>
      <c r="B76" s="192" t="n">
        <v>4</v>
      </c>
      <c r="C76" s="193" t="inlineStr">
        <is>
          <t>Panama intervenes at former gold mine after landslide threatens water sources
(English headline translated by Claude · Original: Panamá interviene antigua mina de oro tras deslizamiento que amenaza fuentes de agua)</t>
        </is>
      </c>
      <c r="D76" s="194" t="inlineStr">
        <is>
          <t>Open article</t>
        </is>
      </c>
      <c r="E76" s="195" t="inlineStr">
        <is>
          <t>Feature lead</t>
        </is>
      </c>
      <c r="F76" s="196">
        <f>IFERROR(INDEX(Stories!$F$4:$F$195,MATCH($A76,Stories!$A$4:$A$195,0))&amp;"","")</f>
        <v/>
      </c>
      <c r="G76" s="197" t="inlineStr">
        <is>
          <t>Infobae</t>
        </is>
      </c>
      <c r="H76" s="198" t="n">
        <v>46321</v>
      </c>
      <c r="I76" s="197" t="inlineStr">
        <is>
          <t>How should slope and waste-material stability in an abandoned mine be assessed where failure threatens downstream water supplies?
Check with: Panama's environment ministry (MiAmbiente)</t>
        </is>
      </c>
    </row>
    <row r="77" outlineLevel="1" ht="79" customHeight="1">
      <c r="A77" s="191" t="n">
        <v>64</v>
      </c>
      <c r="B77" s="192" t="n">
        <v>4</v>
      </c>
      <c r="C77" s="193" t="inlineStr">
        <is>
          <t>Sinkhole threatens to isolate two neighborhoods in Arraiján
(English headline translated by Claude · Original: Socavón amenaza con dejar incomunicadas a dos barriadas en Arraiján)</t>
        </is>
      </c>
      <c r="D77" s="194" t="inlineStr">
        <is>
          <t>Open article</t>
        </is>
      </c>
      <c r="E77" s="195" t="inlineStr">
        <is>
          <t>Feature lead</t>
        </is>
      </c>
      <c r="F77" s="196">
        <f>IFERROR(INDEX(Stories!$F$4:$F$195,MATCH($A77,Stories!$A$4:$A$195,0))&amp;"","")</f>
        <v/>
      </c>
      <c r="G77" s="197" t="inlineStr">
        <is>
          <t>Telemetro</t>
        </is>
      </c>
      <c r="H77" s="198" t="n">
        <v>46321</v>
      </c>
      <c r="I77"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78" outlineLevel="1" ht="79" customHeight="1">
      <c r="A78" s="191" t="n">
        <v>65</v>
      </c>
      <c r="B78" s="192" t="n">
        <v>4</v>
      </c>
      <c r="C78" s="193" t="inlineStr">
        <is>
          <t>Four guests reportedly fall into sinkhole at Occidental hotel in Cozumel
(English headline translated by Claude · Original: Reportan caída de cuatro huéspedes en socavón de hotel Occidental de Cozumel)</t>
        </is>
      </c>
      <c r="D78" s="194" t="inlineStr">
        <is>
          <t>Open article</t>
        </is>
      </c>
      <c r="E78" s="199" t="inlineStr">
        <is>
          <t>News brief</t>
        </is>
      </c>
      <c r="F78" s="196">
        <f>IFERROR(INDEX(Stories!$F$4:$F$195,MATCH($A78,Stories!$A$4:$A$195,0))&amp;"","")</f>
        <v/>
      </c>
      <c r="G78" s="197" t="inlineStr">
        <is>
          <t>Quinta Fuerza</t>
        </is>
      </c>
      <c r="H78" s="198" t="n">
        <v>46321</v>
      </c>
      <c r="I78"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79" outlineLevel="1" ht="66.5" customHeight="1">
      <c r="A79" s="191" t="n">
        <v>66</v>
      </c>
      <c r="B79" s="192" t="n">
        <v>4</v>
      </c>
      <c r="C79" s="193" t="inlineStr">
        <is>
          <t>SMS alerts, signage and evacuation routes: La Reina's plan for future floods
(English headline translated by Claude · Original: Alertas SMS, señaléticas y rutas de evacuación: el plan de La Reina ante futuros aluviones)</t>
        </is>
      </c>
      <c r="D79" s="194" t="inlineStr">
        <is>
          <t>Open article</t>
        </is>
      </c>
      <c r="E79" s="195" t="inlineStr">
        <is>
          <t>Feature lead</t>
        </is>
      </c>
      <c r="F79" s="196">
        <f>IFERROR(INDEX(Stories!$F$4:$F$195,MATCH($A79,Stories!$A$4:$A$195,0))&amp;"","")</f>
        <v/>
      </c>
      <c r="G79" s="197" t="inlineStr">
        <is>
          <t>Cooperativa</t>
        </is>
      </c>
      <c r="H79" s="198" t="n">
        <v>46321</v>
      </c>
      <c r="I79" s="197" t="inlineStr">
        <is>
          <t>Beyond warning systems, what ground-based hazard mapping and debris-flow control measures should a municipality in an Andean foothill commune use to plan evacuation and reduce aluvión exposure?
Check with: La Reina municipality and Senapred</t>
        </is>
      </c>
    </row>
    <row r="80" outlineLevel="1" ht="66.5" customHeight="1">
      <c r="A80" s="191" t="n">
        <v>67</v>
      </c>
      <c r="B80" s="192" t="n">
        <v>4</v>
      </c>
      <c r="C80" s="193" t="inlineStr">
        <is>
          <t>ANA installs 12 barriers to reduce impact of debris flows in Lima and Huarochirí
(English headline translated by Claude · Original: ANA instala 12 barreras para reducir el impacto de huaicos en Lima y Huarochirí)</t>
        </is>
      </c>
      <c r="D80" s="194" t="inlineStr">
        <is>
          <t>Open article</t>
        </is>
      </c>
      <c r="E80" s="195" t="inlineStr">
        <is>
          <t>Feature lead</t>
        </is>
      </c>
      <c r="F80" s="196">
        <f>IFERROR(INDEX(Stories!$F$4:$F$195,MATCH($A80,Stories!$A$4:$A$195,0))&amp;"","")</f>
        <v/>
      </c>
      <c r="G80" s="197" t="inlineStr">
        <is>
          <t>TVPerú</t>
        </is>
      </c>
      <c r="H80" s="198" t="n">
        <v>46321</v>
      </c>
      <c r="I80" s="197" t="inlineStr">
        <is>
          <t>Can check dams and barrier structures in steep Andean gullies meaningfully reduce debris-flow impacts, and how should their design and maintenance be evaluated?
Check with: Autoridad Nacional del Agua (ANA)</t>
        </is>
      </c>
    </row>
    <row r="81" outlineLevel="1" ht="79" customHeight="1">
      <c r="A81" s="191" t="n">
        <v>102</v>
      </c>
      <c r="B81" s="192" t="n">
        <v>4</v>
      </c>
      <c r="C81"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81" s="194" t="inlineStr">
        <is>
          <t>Open article</t>
        </is>
      </c>
      <c r="E81" s="199" t="inlineStr">
        <is>
          <t>News brief</t>
        </is>
      </c>
      <c r="F81" s="196">
        <f>IFERROR(INDEX(Stories!$F$4:$F$195,MATCH($A81,Stories!$A$4:$A$195,0))&amp;"","")</f>
        <v/>
      </c>
      <c r="G81" s="197" t="inlineStr">
        <is>
          <t>Vietnam.vn</t>
        </is>
      </c>
      <c r="H81" s="198" t="n">
        <v>46320</v>
      </c>
      <c r="I81" s="197" t="inlineStr">
        <is>
          <t>What slope stabilisation and post-failure assessment methods are suited to repeated landslides along a road built beside a river valley?</t>
        </is>
      </c>
    </row>
    <row r="82" outlineLevel="1" ht="66.5" customHeight="1">
      <c r="A82" s="191" t="n">
        <v>103</v>
      </c>
      <c r="B82" s="192" t="n">
        <v>4</v>
      </c>
      <c r="C82" s="193" t="inlineStr">
        <is>
          <t>Tragedy in Tecate: a worker dies after being buried by an earth slope on 23 October.
(English headline translated by Claude · Original: Tragedia en Tecate: un trabajador muere tras ser sepultado por un talud de tierra el 23 de octubre.)</t>
        </is>
      </c>
      <c r="D82" s="194" t="inlineStr">
        <is>
          <t>Open article</t>
        </is>
      </c>
      <c r="E82" s="195" t="inlineStr">
        <is>
          <t>Feature lead</t>
        </is>
      </c>
      <c r="F82" s="196">
        <f>IFERROR(INDEX(Stories!$F$4:$F$195,MATCH($A82,Stories!$A$4:$A$195,0))&amp;"","")</f>
        <v/>
      </c>
      <c r="G82" s="197" t="inlineStr">
        <is>
          <t>El Congresista</t>
        </is>
      </c>
      <c r="H82" s="198" t="n">
        <v>46320</v>
      </c>
      <c r="I82" s="197" t="inlineStr">
        <is>
          <t>What failure mechanisms and excavation safety controls would have prevented a worker being buried by an earth slope during construction?</t>
        </is>
      </c>
    </row>
    <row r="83" outlineLevel="1" ht="66.5" customHeight="1">
      <c r="A83" s="191" t="n">
        <v>104</v>
      </c>
      <c r="B83" s="192" t="n">
        <v>4</v>
      </c>
      <c r="C83" s="193" t="inlineStr">
        <is>
          <t>Three homes destroyed after landslide in rural area of Moniquirá.
(English headline translated by Claude · Original: Tres viviendas quedaron destruidas tras deslizamiento en zona rural de Moniquirá)</t>
        </is>
      </c>
      <c r="D83" s="194" t="inlineStr">
        <is>
          <t>Open article</t>
        </is>
      </c>
      <c r="E83" s="199" t="inlineStr">
        <is>
          <t>News brief</t>
        </is>
      </c>
      <c r="F83" s="196">
        <f>IFERROR(INDEX(Stories!$F$4:$F$195,MATCH($A83,Stories!$A$4:$A$195,0))&amp;"","")</f>
        <v/>
      </c>
      <c r="G83" s="197" t="inlineStr">
        <is>
          <t>Noticias Caracol</t>
        </is>
      </c>
      <c r="H83" s="198" t="n">
        <v>46320</v>
      </c>
      <c r="I83" s="197" t="inlineStr">
        <is>
          <t>What triggering conditions and hazard mapping would identify rural slopes at risk of landslides destroying housing?</t>
        </is>
      </c>
    </row>
    <row r="84" outlineLevel="1" ht="54" customHeight="1">
      <c r="A84" s="191" t="n">
        <v>105</v>
      </c>
      <c r="B84" s="192" t="n">
        <v>4</v>
      </c>
      <c r="C84" s="193" t="inlineStr">
        <is>
          <t>Large landslide on Tofana di Dentro. No hikers involved.
(English headline translated by Claude · Original: Frana di grandi dimensioni sulla Tofana di Dentro. Nessun escursionista coinvolto)</t>
        </is>
      </c>
      <c r="D84" s="194" t="inlineStr">
        <is>
          <t>Open article</t>
        </is>
      </c>
      <c r="E84" s="195" t="inlineStr">
        <is>
          <t>Feature lead</t>
        </is>
      </c>
      <c r="F84" s="196">
        <f>IFERROR(INDEX(Stories!$F$4:$F$195,MATCH($A84,Stories!$A$4:$A$195,0))&amp;"","")</f>
        <v/>
      </c>
      <c r="G84" s="197" t="inlineStr">
        <is>
          <t>Giornale Nord Est</t>
        </is>
      </c>
      <c r="H84" s="198" t="n">
        <v>46320</v>
      </c>
      <c r="I84" s="197" t="inlineStr">
        <is>
          <t>What controls rock slope instability in Dolomite mountains, and how can monitoring reduce risk to hikers from large rockfalls?</t>
        </is>
      </c>
    </row>
    <row r="85" outlineLevel="1" ht="66.5" customHeight="1">
      <c r="A85" s="191" t="n">
        <v>106</v>
      </c>
      <c r="B85" s="192" t="n">
        <v>4</v>
      </c>
      <c r="C85" s="193" t="inlineStr">
        <is>
          <t>Sicily, from the Niscemi landslide to Cyclone Harry: the Army rewards the Engineer Sappers.
(English headline translated by Claude · Original: Sicilia, dalla frana di Niscemi al ciclone Harry: l’Esercito premia il Genio Guastatori)</t>
        </is>
      </c>
      <c r="D85" s="194" t="inlineStr">
        <is>
          <t>Open article</t>
        </is>
      </c>
      <c r="E85" s="195" t="inlineStr">
        <is>
          <t>Feature lead</t>
        </is>
      </c>
      <c r="F85" s="196">
        <f>IFERROR(INDEX(Stories!$F$4:$F$195,MATCH($A85,Stories!$A$4:$A$195,0))&amp;"","")</f>
        <v/>
      </c>
      <c r="G85" s="197" t="inlineStr">
        <is>
          <t>StrettoWeb</t>
        </is>
      </c>
      <c r="H85" s="198" t="n">
        <v>46320</v>
      </c>
      <c r="I85" s="197" t="inlineStr">
        <is>
          <t>What lessons do the Niscemi landslide and Cyclone Harry offer about slope instability and engineering response in Sicily?</t>
        </is>
      </c>
    </row>
    <row r="86" outlineLevel="1" ht="54" customHeight="1">
      <c r="A86" s="191" t="n">
        <v>107</v>
      </c>
      <c r="B86" s="192" t="n">
        <v>4</v>
      </c>
      <c r="C86" s="193" t="inlineStr">
        <is>
          <t>Rapidly advancing clean-up work for landslides on Provincial Road 160 along the Chay River.
(English headline translated by Claude · Original: チャイ川沿いの州道160号線における土砂崩れの復旧作業を迅速に進める。)</t>
        </is>
      </c>
      <c r="D86" s="194" t="inlineStr">
        <is>
          <t>Open article</t>
        </is>
      </c>
      <c r="E86" s="205" t="inlineStr">
        <is>
          <t>Watch only</t>
        </is>
      </c>
      <c r="F86" s="196">
        <f>IFERROR(INDEX(Stories!$F$4:$F$195,MATCH($A86,Stories!$A$4:$A$195,0))&amp;"","")</f>
        <v/>
      </c>
      <c r="G86" s="197" t="inlineStr">
        <is>
          <t>Vietnam.vn</t>
        </is>
      </c>
      <c r="H86" s="198" t="n">
        <v>46320</v>
      </c>
      <c r="I86" s="197" t="inlineStr">
        <is>
          <t>Duplicate of the Chay River road landslide clean-up story; monitor for follow-up on repair methods.</t>
        </is>
      </c>
    </row>
    <row r="87" outlineLevel="1" ht="66.5" customHeight="1">
      <c r="A87" s="191" t="n">
        <v>108</v>
      </c>
      <c r="B87" s="192" t="n">
        <v>4</v>
      </c>
      <c r="C87"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87" s="194" t="inlineStr">
        <is>
          <t>Open article</t>
        </is>
      </c>
      <c r="E87" s="195" t="inlineStr">
        <is>
          <t>Feature lead</t>
        </is>
      </c>
      <c r="F87" s="196">
        <f>IFERROR(INDEX(Stories!$F$4:$F$195,MATCH($A87,Stories!$A$4:$A$195,0))&amp;"","")</f>
        <v/>
      </c>
      <c r="G87" s="197" t="inlineStr">
        <is>
          <t>Yahoo!ニュース</t>
        </is>
      </c>
      <c r="H87" s="198" t="n">
        <v>46320</v>
      </c>
      <c r="I87" s="197" t="inlineStr">
        <is>
          <t>Why does valley density in the Bōsō Peninsula terrain increase landslide hazard during typhoon rainfall, and how should it be mapped?</t>
        </is>
      </c>
    </row>
    <row r="88" outlineLevel="1" ht="66.5" customHeight="1">
      <c r="A88" s="191" t="n">
        <v>109</v>
      </c>
      <c r="B88" s="192" t="n">
        <v>4</v>
      </c>
      <c r="C88"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88" s="194" t="inlineStr">
        <is>
          <t>Open article</t>
        </is>
      </c>
      <c r="E88" s="195" t="inlineStr">
        <is>
          <t>Feature lead</t>
        </is>
      </c>
      <c r="F88" s="196">
        <f>IFERROR(INDEX(Stories!$F$4:$F$195,MATCH($A88,Stories!$A$4:$A$195,0))&amp;"","")</f>
        <v/>
      </c>
      <c r="G88" s="197" t="inlineStr">
        <is>
          <t>Vietnam.vn</t>
        </is>
      </c>
      <c r="H88" s="198" t="n">
        <v>46320</v>
      </c>
      <c r="I88" s="197" t="inlineStr">
        <is>
          <t>Why are sinkholes in karst or soluble terrain so difficult to resolve, and what investigation methods identify them early?</t>
        </is>
      </c>
    </row>
    <row r="89" outlineLevel="1" ht="41.5" customHeight="1">
      <c r="A89" s="191" t="n">
        <v>110</v>
      </c>
      <c r="B89" s="192" t="n">
        <v>4</v>
      </c>
      <c r="C89" s="193" t="inlineStr">
        <is>
          <t>Body of doctor pulled from rubble, residents evacuated after Paya Terubong landslide</t>
        </is>
      </c>
      <c r="D89" s="194" t="inlineStr">
        <is>
          <t>Open article</t>
        </is>
      </c>
      <c r="E89" s="195" t="inlineStr">
        <is>
          <t>Feature lead</t>
        </is>
      </c>
      <c r="F89" s="196">
        <f>IFERROR(INDEX(Stories!$F$4:$F$195,MATCH($A89,Stories!$A$4:$A$195,0))&amp;"","")</f>
        <v/>
      </c>
      <c r="G89" s="197" t="inlineStr">
        <is>
          <t>Malay Mail</t>
        </is>
      </c>
      <c r="H89" s="198" t="n">
        <v>46320</v>
      </c>
      <c r="I89" s="197" t="inlineStr">
        <is>
          <t>What triggered the fatal Paya Terubong hillside failure, and how should residential slopes be assessed before evacuation and recovery?</t>
        </is>
      </c>
    </row>
    <row r="90" outlineLevel="1" ht="41.5" customHeight="1">
      <c r="A90" s="191" t="n">
        <v>111</v>
      </c>
      <c r="B90" s="192" t="n">
        <v>4</v>
      </c>
      <c r="C90" s="193" t="inlineStr">
        <is>
          <t>Penang council halts hillside construction, roadworks after fatal landslide</t>
        </is>
      </c>
      <c r="D90" s="194" t="inlineStr">
        <is>
          <t>Open article</t>
        </is>
      </c>
      <c r="E90" s="195" t="inlineStr">
        <is>
          <t>Feature lead</t>
        </is>
      </c>
      <c r="F90" s="196">
        <f>IFERROR(INDEX(Stories!$F$4:$F$195,MATCH($A90,Stories!$A$4:$A$195,0))&amp;"","")</f>
        <v/>
      </c>
      <c r="G90" s="197" t="inlineStr">
        <is>
          <t>The Sun Malaysia</t>
        </is>
      </c>
      <c r="H90" s="198" t="n">
        <v>46320</v>
      </c>
      <c r="I90" s="197" t="inlineStr">
        <is>
          <t>Should hillside development be halted after a fatal landslide, and what slope stability criteria should govern such construction?</t>
        </is>
      </c>
    </row>
    <row r="91" outlineLevel="1" ht="41.5" customHeight="1">
      <c r="A91" s="191" t="n">
        <v>112</v>
      </c>
      <c r="B91" s="192" t="n">
        <v>4</v>
      </c>
      <c r="C91" s="193" t="inlineStr">
        <is>
          <t>Rain batters Nilgiris; landslide buries government bus, driver loses life</t>
        </is>
      </c>
      <c r="D91" s="194" t="inlineStr">
        <is>
          <t>Open article</t>
        </is>
      </c>
      <c r="E91" s="199" t="inlineStr">
        <is>
          <t>News brief</t>
        </is>
      </c>
      <c r="F91" s="196">
        <f>IFERROR(INDEX(Stories!$F$4:$F$195,MATCH($A91,Stories!$A$4:$A$195,0))&amp;"","")</f>
        <v/>
      </c>
      <c r="G91" s="197" t="inlineStr">
        <is>
          <t>The New Indian Express</t>
        </is>
      </c>
      <c r="H91" s="198" t="n">
        <v>46320</v>
      </c>
      <c r="I91" s="197" t="inlineStr">
        <is>
          <t>How can landslide risk on hill-road corridors be managed when a government bus is buried during heavy rain?</t>
        </is>
      </c>
    </row>
    <row r="92" outlineLevel="1" ht="66.5" customHeight="1">
      <c r="A92" s="191" t="n">
        <v>30</v>
      </c>
      <c r="B92" s="192" t="n">
        <v>4</v>
      </c>
      <c r="C92"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92" s="194" t="inlineStr">
        <is>
          <t>Open article</t>
        </is>
      </c>
      <c r="E92" s="210" t="inlineStr">
        <is>
          <t>Regional insight</t>
        </is>
      </c>
      <c r="F92" s="196">
        <f>IFERROR(INDEX(Stories!$F$4:$F$195,MATCH($A92,Stories!$A$4:$A$195,0))&amp;"","")</f>
        <v/>
      </c>
      <c r="G92" s="197" t="inlineStr">
        <is>
          <t>Vietnam.vn</t>
        </is>
      </c>
      <c r="H92" s="198" t="n">
        <v>46322</v>
      </c>
      <c r="I92" s="197" t="inlineStr">
        <is>
          <t>How should landslide risk zoning inform resettlement decisions, and why do so many households remain in hazard-prone slopes?
Check with: Son La provincial People's Committee</t>
        </is>
      </c>
    </row>
    <row r="93" outlineLevel="1" ht="10" customHeight="1"/>
    <row r="94" ht="26" customHeight="1">
      <c r="A94" s="211" t="inlineStr">
        <is>
          <t>Ground Improvement &amp; Innovation   ·   3 stories   ·   2 rated 5 / 5   ·   2 feature leads</t>
        </is>
      </c>
      <c r="B94" s="212" t="n"/>
      <c r="C94" s="212" t="n"/>
      <c r="D94" s="212" t="n"/>
      <c r="E94" s="212" t="n"/>
      <c r="F94" s="212" t="n"/>
      <c r="G94" s="212" t="n"/>
      <c r="H94" s="212" t="n"/>
      <c r="I94" s="212" t="n"/>
    </row>
    <row r="95" outlineLevel="1">
      <c r="A95" s="213" t="inlineStr">
        <is>
          <t>No.</t>
        </is>
      </c>
      <c r="B95" s="213" t="inlineStr">
        <is>
          <t>Relevance</t>
        </is>
      </c>
      <c r="C95" s="214" t="inlineStr">
        <is>
          <t>Headline</t>
        </is>
      </c>
      <c r="D95" s="213" t="inlineStr">
        <is>
          <t>Link</t>
        </is>
      </c>
      <c r="E95" s="214" t="inlineStr">
        <is>
          <t>Suggested use</t>
        </is>
      </c>
      <c r="F95" s="213" t="inlineStr">
        <is>
          <t>Status</t>
        </is>
      </c>
      <c r="G95" s="214" t="inlineStr">
        <is>
          <t>Source</t>
        </is>
      </c>
      <c r="H95" s="213" t="inlineStr">
        <is>
          <t>Digest</t>
        </is>
      </c>
      <c r="I95" s="214" t="inlineStr">
        <is>
          <t>Magazine angle · check with</t>
        </is>
      </c>
    </row>
    <row r="96" outlineLevel="1" ht="41.5" customHeight="1">
      <c r="A96" s="191" t="n">
        <v>133</v>
      </c>
      <c r="B96" s="192" t="n">
        <v>5</v>
      </c>
      <c r="C96" s="193" t="inlineStr">
        <is>
          <t>Behavior of Square-Round Shaft Combination Helical Piles and Anchors</t>
        </is>
      </c>
      <c r="D96" s="194" t="inlineStr">
        <is>
          <t>Open article</t>
        </is>
      </c>
      <c r="E96" s="200" t="inlineStr">
        <is>
          <t>Academia-to-Industry topic</t>
        </is>
      </c>
      <c r="F96" s="196">
        <f>IFERROR(INDEX(Stories!$F$4:$F$195,MATCH($A96,Stories!$A$4:$A$195,0))&amp;"","")</f>
        <v/>
      </c>
      <c r="G96" s="197" t="inlineStr">
        <is>
          <t>Geoengineer.org</t>
        </is>
      </c>
      <c r="H96" s="198" t="n">
        <v>46319</v>
      </c>
      <c r="I96" s="197" t="inlineStr">
        <is>
          <t>How do square-round shaft combination helical piles and anchors behave under load, and how can their capacity be predicted reliably?</t>
        </is>
      </c>
    </row>
    <row r="97" outlineLevel="1" ht="79" customHeight="1">
      <c r="A97" s="191" t="n">
        <v>136</v>
      </c>
      <c r="B97" s="192" t="n">
        <v>5</v>
      </c>
      <c r="C97"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97" s="194" t="inlineStr">
        <is>
          <t>Open article</t>
        </is>
      </c>
      <c r="E97" s="195" t="inlineStr">
        <is>
          <t>Feature lead</t>
        </is>
      </c>
      <c r="F97" s="196">
        <f>IFERROR(INDEX(Stories!$F$4:$F$195,MATCH($A97,Stories!$A$4:$A$195,0))&amp;"","")</f>
        <v/>
      </c>
      <c r="G97" s="197" t="inlineStr">
        <is>
          <t>Sciencepost</t>
        </is>
      </c>
      <c r="H97" s="198" t="n">
        <v>46319</v>
      </c>
      <c r="I97" s="197" t="inlineStr">
        <is>
          <t>Why did drilling holes beneath Pisa's foundations to correct its tilt backfire, and what does this teach about controlled soil removal and differential settlement in stabilisation works?</t>
        </is>
      </c>
    </row>
    <row r="98" outlineLevel="1" ht="66.5" customHeight="1">
      <c r="A98" s="191" t="n">
        <v>11</v>
      </c>
      <c r="B98" s="192" t="n">
        <v>4</v>
      </c>
      <c r="C98" s="193" t="inlineStr">
        <is>
          <t>Liquefaction Reappeared at 96% of Sites Hit By Strong Tremors; Damage Nonexistent or Minimal at Reinforced Locations</t>
        </is>
      </c>
      <c r="D98" s="194" t="inlineStr">
        <is>
          <t>Open article</t>
        </is>
      </c>
      <c r="E98" s="195" t="inlineStr">
        <is>
          <t>Feature lead</t>
        </is>
      </c>
      <c r="F98" s="196">
        <f>IFERROR(INDEX(Stories!$F$4:$F$195,MATCH($A98,Stories!$A$4:$A$195,0))&amp;"","")</f>
        <v/>
      </c>
      <c r="G98" s="197" t="inlineStr">
        <is>
          <t>The Japan News</t>
        </is>
      </c>
      <c r="H98" s="198" t="n">
        <v>46322</v>
      </c>
      <c r="I98" s="197" t="inlineStr">
        <is>
          <t>Why did reinforced ground perform far better than untreated sites in repeated shaking, and which improvement methods should be standard practice?
Check with: Kumamoto Prefecture and the study's researchers</t>
        </is>
      </c>
    </row>
    <row r="99" outlineLevel="1" ht="10" customHeight="1"/>
    <row r="100" ht="26" customHeight="1">
      <c r="A100" s="215" t="inlineStr">
        <is>
          <t>Infrastructure &amp; the Underground City   ·   68 stories   ·   2 rated 5 / 5   ·   18 feature leads</t>
        </is>
      </c>
      <c r="B100" s="216" t="n"/>
      <c r="C100" s="216" t="n"/>
      <c r="D100" s="216" t="n"/>
      <c r="E100" s="216" t="n"/>
      <c r="F100" s="216" t="n"/>
      <c r="G100" s="216" t="n"/>
      <c r="H100" s="216" t="n"/>
      <c r="I100" s="216" t="n"/>
    </row>
    <row r="101" outlineLevel="1">
      <c r="A101" s="217" t="inlineStr">
        <is>
          <t>No.</t>
        </is>
      </c>
      <c r="B101" s="217" t="inlineStr">
        <is>
          <t>Relevance</t>
        </is>
      </c>
      <c r="C101" s="218" t="inlineStr">
        <is>
          <t>Headline</t>
        </is>
      </c>
      <c r="D101" s="217" t="inlineStr">
        <is>
          <t>Link</t>
        </is>
      </c>
      <c r="E101" s="218" t="inlineStr">
        <is>
          <t>Suggested use</t>
        </is>
      </c>
      <c r="F101" s="217" t="inlineStr">
        <is>
          <t>Status</t>
        </is>
      </c>
      <c r="G101" s="218" t="inlineStr">
        <is>
          <t>Source</t>
        </is>
      </c>
      <c r="H101" s="217" t="inlineStr">
        <is>
          <t>Digest</t>
        </is>
      </c>
      <c r="I101" s="218" t="inlineStr">
        <is>
          <t>Magazine angle · check with</t>
        </is>
      </c>
    </row>
    <row r="102" outlineLevel="1" ht="54" customHeight="1">
      <c r="A102" s="191" t="n">
        <v>135</v>
      </c>
      <c r="B102" s="192" t="n">
        <v>5</v>
      </c>
      <c r="C102" s="193" t="inlineStr">
        <is>
          <t>Sinkhole at excavation site: ground sank even after underground safety assessment
(English headline translated by Claude · Original: 장종태, "굴착 현장 싱크홀...지하안전평가 받고도 땅 꺼졌다")</t>
        </is>
      </c>
      <c r="D102" s="194" t="inlineStr">
        <is>
          <t>Open article</t>
        </is>
      </c>
      <c r="E102" s="195" t="inlineStr">
        <is>
          <t>Feature lead</t>
        </is>
      </c>
      <c r="F102" s="196">
        <f>IFERROR(INDEX(Stories!$F$4:$F$195,MATCH($A102,Stories!$A$4:$A$195,0))&amp;"","")</f>
        <v/>
      </c>
      <c r="G102" s="197" t="inlineStr">
        <is>
          <t>충청신문</t>
        </is>
      </c>
      <c r="H102" s="198" t="n">
        <v>46319</v>
      </c>
      <c r="I102" s="197" t="inlineStr">
        <is>
          <t>Why did ground sink at an excavation despite a completed underground safety assessment, and what gaps exist in such assessments?</t>
        </is>
      </c>
    </row>
    <row r="103" outlineLevel="1" ht="79" customHeight="1">
      <c r="A103" s="191" t="n">
        <v>49</v>
      </c>
      <c r="B103" s="192" t="n">
        <v>5</v>
      </c>
      <c r="C103"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03" s="194" t="inlineStr">
        <is>
          <t>Open article</t>
        </is>
      </c>
      <c r="E103" s="195" t="inlineStr">
        <is>
          <t>Feature lead</t>
        </is>
      </c>
      <c r="F103" s="196">
        <f>IFERROR(INDEX(Stories!$F$4:$F$195,MATCH($A103,Stories!$A$4:$A$195,0))&amp;"","")</f>
        <v/>
      </c>
      <c r="G103" s="197" t="inlineStr">
        <is>
          <t>Dainik Bhaskar</t>
        </is>
      </c>
      <c r="H103" s="198" t="n">
        <v>46321</v>
      </c>
      <c r="I103" s="197" t="inlineStr">
        <is>
          <t>What ground stabilisation and rock mass conditions must be verified before a collapsed Himalayan tunnel can safely reopen, and how credible is the proposed schedule?
Check with: NHIDCL (the project owner) and the contractor</t>
        </is>
      </c>
    </row>
    <row r="104" outlineLevel="1" ht="66.5" customHeight="1">
      <c r="A104" s="191" t="n">
        <v>2</v>
      </c>
      <c r="B104" s="192" t="n">
        <v>4</v>
      </c>
      <c r="C104" s="193" t="inlineStr">
        <is>
          <t>Breakthrough completes 12.18km Jinyang Highway Tunnel in China</t>
        </is>
      </c>
      <c r="D104" s="194" t="inlineStr">
        <is>
          <t>Open article</t>
        </is>
      </c>
      <c r="E104" s="199" t="inlineStr">
        <is>
          <t>News brief</t>
        </is>
      </c>
      <c r="F104" s="196">
        <f>IFERROR(INDEX(Stories!$F$4:$F$195,MATCH($A104,Stories!$A$4:$A$195,0))&amp;"","")</f>
        <v/>
      </c>
      <c r="G104" s="197" t="inlineStr">
        <is>
          <t>Tunnelling Journal</t>
        </is>
      </c>
      <c r="H104" s="198" t="n">
        <v>46322</v>
      </c>
      <c r="I104" s="197" t="inlineStr">
        <is>
          <t>What ground conditions and support measures allowed a 12 km highway tunnel through difficult mountain terrain to be excavated over five years?
Check with: Project owner of the Xichang–Zhaotong Expressway, and the tunnel's contractor</t>
        </is>
      </c>
    </row>
    <row r="105" outlineLevel="1" ht="54" customHeight="1">
      <c r="A105" s="191" t="n">
        <v>3</v>
      </c>
      <c r="B105" s="192" t="n">
        <v>4</v>
      </c>
      <c r="C105" s="193" t="inlineStr">
        <is>
          <t>Tunnelling set to start on Bucharest Metro North Section</t>
        </is>
      </c>
      <c r="D105" s="194" t="inlineStr">
        <is>
          <t>Open article</t>
        </is>
      </c>
      <c r="E105" s="195" t="inlineStr">
        <is>
          <t>Feature lead</t>
        </is>
      </c>
      <c r="F105" s="196">
        <f>IFERROR(INDEX(Stories!$F$4:$F$195,MATCH($A105,Stories!$A$4:$A$195,0))&amp;"","")</f>
        <v/>
      </c>
      <c r="G105" s="197" t="inlineStr">
        <is>
          <t>Tunnels &amp; Tunnelling</t>
        </is>
      </c>
      <c r="H105" s="198" t="n">
        <v>46322</v>
      </c>
      <c r="I105" s="197" t="inlineStr">
        <is>
          <t>What ground conditions along the North Section of Bucharest's Metro Line 6 will shape TBM performance and settlement control in an urban setting?
Check with: Metrorex, the Bucharest metro operator</t>
        </is>
      </c>
    </row>
    <row r="106" outlineLevel="1" ht="54" customHeight="1">
      <c r="A106" s="191" t="n">
        <v>4</v>
      </c>
      <c r="B106" s="192" t="n">
        <v>4</v>
      </c>
      <c r="C106" s="193" t="inlineStr">
        <is>
          <t>Three TBMs now tunnelling on SRL</t>
        </is>
      </c>
      <c r="D106" s="194" t="inlineStr">
        <is>
          <t>Open article</t>
        </is>
      </c>
      <c r="E106" s="199" t="inlineStr">
        <is>
          <t>News brief</t>
        </is>
      </c>
      <c r="F106" s="196">
        <f>IFERROR(INDEX(Stories!$F$4:$F$195,MATCH($A106,Stories!$A$4:$A$195,0))&amp;"","")</f>
        <v/>
      </c>
      <c r="G106" s="197" t="inlineStr">
        <is>
          <t>Tunnels &amp; Tunnelling</t>
        </is>
      </c>
      <c r="H106" s="198" t="n">
        <v>46322</v>
      </c>
      <c r="I106" s="197" t="inlineStr">
        <is>
          <t>What ground behaviour is being monitored as three TBMs advance together on this rail project, and how is settlement managed in parallel drives?
Check with: Suburban Rail Loop Authority</t>
        </is>
      </c>
    </row>
    <row r="107" outlineLevel="1" ht="54" customHeight="1">
      <c r="A107" s="191" t="n">
        <v>12</v>
      </c>
      <c r="B107" s="192" t="n">
        <v>4</v>
      </c>
      <c r="C107" s="193" t="inlineStr">
        <is>
          <t>Breakthrough made on Lima Metro’s Line 4</t>
        </is>
      </c>
      <c r="D107" s="194" t="inlineStr">
        <is>
          <t>Open article</t>
        </is>
      </c>
      <c r="E107" s="199" t="inlineStr">
        <is>
          <t>News brief</t>
        </is>
      </c>
      <c r="F107" s="196">
        <f>IFERROR(INDEX(Stories!$F$4:$F$195,MATCH($A107,Stories!$A$4:$A$195,0))&amp;"","")</f>
        <v/>
      </c>
      <c r="G107" s="197" t="inlineStr">
        <is>
          <t>Tunnels &amp; Tunnelling</t>
        </is>
      </c>
      <c r="H107" s="198" t="n">
        <v>46322</v>
      </c>
      <c r="I107" s="197" t="inlineStr">
        <is>
          <t>What ground conditions in Lima's geology affected tunnel excavation progress on this metro section, and how were they managed?
Check with: Consorcio Constructor Metro 2 Lima</t>
        </is>
      </c>
    </row>
    <row r="108" outlineLevel="1" ht="66.5" customHeight="1">
      <c r="A108" s="191" t="n">
        <v>13</v>
      </c>
      <c r="B108" s="192" t="n">
        <v>4</v>
      </c>
      <c r="C108" s="193" t="inlineStr">
        <is>
          <t>Ohio River Tunnel project breaks ground</t>
        </is>
      </c>
      <c r="D108" s="194" t="inlineStr">
        <is>
          <t>Open article</t>
        </is>
      </c>
      <c r="E108" s="199" t="inlineStr">
        <is>
          <t>News brief</t>
        </is>
      </c>
      <c r="F108" s="196">
        <f>IFERROR(INDEX(Stories!$F$4:$F$195,MATCH($A108,Stories!$A$4:$A$195,0))&amp;"","")</f>
        <v/>
      </c>
      <c r="G108" s="197" t="inlineStr">
        <is>
          <t>Tunnels &amp; Tunnelling</t>
        </is>
      </c>
      <c r="H108" s="198" t="n">
        <v>46322</v>
      </c>
      <c r="I108" s="197" t="inlineStr">
        <is>
          <t>What ground conditions beneath the Ohio River shape the design of the first of three combined-sewer tunnels?
Check with: Louisville and Jefferson County Metropolitan Sewer District (MSD)</t>
        </is>
      </c>
    </row>
    <row r="109" outlineLevel="1" ht="66.5" customHeight="1">
      <c r="A109" s="191" t="n">
        <v>57</v>
      </c>
      <c r="B109" s="192" t="n">
        <v>4</v>
      </c>
      <c r="C109" s="193" t="inlineStr">
        <is>
          <t>Four Tourists Injured After Poolside Patio Collapses Into Sinkhole At Cozumel Resort</t>
        </is>
      </c>
      <c r="D109" s="194" t="inlineStr">
        <is>
          <t>Open article</t>
        </is>
      </c>
      <c r="E109" s="195" t="inlineStr">
        <is>
          <t>Feature lead</t>
        </is>
      </c>
      <c r="F109" s="196">
        <f>IFERROR(INDEX(Stories!$F$4:$F$195,MATCH($A109,Stories!$A$4:$A$195,0))&amp;"","")</f>
        <v/>
      </c>
      <c r="G109" s="197" t="inlineStr">
        <is>
          <t>Cancun Sun</t>
        </is>
      </c>
      <c r="H109" s="198" t="n">
        <v>46321</v>
      </c>
      <c r="I109" s="197" t="inlineStr">
        <is>
          <t>How can shallow cavities in karst limestone be detected under resort paving and foundations before a patio collapses into a sinkhole?
Check with: Quintana Roo state civil protection and the resort's engineering consultant</t>
        </is>
      </c>
    </row>
    <row r="110" outlineLevel="1" ht="54" customHeight="1">
      <c r="A110" s="191" t="n">
        <v>158</v>
      </c>
      <c r="B110" s="192" t="n">
        <v>4</v>
      </c>
      <c r="C110"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10" s="194" t="inlineStr">
        <is>
          <t>Open article</t>
        </is>
      </c>
      <c r="E110" s="195" t="inlineStr">
        <is>
          <t>Feature lead</t>
        </is>
      </c>
      <c r="F110" s="196">
        <f>IFERROR(INDEX(Stories!$F$4:$F$195,MATCH($A110,Stories!$A$4:$A$195,0))&amp;"","")</f>
        <v/>
      </c>
      <c r="G110" s="197" t="inlineStr">
        <is>
          <t>아주경제</t>
        </is>
      </c>
      <c r="H110" s="198" t="n">
        <v>46319</v>
      </c>
      <c r="I110" s="197" t="inlineStr">
        <is>
          <t>What caused the road collapse behind this retaining wall, and how should wall reconstruction address backfill and drainage?</t>
        </is>
      </c>
    </row>
    <row r="111" outlineLevel="1" ht="79" customHeight="1">
      <c r="A111" s="191" t="n">
        <v>159</v>
      </c>
      <c r="B111" s="192" t="n">
        <v>4</v>
      </c>
      <c r="C111"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11" s="194" t="inlineStr">
        <is>
          <t>Open article</t>
        </is>
      </c>
      <c r="E111" s="210" t="inlineStr">
        <is>
          <t>Regional insight</t>
        </is>
      </c>
      <c r="F111" s="196">
        <f>IFERROR(INDEX(Stories!$F$4:$F$195,MATCH($A111,Stories!$A$4:$A$195,0))&amp;"","")</f>
        <v/>
      </c>
      <c r="G111" s="197" t="inlineStr">
        <is>
          <t>Naver Blog</t>
        </is>
      </c>
      <c r="H111" s="198" t="n">
        <v>46319</v>
      </c>
      <c r="I111" s="197" t="inlineStr">
        <is>
          <t>Why do retaining walls beside apartments collapse repeatedly, and how do drainage and private land ownership complicate remediation?</t>
        </is>
      </c>
    </row>
    <row r="112" outlineLevel="1" ht="66.5" customHeight="1">
      <c r="A112" s="191" t="n">
        <v>160</v>
      </c>
      <c r="B112" s="192" t="n">
        <v>4</v>
      </c>
      <c r="C112"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12" s="194" t="inlineStr">
        <is>
          <t>Open article</t>
        </is>
      </c>
      <c r="E112" s="210" t="inlineStr">
        <is>
          <t>Regional insight</t>
        </is>
      </c>
      <c r="F112" s="196">
        <f>IFERROR(INDEX(Stories!$F$4:$F$195,MATCH($A112,Stories!$A$4:$A$195,0))&amp;"","")</f>
        <v/>
      </c>
      <c r="G112" s="197" t="inlineStr">
        <is>
          <t>Крыминформ</t>
        </is>
      </c>
      <c r="H112" s="198" t="n">
        <v>46319</v>
      </c>
      <c r="I112" s="197" t="inlineStr">
        <is>
          <t>Why did this retaining wall fail after heavy rain, and what drainage and wall design checks should coastal slopes receive?</t>
        </is>
      </c>
    </row>
    <row r="113" outlineLevel="1" ht="54" customHeight="1">
      <c r="A113" s="191" t="n">
        <v>162</v>
      </c>
      <c r="B113" s="192" t="n">
        <v>4</v>
      </c>
      <c r="C113" s="193" t="inlineStr">
        <is>
          <t>Gochang-Buan Noeuldaegyo Enters Geotechnical Survey Phase; Construction Targeted for January 2028</t>
        </is>
      </c>
      <c r="D113" s="194" t="inlineStr">
        <is>
          <t>Open article</t>
        </is>
      </c>
      <c r="E113" s="199" t="inlineStr">
        <is>
          <t>News brief</t>
        </is>
      </c>
      <c r="F113" s="196">
        <f>IFERROR(INDEX(Stories!$F$4:$F$195,MATCH($A113,Stories!$A$4:$A$195,0))&amp;"","")</f>
        <v/>
      </c>
      <c r="G113" s="197" t="inlineStr">
        <is>
          <t>아시아경제</t>
        </is>
      </c>
      <c r="H113" s="198" t="n">
        <v>46319</v>
      </c>
      <c r="I113" s="197" t="inlineStr">
        <is>
          <t>What ground conditions will the geotechnical survey reveal for this Korean nuclear-related or major construction project, and how will they shape the 2028 schedule?</t>
        </is>
      </c>
    </row>
    <row r="114" outlineLevel="1" ht="66.5" customHeight="1">
      <c r="A114" s="191" t="n">
        <v>61</v>
      </c>
      <c r="B114" s="192" t="n">
        <v>4</v>
      </c>
      <c r="C114" s="193" t="inlineStr">
        <is>
          <t>City council attends to over 50 sinkholes; repair costs up to 700,000 pesos per point
(English headline translated by Claude · Original: Ayuntamiento atiende más de 50 socavones su reparación cuesta hasta 700 mil pesos por punto)</t>
        </is>
      </c>
      <c r="D114" s="194" t="inlineStr">
        <is>
          <t>Open article</t>
        </is>
      </c>
      <c r="E114" s="195" t="inlineStr">
        <is>
          <t>Feature lead</t>
        </is>
      </c>
      <c r="F114" s="196">
        <f>IFERROR(INDEX(Stories!$F$4:$F$195,MATCH($A114,Stories!$A$4:$A$195,0))&amp;"","")</f>
        <v/>
      </c>
      <c r="G114" s="197" t="inlineStr">
        <is>
          <t>Pulso Diario San Luis</t>
        </is>
      </c>
      <c r="H114" s="198" t="n">
        <v>46321</v>
      </c>
      <c r="I11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15" outlineLevel="1" ht="66.5" customHeight="1">
      <c r="A115" s="191" t="n">
        <v>62</v>
      </c>
      <c r="B115" s="192" t="n">
        <v>4</v>
      </c>
      <c r="C115" s="193" t="inlineStr">
        <is>
          <t>Ica: new debris flow could repeat blockage of the Panamericana Sur due to lack of bridge in Ocucaje
(English headline translated by Claude · Original: Ica: nuevo huaico podría repetir el bloqueo de la Panamericana Sur por falta de puente en Ocucaje)</t>
        </is>
      </c>
      <c r="D115" s="194" t="inlineStr">
        <is>
          <t>Open article</t>
        </is>
      </c>
      <c r="E115" s="195" t="inlineStr">
        <is>
          <t>Feature lead</t>
        </is>
      </c>
      <c r="F115" s="196">
        <f>IFERROR(INDEX(Stories!$F$4:$F$195,MATCH($A115,Stories!$A$4:$A$195,0))&amp;"","")</f>
        <v/>
      </c>
      <c r="G115" s="197" t="inlineStr">
        <is>
          <t>Diario Correo</t>
        </is>
      </c>
      <c r="H115" s="198" t="n">
        <v>46321</v>
      </c>
      <c r="I115" s="197" t="inlineStr">
        <is>
          <t>How do debris flows crossing desert valleys threaten highway embankments and crossings, and what design choices should guide replacement of a missing bridge on this corridor?
Check with: Provías Nacional (MTC)</t>
        </is>
      </c>
    </row>
    <row r="116" outlineLevel="1" ht="41.5" customHeight="1">
      <c r="A116" s="191" t="n">
        <v>95</v>
      </c>
      <c r="B116" s="192" t="n">
        <v>4</v>
      </c>
      <c r="C116" s="193" t="inlineStr">
        <is>
          <t>Four guests fall into sinkhole at Occidental Cozumel hotel
(English headline translated by Claude · Original: Cuatro huéspedes caen en socavón del hotel Occidental Cozumel)</t>
        </is>
      </c>
      <c r="D116" s="194" t="inlineStr">
        <is>
          <t>Open article</t>
        </is>
      </c>
      <c r="E116" s="199" t="inlineStr">
        <is>
          <t>News brief</t>
        </is>
      </c>
      <c r="F116" s="196">
        <f>IFERROR(INDEX(Stories!$F$4:$F$195,MATCH($A116,Stories!$A$4:$A$195,0))&amp;"","")</f>
        <v/>
      </c>
      <c r="G116" s="197" t="inlineStr">
        <is>
          <t>Quintana Roo Hoy</t>
        </is>
      </c>
      <c r="H116" s="198" t="n">
        <v>46320</v>
      </c>
      <c r="I116" s="197" t="inlineStr">
        <is>
          <t>How do karst cavities and dissolution features in coastal limestone create sudden collapses beneath hotel and tourist structures?</t>
        </is>
      </c>
    </row>
    <row r="117" outlineLevel="1" ht="66.5" customHeight="1">
      <c r="A117" s="191" t="n">
        <v>98</v>
      </c>
      <c r="B117" s="192" t="n">
        <v>4</v>
      </c>
      <c r="C117" s="193" t="inlineStr">
        <is>
          <t>Reconstruction of the Terrazas del Valle bridge begins after sinkhole
(English headline translated by Claude · Original: Inician reconstrucción del puente de Terrazas del Valle tras socavón)</t>
        </is>
      </c>
      <c r="D117" s="194" t="inlineStr">
        <is>
          <t>Open article</t>
        </is>
      </c>
      <c r="E117" s="199" t="inlineStr">
        <is>
          <t>News brief</t>
        </is>
      </c>
      <c r="F117" s="196">
        <f>IFERROR(INDEX(Stories!$F$4:$F$195,MATCH($A117,Stories!$A$4:$A$195,0))&amp;"","")</f>
        <v/>
      </c>
      <c r="G117" s="197" t="inlineStr">
        <is>
          <t>NDT Noticias de Tijuana</t>
        </is>
      </c>
      <c r="H117" s="198" t="n">
        <v>46320</v>
      </c>
      <c r="I117" s="197" t="inlineStr">
        <is>
          <t>What investigation and foundation design are needed to rebuild a bridge whose support ground has collapsed into a sinkhole?</t>
        </is>
      </c>
    </row>
    <row r="118" outlineLevel="1" ht="66.5" customHeight="1">
      <c r="A118" s="191" t="n">
        <v>167</v>
      </c>
      <c r="B118" s="192" t="n">
        <v>4</v>
      </c>
      <c r="C118" s="193" t="inlineStr">
        <is>
          <t>Mystery in El Bosque: sinkhole appears amid rain and swallows a car
(English headline translated by Claude · Original: Misterio en El Bosque: socavón aparece en medio de la lluvia y se traga un auto)</t>
        </is>
      </c>
      <c r="D118" s="194" t="inlineStr">
        <is>
          <t>Open article</t>
        </is>
      </c>
      <c r="E118" s="199" t="inlineStr">
        <is>
          <t>News brief</t>
        </is>
      </c>
      <c r="F118" s="196">
        <f>IFERROR(INDEX(Stories!$F$4:$F$195,MATCH($A118,Stories!$A$4:$A$195,0))&amp;"","")</f>
        <v/>
      </c>
      <c r="G118" s="197" t="inlineStr">
        <is>
          <t>BioBioChile</t>
        </is>
      </c>
      <c r="H118" s="198" t="n">
        <v>46319</v>
      </c>
      <c r="I118" s="197" t="inlineStr">
        <is>
          <t>How do rainfall, leaking pipes and soil erosion combine to create sudden road sinkholes that swallow vehicles, as in El Bosque?</t>
        </is>
      </c>
    </row>
    <row r="119" outlineLevel="1" ht="91.5" customHeight="1">
      <c r="A119" s="191" t="n">
        <v>168</v>
      </c>
      <c r="B119" s="192" t="n">
        <v>4</v>
      </c>
      <c r="C11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19" s="194" t="inlineStr">
        <is>
          <t>Open article</t>
        </is>
      </c>
      <c r="E119" s="195" t="inlineStr">
        <is>
          <t>Feature lead</t>
        </is>
      </c>
      <c r="F119" s="196">
        <f>IFERROR(INDEX(Stories!$F$4:$F$195,MATCH($A119,Stories!$A$4:$A$195,0))&amp;"","")</f>
        <v/>
      </c>
      <c r="G119" s="197" t="inlineStr">
        <is>
          <t>El Universo</t>
        </is>
      </c>
      <c r="H119" s="198" t="n">
        <v>46319</v>
      </c>
      <c r="I119" s="197" t="inlineStr">
        <is>
          <t>What does the Eloy Alfaro sinkhole reveal about the condition of Quito's buried infrastructure and the ground beneath rain-affected neighbourhoods?</t>
        </is>
      </c>
    </row>
    <row r="120" outlineLevel="1" ht="66.5" customHeight="1">
      <c r="A120" s="191" t="n">
        <v>169</v>
      </c>
      <c r="B120" s="192" t="n">
        <v>4</v>
      </c>
      <c r="C120" s="193" t="inlineStr">
        <is>
          <t>Presidential delegate on Arauco sinkhole: 'It was built on land that was not optimal'
(English headline translated by Claude · Original: Delegado presidencial y el socavón en Arauco: "Aquí se construyó en un terreno que no era óptimo")</t>
        </is>
      </c>
      <c r="D120" s="194" t="inlineStr">
        <is>
          <t>Open article</t>
        </is>
      </c>
      <c r="E120" s="195" t="inlineStr">
        <is>
          <t>Feature lead</t>
        </is>
      </c>
      <c r="F120" s="196">
        <f>IFERROR(INDEX(Stories!$F$4:$F$195,MATCH($A120,Stories!$A$4:$A$195,0))&amp;"","")</f>
        <v/>
      </c>
      <c r="G120" s="197" t="inlineStr">
        <is>
          <t>Cooperativa</t>
        </is>
      </c>
      <c r="H120" s="198" t="n">
        <v>46319</v>
      </c>
      <c r="I120" s="197" t="inlineStr">
        <is>
          <t>What ground investigation and foundation decisions should be scrutinised when a structure is built on unsuitable terrain, as officials claim in Arauco?</t>
        </is>
      </c>
    </row>
    <row r="121" outlineLevel="1" ht="66.5" customHeight="1">
      <c r="A121" s="191" t="n">
        <v>170</v>
      </c>
      <c r="B121" s="192" t="n">
        <v>4</v>
      </c>
      <c r="C12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21" s="194" t="inlineStr">
        <is>
          <t>Open article</t>
        </is>
      </c>
      <c r="E121" s="195" t="inlineStr">
        <is>
          <t>Feature lead</t>
        </is>
      </c>
      <c r="F121" s="196">
        <f>IFERROR(INDEX(Stories!$F$4:$F$195,MATCH($A121,Stories!$A$4:$A$195,0))&amp;"","")</f>
        <v/>
      </c>
      <c r="G121" s="197" t="inlineStr">
        <is>
          <t>Debate</t>
        </is>
      </c>
      <c r="H121" s="198" t="n">
        <v>46319</v>
      </c>
      <c r="I121" s="197" t="inlineStr">
        <is>
          <t>How can utilities mapping and leak detection clarify whether pipe defects caused the Emilio Barragán sinkhole in Mazatlán?</t>
        </is>
      </c>
    </row>
    <row r="122" outlineLevel="1" ht="66.5" customHeight="1">
      <c r="A122" s="191" t="n">
        <v>24</v>
      </c>
      <c r="B122" s="192" t="n">
        <v>4</v>
      </c>
      <c r="C122" s="193" t="inlineStr">
        <is>
          <t>New high speed rail viaduct for the UK</t>
        </is>
      </c>
      <c r="D122" s="194" t="inlineStr">
        <is>
          <t>Open article</t>
        </is>
      </c>
      <c r="E122" s="199" t="inlineStr">
        <is>
          <t>News brief</t>
        </is>
      </c>
      <c r="F122" s="196">
        <f>IFERROR(INDEX(Stories!$F$4:$F$195,MATCH($A122,Stories!$A$4:$A$195,0))&amp;"","")</f>
        <v/>
      </c>
      <c r="G122" s="197" t="inlineStr">
        <is>
          <t>World Highways</t>
        </is>
      </c>
      <c r="H122" s="198" t="n">
        <v>46322</v>
      </c>
      <c r="I122" s="197" t="inlineStr">
        <is>
          <t>How were raised embankments and the launched viaduct decks designed for the constrained site over a busy motorway, and what ground conditions shaped those choices?
Check with: HS2 Ltd</t>
        </is>
      </c>
    </row>
    <row r="123" outlineLevel="1" ht="54" customHeight="1">
      <c r="A123" s="191" t="n">
        <v>25</v>
      </c>
      <c r="B123" s="192" t="n">
        <v>4</v>
      </c>
      <c r="C123" s="193" t="inlineStr">
        <is>
          <t>First Yonge North Subway Extension TBM Arrives</t>
        </is>
      </c>
      <c r="D123" s="194" t="inlineStr">
        <is>
          <t>Open article</t>
        </is>
      </c>
      <c r="E123" s="195" t="inlineStr">
        <is>
          <t>Feature lead</t>
        </is>
      </c>
      <c r="F123" s="196">
        <f>IFERROR(INDEX(Stories!$F$4:$F$195,MATCH($A123,Stories!$A$4:$A$195,0))&amp;"","")</f>
        <v/>
      </c>
      <c r="G123" s="197" t="inlineStr">
        <is>
          <t>Metrolinx</t>
        </is>
      </c>
      <c r="H123" s="198" t="n">
        <v>46322</v>
      </c>
      <c r="I123" s="197" t="inlineStr">
        <is>
          <t>What ground conditions did the tunnel boring machine encounter on this Toronto extension, and how did they inform the tunnelling risk management?
Check with: Metrolinx</t>
        </is>
      </c>
    </row>
    <row r="124" outlineLevel="1" ht="79" customHeight="1">
      <c r="A124" s="191" t="n">
        <v>26</v>
      </c>
      <c r="B124" s="192" t="n">
        <v>4</v>
      </c>
      <c r="C124"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24" s="194" t="inlineStr">
        <is>
          <t>Open article</t>
        </is>
      </c>
      <c r="E124" s="210" t="inlineStr">
        <is>
          <t>Regional insight</t>
        </is>
      </c>
      <c r="F124" s="196">
        <f>IFERROR(INDEX(Stories!$F$4:$F$195,MATCH($A124,Stories!$A$4:$A$195,0))&amp;"","")</f>
        <v/>
      </c>
      <c r="G124" s="197" t="inlineStr">
        <is>
          <t>ThePrint Hindi</t>
        </is>
      </c>
      <c r="H124" s="198" t="n">
        <v>46322</v>
      </c>
      <c r="I124" s="197" t="inlineStr">
        <is>
          <t>What geotechnical challenges arise when a bridge and tunnel link is built through Himalayan slopes, and what should be monitored during the trial traffic phase?
Check with: NHIDCL and the Uttarakhand Public Works Department</t>
        </is>
      </c>
    </row>
    <row r="125" outlineLevel="1" ht="66.5" customHeight="1">
      <c r="A125" s="191" t="n">
        <v>27</v>
      </c>
      <c r="B125" s="192" t="n">
        <v>4</v>
      </c>
      <c r="C125"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25" s="194" t="inlineStr">
        <is>
          <t>Open article</t>
        </is>
      </c>
      <c r="E125" s="205" t="inlineStr">
        <is>
          <t>Watch only</t>
        </is>
      </c>
      <c r="F125" s="196">
        <f>IFERROR(INDEX(Stories!$F$4:$F$195,MATCH($A125,Stories!$A$4:$A$195,0))&amp;"","")</f>
        <v/>
      </c>
      <c r="G125" s="197" t="inlineStr">
        <is>
          <t>ETV Bharat</t>
        </is>
      </c>
      <c r="H125" s="198" t="n">
        <v>46322</v>
      </c>
      <c r="I125" s="197" t="inlineStr">
        <is>
          <t>The opening of the Rudraprayag bridge and tunnel could support a later piece on tunnel performance, once geotechnical data are obtained.
Check with: NHIDCL and the Uttarakhand Public Works Department</t>
        </is>
      </c>
    </row>
    <row r="126" outlineLevel="1" ht="66.5" customHeight="1">
      <c r="A126" s="191" t="n">
        <v>28</v>
      </c>
      <c r="B126" s="192" t="n">
        <v>4</v>
      </c>
      <c r="C126"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26" s="194" t="inlineStr">
        <is>
          <t>Open article</t>
        </is>
      </c>
      <c r="E126" s="195" t="inlineStr">
        <is>
          <t>Feature lead</t>
        </is>
      </c>
      <c r="F126" s="196">
        <f>IFERROR(INDEX(Stories!$F$4:$F$195,MATCH($A126,Stories!$A$4:$A$195,0))&amp;"","")</f>
        <v/>
      </c>
      <c r="G126" s="197" t="inlineStr">
        <is>
          <t>mos.ru</t>
        </is>
      </c>
      <c r="H126" s="198" t="n">
        <v>46322</v>
      </c>
      <c r="I126" s="197" t="inlineStr">
        <is>
          <t>How are deep excavation support and dewatering managed for a very large central Moscow pit, and what lessons does it offer for urban deep excavations?
Check with: the Moscow city government and the project developer</t>
        </is>
      </c>
    </row>
    <row r="127" outlineLevel="1" ht="66.5" customHeight="1">
      <c r="A127" s="191" t="n">
        <v>114</v>
      </c>
      <c r="B127" s="192" t="n">
        <v>4</v>
      </c>
      <c r="C127"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27" s="194" t="inlineStr">
        <is>
          <t>Open article</t>
        </is>
      </c>
      <c r="E127" s="199" t="inlineStr">
        <is>
          <t>News brief</t>
        </is>
      </c>
      <c r="F127" s="196">
        <f>IFERROR(INDEX(Stories!$F$4:$F$195,MATCH($A127,Stories!$A$4:$A$195,0))&amp;"","")</f>
        <v/>
      </c>
      <c r="G127" s="197" t="inlineStr">
        <is>
          <t>Piter.tv</t>
        </is>
      </c>
      <c r="H127" s="198" t="n">
        <v>46320</v>
      </c>
      <c r="I127" s="197" t="inlineStr">
        <is>
          <t>How did the shield tunnelling through the local soils, with groundwater and face-stability conditions, shape the progress of the St Petersburg metro extension?</t>
        </is>
      </c>
    </row>
    <row r="128" outlineLevel="1" ht="66.5" customHeight="1">
      <c r="A128" s="191" t="n">
        <v>29</v>
      </c>
      <c r="B128" s="192" t="n">
        <v>4</v>
      </c>
      <c r="C128"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28" s="194" t="inlineStr">
        <is>
          <t>Open article</t>
        </is>
      </c>
      <c r="E128" s="195" t="inlineStr">
        <is>
          <t>Feature lead</t>
        </is>
      </c>
      <c r="F128" s="196">
        <f>IFERROR(INDEX(Stories!$F$4:$F$195,MATCH($A128,Stories!$A$4:$A$195,0))&amp;"","")</f>
        <v/>
      </c>
      <c r="G128" s="197" t="inlineStr">
        <is>
          <t>ETV Bharat</t>
        </is>
      </c>
      <c r="H128" s="198" t="n">
        <v>46322</v>
      </c>
      <c r="I128" s="197" t="inlineStr">
        <is>
          <t>What ground-investigation and excavation lessons from the Silkyara collapse should guide tunnelling through weak Himalayan rock on this new route?
Check with: NHIDCL, the Uttarakhand highway project owner</t>
        </is>
      </c>
    </row>
    <row r="129" outlineLevel="1" ht="66.5" customHeight="1">
      <c r="A129" s="191" t="n">
        <v>69</v>
      </c>
      <c r="B129" s="192" t="n">
        <v>4</v>
      </c>
      <c r="C129"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29" s="194" t="inlineStr">
        <is>
          <t>Open article</t>
        </is>
      </c>
      <c r="E129" s="199" t="inlineStr">
        <is>
          <t>News brief</t>
        </is>
      </c>
      <c r="F129" s="196">
        <f>IFERROR(INDEX(Stories!$F$4:$F$195,MATCH($A129,Stories!$A$4:$A$195,0))&amp;"","")</f>
        <v/>
      </c>
      <c r="G129" s="197" t="inlineStr">
        <is>
          <t>La Jornada Morelos</t>
        </is>
      </c>
      <c r="H129" s="198" t="n">
        <v>46321</v>
      </c>
      <c r="I129" s="197" t="inlineStr">
        <is>
          <t>What ground or utility causes are behind the subsidence on Avenida Universidad, and what investigation should determine whether the road can safely reopen?
Check with: the Cuernavaca city council</t>
        </is>
      </c>
    </row>
    <row r="130" outlineLevel="1" ht="66.5" customHeight="1">
      <c r="A130" s="191" t="n">
        <v>70</v>
      </c>
      <c r="B130" s="192" t="n">
        <v>4</v>
      </c>
      <c r="C130"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30" s="194" t="inlineStr">
        <is>
          <t>Open article</t>
        </is>
      </c>
      <c r="E130" s="195" t="inlineStr">
        <is>
          <t>Feature lead</t>
        </is>
      </c>
      <c r="F130" s="196">
        <f>IFERROR(INDEX(Stories!$F$4:$F$195,MATCH($A130,Stories!$A$4:$A$195,0))&amp;"","")</f>
        <v/>
      </c>
      <c r="G130" s="197" t="inlineStr">
        <is>
          <t>Inh News</t>
        </is>
      </c>
      <c r="H130" s="198" t="n">
        <v>46321</v>
      </c>
      <c r="I130" s="197" t="inlineStr">
        <is>
          <t>What ground conditions and deep excavation methods are needed for a 30 m deep station and an undersea tunnel on India's first bullet train route?
Check with: NHSRCL (National High Speed Rail Corporation)</t>
        </is>
      </c>
    </row>
    <row r="131" outlineLevel="1" ht="66.5" customHeight="1">
      <c r="A131" s="191" t="n">
        <v>115</v>
      </c>
      <c r="B131" s="192" t="n">
        <v>4</v>
      </c>
      <c r="C131" s="193" t="inlineStr">
        <is>
          <t>Experts comment on the plan to level Mot mountain in Quy Nhon
(English headline translated by Claude · Original: Des experts s'expriment sur le projet de rasage du mont Mot à Quy Nhon.)</t>
        </is>
      </c>
      <c r="D131" s="194" t="inlineStr">
        <is>
          <t>Open article</t>
        </is>
      </c>
      <c r="E131" s="195" t="inlineStr">
        <is>
          <t>Feature lead</t>
        </is>
      </c>
      <c r="F131" s="196">
        <f>IFERROR(INDEX(Stories!$F$4:$F$195,MATCH($A131,Stories!$A$4:$A$195,0))&amp;"","")</f>
        <v/>
      </c>
      <c r="G131" s="197" t="inlineStr">
        <is>
          <t>Vietnam.vn</t>
        </is>
      </c>
      <c r="H131" s="198" t="n">
        <v>46320</v>
      </c>
      <c r="I131" s="197" t="inlineStr">
        <is>
          <t>What are the slope stability, rock-cutting and environmental trade-offs in levelling a granite mountain inside an urban area, and how should experts weigh them?</t>
        </is>
      </c>
    </row>
    <row r="132" outlineLevel="1" ht="66.5" customHeight="1">
      <c r="A132" s="191" t="n">
        <v>116</v>
      </c>
      <c r="B132" s="192" t="n">
        <v>4</v>
      </c>
      <c r="C132" s="193" t="inlineStr">
        <is>
          <t>Imperial advances planning of block caving method at Red Chris mine
(English headline translated by Claude · Original: Imperial avanza en la planificación del método de hundimiento por bloques en la mina Red Chris)</t>
        </is>
      </c>
      <c r="D132" s="194" t="inlineStr">
        <is>
          <t>Open article</t>
        </is>
      </c>
      <c r="E132" s="200" t="inlineStr">
        <is>
          <t>Academia-to-Industry topic</t>
        </is>
      </c>
      <c r="F132" s="196">
        <f>IFERROR(INDEX(Stories!$F$4:$F$195,MATCH($A132,Stories!$A$4:$A$195,0))&amp;"","")</f>
        <v/>
      </c>
      <c r="G132" s="197" t="inlineStr">
        <is>
          <t>MarketScreener España</t>
        </is>
      </c>
      <c r="H132" s="198" t="n">
        <v>46320</v>
      </c>
      <c r="I132" s="197" t="inlineStr">
        <is>
          <t>What geomechanical data and rock mass characterisation are needed to plan block caving sequences safely in a large porphyry copper mine?</t>
        </is>
      </c>
    </row>
    <row r="133" outlineLevel="1" ht="54" customHeight="1">
      <c r="A133" s="191" t="n">
        <v>175</v>
      </c>
      <c r="B133" s="192" t="n">
        <v>4</v>
      </c>
      <c r="C133" s="193" t="inlineStr">
        <is>
          <t>Ben Thanh - Tham Luong metro to have all 11 stations completed by end of 2026
(English headline translated by Claude · Original: Metro Bến Thành - Tham Lương cuối năm 2026 làm cả 11 nhà ga)</t>
        </is>
      </c>
      <c r="D133" s="194" t="inlineStr">
        <is>
          <t>Open article</t>
        </is>
      </c>
      <c r="E133" s="195" t="inlineStr">
        <is>
          <t>Feature lead</t>
        </is>
      </c>
      <c r="F133" s="196">
        <f>IFERROR(INDEX(Stories!$F$4:$F$195,MATCH($A133,Stories!$A$4:$A$195,0))&amp;"","")</f>
        <v/>
      </c>
      <c r="G133" s="197" t="inlineStr">
        <is>
          <t>VOH</t>
        </is>
      </c>
      <c r="H133" s="198" t="n">
        <v>46319</v>
      </c>
      <c r="I133" s="197" t="inlineStr">
        <is>
          <t>What ground conditions and deep excavation and tunnelling methods are used for metro stations in soft Ho Chi Minh City clays with high groundwater, and what risks follow?</t>
        </is>
      </c>
    </row>
    <row r="134" outlineLevel="1" ht="41.5" customHeight="1">
      <c r="A134" s="191" t="n">
        <v>177</v>
      </c>
      <c r="B134" s="192" t="n">
        <v>3</v>
      </c>
      <c r="C134" s="193" t="inlineStr">
        <is>
          <t>Mobile shield deployed for A14 Vinci Tunnel reconstruction</t>
        </is>
      </c>
      <c r="D134" s="194" t="inlineStr">
        <is>
          <t>Open article</t>
        </is>
      </c>
      <c r="E134" s="199" t="inlineStr">
        <is>
          <t>News brief</t>
        </is>
      </c>
      <c r="F134" s="196">
        <f>IFERROR(INDEX(Stories!$F$4:$F$195,MATCH($A134,Stories!$A$4:$A$195,0))&amp;"","")</f>
        <v/>
      </c>
      <c r="G134" s="197" t="inlineStr">
        <is>
          <t>Tunnelling Journal</t>
        </is>
      </c>
      <c r="H134" s="198" t="n">
        <v>46319</v>
      </c>
      <c r="I134" s="197" t="inlineStr">
        <is>
          <t>How does a mobile shield enable tunnel reconstruction within an operating motorway tunnel, and what ground support issues arise?</t>
        </is>
      </c>
    </row>
    <row r="135" outlineLevel="1" ht="66.5" customHeight="1">
      <c r="A135" s="191" t="n">
        <v>178</v>
      </c>
      <c r="B135" s="192" t="n">
        <v>3</v>
      </c>
      <c r="C135"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35" s="194" t="inlineStr">
        <is>
          <t>Open article</t>
        </is>
      </c>
      <c r="E135" s="195" t="inlineStr">
        <is>
          <t>Feature lead</t>
        </is>
      </c>
      <c r="F135" s="196">
        <f>IFERROR(INDEX(Stories!$F$4:$F$195,MATCH($A135,Stories!$A$4:$A$195,0))&amp;"","")</f>
        <v/>
      </c>
      <c r="G135" s="197" t="inlineStr">
        <is>
          <t>Vietnam.vn</t>
        </is>
      </c>
      <c r="H135" s="198" t="n">
        <v>46319</v>
      </c>
      <c r="I135" s="197" t="inlineStr">
        <is>
          <t>What geotechnical and heritage considerations should guide levelling versus preserving a rocky hill site in an urban coastal city?</t>
        </is>
      </c>
    </row>
    <row r="136" outlineLevel="1" ht="54" customHeight="1">
      <c r="A136" s="191" t="n">
        <v>34</v>
      </c>
      <c r="B136" s="192" t="n">
        <v>3</v>
      </c>
      <c r="C136" s="193" t="inlineStr">
        <is>
          <t>United Utilities seeks design partner for £3.7bn Windermere scheme</t>
        </is>
      </c>
      <c r="D136" s="194" t="inlineStr">
        <is>
          <t>Open article</t>
        </is>
      </c>
      <c r="E136" s="199" t="inlineStr">
        <is>
          <t>News brief</t>
        </is>
      </c>
      <c r="F136" s="196">
        <f>IFERROR(INDEX(Stories!$F$4:$F$195,MATCH($A136,Stories!$A$4:$A$195,0))&amp;"","")</f>
        <v/>
      </c>
      <c r="G136" s="197" t="inlineStr">
        <is>
          <t>Tunnelling Journal</t>
        </is>
      </c>
      <c r="H136" s="198" t="n">
        <v>46322</v>
      </c>
      <c r="I136" s="197" t="inlineStr">
        <is>
          <t>What ground investigation and tunnelling risks should a design partner address on a large water-supply scheme in fractured Lake District geology?
Check with: United Utilities</t>
        </is>
      </c>
    </row>
    <row r="137" outlineLevel="1" ht="79" customHeight="1">
      <c r="A137" s="191" t="n">
        <v>71</v>
      </c>
      <c r="B137" s="192" t="n">
        <v>3</v>
      </c>
      <c r="C137"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37" s="194" t="inlineStr">
        <is>
          <t>Open article</t>
        </is>
      </c>
      <c r="E137" s="200" t="inlineStr">
        <is>
          <t>Academia-to-Industry topic</t>
        </is>
      </c>
      <c r="F137" s="196">
        <f>IFERROR(INDEX(Stories!$F$4:$F$195,MATCH($A137,Stories!$A$4:$A$195,0))&amp;"","")</f>
        <v/>
      </c>
      <c r="G137" s="197" t="inlineStr">
        <is>
          <t>한국일보</t>
        </is>
      </c>
      <c r="H137" s="198" t="n">
        <v>46321</v>
      </c>
      <c r="I137" s="197" t="inlineStr">
        <is>
          <t>Which field-proven ground investigation techniques could detect cavities and deteriorating foundations before sinkholes or elevated structure collapses occur?
Check with: the government ministry funding the disaster R&amp;D programme</t>
        </is>
      </c>
    </row>
    <row r="138" outlineLevel="1" ht="54" customHeight="1">
      <c r="A138" s="191" t="n">
        <v>36</v>
      </c>
      <c r="B138" s="192" t="n">
        <v>3</v>
      </c>
      <c r="C138" s="193" t="inlineStr">
        <is>
          <t>Aneka Jaringan Unit Bags MYR53 Million Bored Piling Works Deal</t>
        </is>
      </c>
      <c r="D138" s="194" t="inlineStr">
        <is>
          <t>Open article</t>
        </is>
      </c>
      <c r="E138" s="199" t="inlineStr">
        <is>
          <t>News brief</t>
        </is>
      </c>
      <c r="F138" s="196">
        <f>IFERROR(INDEX(Stories!$F$4:$F$195,MATCH($A138,Stories!$A$4:$A$195,0))&amp;"","")</f>
        <v/>
      </c>
      <c r="G138" s="197" t="inlineStr">
        <is>
          <t>www.marketscreener.com</t>
        </is>
      </c>
      <c r="H138" s="198" t="n">
        <v>46322</v>
      </c>
      <c r="I138" s="197" t="inlineStr">
        <is>
          <t>How do bored pile design and ground conditions in Kuala Lumpur's sedimentary profiles influence cost and risk on high-rise projects?
Check with: Aneka Jaringan Holdings</t>
        </is>
      </c>
    </row>
    <row r="139" outlineLevel="1" ht="54" customHeight="1">
      <c r="A139" s="191" t="n">
        <v>37</v>
      </c>
      <c r="B139" s="192" t="n">
        <v>3</v>
      </c>
      <c r="C139" s="193" t="inlineStr">
        <is>
          <t>Econpile bags RM24m piling contract for 53-storey KL development</t>
        </is>
      </c>
      <c r="D139" s="194" t="inlineStr">
        <is>
          <t>Open article</t>
        </is>
      </c>
      <c r="E139" s="199" t="inlineStr">
        <is>
          <t>News brief</t>
        </is>
      </c>
      <c r="F139" s="196">
        <f>IFERROR(INDEX(Stories!$F$4:$F$195,MATCH($A139,Stories!$A$4:$A$195,0))&amp;"","")</f>
        <v/>
      </c>
      <c r="G139" s="197" t="inlineStr">
        <is>
          <t>The Malaysian Reserve</t>
        </is>
      </c>
      <c r="H139" s="198" t="n">
        <v>46322</v>
      </c>
      <c r="I139" s="197" t="inlineStr">
        <is>
          <t>What ground investigation and pile testing are needed for a 53-storey tower on Kuala Lumpur ground, and how do they shape the piling contract?
Check with: Econpile Holdings</t>
        </is>
      </c>
    </row>
    <row r="140" outlineLevel="1" ht="54" customHeight="1">
      <c r="A140" s="191" t="n">
        <v>38</v>
      </c>
      <c r="B140" s="192" t="n">
        <v>3</v>
      </c>
      <c r="C140" s="193" t="inlineStr">
        <is>
          <t>Econpile secures RM24.4 million piling works contract for Kuala Lumpur serviced apartment project</t>
        </is>
      </c>
      <c r="D140" s="194" t="inlineStr">
        <is>
          <t>Open article</t>
        </is>
      </c>
      <c r="E140" s="205" t="inlineStr">
        <is>
          <t>Watch only</t>
        </is>
      </c>
      <c r="F140" s="196">
        <f>IFERROR(INDEX(Stories!$F$4:$F$195,MATCH($A140,Stories!$A$4:$A$195,0))&amp;"","")</f>
        <v/>
      </c>
      <c r="G140" s="197" t="inlineStr">
        <is>
          <t>Traders Union</t>
        </is>
      </c>
      <c r="H140" s="198" t="n">
        <v>46322</v>
      </c>
      <c r="I140" s="197" t="inlineStr">
        <is>
          <t>How does a piling works contract for a serviced apartment project reflect site ground conditions and the choice of pile type in Kuala Lumpur?
Check with: Econpile Holdings</t>
        </is>
      </c>
    </row>
    <row r="141" outlineLevel="1" ht="66.5" customHeight="1">
      <c r="A141" s="191" t="n">
        <v>39</v>
      </c>
      <c r="B141" s="192" t="n">
        <v>3</v>
      </c>
      <c r="C141" s="193" t="inlineStr">
        <is>
          <t>Aneka Jaringan secures RM53.35 mil piling contract for IOI Properties project</t>
        </is>
      </c>
      <c r="D141" s="194" t="inlineStr">
        <is>
          <t>Open article</t>
        </is>
      </c>
      <c r="E141" s="205" t="inlineStr">
        <is>
          <t>Watch only</t>
        </is>
      </c>
      <c r="F141" s="196">
        <f>IFERROR(INDEX(Stories!$F$4:$F$195,MATCH($A141,Stories!$A$4:$A$195,0))&amp;"","")</f>
        <v/>
      </c>
      <c r="G141" s="197" t="inlineStr">
        <is>
          <t>KLSE Screener</t>
        </is>
      </c>
      <c r="H141" s="198" t="n">
        <v>46322</v>
      </c>
      <c r="I141" s="197" t="inlineStr">
        <is>
          <t>What ground conditions and pile design choices drive the piling scope on this IOI Properties development in Malaysia?
Check with: Aneka Jaringan Holdings and IOI Properties</t>
        </is>
      </c>
    </row>
    <row r="142" outlineLevel="1" ht="66.5" customHeight="1">
      <c r="A142" s="191" t="n">
        <v>75</v>
      </c>
      <c r="B142" s="192" t="n">
        <v>3</v>
      </c>
      <c r="C142"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42" s="194" t="inlineStr">
        <is>
          <t>Open article</t>
        </is>
      </c>
      <c r="E142" s="199" t="inlineStr">
        <is>
          <t>News brief</t>
        </is>
      </c>
      <c r="F142" s="196">
        <f>IFERROR(INDEX(Stories!$F$4:$F$195,MATCH($A142,Stories!$A$4:$A$195,0))&amp;"","")</f>
        <v/>
      </c>
      <c r="G142" s="197" t="inlineStr">
        <is>
          <t>Новости Воронежа интернет-газета</t>
        </is>
      </c>
      <c r="H142" s="198" t="n">
        <v>46321</v>
      </c>
      <c r="I142" s="197" t="inlineStr">
        <is>
          <t>What ground conditions and excavation support measures govern safe repair of a buried collector in soft urban soils?
Check with: Voronezh city water utility (Voronezhvodokanal)</t>
        </is>
      </c>
    </row>
    <row r="143" outlineLevel="1" ht="66.5" customHeight="1">
      <c r="A143" s="191" t="n">
        <v>76</v>
      </c>
      <c r="B143" s="192" t="n">
        <v>3</v>
      </c>
      <c r="C143" s="193" t="inlineStr">
        <is>
          <t>Alóag-Santo Domingo road has controlled passage after landslide at km 35
(English headline translated by Claude · Original: Vía Alóag-Santo Domingo tiene paso controlado tras deslizamiento en el km 35)</t>
        </is>
      </c>
      <c r="D143" s="194" t="inlineStr">
        <is>
          <t>Open article</t>
        </is>
      </c>
      <c r="E143" s="199" t="inlineStr">
        <is>
          <t>News brief</t>
        </is>
      </c>
      <c r="F143" s="196">
        <f>IFERROR(INDEX(Stories!$F$4:$F$195,MATCH($A143,Stories!$A$4:$A$195,0))&amp;"","")</f>
        <v/>
      </c>
      <c r="G143" s="197" t="inlineStr">
        <is>
          <t>El Comercio</t>
        </is>
      </c>
      <c r="H143" s="198" t="n">
        <v>46321</v>
      </c>
      <c r="I143" s="197" t="inlineStr">
        <is>
          <t>What slope monitoring and remediation are needed on a major highway section where slides repeatedly force controlled traffic?
Check with: Ecuador's transport ministry (MTOP)</t>
        </is>
      </c>
    </row>
    <row r="144" outlineLevel="1" ht="54" customHeight="1">
      <c r="A144" s="191" t="n">
        <v>77</v>
      </c>
      <c r="B144" s="192" t="n">
        <v>3</v>
      </c>
      <c r="C144" s="193" t="inlineStr">
        <is>
          <t>Riobamba–Penipe–Baños road reopened after landslide
(English headline translated by Claude · Original: Vía Riobamba–Penipe–Baños fue habilitada tras deslizamiento)</t>
        </is>
      </c>
      <c r="D144" s="194" t="inlineStr">
        <is>
          <t>Open article</t>
        </is>
      </c>
      <c r="E144" s="199" t="inlineStr">
        <is>
          <t>News brief</t>
        </is>
      </c>
      <c r="F144" s="196">
        <f>IFERROR(INDEX(Stories!$F$4:$F$195,MATCH($A144,Stories!$A$4:$A$195,0))&amp;"","")</f>
        <v/>
      </c>
      <c r="G144" s="197" t="inlineStr">
        <is>
          <t>diariolosandes.com.ec</t>
        </is>
      </c>
      <c r="H144" s="198" t="n">
        <v>46321</v>
      </c>
      <c r="I144" s="197" t="inlineStr">
        <is>
          <t>How should a mountain road reopened after a slide be assessed for residual hazard and re-failure risk?
Check with: Chimborazo provincial road authority (MTOP)</t>
        </is>
      </c>
    </row>
    <row r="145" outlineLevel="1" ht="66.5" customHeight="1">
      <c r="A145" s="191" t="n">
        <v>78</v>
      </c>
      <c r="B145" s="192" t="n">
        <v>3</v>
      </c>
      <c r="C145" s="193" t="inlineStr">
        <is>
          <t>Áncash: landslide damaged 15 meters of local road in Shupluy
(English headline translated by Claude · Original: Áncash: deslizamiento de tierra dañó 15 metros de vía vecinal en Shupluy -)</t>
        </is>
      </c>
      <c r="D145" s="194" t="inlineStr">
        <is>
          <t>Open article</t>
        </is>
      </c>
      <c r="E145" s="199" t="inlineStr">
        <is>
          <t>News brief</t>
        </is>
      </c>
      <c r="F145" s="196">
        <f>IFERROR(INDEX(Stories!$F$4:$F$195,MATCH($A145,Stories!$A$4:$A$195,0))&amp;"","")</f>
        <v/>
      </c>
      <c r="G145" s="197" t="inlineStr">
        <is>
          <t>luminanoticias.pe</t>
        </is>
      </c>
      <c r="H145" s="198" t="n">
        <v>46321</v>
      </c>
      <c r="I145" s="197" t="inlineStr">
        <is>
          <t>What drainage and slope protection would keep a rural access road operational during Andean rainy seasons?
Check with: Áncash regional government road authority</t>
        </is>
      </c>
    </row>
    <row r="146" outlineLevel="1" ht="66.5" customHeight="1">
      <c r="A146" s="191" t="n">
        <v>79</v>
      </c>
      <c r="B146" s="192" t="n">
        <v>3</v>
      </c>
      <c r="C146" s="193" t="inlineStr">
        <is>
          <t>Pickup truck stranded in sinkhole in Fronteriza neighborhood in Juárez
(English headline translated by Claude · Original: Camioneta varada en socavón de la colonia Fronteriza en Juárez)</t>
        </is>
      </c>
      <c r="D146" s="194" t="inlineStr">
        <is>
          <t>Open article</t>
        </is>
      </c>
      <c r="E146" s="199" t="inlineStr">
        <is>
          <t>News brief</t>
        </is>
      </c>
      <c r="F146" s="196">
        <f>IFERROR(INDEX(Stories!$F$4:$F$195,MATCH($A146,Stories!$A$4:$A$195,0))&amp;"","")</f>
        <v/>
      </c>
      <c r="G146" s="197" t="inlineStr">
        <is>
          <t>Netnoticias.mx</t>
        </is>
      </c>
      <c r="H146" s="198" t="n">
        <v>46321</v>
      </c>
      <c r="I146" s="197" t="inlineStr">
        <is>
          <t>What failure mechanisms allow a road surface to collapse under a vehicle in a neighbourhood with poor drainage, and what subsurface survey would identify such voids before vehicles are trapped?
Check with: Ciudad Juárez municipal government</t>
        </is>
      </c>
    </row>
    <row r="147" outlineLevel="1" ht="66.5" customHeight="1">
      <c r="A147" s="191" t="n">
        <v>80</v>
      </c>
      <c r="B147" s="192" t="n">
        <v>3</v>
      </c>
      <c r="C147" s="193" t="inlineStr">
        <is>
          <t>Repair of sinkhole on Terrazas del Valle bridge starts tomorrow
(English headline translated by Claude · Original: Mañana inicia la reparación del socavón en el puente Terrazas del Valle)</t>
        </is>
      </c>
      <c r="D147" s="194" t="inlineStr">
        <is>
          <t>Open article</t>
        </is>
      </c>
      <c r="E147" s="199" t="inlineStr">
        <is>
          <t>News brief</t>
        </is>
      </c>
      <c r="F147" s="196">
        <f>IFERROR(INDEX(Stories!$F$4:$F$195,MATCH($A147,Stories!$A$4:$A$195,0))&amp;"","")</f>
        <v/>
      </c>
      <c r="G147" s="197" t="inlineStr">
        <is>
          <t>Punto Norte</t>
        </is>
      </c>
      <c r="H147" s="198" t="n">
        <v>46321</v>
      </c>
      <c r="I147" s="197" t="inlineStr">
        <is>
          <t>What causes a sinkhole to form at a bridge abutment or approach, and what foundation and backfill investigation should precede a repair to prevent recurrence?
Check with: municipal public works department</t>
        </is>
      </c>
    </row>
    <row r="148" outlineLevel="1" ht="66.5" customHeight="1">
      <c r="A148" s="191" t="n">
        <v>81</v>
      </c>
      <c r="B148" s="192" t="n">
        <v>3</v>
      </c>
      <c r="C148" s="193" t="inlineStr">
        <is>
          <t>Heavy rains cause landslide on access to SP-294 in Garça
(English headline translated by Claude · Original: Fortes chuvas provocam deslizamento de terra em acesso da SP-294 em Garça)</t>
        </is>
      </c>
      <c r="D148" s="194" t="inlineStr">
        <is>
          <t>Open article</t>
        </is>
      </c>
      <c r="E148" s="199" t="inlineStr">
        <is>
          <t>News brief</t>
        </is>
      </c>
      <c r="F148" s="196">
        <f>IFERROR(INDEX(Stories!$F$4:$F$195,MATCH($A148,Stories!$A$4:$A$195,0))&amp;"","")</f>
        <v/>
      </c>
      <c r="G148" s="197" t="inlineStr">
        <is>
          <t>Marília Notícia</t>
        </is>
      </c>
      <c r="H148" s="198" t="n">
        <v>46321</v>
      </c>
      <c r="I148" s="197" t="inlineStr">
        <is>
          <t>What causes a cut or embankment on a state highway access road to fail under heavy rain, and what stabilisation is appropriate for such slopes?
Check with: DER-SP (São Paulo state roads department)</t>
        </is>
      </c>
    </row>
    <row r="149" outlineLevel="1" ht="66.5" customHeight="1">
      <c r="A149" s="191" t="n">
        <v>82</v>
      </c>
      <c r="B149" s="192" t="n">
        <v>3</v>
      </c>
      <c r="C149" s="193" t="inlineStr">
        <is>
          <t>Landslide and trees block highway between Tatuí and Boituva
(English headline translated by Claude · Original: Deslizamento de terra e árvores bloqueia rodovia entre Tatuí e Boituva)</t>
        </is>
      </c>
      <c r="D149" s="194" t="inlineStr">
        <is>
          <t>Open article</t>
        </is>
      </c>
      <c r="E149" s="199" t="inlineStr">
        <is>
          <t>News brief</t>
        </is>
      </c>
      <c r="F149" s="196">
        <f>IFERROR(INDEX(Stories!$F$4:$F$195,MATCH($A149,Stories!$A$4:$A$195,0))&amp;"","")</f>
        <v/>
      </c>
      <c r="G149" s="197" t="inlineStr">
        <is>
          <t>G1</t>
        </is>
      </c>
      <c r="H149" s="198" t="n">
        <v>46321</v>
      </c>
      <c r="I149" s="197" t="inlineStr">
        <is>
          <t>What triggered a slope to shed soil and vegetation onto a regional highway, and what slope inspection would prevent repeated closures on this route?
Check with: DER-SP (São Paulo state roads department)</t>
        </is>
      </c>
    </row>
    <row r="150" outlineLevel="1" ht="54" customHeight="1">
      <c r="A150" s="191" t="n">
        <v>83</v>
      </c>
      <c r="B150" s="192" t="n">
        <v>3</v>
      </c>
      <c r="C150" s="193" t="inlineStr">
        <is>
          <t>Landslide closes highway between Realeza and Planalto
(English headline translated by Claude · Original: Deslizamento de terra interdita rodovia entre Realeza e Planalto)</t>
        </is>
      </c>
      <c r="D150" s="194" t="inlineStr">
        <is>
          <t>Open article</t>
        </is>
      </c>
      <c r="E150" s="199" t="inlineStr">
        <is>
          <t>News brief</t>
        </is>
      </c>
      <c r="F150" s="196">
        <f>IFERROR(INDEX(Stories!$F$4:$F$195,MATCH($A150,Stories!$A$4:$A$195,0))&amp;"","")</f>
        <v/>
      </c>
      <c r="G150" s="197" t="inlineStr">
        <is>
          <t>Jornal Novo Tempo</t>
        </is>
      </c>
      <c r="H150" s="198" t="n">
        <v>46321</v>
      </c>
      <c r="I150" s="197" t="inlineStr">
        <is>
          <t>Why do rural highway cuts in this region fail during rain, and what slope stability assessment would inform repair and prevent future interdictions?
Check with: DER-PR (Paraná state roads department)</t>
        </is>
      </c>
    </row>
    <row r="151" outlineLevel="1" ht="66.5" customHeight="1">
      <c r="A151" s="191" t="n">
        <v>84</v>
      </c>
      <c r="B151" s="192" t="n">
        <v>3</v>
      </c>
      <c r="C151" s="193" t="inlineStr">
        <is>
          <t>BR-277 reopened after landslide in Serra da Esperança, in Guarapuava
(English headline translated by Claude · Original: BR-277 é liberada após deslizamento de terra na Serra da Esperança, em Guarapuava)</t>
        </is>
      </c>
      <c r="D151" s="194" t="inlineStr">
        <is>
          <t>Open article</t>
        </is>
      </c>
      <c r="E151" s="199" t="inlineStr">
        <is>
          <t>News brief</t>
        </is>
      </c>
      <c r="F151" s="196">
        <f>IFERROR(INDEX(Stories!$F$4:$F$195,MATCH($A151,Stories!$A$4:$A$195,0))&amp;"","")</f>
        <v/>
      </c>
      <c r="G151" s="197" t="inlineStr">
        <is>
          <t>Catve</t>
        </is>
      </c>
      <c r="H151" s="198" t="n">
        <v>46321</v>
      </c>
      <c r="I151" s="197" t="inlineStr">
        <is>
          <t>What triggered the mountain slope failure on this highway, and what monitoring and remediation would reduce the time the route is closed after storms?
Check with: DNIT and the BR-277 concessionaire</t>
        </is>
      </c>
    </row>
    <row r="152" outlineLevel="1" ht="54" customHeight="1">
      <c r="A152" s="191" t="n">
        <v>85</v>
      </c>
      <c r="B152" s="192" t="n">
        <v>3</v>
      </c>
      <c r="C152" s="193" t="inlineStr">
        <is>
          <t>Landslide at Km 43 in Cajamar puts drivers on alert
(English headline translated by Claude · Original: Deslizamento de terra no Km 43, em Cajamar, coloca motoristas em alerta)</t>
        </is>
      </c>
      <c r="D152" s="194" t="inlineStr">
        <is>
          <t>Open article</t>
        </is>
      </c>
      <c r="E152" s="199" t="inlineStr">
        <is>
          <t>News brief</t>
        </is>
      </c>
      <c r="F152" s="196">
        <f>IFERROR(INDEX(Stories!$F$4:$F$195,MATCH($A152,Stories!$A$4:$A$195,0))&amp;"","")</f>
        <v/>
      </c>
      <c r="G152" s="197" t="inlineStr">
        <is>
          <t>JORNAL DA REGIÃO</t>
        </is>
      </c>
      <c r="H152" s="198" t="n">
        <v>46321</v>
      </c>
      <c r="I152" s="197" t="inlineStr">
        <is>
          <t>What caused soil to slide onto this highway cut, and what slope inspection and drainage check should follow before traffic is fully normal?
Check with: DER-SP and the road concessionaire</t>
        </is>
      </c>
    </row>
    <row r="153" outlineLevel="1" ht="66.5" customHeight="1">
      <c r="A153" s="191" t="n">
        <v>121</v>
      </c>
      <c r="B153" s="192" t="n">
        <v>3</v>
      </c>
      <c r="C153" s="193" t="inlineStr">
        <is>
          <t>A sinkhole in Cerro fills with water and threatens pedestrians and drivers after rains
(English headline translated by Claude · Original: Un socavón en Cerro se llena de agua y amenaza a peatones y conductores tras las lluvias)</t>
        </is>
      </c>
      <c r="D153" s="194" t="inlineStr">
        <is>
          <t>Open article</t>
        </is>
      </c>
      <c r="E153" s="199" t="inlineStr">
        <is>
          <t>News brief</t>
        </is>
      </c>
      <c r="F153" s="196">
        <f>IFERROR(INDEX(Stories!$F$4:$F$195,MATCH($A153,Stories!$A$4:$A$195,0))&amp;"","")</f>
        <v/>
      </c>
      <c r="G153" s="197" t="inlineStr">
        <is>
          <t>Infobae</t>
        </is>
      </c>
      <c r="H153" s="198" t="n">
        <v>46320</v>
      </c>
      <c r="I153" s="197" t="inlineStr">
        <is>
          <t>What causes water-filled sinkholes to form in urban ground after rainfall, and how should pedestrian and traffic exclusion zones be set?</t>
        </is>
      </c>
    </row>
    <row r="154" outlineLevel="1" ht="54" customHeight="1">
      <c r="A154" s="191" t="n">
        <v>122</v>
      </c>
      <c r="B154" s="192" t="n">
        <v>3</v>
      </c>
      <c r="C154" s="193" t="inlineStr">
        <is>
          <t>A sinkhole trapped an ambulance transporting a patient
(English headline translated by Claude · Original: Un socavón dejó atrapada a una ambulancia que trasladaba a una paciente)</t>
        </is>
      </c>
      <c r="D154" s="194" t="inlineStr">
        <is>
          <t>Open article</t>
        </is>
      </c>
      <c r="E154" s="199" t="inlineStr">
        <is>
          <t>News brief</t>
        </is>
      </c>
      <c r="F154" s="196">
        <f>IFERROR(INDEX(Stories!$F$4:$F$195,MATCH($A154,Stories!$A$4:$A$195,0))&amp;"","")</f>
        <v/>
      </c>
      <c r="G154" s="197" t="inlineStr">
        <is>
          <t>Diario 7 lagos</t>
        </is>
      </c>
      <c r="H154" s="198" t="n">
        <v>46320</v>
      </c>
      <c r="I154" s="197" t="inlineStr">
        <is>
          <t>What ground investigation is needed to explain sudden road sinkholes that trap emergency vehicles on mountain-road pavements?</t>
        </is>
      </c>
    </row>
    <row r="155" outlineLevel="1" ht="66.5" customHeight="1">
      <c r="A155" s="191" t="n">
        <v>123</v>
      </c>
      <c r="B155" s="192" t="n">
        <v>3</v>
      </c>
      <c r="C155" s="193" t="inlineStr">
        <is>
          <t>Sinkhole endangers motorists and pedestrians in the 21 de Marzo neighbourhood
(English headline translated by Claude · Original: Socavón pone en riesgo a automovilistas y peatones en la colonia 21 de Marzo)</t>
        </is>
      </c>
      <c r="D155" s="194" t="inlineStr">
        <is>
          <t>Open article</t>
        </is>
      </c>
      <c r="E155" s="199" t="inlineStr">
        <is>
          <t>News brief</t>
        </is>
      </c>
      <c r="F155" s="196">
        <f>IFERROR(INDEX(Stories!$F$4:$F$195,MATCH($A155,Stories!$A$4:$A$195,0))&amp;"","")</f>
        <v/>
      </c>
      <c r="G155" s="197" t="inlineStr">
        <is>
          <t>El Sol de México</t>
        </is>
      </c>
      <c r="H155" s="198" t="n">
        <v>46320</v>
      </c>
      <c r="I155" s="197" t="inlineStr">
        <is>
          <t>What are the likely causes of urban road sinkholes, such as leaking pipes or subsurface erosion, and how should they be detected early?</t>
        </is>
      </c>
    </row>
    <row r="156" outlineLevel="1" ht="41.5" customHeight="1">
      <c r="A156" s="191" t="n">
        <v>124</v>
      </c>
      <c r="B156" s="192" t="n">
        <v>3</v>
      </c>
      <c r="C156" s="193" t="inlineStr">
        <is>
          <t>Government abandons community with an enormous sinkhole
(English headline translated by Claude · Original: Gobierno abandona comunidad con un enorme socavón)</t>
        </is>
      </c>
      <c r="D156" s="194" t="inlineStr">
        <is>
          <t>Open article</t>
        </is>
      </c>
      <c r="E156" s="205" t="inlineStr">
        <is>
          <t>Watch only</t>
        </is>
      </c>
      <c r="F156" s="196">
        <f>IFERROR(INDEX(Stories!$F$4:$F$195,MATCH($A156,Stories!$A$4:$A$195,0))&amp;"","")</f>
        <v/>
      </c>
      <c r="G156" s="197" t="inlineStr">
        <is>
          <t>emsavalles.com</t>
        </is>
      </c>
      <c r="H156" s="198" t="n">
        <v>46320</v>
      </c>
      <c r="I156" s="197" t="inlineStr">
        <is>
          <t>Large community sinkhole left without official remediation; the geotechnical cause and responsibility for investigation remain open.</t>
        </is>
      </c>
    </row>
    <row r="157" outlineLevel="1" ht="41.5" customHeight="1">
      <c r="A157" s="191" t="n">
        <v>125</v>
      </c>
      <c r="B157" s="192" t="n">
        <v>3</v>
      </c>
      <c r="C157" s="193" t="inlineStr">
        <is>
          <t>Sinkhole repair will close Route 241 in Lebanon County for a week</t>
        </is>
      </c>
      <c r="D157" s="194" t="inlineStr">
        <is>
          <t>Open article</t>
        </is>
      </c>
      <c r="E157" s="199" t="inlineStr">
        <is>
          <t>News brief</t>
        </is>
      </c>
      <c r="F157" s="196">
        <f>IFERROR(INDEX(Stories!$F$4:$F$195,MATCH($A157,Stories!$A$4:$A$195,0))&amp;"","")</f>
        <v/>
      </c>
      <c r="G157" s="197" t="inlineStr">
        <is>
          <t>ABC27</t>
        </is>
      </c>
      <c r="H157" s="198" t="n">
        <v>46320</v>
      </c>
      <c r="I157" s="197" t="inlineStr">
        <is>
          <t>What causes sinkholes under pavement in karst or mined ground, and which investigation methods would have identified the void before the road failed?</t>
        </is>
      </c>
    </row>
    <row r="158" outlineLevel="1" ht="66.5" customHeight="1">
      <c r="A158" s="191" t="n">
        <v>184</v>
      </c>
      <c r="B158" s="192" t="n">
        <v>3</v>
      </c>
      <c r="C158"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58" s="194" t="inlineStr">
        <is>
          <t>Open article</t>
        </is>
      </c>
      <c r="E158" s="199" t="inlineStr">
        <is>
          <t>News brief</t>
        </is>
      </c>
      <c r="F158" s="196">
        <f>IFERROR(INDEX(Stories!$F$4:$F$195,MATCH($A158,Stories!$A$4:$A$195,0))&amp;"","")</f>
        <v/>
      </c>
      <c r="G158" s="197" t="inlineStr">
        <is>
          <t>Самарская газета</t>
        </is>
      </c>
      <c r="H158" s="198" t="n">
        <v>46319</v>
      </c>
      <c r="I158" s="197" t="inlineStr">
        <is>
          <t>What causes retaining-wall deterioration on urban slopes like Samara's, and how should restoration design address overall slope stability?</t>
        </is>
      </c>
    </row>
    <row r="159" outlineLevel="1" ht="41.5" customHeight="1">
      <c r="A159" s="191" t="n">
        <v>185</v>
      </c>
      <c r="B159" s="192" t="n">
        <v>3</v>
      </c>
      <c r="C159" s="193" t="inlineStr">
        <is>
          <t>Escobedo begins repair of sinkhole
(English headline translated by Claude · Original: Inicia Escobedo reparación de socavón)</t>
        </is>
      </c>
      <c r="D159" s="194" t="inlineStr">
        <is>
          <t>Open article</t>
        </is>
      </c>
      <c r="E159" s="199" t="inlineStr">
        <is>
          <t>News brief</t>
        </is>
      </c>
      <c r="F159" s="196">
        <f>IFERROR(INDEX(Stories!$F$4:$F$195,MATCH($A159,Stories!$A$4:$A$195,0))&amp;"","")</f>
        <v/>
      </c>
      <c r="G159" s="197" t="inlineStr">
        <is>
          <t>Detona, Real News</t>
        </is>
      </c>
      <c r="H159" s="198" t="n">
        <v>46319</v>
      </c>
      <c r="I159" s="197" t="inlineStr">
        <is>
          <t>What investigation and grouting methods are used to repair urban sinkholes like the one in Escobedo?</t>
        </is>
      </c>
    </row>
    <row r="160" outlineLevel="1" ht="41.5" customHeight="1">
      <c r="A160" s="191" t="n">
        <v>186</v>
      </c>
      <c r="B160" s="192" t="n">
        <v>3</v>
      </c>
      <c r="C160" s="193" t="inlineStr">
        <is>
          <t>Center attends sinkhole in Casa Blanca
(English headline translated by Claude · Original: Centro atiende socavón en Casa Blanca)</t>
        </is>
      </c>
      <c r="D160" s="194" t="inlineStr">
        <is>
          <t>Open article</t>
        </is>
      </c>
      <c r="E160" s="199" t="inlineStr">
        <is>
          <t>News brief</t>
        </is>
      </c>
      <c r="F160" s="196">
        <f>IFERROR(INDEX(Stories!$F$4:$F$195,MATCH($A160,Stories!$A$4:$A$195,0))&amp;"","")</f>
        <v/>
      </c>
      <c r="G160" s="197" t="inlineStr">
        <is>
          <t>Tabasco HOY</t>
        </is>
      </c>
      <c r="H160" s="198" t="n">
        <v>46319</v>
      </c>
      <c r="I160" s="197" t="inlineStr">
        <is>
          <t>What subsurface causes are likely behind the Casa Blanca sinkhole, and how should emergency response proceed?</t>
        </is>
      </c>
    </row>
    <row r="161" outlineLevel="1" ht="54" customHeight="1">
      <c r="A161" s="191" t="n">
        <v>187</v>
      </c>
      <c r="B161" s="192" t="n">
        <v>3</v>
      </c>
      <c r="C161" s="193" t="inlineStr">
        <is>
          <t>Sinkhole forms at top of underpass in Francisco I. Madero
(English headline translated by Claude · Original: Se origina socavón en la parte superior del paso a desnivel en Francisco I. Madero)</t>
        </is>
      </c>
      <c r="D161" s="194" t="inlineStr">
        <is>
          <t>Open article</t>
        </is>
      </c>
      <c r="E161" s="199" t="inlineStr">
        <is>
          <t>News brief</t>
        </is>
      </c>
      <c r="F161" s="196">
        <f>IFERROR(INDEX(Stories!$F$4:$F$195,MATCH($A161,Stories!$A$4:$A$195,0))&amp;"","")</f>
        <v/>
      </c>
      <c r="G161" s="197" t="inlineStr">
        <is>
          <t>El Siglo de Torreón</t>
        </is>
      </c>
      <c r="H161" s="198" t="n">
        <v>46319</v>
      </c>
      <c r="I161" s="197" t="inlineStr">
        <is>
          <t>What ground movements and drainage failures beneath an underpass cause sinkholes at its top surface?</t>
        </is>
      </c>
    </row>
    <row r="162" outlineLevel="1" ht="41.5" customHeight="1">
      <c r="A162" s="191" t="n">
        <v>188</v>
      </c>
      <c r="B162" s="192" t="n">
        <v>3</v>
      </c>
      <c r="C162" s="193" t="inlineStr">
        <is>
          <t>Ambulance left hanging in a sinkhole in Aucapán rescued
(English headline translated by Claude · Original: Rescatan ambulancia que quedó colgada en un socavón en Aucapán)</t>
        </is>
      </c>
      <c r="D162" s="194" t="inlineStr">
        <is>
          <t>Open article</t>
        </is>
      </c>
      <c r="E162" s="199" t="inlineStr">
        <is>
          <t>News brief</t>
        </is>
      </c>
      <c r="F162" s="196">
        <f>IFERROR(INDEX(Stories!$F$4:$F$195,MATCH($A162,Stories!$A$4:$A$195,0))&amp;"","")</f>
        <v/>
      </c>
      <c r="G162" s="197" t="inlineStr">
        <is>
          <t>Realidad Sanmartinense</t>
        </is>
      </c>
      <c r="H162" s="198" t="n">
        <v>46319</v>
      </c>
      <c r="I162" s="197" t="inlineStr">
        <is>
          <t>How do soil loss and void formation under a road lead to vehicles hanging over sinkholes, and what rescue precautions apply?</t>
        </is>
      </c>
    </row>
    <row r="163" outlineLevel="1" ht="66.5" customHeight="1">
      <c r="A163" s="191" t="n">
        <v>40</v>
      </c>
      <c r="B163" s="192" t="n">
        <v>3</v>
      </c>
      <c r="C163" s="193" t="inlineStr">
        <is>
          <t>Lang Be road embankment construction progressing slowly
(English headline translated by Claude · Original: Строительство дорожной насыпи Лан Бе продвигается медленными темпами.)</t>
        </is>
      </c>
      <c r="D163" s="194" t="inlineStr">
        <is>
          <t>Open article</t>
        </is>
      </c>
      <c r="E163" s="199" t="inlineStr">
        <is>
          <t>News brief</t>
        </is>
      </c>
      <c r="F163" s="196">
        <f>IFERROR(INDEX(Stories!$F$4:$F$195,MATCH($A163,Stories!$A$4:$A$195,0))&amp;"","")</f>
        <v/>
      </c>
      <c r="G163" s="197" t="inlineStr">
        <is>
          <t>Vietnam.vn</t>
        </is>
      </c>
      <c r="H163" s="198" t="n">
        <v>46322</v>
      </c>
      <c r="I163" s="197" t="inlineStr">
        <is>
          <t>Why do road embankments on soft ground in the Lang Be area progress slowly, and what settlement and stability monitoring would explain the delays?
Check with: the Hanoi project management board responsible for the Lang Be road</t>
        </is>
      </c>
    </row>
    <row r="164" outlineLevel="1" ht="41.5" customHeight="1">
      <c r="A164" s="191" t="n">
        <v>126</v>
      </c>
      <c r="B164" s="192" t="n">
        <v>3</v>
      </c>
      <c r="C164" s="193" t="inlineStr">
        <is>
          <t>TBMs to be produced under Aatmanirbhar Bharat, says Ashwini Vaishnaw</t>
        </is>
      </c>
      <c r="D164" s="194" t="inlineStr">
        <is>
          <t>Open article</t>
        </is>
      </c>
      <c r="E164" s="199" t="inlineStr">
        <is>
          <t>News brief</t>
        </is>
      </c>
      <c r="F164" s="196">
        <f>IFERROR(INDEX(Stories!$F$4:$F$195,MATCH($A164,Stories!$A$4:$A$195,0))&amp;"","")</f>
        <v/>
      </c>
      <c r="G164" s="197" t="inlineStr">
        <is>
          <t>The Hindu</t>
        </is>
      </c>
      <c r="H164" s="198" t="n">
        <v>46320</v>
      </c>
      <c r="I164" s="197" t="inlineStr">
        <is>
          <t>How does local manufacturing of tunnel boring machines affect the technical adaptation of TBMs to varied ground conditions in India's tunnelling projects?</t>
        </is>
      </c>
    </row>
    <row r="165" outlineLevel="1" ht="66.5" customHeight="1">
      <c r="A165" s="191" t="n">
        <v>42</v>
      </c>
      <c r="B165" s="192" t="n">
        <v>3</v>
      </c>
      <c r="C165" s="193" t="inlineStr">
        <is>
          <t>Capital Group begins installing strut system for MASTERS house excavation
(English headline translated by Claude · Original: Capital Group начала монтаж распорной системы котлована дома МАСТЕРС)</t>
        </is>
      </c>
      <c r="D165" s="194" t="inlineStr">
        <is>
          <t>Open article</t>
        </is>
      </c>
      <c r="E165" s="199" t="inlineStr">
        <is>
          <t>News brief</t>
        </is>
      </c>
      <c r="F165" s="196">
        <f>IFERROR(INDEX(Stories!$F$4:$F$195,MATCH($A165,Stories!$A$4:$A$195,0))&amp;"","")</f>
        <v/>
      </c>
      <c r="G165" s="197" t="inlineStr">
        <is>
          <t>Движение.ру</t>
        </is>
      </c>
      <c r="H165" s="198" t="n">
        <v>46322</v>
      </c>
      <c r="I165" s="197" t="inlineStr">
        <is>
          <t>How do strut systems control wall movements in a Moscow excavation, and what monitoring confirms that adjacent ground stays within limits?
Check with: Capital Group</t>
        </is>
      </c>
    </row>
    <row r="166" outlineLevel="1" ht="91.5" customHeight="1">
      <c r="A166" s="191" t="n">
        <v>129</v>
      </c>
      <c r="B166" s="192" t="n">
        <v>3</v>
      </c>
      <c r="C166"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166" s="194" t="inlineStr">
        <is>
          <t>Open article</t>
        </is>
      </c>
      <c r="E166" s="199" t="inlineStr">
        <is>
          <t>News brief</t>
        </is>
      </c>
      <c r="F166" s="196">
        <f>IFERROR(INDEX(Stories!$F$4:$F$195,MATCH($A166,Stories!$A$4:$A$195,0))&amp;"","")</f>
        <v/>
      </c>
      <c r="G166" s="197" t="inlineStr">
        <is>
          <t>El Portal de Chicoloapan</t>
        </is>
      </c>
      <c r="H166" s="198" t="n">
        <v>46320</v>
      </c>
      <c r="I166" s="197" t="inlineStr">
        <is>
          <t>Why did the newly paved street develop a subsidence in front of a private road, and how could trench backfill and compaction have prevented it?</t>
        </is>
      </c>
    </row>
    <row r="167" outlineLevel="1" ht="54" customHeight="1">
      <c r="A167" s="191" t="n">
        <v>130</v>
      </c>
      <c r="B167" s="192" t="n">
        <v>3</v>
      </c>
      <c r="C167" s="193" t="inlineStr">
        <is>
          <t>Experts comment on the plan to level Mot Mountain in Quy Nhon
(English headline translated by Claude · Original: 전문가들이 꾸이년의 못산을 평탄화하려는 계획에 대해 의견을 밝혔다.)</t>
        </is>
      </c>
      <c r="D167" s="194" t="inlineStr">
        <is>
          <t>Open article</t>
        </is>
      </c>
      <c r="E167" s="195" t="inlineStr">
        <is>
          <t>Feature lead</t>
        </is>
      </c>
      <c r="F167" s="196">
        <f>IFERROR(INDEX(Stories!$F$4:$F$195,MATCH($A167,Stories!$A$4:$A$195,0))&amp;"","")</f>
        <v/>
      </c>
      <c r="G167" s="197" t="inlineStr">
        <is>
          <t>Vietnam.vn</t>
        </is>
      </c>
      <c r="H167" s="198" t="n">
        <v>46320</v>
      </c>
      <c r="I167" s="197" t="inlineStr">
        <is>
          <t>What geotechnical challenges arise in levelling a hill in Quy Nhon, including slope stability, cut volumes, and the reuse of excavated soil?</t>
        </is>
      </c>
    </row>
    <row r="168" outlineLevel="1" ht="66.5" customHeight="1">
      <c r="A168" s="191" t="n">
        <v>131</v>
      </c>
      <c r="B168" s="192" t="n">
        <v>3</v>
      </c>
      <c r="C168"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168" s="194" t="inlineStr">
        <is>
          <t>Open article</t>
        </is>
      </c>
      <c r="E168" s="199" t="inlineStr">
        <is>
          <t>News brief</t>
        </is>
      </c>
      <c r="F168" s="196">
        <f>IFERROR(INDEX(Stories!$F$4:$F$195,MATCH($A168,Stories!$A$4:$A$195,0))&amp;"","")</f>
        <v/>
      </c>
      <c r="G168" s="197" t="inlineStr">
        <is>
          <t>Новости Воронежа интернет-газета</t>
        </is>
      </c>
      <c r="H168" s="198" t="n">
        <v>46320</v>
      </c>
      <c r="I168" s="197" t="inlineStr">
        <is>
          <t>How do ground movements or soil conditions around urban collector pipes cause damage, and what should guide repair and reinstatement works?</t>
        </is>
      </c>
    </row>
    <row r="169" outlineLevel="1" ht="66.5" customHeight="1">
      <c r="A169" s="191" t="n">
        <v>132</v>
      </c>
      <c r="B169" s="192" t="n">
        <v>3</v>
      </c>
      <c r="C169" s="193" t="inlineStr">
        <is>
          <t>Experts weigh in on proposal to level Mot Mountain in Quy Nhon
(English headline translated by Claude · Original: Para ahli angkat bicara tentang usulan untuk meratakan Gunung Mot di Quy Nhon.)</t>
        </is>
      </c>
      <c r="D169" s="194" t="inlineStr">
        <is>
          <t>Open article</t>
        </is>
      </c>
      <c r="E169" s="210" t="inlineStr">
        <is>
          <t>Regional insight</t>
        </is>
      </c>
      <c r="F169" s="196">
        <f>IFERROR(INDEX(Stories!$F$4:$F$195,MATCH($A169,Stories!$A$4:$A$195,0))&amp;"","")</f>
        <v/>
      </c>
      <c r="G169" s="197" t="inlineStr">
        <is>
          <t>Vietnam.vn</t>
        </is>
      </c>
      <c r="H169" s="198" t="n">
        <v>46320</v>
      </c>
      <c r="I169" s="197" t="inlineStr">
        <is>
          <t>How can slope stability, rock cutting and geohazard risks be assessed when a coastal hill is proposed for levelling in an urban area?</t>
        </is>
      </c>
    </row>
    <row r="170" outlineLevel="1" ht="10" customHeight="1"/>
    <row r="171" ht="26" customHeight="1">
      <c r="A171" s="219" t="inlineStr">
        <is>
          <t>Offshore, Coasts &amp; Water   ·   22 stories   ·   1 rated 5 / 5   ·   8 feature leads</t>
        </is>
      </c>
      <c r="B171" s="220" t="n"/>
      <c r="C171" s="220" t="n"/>
      <c r="D171" s="220" t="n"/>
      <c r="E171" s="220" t="n"/>
      <c r="F171" s="220" t="n"/>
      <c r="G171" s="220" t="n"/>
      <c r="H171" s="220" t="n"/>
      <c r="I171" s="220" t="n"/>
    </row>
    <row r="172" outlineLevel="1">
      <c r="A172" s="221" t="inlineStr">
        <is>
          <t>No.</t>
        </is>
      </c>
      <c r="B172" s="221" t="inlineStr">
        <is>
          <t>Relevance</t>
        </is>
      </c>
      <c r="C172" s="222" t="inlineStr">
        <is>
          <t>Headline</t>
        </is>
      </c>
      <c r="D172" s="221" t="inlineStr">
        <is>
          <t>Link</t>
        </is>
      </c>
      <c r="E172" s="222" t="inlineStr">
        <is>
          <t>Suggested use</t>
        </is>
      </c>
      <c r="F172" s="221" t="inlineStr">
        <is>
          <t>Status</t>
        </is>
      </c>
      <c r="G172" s="222" t="inlineStr">
        <is>
          <t>Source</t>
        </is>
      </c>
      <c r="H172" s="221" t="inlineStr">
        <is>
          <t>Digest</t>
        </is>
      </c>
      <c r="I172" s="222" t="inlineStr">
        <is>
          <t>Magazine angle · check with</t>
        </is>
      </c>
    </row>
    <row r="173" outlineLevel="1" ht="41.5" customHeight="1">
      <c r="A173" s="191" t="n">
        <v>134</v>
      </c>
      <c r="B173" s="192" t="n">
        <v>5</v>
      </c>
      <c r="C173" s="193" t="inlineStr">
        <is>
          <t>Floating wind needs grounded solutions</t>
        </is>
      </c>
      <c r="D173" s="194" t="inlineStr">
        <is>
          <t>Open article</t>
        </is>
      </c>
      <c r="E173" s="195" t="inlineStr">
        <is>
          <t>Feature lead</t>
        </is>
      </c>
      <c r="F173" s="196">
        <f>IFERROR(INDEX(Stories!$F$4:$F$195,MATCH($A173,Stories!$A$4:$A$195,0))&amp;"","")</f>
        <v/>
      </c>
      <c r="G173" s="197" t="inlineStr">
        <is>
          <t>Ground Engineering</t>
        </is>
      </c>
      <c r="H173" s="198" t="n">
        <v>46319</v>
      </c>
      <c r="I173" s="197" t="inlineStr">
        <is>
          <t>What geotechnical challenges arise in anchoring floating offshore wind foundations in variable seabed soils under extreme loading?</t>
        </is>
      </c>
    </row>
    <row r="174" outlineLevel="1" ht="54" customHeight="1">
      <c r="A174" s="191" t="n">
        <v>92</v>
      </c>
      <c r="B174" s="192" t="n">
        <v>4</v>
      </c>
      <c r="C174" s="193" t="inlineStr">
        <is>
          <t>Nghe An: urgent measures needed for landslide on the seaside road embankment
(English headline translated by Claude · Original: 응에안성: 해안 도로 제방의 산사태 발생에 대한 긴급 조치가 필요합니다.)</t>
        </is>
      </c>
      <c r="D174" s="194" t="inlineStr">
        <is>
          <t>Open article</t>
        </is>
      </c>
      <c r="E174" s="199" t="inlineStr">
        <is>
          <t>News brief</t>
        </is>
      </c>
      <c r="F174" s="196">
        <f>IFERROR(INDEX(Stories!$F$4:$F$195,MATCH($A174,Stories!$A$4:$A$195,0))&amp;"","")</f>
        <v/>
      </c>
      <c r="G174" s="197" t="inlineStr">
        <is>
          <t>Vietnam.vn</t>
        </is>
      </c>
      <c r="H174" s="198" t="n">
        <v>46320</v>
      </c>
      <c r="I174" s="197" t="inlineStr">
        <is>
          <t>Why do coastal road embankments fail by landslide, and what emergency stabilisation and monitoring are appropriate for dyke slopes exposed to waves and rainfall?</t>
        </is>
      </c>
    </row>
    <row r="175" outlineLevel="1" ht="41.5" customHeight="1">
      <c r="A175" s="191" t="n">
        <v>150</v>
      </c>
      <c r="B175" s="192" t="n">
        <v>4</v>
      </c>
      <c r="C175" s="193" t="inlineStr">
        <is>
          <t>Quang Tri: Severe coastal erosion threatens dikes, embankments, and people's lives.</t>
        </is>
      </c>
      <c r="D175" s="194" t="inlineStr">
        <is>
          <t>Open article</t>
        </is>
      </c>
      <c r="E175" s="210" t="inlineStr">
        <is>
          <t>Regional insight</t>
        </is>
      </c>
      <c r="F175" s="196">
        <f>IFERROR(INDEX(Stories!$F$4:$F$195,MATCH($A175,Stories!$A$4:$A$195,0))&amp;"","")</f>
        <v/>
      </c>
      <c r="G175" s="197" t="inlineStr">
        <is>
          <t>Vietnam.vn</t>
        </is>
      </c>
      <c r="H175" s="198" t="n">
        <v>46319</v>
      </c>
      <c r="I175" s="197" t="inlineStr">
        <is>
          <t>What processes drive severe coastal erosion undermining dikes, and what protection measures suit such shorelines?</t>
        </is>
      </c>
    </row>
    <row r="176" outlineLevel="1" ht="66.5" customHeight="1">
      <c r="A176" s="191" t="n">
        <v>151</v>
      </c>
      <c r="B176" s="192" t="n">
        <v>4</v>
      </c>
      <c r="C176"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176" s="194" t="inlineStr">
        <is>
          <t>Open article</t>
        </is>
      </c>
      <c r="E176" s="210" t="inlineStr">
        <is>
          <t>Regional insight</t>
        </is>
      </c>
      <c r="F176" s="196">
        <f>IFERROR(INDEX(Stories!$F$4:$F$195,MATCH($A176,Stories!$A$4:$A$195,0))&amp;"","")</f>
        <v/>
      </c>
      <c r="G176" s="197" t="inlineStr">
        <is>
          <t>Vietnam.vn</t>
        </is>
      </c>
      <c r="H176" s="198" t="n">
        <v>46319</v>
      </c>
      <c r="I176" s="197" t="inlineStr">
        <is>
          <t>What urgent stabilisation options suit a failing embankment on a coastal road, and how should slope failure risk be assessed?</t>
        </is>
      </c>
    </row>
    <row r="177" outlineLevel="1" ht="66.5" customHeight="1">
      <c r="A177" s="191" t="n">
        <v>157</v>
      </c>
      <c r="B177" s="192" t="n">
        <v>4</v>
      </c>
      <c r="C177" s="193" t="inlineStr">
        <is>
          <t>Nghe An: early treatment needed for slope failure on coastal road cut
(English headline translated by Claude · Original: Nghệ An: Cần sớm xử lý sạt lở taluy dương trên tuyến đường ven biển)</t>
        </is>
      </c>
      <c r="D177" s="194" t="inlineStr">
        <is>
          <t>Open article</t>
        </is>
      </c>
      <c r="E177" s="210" t="inlineStr">
        <is>
          <t>Regional insight</t>
        </is>
      </c>
      <c r="F177" s="196">
        <f>IFERROR(INDEX(Stories!$F$4:$F$195,MATCH($A177,Stories!$A$4:$A$195,0))&amp;"","")</f>
        <v/>
      </c>
      <c r="G177" s="197" t="inlineStr">
        <is>
          <t>Vietnam.vn</t>
        </is>
      </c>
      <c r="H177" s="198" t="n">
        <v>46319</v>
      </c>
      <c r="I177" s="197" t="inlineStr">
        <is>
          <t>What causes slope failure in coastal road cuts, and which stabilisation methods are most suitable for weathered coastal soils?</t>
        </is>
      </c>
    </row>
    <row r="178" outlineLevel="1" ht="54" customHeight="1">
      <c r="A178" s="191" t="n">
        <v>93</v>
      </c>
      <c r="B178" s="192" t="n">
        <v>4</v>
      </c>
      <c r="C178" s="193" t="inlineStr">
        <is>
          <t>Quang Tri: severe coastal erosion threatens dykes, embankments and residents' lives.
(English headline translated by Claude · Original: 꽝찌: 심각한 해안 침식으로 인해 제방과 둑, 그리고 주민들의 생명이 위협받고 있습니다.)</t>
        </is>
      </c>
      <c r="D178" s="194" t="inlineStr">
        <is>
          <t>Open article</t>
        </is>
      </c>
      <c r="E178" s="195" t="inlineStr">
        <is>
          <t>Feature lead</t>
        </is>
      </c>
      <c r="F178" s="196">
        <f>IFERROR(INDEX(Stories!$F$4:$F$195,MATCH($A178,Stories!$A$4:$A$195,0))&amp;"","")</f>
        <v/>
      </c>
      <c r="G178" s="197" t="inlineStr">
        <is>
          <t>Vietnam.vn</t>
        </is>
      </c>
      <c r="H178" s="198" t="n">
        <v>46320</v>
      </c>
      <c r="I178" s="197" t="inlineStr">
        <is>
          <t>How can coastal erosion monitoring and erosion-resistant embankment design protect dykes and communities when shoreline retreat accelerates?</t>
        </is>
      </c>
    </row>
    <row r="179" outlineLevel="1" ht="41.5" customHeight="1">
      <c r="A179" s="191" t="n">
        <v>161</v>
      </c>
      <c r="B179" s="192" t="n">
        <v>4</v>
      </c>
      <c r="C179" s="193" t="inlineStr">
        <is>
          <t>Two houses collapse due to Tien River bank erosion
(English headline translated by Claude · Original: Hai căn nhà đổ sập do sạt lở bờ sông Tiền)</t>
        </is>
      </c>
      <c r="D179" s="194" t="inlineStr">
        <is>
          <t>Open article</t>
        </is>
      </c>
      <c r="E179" s="199" t="inlineStr">
        <is>
          <t>News brief</t>
        </is>
      </c>
      <c r="F179" s="196">
        <f>IFERROR(INDEX(Stories!$F$4:$F$195,MATCH($A179,Stories!$A$4:$A$195,0))&amp;"","")</f>
        <v/>
      </c>
      <c r="G179" s="197" t="inlineStr">
        <is>
          <t>VTV.vn</t>
        </is>
      </c>
      <c r="H179" s="198" t="n">
        <v>46319</v>
      </c>
      <c r="I179" s="197" t="inlineStr">
        <is>
          <t>What riverbank erosion processes undermined these houses, and how can bank stability be assessed near settlements?</t>
        </is>
      </c>
    </row>
    <row r="180" outlineLevel="1" ht="79" customHeight="1">
      <c r="A180" s="191" t="n">
        <v>59</v>
      </c>
      <c r="B180" s="192" t="n">
        <v>4</v>
      </c>
      <c r="C180" s="193" t="inlineStr">
        <is>
          <t>Strong waves cause a sinkhole and damage to an emblematic seafront promenade in Mexico
(English headline translated by Claude · Original: Fuerte oleaje provoca un socavón y daños en un malecón emblemático de México)</t>
        </is>
      </c>
      <c r="D180" s="194" t="inlineStr">
        <is>
          <t>Open article</t>
        </is>
      </c>
      <c r="E180" s="195" t="inlineStr">
        <is>
          <t>Feature lead</t>
        </is>
      </c>
      <c r="F180" s="196">
        <f>IFERROR(INDEX(Stories!$F$4:$F$195,MATCH($A180,Stories!$A$4:$A$195,0))&amp;"","")</f>
        <v/>
      </c>
      <c r="G180" s="197" t="inlineStr">
        <is>
          <t>TV Azteca Jalisco</t>
        </is>
      </c>
      <c r="H180" s="198" t="n">
        <v>46321</v>
      </c>
      <c r="I180"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181" outlineLevel="1" ht="66.5" customHeight="1">
      <c r="A181" s="191" t="n">
        <v>60</v>
      </c>
      <c r="B181" s="192" t="n">
        <v>4</v>
      </c>
      <c r="C181" s="193" t="inlineStr">
        <is>
          <t>Repair of sinkhole caused by strong waves begins next to the Monument to the Mazatlan Woman
(English headline translated by Claude · Original: Inician reparación de socavón provocado por fuerte oleaje junto al Monumento a la Mujer Mazatleca)</t>
        </is>
      </c>
      <c r="D181" s="194" t="inlineStr">
        <is>
          <t>Open article</t>
        </is>
      </c>
      <c r="E181" s="210" t="inlineStr">
        <is>
          <t>Regional insight</t>
        </is>
      </c>
      <c r="F181" s="196">
        <f>IFERROR(INDEX(Stories!$F$4:$F$195,MATCH($A181,Stories!$A$4:$A$195,0))&amp;"","")</f>
        <v/>
      </c>
      <c r="G181" s="197" t="inlineStr">
        <is>
          <t>Los Noticieristas</t>
        </is>
      </c>
      <c r="H181" s="198" t="n">
        <v>46321</v>
      </c>
      <c r="I181" s="197" t="inlineStr">
        <is>
          <t>What repair approach suits a wave-undermined seafront structure, and how should designers balance scour protection, backfill compaction and monument stability at the shoreline?
Check with: Mazatlán municipal government</t>
        </is>
      </c>
    </row>
    <row r="182" outlineLevel="1" ht="66.5" customHeight="1">
      <c r="A182" s="191" t="n">
        <v>100</v>
      </c>
      <c r="B182" s="192" t="n">
        <v>4</v>
      </c>
      <c r="C182" s="193" t="inlineStr">
        <is>
          <t>Can Tho to invest over 500 billion dong in dykes against erosion at Cu Lao Dung
(English headline translated by Claude · Original: Cần Thơ đầu tư hơn 500 tỷ đồng xây dựng đê phòng, chống sạt lở ở Cù Lao Dung)</t>
        </is>
      </c>
      <c r="D182" s="194" t="inlineStr">
        <is>
          <t>Open article</t>
        </is>
      </c>
      <c r="E182" s="195" t="inlineStr">
        <is>
          <t>Feature lead</t>
        </is>
      </c>
      <c r="F182" s="196">
        <f>IFERROR(INDEX(Stories!$F$4:$F$195,MATCH($A182,Stories!$A$4:$A$195,0))&amp;"","")</f>
        <v/>
      </c>
      <c r="G182" s="197" t="inlineStr">
        <is>
          <t>Báo Nhân Dân điện tử</t>
        </is>
      </c>
      <c r="H182" s="198" t="n">
        <v>46320</v>
      </c>
      <c r="I182" s="197" t="inlineStr">
        <is>
          <t>How should dyke and bank protection balance erosion control against settlement and stability on soft deltaic soils?</t>
        </is>
      </c>
    </row>
    <row r="183" outlineLevel="1" ht="66.5" customHeight="1">
      <c r="A183" s="191" t="n">
        <v>101</v>
      </c>
      <c r="B183" s="192" t="n">
        <v>4</v>
      </c>
      <c r="C183" s="193" t="inlineStr">
        <is>
          <t>Krong No river erosion in Lam Dong threatens irrigation works and farmland
(English headline translated by Claude · Original: Sạt lở sông Krông Nô tại Lâm Đồng đe dọa công trình thủy lợi và đất canh tác)</t>
        </is>
      </c>
      <c r="D183" s="194" t="inlineStr">
        <is>
          <t>Open article</t>
        </is>
      </c>
      <c r="E183" s="195" t="inlineStr">
        <is>
          <t>Feature lead</t>
        </is>
      </c>
      <c r="F183" s="196">
        <f>IFERROR(INDEX(Stories!$F$4:$F$195,MATCH($A183,Stories!$A$4:$A$195,0))&amp;"","")</f>
        <v/>
      </c>
      <c r="G183" s="197" t="inlineStr">
        <is>
          <t>tin.skydoor.net</t>
        </is>
      </c>
      <c r="H183" s="198" t="n">
        <v>46320</v>
      </c>
      <c r="I183" s="197" t="inlineStr">
        <is>
          <t>How can riverbank erosion be assessed and countered to protect irrigation infrastructure and farmland?</t>
        </is>
      </c>
    </row>
    <row r="184" outlineLevel="1" ht="66.5" customHeight="1">
      <c r="A184" s="191" t="n">
        <v>113</v>
      </c>
      <c r="B184" s="192" t="n">
        <v>4</v>
      </c>
      <c r="C184"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184" s="194" t="inlineStr">
        <is>
          <t>Open article</t>
        </is>
      </c>
      <c r="E184" s="195" t="inlineStr">
        <is>
          <t>Feature lead</t>
        </is>
      </c>
      <c r="F184" s="196">
        <f>IFERROR(INDEX(Stories!$F$4:$F$195,MATCH($A184,Stories!$A$4:$A$195,0))&amp;"","")</f>
        <v/>
      </c>
      <c r="G184" s="197" t="inlineStr">
        <is>
          <t>AI넷</t>
        </is>
      </c>
      <c r="H184" s="198" t="n">
        <v>46320</v>
      </c>
      <c r="I184" s="197" t="inlineStr">
        <is>
          <t>How do sea-level rise and land subsidence combine to lower coastal ground, and what engineering responses can slow the loss of land?</t>
        </is>
      </c>
    </row>
    <row r="185" outlineLevel="1" ht="66.5" customHeight="1">
      <c r="A185" s="191" t="n">
        <v>173</v>
      </c>
      <c r="B185" s="192" t="n">
        <v>4</v>
      </c>
      <c r="C185" s="193" t="inlineStr">
        <is>
          <t>Concerns over riverbank erosion leading to loss of farmland
(English headline translated by Claude · Original: مخاوف بشأن تآكل ضفاف الأنهار مما يؤدي إلى فقدان الأراضي الزراعية.)</t>
        </is>
      </c>
      <c r="D185" s="194" t="inlineStr">
        <is>
          <t>Open article</t>
        </is>
      </c>
      <c r="E185" s="195" t="inlineStr">
        <is>
          <t>Feature lead</t>
        </is>
      </c>
      <c r="F185" s="196">
        <f>IFERROR(INDEX(Stories!$F$4:$F$195,MATCH($A185,Stories!$A$4:$A$195,0))&amp;"","")</f>
        <v/>
      </c>
      <c r="G185" s="197" t="inlineStr">
        <is>
          <t>Vietnam.vn</t>
        </is>
      </c>
      <c r="H185" s="198" t="n">
        <v>46319</v>
      </c>
      <c r="I185" s="197" t="inlineStr">
        <is>
          <t>What bank erosion mechanisms and protection measures are effective for riverbanks threatening farmland, and how can they be monitored over time?</t>
        </is>
      </c>
    </row>
    <row r="186" outlineLevel="1" ht="66.5" customHeight="1">
      <c r="A186" s="191" t="n">
        <v>174</v>
      </c>
      <c r="B186" s="192" t="n">
        <v>4</v>
      </c>
      <c r="C186" s="193" t="inlineStr">
        <is>
          <t>Quang Tri: Severe sea erosion threatens dykes and residents' livelihoods
(English headline translated by Claude · Original: Quảng Trị: Biển xâm thực nghiêm trọng đe dọa đê kè và đời sống người dân)</t>
        </is>
      </c>
      <c r="D186" s="194" t="inlineStr">
        <is>
          <t>Open article</t>
        </is>
      </c>
      <c r="E186" s="195" t="inlineStr">
        <is>
          <t>Feature lead</t>
        </is>
      </c>
      <c r="F186" s="196">
        <f>IFERROR(INDEX(Stories!$F$4:$F$195,MATCH($A186,Stories!$A$4:$A$195,0))&amp;"","")</f>
        <v/>
      </c>
      <c r="G186" s="197" t="inlineStr">
        <is>
          <t>Người Đưa Tin</t>
        </is>
      </c>
      <c r="H186" s="198" t="n">
        <v>46319</v>
      </c>
      <c r="I186" s="197" t="inlineStr">
        <is>
          <t>How do sea-level-driven erosion and scour undermine sea dyke foundations in Quang Tri, and which revetment and foundation designs suit eroding sandy coastal soils?</t>
        </is>
      </c>
    </row>
    <row r="187" outlineLevel="1" ht="66.5" customHeight="1">
      <c r="A187" s="191" t="n">
        <v>32</v>
      </c>
      <c r="B187" s="192" t="n">
        <v>3</v>
      </c>
      <c r="C187" s="193" t="inlineStr">
        <is>
          <t>Floating Offshore Wind Turbine Stability: The Impact of Mooring Systems</t>
        </is>
      </c>
      <c r="D187" s="194" t="inlineStr">
        <is>
          <t>Open article</t>
        </is>
      </c>
      <c r="E187" s="200" t="inlineStr">
        <is>
          <t>Academia-to-Industry topic</t>
        </is>
      </c>
      <c r="F187" s="196">
        <f>IFERROR(INDEX(Stories!$F$4:$F$195,MATCH($A187,Stories!$A$4:$A$195,0))&amp;"","")</f>
        <v/>
      </c>
      <c r="G187" s="197" t="inlineStr">
        <is>
          <t>Institution of Civil Engineers (ICE)</t>
        </is>
      </c>
      <c r="H187" s="198" t="n">
        <v>46322</v>
      </c>
      <c r="I187" s="197" t="inlineStr">
        <is>
          <t>How do soil-mooring anchor interactions under cyclic loading affect floating wind turbine stability, and what site data are needed for design?
Check with: Institution of Civil Engineers publication authors</t>
        </is>
      </c>
    </row>
    <row r="188" outlineLevel="1" ht="66.5" customHeight="1">
      <c r="A188" s="191" t="n">
        <v>35</v>
      </c>
      <c r="B188" s="192" t="n">
        <v>3</v>
      </c>
      <c r="C188" s="193" t="inlineStr">
        <is>
          <t>Studies to start this week on largest sinkhole on Mazatlán seafront promenade: Public Works
(English headline translated by Claude · Original: Iniciarán esta semana estudios en socavón más grande en malecón de Mazatlán: Obras Públicas)</t>
        </is>
      </c>
      <c r="D188" s="194" t="inlineStr">
        <is>
          <t>Open article</t>
        </is>
      </c>
      <c r="E188" s="199" t="inlineStr">
        <is>
          <t>News brief</t>
        </is>
      </c>
      <c r="F188" s="196">
        <f>IFERROR(INDEX(Stories!$F$4:$F$195,MATCH($A188,Stories!$A$4:$A$195,0))&amp;"","")</f>
        <v/>
      </c>
      <c r="G188" s="197" t="inlineStr">
        <is>
          <t>www.noroeste.com.mx</t>
        </is>
      </c>
      <c r="H188" s="198" t="n">
        <v>46322</v>
      </c>
      <c r="I188" s="197" t="inlineStr">
        <is>
          <t>What investigation would explain the cause of this coastal sinkhole, and how do ground and wave conditions affect a seafront promenade?
Check with: Mazatlán municipal public works department</t>
        </is>
      </c>
    </row>
    <row r="189" outlineLevel="1" ht="66.5" customHeight="1">
      <c r="A189" s="191" t="n">
        <v>120</v>
      </c>
      <c r="B189" s="192" t="n">
        <v>3</v>
      </c>
      <c r="C189" s="193" t="inlineStr">
        <is>
          <t>Dong Thap province spends 330 billion dong to tackle landslide-hit areas
(English headline translated by Claude · Original: La provincia di Dong Thap spende 330 miliardi di dong vietnamiti per affrontare le zone colpite dalle frane.)</t>
        </is>
      </c>
      <c r="D189" s="194" t="inlineStr">
        <is>
          <t>Open article</t>
        </is>
      </c>
      <c r="E189" s="210" t="inlineStr">
        <is>
          <t>Regional insight</t>
        </is>
      </c>
      <c r="F189" s="196">
        <f>IFERROR(INDEX(Stories!$F$4:$F$195,MATCH($A189,Stories!$A$4:$A$195,0))&amp;"","")</f>
        <v/>
      </c>
      <c r="G189" s="197" t="inlineStr">
        <is>
          <t>Vietnam.vn</t>
        </is>
      </c>
      <c r="H189" s="198" t="n">
        <v>46320</v>
      </c>
      <c r="I189" s="197" t="inlineStr">
        <is>
          <t>How does riverbank failure in the Mekong delta drive the cost and design choice between revetments and managed retreat?</t>
        </is>
      </c>
    </row>
    <row r="190" outlineLevel="1" ht="41.5" customHeight="1">
      <c r="A190" s="191" t="n">
        <v>183</v>
      </c>
      <c r="B190" s="192" t="n">
        <v>3</v>
      </c>
      <c r="C190" s="193" t="inlineStr">
        <is>
          <t>Strong waves on Mazatlán beaches form sinkhole in monument
(English headline translated by Claude · Original: Fuerte oleaje en playas de Mazatlán forma socavón en monumento)</t>
        </is>
      </c>
      <c r="D190" s="194" t="inlineStr">
        <is>
          <t>Open article</t>
        </is>
      </c>
      <c r="E190" s="199" t="inlineStr">
        <is>
          <t>News brief</t>
        </is>
      </c>
      <c r="F190" s="196">
        <f>IFERROR(INDEX(Stories!$F$4:$F$195,MATCH($A190,Stories!$A$4:$A$195,0))&amp;"","")</f>
        <v/>
      </c>
      <c r="G190" s="197" t="inlineStr">
        <is>
          <t>El Universal</t>
        </is>
      </c>
      <c r="H190" s="198" t="n">
        <v>46319</v>
      </c>
      <c r="I190" s="197" t="inlineStr">
        <is>
          <t>How do wave action and beach sand erosion undermine coastal monuments and promenade ground in Mazatlán?</t>
        </is>
      </c>
    </row>
    <row r="191" outlineLevel="1" ht="54" customHeight="1">
      <c r="A191" s="191" t="n">
        <v>127</v>
      </c>
      <c r="B191" s="192" t="n">
        <v>3</v>
      </c>
      <c r="C191" s="193" t="inlineStr">
        <is>
          <t>A section of the Esquina waterfront promenade closed due to subsidence
(English headline translated by Claude · Original: Cerraron un sector de la costanera de Esquina por hundimiento)</t>
        </is>
      </c>
      <c r="D191" s="194" t="inlineStr">
        <is>
          <t>Open article</t>
        </is>
      </c>
      <c r="E191" s="199" t="inlineStr">
        <is>
          <t>News brief</t>
        </is>
      </c>
      <c r="F191" s="196">
        <f>IFERROR(INDEX(Stories!$F$4:$F$195,MATCH($A191,Stories!$A$4:$A$195,0))&amp;"","")</f>
        <v/>
      </c>
      <c r="G191" s="197" t="inlineStr">
        <is>
          <t>Diario 1588</t>
        </is>
      </c>
      <c r="H191" s="198" t="n">
        <v>46320</v>
      </c>
      <c r="I191" s="197" t="inlineStr">
        <is>
          <t>What causes subsidence along a riverfront promenade, and what ground investigation would identify the weak or eroded soils behind it?</t>
        </is>
      </c>
    </row>
    <row r="192" outlineLevel="1" ht="54" customHeight="1">
      <c r="A192" s="191" t="n">
        <v>128</v>
      </c>
      <c r="B192" s="192" t="n">
        <v>3</v>
      </c>
      <c r="C192" s="193" t="inlineStr">
        <is>
          <t>Experts from Hong Kong propose solutions to counter sea-level rise in Vietnam
(English headline translated by Claude · Original: 来自中国香港的专家为应对越南海平面上升提出了解决方案。)</t>
        </is>
      </c>
      <c r="D192" s="194" t="inlineStr">
        <is>
          <t>Open article</t>
        </is>
      </c>
      <c r="E192" s="210" t="inlineStr">
        <is>
          <t>Regional insight</t>
        </is>
      </c>
      <c r="F192" s="196">
        <f>IFERROR(INDEX(Stories!$F$4:$F$195,MATCH($A192,Stories!$A$4:$A$195,0))&amp;"","")</f>
        <v/>
      </c>
      <c r="G192" s="197" t="inlineStr">
        <is>
          <t>Vietnam.vn</t>
        </is>
      </c>
      <c r="H192" s="198" t="n">
        <v>46320</v>
      </c>
      <c r="I192" s="197" t="inlineStr">
        <is>
          <t>Which ground-engineering measures, such as seawalls and soft-soil improvement, best protect low-lying deltas and coasts facing sea-level rise and subsidence?</t>
        </is>
      </c>
    </row>
    <row r="193" outlineLevel="1" ht="66.5" customHeight="1">
      <c r="A193" s="191" t="n">
        <v>191</v>
      </c>
      <c r="B193" s="192" t="n">
        <v>3</v>
      </c>
      <c r="C193" s="193" t="inlineStr">
        <is>
          <t>A section of the coastal road in a Corrientes city was closed due to subsidence
(English headline translated by Claude · Original: Cerraron un sector de la costanera de una ciudad correntina por hundimiento)</t>
        </is>
      </c>
      <c r="D193" s="194" t="inlineStr">
        <is>
          <t>Open article</t>
        </is>
      </c>
      <c r="E193" s="199" t="inlineStr">
        <is>
          <t>News brief</t>
        </is>
      </c>
      <c r="F193" s="196">
        <f>IFERROR(INDEX(Stories!$F$4:$F$195,MATCH($A193,Stories!$A$4:$A$195,0))&amp;"","")</f>
        <v/>
      </c>
      <c r="G193" s="197" t="inlineStr">
        <is>
          <t>El Litoral | Novedades de Corrientes</t>
        </is>
      </c>
      <c r="H193" s="198" t="n">
        <v>46319</v>
      </c>
      <c r="I193" s="197" t="inlineStr">
        <is>
          <t>What causes subsidence along a riverfront promenade in Corrientes, and how should ground investigation guide repair of the costanera?</t>
        </is>
      </c>
    </row>
    <row r="194" outlineLevel="1" ht="66.5" customHeight="1">
      <c r="A194" s="191" t="n">
        <v>192</v>
      </c>
      <c r="B194" s="192" t="n">
        <v>3</v>
      </c>
      <c r="C194" s="193" t="inlineStr">
        <is>
          <t>Rehabilitation begins after slab subsidence on the Malecón Costero in Coatzacoalcos
(English headline translated by Claude · Original: Inician rehabilitación tras hundimiento de losa en el Malecón Costero de Coatzacoalcos)</t>
        </is>
      </c>
      <c r="D194" s="194" t="inlineStr">
        <is>
          <t>Open article</t>
        </is>
      </c>
      <c r="E194" s="199" t="inlineStr">
        <is>
          <t>News brief</t>
        </is>
      </c>
      <c r="F194" s="196">
        <f>IFERROR(INDEX(Stories!$F$4:$F$195,MATCH($A194,Stories!$A$4:$A$195,0))&amp;"","")</f>
        <v/>
      </c>
      <c r="G194" s="197" t="inlineStr">
        <is>
          <t>:: Foro Coatza ::</t>
        </is>
      </c>
      <c r="H194" s="198" t="n">
        <v>46319</v>
      </c>
      <c r="I194" s="197" t="inlineStr">
        <is>
          <t>What causes slab sinking on a coastal promenade exposed to waves, and what foundation and drainage remedies are appropriate?</t>
        </is>
      </c>
    </row>
    <row r="195" outlineLevel="1" ht="10" customHeight="1"/>
    <row r="196" ht="26" customHeight="1">
      <c r="A196" s="223" t="inlineStr">
        <is>
          <t>Characterisation &amp; Modelling   ·   11 stories   ·   0 rated 5 / 5   ·   6 feature leads</t>
        </is>
      </c>
      <c r="B196" s="224" t="n"/>
      <c r="C196" s="224" t="n"/>
      <c r="D196" s="224" t="n"/>
      <c r="E196" s="224" t="n"/>
      <c r="F196" s="224" t="n"/>
      <c r="G196" s="224" t="n"/>
      <c r="H196" s="224" t="n"/>
      <c r="I196" s="224" t="n"/>
    </row>
    <row r="197" outlineLevel="1">
      <c r="A197" s="225" t="inlineStr">
        <is>
          <t>No.</t>
        </is>
      </c>
      <c r="B197" s="225" t="inlineStr">
        <is>
          <t>Relevance</t>
        </is>
      </c>
      <c r="C197" s="226" t="inlineStr">
        <is>
          <t>Headline</t>
        </is>
      </c>
      <c r="D197" s="225" t="inlineStr">
        <is>
          <t>Link</t>
        </is>
      </c>
      <c r="E197" s="226" t="inlineStr">
        <is>
          <t>Suggested use</t>
        </is>
      </c>
      <c r="F197" s="225" t="inlineStr">
        <is>
          <t>Status</t>
        </is>
      </c>
      <c r="G197" s="226" t="inlineStr">
        <is>
          <t>Source</t>
        </is>
      </c>
      <c r="H197" s="225" t="inlineStr">
        <is>
          <t>Digest</t>
        </is>
      </c>
      <c r="I197" s="226" t="inlineStr">
        <is>
          <t>Magazine angle · check with</t>
        </is>
      </c>
    </row>
    <row r="198" outlineLevel="1" ht="54" customHeight="1">
      <c r="A198" s="191" t="n">
        <v>96</v>
      </c>
      <c r="B198" s="192" t="n">
        <v>4</v>
      </c>
      <c r="C198" s="193" t="inlineStr">
        <is>
          <t>Close-up of giant 120 m deep sinkhole just discovered in Phong Nha-Ke Bang
(English headline translated by Claude · Original: 퐁냐케방에서 방금 발견된 깊이 120m의 거대한 싱크홀 근접 촬영)</t>
        </is>
      </c>
      <c r="D198" s="194" t="inlineStr">
        <is>
          <t>Open article</t>
        </is>
      </c>
      <c r="E198" s="195" t="inlineStr">
        <is>
          <t>Feature lead</t>
        </is>
      </c>
      <c r="F198" s="196">
        <f>IFERROR(INDEX(Stories!$F$4:$F$195,MATCH($A198,Stories!$A$4:$A$195,0))&amp;"","")</f>
        <v/>
      </c>
      <c r="G198" s="197" t="inlineStr">
        <is>
          <t>Laodong.vn</t>
        </is>
      </c>
      <c r="H198" s="198" t="n">
        <v>46320</v>
      </c>
      <c r="I198" s="197" t="inlineStr">
        <is>
          <t>How are very deep karst sinkholes investigated, and what does their formation reveal about hazards around cave systems?</t>
        </is>
      </c>
    </row>
    <row r="199" outlineLevel="1" ht="54" customHeight="1">
      <c r="A199" s="191" t="n">
        <v>99</v>
      </c>
      <c r="B199" s="192" t="n">
        <v>4</v>
      </c>
      <c r="C199" s="193" t="inlineStr">
        <is>
          <t>120 m deep sinkhole containing primeval forest discovered in Phong Nha-Ke Bang area
(English headline translated by Claude · Original: 퐁냐-케방 지역에서 원시림이 포함된 깊이 120미터의 싱크홀이 발견되었습니다.)</t>
        </is>
      </c>
      <c r="D199" s="194" t="inlineStr">
        <is>
          <t>Open article</t>
        </is>
      </c>
      <c r="E199" s="195" t="inlineStr">
        <is>
          <t>Feature lead</t>
        </is>
      </c>
      <c r="F199" s="196">
        <f>IFERROR(INDEX(Stories!$F$4:$F$195,MATCH($A199,Stories!$A$4:$A$195,0))&amp;"","")</f>
        <v/>
      </c>
      <c r="G199" s="197" t="inlineStr">
        <is>
          <t>Vietnam.vn</t>
        </is>
      </c>
      <c r="H199" s="198" t="n">
        <v>46320</v>
      </c>
      <c r="I199" s="197" t="inlineStr">
        <is>
          <t>How are very deep karst sinkholes investigated, and what does their formation reveal about hazards around cave systems?</t>
        </is>
      </c>
    </row>
    <row r="200" outlineLevel="1" ht="66.5" customHeight="1">
      <c r="A200" s="191" t="n">
        <v>163</v>
      </c>
      <c r="B200" s="192" t="n">
        <v>4</v>
      </c>
      <c r="C200" s="193" t="inlineStr">
        <is>
          <t>A sinkhole nearly three football fields in size has been discovered in Phong Nha-Ke Bang.
(English headline translated by Claude · Original: Se ha descubierto un socavón del tamaño de casi tres campos de fútbol en Phong Nha Ke Bang.)</t>
        </is>
      </c>
      <c r="D200" s="194" t="inlineStr">
        <is>
          <t>Open article</t>
        </is>
      </c>
      <c r="E200" s="195" t="inlineStr">
        <is>
          <t>Feature lead</t>
        </is>
      </c>
      <c r="F200" s="196">
        <f>IFERROR(INDEX(Stories!$F$4:$F$195,MATCH($A200,Stories!$A$4:$A$195,0))&amp;"","")</f>
        <v/>
      </c>
      <c r="G200" s="197" t="inlineStr">
        <is>
          <t>Vietnam.vn</t>
        </is>
      </c>
      <c r="H200" s="198" t="n">
        <v>46319</v>
      </c>
      <c r="I200" s="197" t="inlineStr">
        <is>
          <t>How do karst dissolution and roof collapse produce giant dolines like the one in Phong Nha Ke Bang, and how can such cavities be characterised?</t>
        </is>
      </c>
    </row>
    <row r="201" outlineLevel="1" ht="66.5" customHeight="1">
      <c r="A201" s="191" t="n">
        <v>165</v>
      </c>
      <c r="B201" s="192" t="n">
        <v>4</v>
      </c>
      <c r="C201" s="193" t="inlineStr">
        <is>
          <t>Close look at the giant 120-meter-deep sinkhole recently discovered in Vietnam.
(English headline translated by Claude · Original: Vista de cerca del gigantesco socavón de 120 metros de profundidad descubierto recientemente en Vietnam.)</t>
        </is>
      </c>
      <c r="D201" s="194" t="inlineStr">
        <is>
          <t>Open article</t>
        </is>
      </c>
      <c r="E201" s="195" t="inlineStr">
        <is>
          <t>Feature lead</t>
        </is>
      </c>
      <c r="F201" s="196">
        <f>IFERROR(INDEX(Stories!$F$4:$F$195,MATCH($A201,Stories!$A$4:$A$195,0))&amp;"","")</f>
        <v/>
      </c>
      <c r="G201" s="197" t="inlineStr">
        <is>
          <t>Vietnam.vn</t>
        </is>
      </c>
      <c r="H201" s="198" t="n">
        <v>46319</v>
      </c>
      <c r="I201" s="197" t="inlineStr">
        <is>
          <t>Which geomorphological and hydrogeological processes produced a 120 m deep collapse, and how can the stability of its steep walls be assessed?</t>
        </is>
      </c>
    </row>
    <row r="202" outlineLevel="1" ht="41.5" customHeight="1">
      <c r="A202" s="191" t="n">
        <v>166</v>
      </c>
      <c r="B202" s="192" t="n">
        <v>4</v>
      </c>
      <c r="C202" s="193" t="inlineStr">
        <is>
          <t>Primeval forest grows at bottom of 120-meter-deep sinkhole in central Vietnam</t>
        </is>
      </c>
      <c r="D202" s="194" t="inlineStr">
        <is>
          <t>Open article</t>
        </is>
      </c>
      <c r="E202" s="195" t="inlineStr">
        <is>
          <t>Feature lead</t>
        </is>
      </c>
      <c r="F202" s="196">
        <f>IFERROR(INDEX(Stories!$F$4:$F$195,MATCH($A202,Stories!$A$4:$A$195,0))&amp;"","")</f>
        <v/>
      </c>
      <c r="G202" s="197" t="inlineStr">
        <is>
          <t>VnExpress International</t>
        </is>
      </c>
      <c r="H202" s="198" t="n">
        <v>46319</v>
      </c>
      <c r="I202" s="197" t="inlineStr">
        <is>
          <t>How do karst collapse sinkholes form in limestone terrain, and what do such deep features reveal about cave ground stability and hazard mapping?</t>
        </is>
      </c>
    </row>
    <row r="203" outlineLevel="1" ht="66.5" customHeight="1">
      <c r="A203" s="191" t="n">
        <v>171</v>
      </c>
      <c r="B203" s="192" t="n">
        <v>4</v>
      </c>
      <c r="C203"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03" s="194" t="inlineStr">
        <is>
          <t>Open article</t>
        </is>
      </c>
      <c r="E203" s="195" t="inlineStr">
        <is>
          <t>Feature lead</t>
        </is>
      </c>
      <c r="F203" s="196">
        <f>IFERROR(INDEX(Stories!$F$4:$F$195,MATCH($A203,Stories!$A$4:$A$195,0))&amp;"","")</f>
        <v/>
      </c>
      <c r="G203" s="197" t="inlineStr">
        <is>
          <t>Vietnam.vn</t>
        </is>
      </c>
      <c r="H203" s="198" t="n">
        <v>46319</v>
      </c>
      <c r="I203" s="197" t="inlineStr">
        <is>
          <t>What karst processes, such as collapse or dissolution, could create a large sinkhole of over two hectares in a tropical forest, and how should it be investigated and monitored?</t>
        </is>
      </c>
    </row>
    <row r="204" outlineLevel="1" ht="66.5" customHeight="1">
      <c r="A204" s="191" t="n">
        <v>172</v>
      </c>
      <c r="B204" s="192" t="n">
        <v>4</v>
      </c>
      <c r="C204"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04" s="194" t="inlineStr">
        <is>
          <t>Open article</t>
        </is>
      </c>
      <c r="E204" s="200" t="inlineStr">
        <is>
          <t>Academia-to-Industry topic</t>
        </is>
      </c>
      <c r="F204" s="196">
        <f>IFERROR(INDEX(Stories!$F$4:$F$195,MATCH($A204,Stories!$A$4:$A$195,0))&amp;"","")</f>
        <v/>
      </c>
      <c r="G204" s="197" t="inlineStr">
        <is>
          <t>生物通</t>
        </is>
      </c>
      <c r="H204" s="198" t="n">
        <v>46319</v>
      </c>
      <c r="I204" s="197" t="inlineStr">
        <is>
          <t>How do analytical solutions for a cylindrical cavity under triangular pulse loads inform the validation of numerical models for underground openings under impact?</t>
        </is>
      </c>
    </row>
    <row r="205" outlineLevel="1" ht="66.5" customHeight="1">
      <c r="A205" s="191" t="n">
        <v>31</v>
      </c>
      <c r="B205" s="192" t="n">
        <v>3</v>
      </c>
      <c r="C205" s="193" t="inlineStr">
        <is>
          <t>Gas leak in Pasto after accidental pipe perforation during soil study
(English headline translated by Claude · Original: Fuga de gas en Pasto por perforación accidental de tubería durante estudio de suelos)</t>
        </is>
      </c>
      <c r="D205" s="194" t="inlineStr">
        <is>
          <t>Open article</t>
        </is>
      </c>
      <c r="E205" s="199" t="inlineStr">
        <is>
          <t>News brief</t>
        </is>
      </c>
      <c r="F205" s="196">
        <f>IFERROR(INDEX(Stories!$F$4:$F$195,MATCH($A205,Stories!$A$4:$A$195,0))&amp;"","")</f>
        <v/>
      </c>
      <c r="G205" s="197" t="inlineStr">
        <is>
          <t>Toda la información de Nariño, Colombia y El Mundo</t>
        </is>
      </c>
      <c r="H205" s="198" t="n">
        <v>46322</v>
      </c>
      <c r="I205" s="197" t="inlineStr">
        <is>
          <t>How can site investigation planning avoid striking buried utilities, and what checks should precede boring in urban streets?
Check with: Pasto gas utility and the soil study contractor</t>
        </is>
      </c>
    </row>
    <row r="206" outlineLevel="1" ht="66.5" customHeight="1">
      <c r="A206" s="191" t="n">
        <v>33</v>
      </c>
      <c r="B206" s="192" t="n">
        <v>3</v>
      </c>
      <c r="C206" s="193" t="inlineStr">
        <is>
          <t>Soil survey begins for 120-unit TOKİ housing project in Salıpazarı
(English headline translated by Claude · Original: Salıpazarı'nda 120 konutluk TOKİ projesi için zemin etüdü başladı)</t>
        </is>
      </c>
      <c r="D206" s="194" t="inlineStr">
        <is>
          <t>Open article</t>
        </is>
      </c>
      <c r="E206" s="205" t="inlineStr">
        <is>
          <t>Watch only</t>
        </is>
      </c>
      <c r="F206" s="196">
        <f>IFERROR(INDEX(Stories!$F$4:$F$195,MATCH($A206,Stories!$A$4:$A$195,0))&amp;"","")</f>
        <v/>
      </c>
      <c r="G206" s="197" t="inlineStr">
        <is>
          <t>Habertürk</t>
        </is>
      </c>
      <c r="H206" s="198" t="n">
        <v>46322</v>
      </c>
      <c r="I206" s="197" t="inlineStr">
        <is>
          <t>What ground investigation is needed on this coastal site for a 120-unit housing block, and what soil conditions should it target?
Check with: TOKİ (Housing Development Administration)</t>
        </is>
      </c>
    </row>
    <row r="207" outlineLevel="1" ht="66.5" customHeight="1">
      <c r="A207" s="191" t="n">
        <v>181</v>
      </c>
      <c r="B207" s="192" t="n">
        <v>3</v>
      </c>
      <c r="C207"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07" s="194" t="inlineStr">
        <is>
          <t>Open article</t>
        </is>
      </c>
      <c r="E207" s="199" t="inlineStr">
        <is>
          <t>News brief</t>
        </is>
      </c>
      <c r="F207" s="196">
        <f>IFERROR(INDEX(Stories!$F$4:$F$195,MATCH($A207,Stories!$A$4:$A$195,0))&amp;"","")</f>
        <v/>
      </c>
      <c r="G207" s="197" t="inlineStr">
        <is>
          <t>Trade-news.cl</t>
        </is>
      </c>
      <c r="H207" s="198" t="n">
        <v>46319</v>
      </c>
      <c r="I207" s="197" t="inlineStr">
        <is>
          <t>What soil investigation is needed before housing support works on this site, and how should ground conditions shape foundation choice?</t>
        </is>
      </c>
    </row>
    <row r="208" outlineLevel="1" ht="41.5" customHeight="1">
      <c r="A208" s="191" t="n">
        <v>119</v>
      </c>
      <c r="B208" s="192" t="n">
        <v>3</v>
      </c>
      <c r="C208" s="193" t="inlineStr">
        <is>
          <t>Exploring Phong Nha-Ke Bang’s famous sinkholes</t>
        </is>
      </c>
      <c r="D208" s="194" t="inlineStr">
        <is>
          <t>Open article</t>
        </is>
      </c>
      <c r="E208" s="210" t="inlineStr">
        <is>
          <t>Regional insight</t>
        </is>
      </c>
      <c r="F208" s="196">
        <f>IFERROR(INDEX(Stories!$F$4:$F$195,MATCH($A208,Stories!$A$4:$A$195,0))&amp;"","")</f>
        <v/>
      </c>
      <c r="G208" s="197" t="inlineStr">
        <is>
          <t>DTiNews</t>
        </is>
      </c>
      <c r="H208" s="198" t="n">
        <v>46320</v>
      </c>
      <c r="I208" s="197" t="inlineStr">
        <is>
          <t>How can karst cave systems and sinkhole susceptibility be mapped and characterised in tropical limestone terrain for tourism and infrastructure?</t>
        </is>
      </c>
    </row>
    <row r="209" outlineLevel="1" ht="10" customHeight="1"/>
    <row r="210" ht="26" customHeight="1">
      <c r="A210" s="227" t="inlineStr">
        <is>
          <t>Geotechnics &amp; Society   ·   7 stories   ·   0 rated 5 / 5   ·   2 feature leads</t>
        </is>
      </c>
      <c r="B210" s="228" t="n"/>
      <c r="C210" s="228" t="n"/>
      <c r="D210" s="228" t="n"/>
      <c r="E210" s="228" t="n"/>
      <c r="F210" s="228" t="n"/>
      <c r="G210" s="228" t="n"/>
      <c r="H210" s="228" t="n"/>
      <c r="I210" s="228" t="n"/>
    </row>
    <row r="211" outlineLevel="1">
      <c r="A211" s="229" t="inlineStr">
        <is>
          <t>No.</t>
        </is>
      </c>
      <c r="B211" s="229" t="inlineStr">
        <is>
          <t>Relevance</t>
        </is>
      </c>
      <c r="C211" s="230" t="inlineStr">
        <is>
          <t>Headline</t>
        </is>
      </c>
      <c r="D211" s="229" t="inlineStr">
        <is>
          <t>Link</t>
        </is>
      </c>
      <c r="E211" s="230" t="inlineStr">
        <is>
          <t>Suggested use</t>
        </is>
      </c>
      <c r="F211" s="229" t="inlineStr">
        <is>
          <t>Status</t>
        </is>
      </c>
      <c r="G211" s="230" t="inlineStr">
        <is>
          <t>Source</t>
        </is>
      </c>
      <c r="H211" s="229" t="inlineStr">
        <is>
          <t>Digest</t>
        </is>
      </c>
      <c r="I211" s="230" t="inlineStr">
        <is>
          <t>Magazine angle · check with</t>
        </is>
      </c>
    </row>
    <row r="212" outlineLevel="1" ht="66.5" customHeight="1">
      <c r="A212" s="191" t="n">
        <v>164</v>
      </c>
      <c r="B212" s="192" t="n">
        <v>4</v>
      </c>
      <c r="C212" s="193" t="inlineStr">
        <is>
          <t>CEDH finds negligence by Guasave municipality in death of teacher who fell into sinkhole
(English headline translated by Claude · Original: CEDH acredita negligencia del Ayuntamiento de Guasave por muerte de profesor que cayó en socavón)</t>
        </is>
      </c>
      <c r="D212" s="194" t="inlineStr">
        <is>
          <t>Open article</t>
        </is>
      </c>
      <c r="E212" s="195" t="inlineStr">
        <is>
          <t>Feature lead</t>
        </is>
      </c>
      <c r="F212" s="196">
        <f>IFERROR(INDEX(Stories!$F$4:$F$195,MATCH($A212,Stories!$A$4:$A$195,0))&amp;"","")</f>
        <v/>
      </c>
      <c r="G212" s="197" t="inlineStr">
        <is>
          <t>www.noroeste.com.mx</t>
        </is>
      </c>
      <c r="H212" s="198" t="n">
        <v>46319</v>
      </c>
      <c r="I212" s="197" t="inlineStr">
        <is>
          <t>What duty of care should municipalities meet in managing known ground-collapse hazards in urban areas, as the Guasave case suggests?</t>
        </is>
      </c>
    </row>
    <row r="213" outlineLevel="1" ht="66.5" customHeight="1">
      <c r="A213" s="191" t="n">
        <v>72</v>
      </c>
      <c r="B213" s="192" t="n">
        <v>3</v>
      </c>
      <c r="C213" s="193" t="inlineStr">
        <is>
          <t>Focus resources on relocating people living in areas at risk of landslides.
(English headline translated by Claude · Original: Concentrer les ressources sur le relogement des personnes vivant dans les zones à risque de glissements de terrain.)</t>
        </is>
      </c>
      <c r="D213" s="194" t="inlineStr">
        <is>
          <t>Open article</t>
        </is>
      </c>
      <c r="E213" s="195" t="inlineStr">
        <is>
          <t>Feature lead</t>
        </is>
      </c>
      <c r="F213" s="196">
        <f>IFERROR(INDEX(Stories!$F$4:$F$195,MATCH($A213,Stories!$A$4:$A$195,0))&amp;"","")</f>
        <v/>
      </c>
      <c r="G213" s="197" t="inlineStr">
        <is>
          <t>Vietnam.vn</t>
        </is>
      </c>
      <c r="H213" s="198" t="n">
        <v>46321</v>
      </c>
      <c r="I213" s="197" t="inlineStr">
        <is>
          <t>How should relocation programmes for households in landslide-prone zones be prioritised using ground hazard evidence?
Check with: Vietnam's ministry responsible for disaster prevention</t>
        </is>
      </c>
    </row>
    <row r="214" outlineLevel="1" ht="41.5" customHeight="1">
      <c r="A214" s="191" t="n">
        <v>117</v>
      </c>
      <c r="B214" s="192" t="n">
        <v>3</v>
      </c>
      <c r="C214" s="193" t="inlineStr">
        <is>
          <t>SAM demands answers over fatal Penang landslide which killed doctor</t>
        </is>
      </c>
      <c r="D214" s="194" t="inlineStr">
        <is>
          <t>Open article</t>
        </is>
      </c>
      <c r="E214" s="199" t="inlineStr">
        <is>
          <t>News brief</t>
        </is>
      </c>
      <c r="F214" s="196">
        <f>IFERROR(INDEX(Stories!$F$4:$F$195,MATCH($A214,Stories!$A$4:$A$195,0))&amp;"","")</f>
        <v/>
      </c>
      <c r="G214" s="197" t="inlineStr">
        <is>
          <t>NST Online</t>
        </is>
      </c>
      <c r="H214" s="198" t="n">
        <v>46320</v>
      </c>
      <c r="I214" s="197" t="inlineStr">
        <is>
          <t>What accountability and slope regulation gaps are revealed after a fatal landslide in a hillside urban area?</t>
        </is>
      </c>
    </row>
    <row r="215" outlineLevel="1" ht="66.5" customHeight="1">
      <c r="A215" s="191" t="n">
        <v>118</v>
      </c>
      <c r="B215" s="192" t="n">
        <v>3</v>
      </c>
      <c r="C215" s="193" t="inlineStr">
        <is>
          <t>'The 1956 Landslide and the Church of San Pietro': photographic exhibition extended
(English headline translated by Claude · Original: "La Frana del 1956 e la Chiesa di San Pietro", prorogata la mostra fotografica)</t>
        </is>
      </c>
      <c r="D215" s="194" t="inlineStr">
        <is>
          <t>Open article</t>
        </is>
      </c>
      <c r="E215" s="205" t="inlineStr">
        <is>
          <t>Watch only</t>
        </is>
      </c>
      <c r="F215" s="196">
        <f>IFERROR(INDEX(Stories!$F$4:$F$195,MATCH($A215,Stories!$A$4:$A$195,0))&amp;"","")</f>
        <v/>
      </c>
      <c r="G215" s="197" t="inlineStr">
        <is>
          <t>Trigno.net</t>
        </is>
      </c>
      <c r="H215" s="198" t="n">
        <v>46320</v>
      </c>
      <c r="I215" s="197" t="inlineStr">
        <is>
          <t>How did the 1956 landslide shape settlement decisions and church site safety, and what does that history teach about landslide memory?</t>
        </is>
      </c>
    </row>
    <row r="216" outlineLevel="1" ht="66.5" customHeight="1">
      <c r="A216" s="191" t="n">
        <v>182</v>
      </c>
      <c r="B216" s="192" t="n">
        <v>3</v>
      </c>
      <c r="C216" s="193" t="inlineStr">
        <is>
          <t>Body of miner trapped in a tunnel collapse in Gámeza recovered
(English headline translated by Claude · Original: Rescatan el cuerpo sin vida del minero que había quedado atrapado en un socavón en Gámeza)</t>
        </is>
      </c>
      <c r="D216" s="194" t="inlineStr">
        <is>
          <t>Open article</t>
        </is>
      </c>
      <c r="E216" s="199" t="inlineStr">
        <is>
          <t>News brief</t>
        </is>
      </c>
      <c r="F216" s="196">
        <f>IFERROR(INDEX(Stories!$F$4:$F$195,MATCH($A216,Stories!$A$4:$A$195,0))&amp;"","")</f>
        <v/>
      </c>
      <c r="G216" s="197" t="inlineStr">
        <is>
          <t>Boyacá 7 Días</t>
        </is>
      </c>
      <c r="H216" s="198" t="n">
        <v>46319</v>
      </c>
      <c r="I216" s="197" t="inlineStr">
        <is>
          <t>What ground and support conditions lead to tunnel collapses in small mines, and how can rescue operations account for ground instability?</t>
        </is>
      </c>
    </row>
    <row r="217" outlineLevel="1" ht="66.5" customHeight="1">
      <c r="A217" s="191" t="n">
        <v>189</v>
      </c>
      <c r="B217" s="192" t="n">
        <v>3</v>
      </c>
      <c r="C217"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17" s="194" t="inlineStr">
        <is>
          <t>Open article</t>
        </is>
      </c>
      <c r="E217" s="210" t="inlineStr">
        <is>
          <t>Regional insight</t>
        </is>
      </c>
      <c r="F217" s="196">
        <f>IFERROR(INDEX(Stories!$F$4:$F$195,MATCH($A217,Stories!$A$4:$A$195,0))&amp;"","")</f>
        <v/>
      </c>
      <c r="G217" s="197" t="inlineStr">
        <is>
          <t>Vietnam.vn</t>
        </is>
      </c>
      <c r="H217" s="198" t="n">
        <v>46319</v>
      </c>
      <c r="I217" s="197" t="inlineStr">
        <is>
          <t>What are the geotechnical feasibility issues of levelling a hill, including rock quality, slope excavation and stability, compared with preservation?</t>
        </is>
      </c>
    </row>
    <row r="218" outlineLevel="1" ht="66.5" customHeight="1">
      <c r="A218" s="191" t="n">
        <v>190</v>
      </c>
      <c r="B218" s="192" t="n">
        <v>3</v>
      </c>
      <c r="C218" s="193" t="inlineStr">
        <is>
          <t>What are the options for Mot Mountain in Quy Nhon: level it or preserve the historic site?
(English headline translated by Claude · Original: Quais são as opções para o Monte Mot em Quy Nhon: nivelá-lo ou preservar o sítio histórico?)</t>
        </is>
      </c>
      <c r="D218" s="194" t="inlineStr">
        <is>
          <t>Open article</t>
        </is>
      </c>
      <c r="E218" s="210" t="inlineStr">
        <is>
          <t>Regional insight</t>
        </is>
      </c>
      <c r="F218" s="196">
        <f>IFERROR(INDEX(Stories!$F$4:$F$195,MATCH($A218,Stories!$A$4:$A$195,0))&amp;"","")</f>
        <v/>
      </c>
      <c r="G218" s="197" t="inlineStr">
        <is>
          <t>Vietnam.vn</t>
        </is>
      </c>
      <c r="H218" s="198" t="n">
        <v>46319</v>
      </c>
      <c r="I218" s="197" t="inlineStr">
        <is>
          <t>What geotechnical assessments would be needed to compare levelling Mot Mountain with conserving its historic site, including rock stability and foundation implications?</t>
        </is>
      </c>
    </row>
    <row r="219" outlineLevel="1" ht="10" customHeight="1"/>
  </sheetData>
  <mergeCells count="8">
    <mergeCell ref="A196:I196"/>
    <mergeCell ref="A11:I11"/>
    <mergeCell ref="A94:I94"/>
    <mergeCell ref="A4:I4"/>
    <mergeCell ref="A100:I100"/>
    <mergeCell ref="A20:I20"/>
    <mergeCell ref="A171:I171"/>
    <mergeCell ref="A210:I210"/>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18">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18">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2:B9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2:F9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96:B98">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96:F98">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02:B169">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02:F169">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173:B194">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173:F194">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98:B20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98:F20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12:B218">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12:F218">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6" r:id="rId82"/>
    <hyperlink xmlns:r="http://schemas.openxmlformats.org/officeDocument/2006/relationships" ref="D97" r:id="rId83"/>
    <hyperlink xmlns:r="http://schemas.openxmlformats.org/officeDocument/2006/relationships" ref="D98" r:id="rId84"/>
    <hyperlink xmlns:r="http://schemas.openxmlformats.org/officeDocument/2006/relationships" ref="D102" r:id="rId85"/>
    <hyperlink xmlns:r="http://schemas.openxmlformats.org/officeDocument/2006/relationships" ref="D103" r:id="rId86"/>
    <hyperlink xmlns:r="http://schemas.openxmlformats.org/officeDocument/2006/relationships" ref="D104" r:id="rId87"/>
    <hyperlink xmlns:r="http://schemas.openxmlformats.org/officeDocument/2006/relationships" ref="D105" r:id="rId88"/>
    <hyperlink xmlns:r="http://schemas.openxmlformats.org/officeDocument/2006/relationships" ref="D106" r:id="rId89"/>
    <hyperlink xmlns:r="http://schemas.openxmlformats.org/officeDocument/2006/relationships" ref="D107" r:id="rId90"/>
    <hyperlink xmlns:r="http://schemas.openxmlformats.org/officeDocument/2006/relationships" ref="D108" r:id="rId91"/>
    <hyperlink xmlns:r="http://schemas.openxmlformats.org/officeDocument/2006/relationships" ref="D109" r:id="rId92"/>
    <hyperlink xmlns:r="http://schemas.openxmlformats.org/officeDocument/2006/relationships" ref="D110" r:id="rId93"/>
    <hyperlink xmlns:r="http://schemas.openxmlformats.org/officeDocument/2006/relationships" ref="D111" r:id="rId94"/>
    <hyperlink xmlns:r="http://schemas.openxmlformats.org/officeDocument/2006/relationships" ref="D112" r:id="rId95"/>
    <hyperlink xmlns:r="http://schemas.openxmlformats.org/officeDocument/2006/relationships" ref="D113" r:id="rId96"/>
    <hyperlink xmlns:r="http://schemas.openxmlformats.org/officeDocument/2006/relationships" ref="D114" r:id="rId97"/>
    <hyperlink xmlns:r="http://schemas.openxmlformats.org/officeDocument/2006/relationships" ref="D115" r:id="rId98"/>
    <hyperlink xmlns:r="http://schemas.openxmlformats.org/officeDocument/2006/relationships" ref="D116" r:id="rId99"/>
    <hyperlink xmlns:r="http://schemas.openxmlformats.org/officeDocument/2006/relationships" ref="D117" r:id="rId100"/>
    <hyperlink xmlns:r="http://schemas.openxmlformats.org/officeDocument/2006/relationships" ref="D118" r:id="rId101"/>
    <hyperlink xmlns:r="http://schemas.openxmlformats.org/officeDocument/2006/relationships" ref="D119" r:id="rId102"/>
    <hyperlink xmlns:r="http://schemas.openxmlformats.org/officeDocument/2006/relationships" ref="D120" r:id="rId103"/>
    <hyperlink xmlns:r="http://schemas.openxmlformats.org/officeDocument/2006/relationships" ref="D121" r:id="rId104"/>
    <hyperlink xmlns:r="http://schemas.openxmlformats.org/officeDocument/2006/relationships" ref="D122" r:id="rId105"/>
    <hyperlink xmlns:r="http://schemas.openxmlformats.org/officeDocument/2006/relationships" ref="D123"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2" r:id="rId115"/>
    <hyperlink xmlns:r="http://schemas.openxmlformats.org/officeDocument/2006/relationships" ref="D133" r:id="rId116"/>
    <hyperlink xmlns:r="http://schemas.openxmlformats.org/officeDocument/2006/relationships" ref="D134" r:id="rId117"/>
    <hyperlink xmlns:r="http://schemas.openxmlformats.org/officeDocument/2006/relationships" ref="D135" r:id="rId118"/>
    <hyperlink xmlns:r="http://schemas.openxmlformats.org/officeDocument/2006/relationships" ref="D136" r:id="rId119"/>
    <hyperlink xmlns:r="http://schemas.openxmlformats.org/officeDocument/2006/relationships" ref="D137" r:id="rId120"/>
    <hyperlink xmlns:r="http://schemas.openxmlformats.org/officeDocument/2006/relationships" ref="D138" r:id="rId121"/>
    <hyperlink xmlns:r="http://schemas.openxmlformats.org/officeDocument/2006/relationships" ref="D139" r:id="rId122"/>
    <hyperlink xmlns:r="http://schemas.openxmlformats.org/officeDocument/2006/relationships" ref="D140" r:id="rId123"/>
    <hyperlink xmlns:r="http://schemas.openxmlformats.org/officeDocument/2006/relationships" ref="D141" r:id="rId124"/>
    <hyperlink xmlns:r="http://schemas.openxmlformats.org/officeDocument/2006/relationships" ref="D142" r:id="rId125"/>
    <hyperlink xmlns:r="http://schemas.openxmlformats.org/officeDocument/2006/relationships" ref="D143"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3" r:id="rId153"/>
    <hyperlink xmlns:r="http://schemas.openxmlformats.org/officeDocument/2006/relationships" ref="D174" r:id="rId154"/>
    <hyperlink xmlns:r="http://schemas.openxmlformats.org/officeDocument/2006/relationships" ref="D175" r:id="rId155"/>
    <hyperlink xmlns:r="http://schemas.openxmlformats.org/officeDocument/2006/relationships" ref="D176" r:id="rId156"/>
    <hyperlink xmlns:r="http://schemas.openxmlformats.org/officeDocument/2006/relationships" ref="D177" r:id="rId157"/>
    <hyperlink xmlns:r="http://schemas.openxmlformats.org/officeDocument/2006/relationships" ref="D178" r:id="rId158"/>
    <hyperlink xmlns:r="http://schemas.openxmlformats.org/officeDocument/2006/relationships" ref="D179" r:id="rId159"/>
    <hyperlink xmlns:r="http://schemas.openxmlformats.org/officeDocument/2006/relationships" ref="D180" r:id="rId160"/>
    <hyperlink xmlns:r="http://schemas.openxmlformats.org/officeDocument/2006/relationships" ref="D181" r:id="rId161"/>
    <hyperlink xmlns:r="http://schemas.openxmlformats.org/officeDocument/2006/relationships" ref="D182" r:id="rId162"/>
    <hyperlink xmlns:r="http://schemas.openxmlformats.org/officeDocument/2006/relationships" ref="D183" r:id="rId163"/>
    <hyperlink xmlns:r="http://schemas.openxmlformats.org/officeDocument/2006/relationships" ref="D184" r:id="rId164"/>
    <hyperlink xmlns:r="http://schemas.openxmlformats.org/officeDocument/2006/relationships" ref="D185" r:id="rId165"/>
    <hyperlink xmlns:r="http://schemas.openxmlformats.org/officeDocument/2006/relationships" ref="D186" r:id="rId166"/>
    <hyperlink xmlns:r="http://schemas.openxmlformats.org/officeDocument/2006/relationships" ref="D187" r:id="rId167"/>
    <hyperlink xmlns:r="http://schemas.openxmlformats.org/officeDocument/2006/relationships" ref="D188" r:id="rId168"/>
    <hyperlink xmlns:r="http://schemas.openxmlformats.org/officeDocument/2006/relationships" ref="D189" r:id="rId169"/>
    <hyperlink xmlns:r="http://schemas.openxmlformats.org/officeDocument/2006/relationships" ref="D190" r:id="rId170"/>
    <hyperlink xmlns:r="http://schemas.openxmlformats.org/officeDocument/2006/relationships" ref="D191" r:id="rId171"/>
    <hyperlink xmlns:r="http://schemas.openxmlformats.org/officeDocument/2006/relationships" ref="D192" r:id="rId172"/>
    <hyperlink xmlns:r="http://schemas.openxmlformats.org/officeDocument/2006/relationships" ref="D193" r:id="rId173"/>
    <hyperlink xmlns:r="http://schemas.openxmlformats.org/officeDocument/2006/relationships" ref="D194" r:id="rId174"/>
    <hyperlink xmlns:r="http://schemas.openxmlformats.org/officeDocument/2006/relationships" ref="D198" r:id="rId175"/>
    <hyperlink xmlns:r="http://schemas.openxmlformats.org/officeDocument/2006/relationships" ref="D199" r:id="rId176"/>
    <hyperlink xmlns:r="http://schemas.openxmlformats.org/officeDocument/2006/relationships" ref="D200" r:id="rId177"/>
    <hyperlink xmlns:r="http://schemas.openxmlformats.org/officeDocument/2006/relationships" ref="D201" r:id="rId178"/>
    <hyperlink xmlns:r="http://schemas.openxmlformats.org/officeDocument/2006/relationships" ref="D202" r:id="rId179"/>
    <hyperlink xmlns:r="http://schemas.openxmlformats.org/officeDocument/2006/relationships" ref="D203" r:id="rId180"/>
    <hyperlink xmlns:r="http://schemas.openxmlformats.org/officeDocument/2006/relationships" ref="D204" r:id="rId181"/>
    <hyperlink xmlns:r="http://schemas.openxmlformats.org/officeDocument/2006/relationships" ref="D205" r:id="rId182"/>
    <hyperlink xmlns:r="http://schemas.openxmlformats.org/officeDocument/2006/relationships" ref="D206" r:id="rId183"/>
    <hyperlink xmlns:r="http://schemas.openxmlformats.org/officeDocument/2006/relationships" ref="D207" r:id="rId184"/>
    <hyperlink xmlns:r="http://schemas.openxmlformats.org/officeDocument/2006/relationships" ref="D208" r:id="rId185"/>
    <hyperlink xmlns:r="http://schemas.openxmlformats.org/officeDocument/2006/relationships" ref="D212" r:id="rId186"/>
    <hyperlink xmlns:r="http://schemas.openxmlformats.org/officeDocument/2006/relationships" ref="D213" r:id="rId187"/>
    <hyperlink xmlns:r="http://schemas.openxmlformats.org/officeDocument/2006/relationships" ref="D214" r:id="rId188"/>
    <hyperlink xmlns:r="http://schemas.openxmlformats.org/officeDocument/2006/relationships" ref="D215" r:id="rId189"/>
    <hyperlink xmlns:r="http://schemas.openxmlformats.org/officeDocument/2006/relationships" ref="D216" r:id="rId190"/>
    <hyperlink xmlns:r="http://schemas.openxmlformats.org/officeDocument/2006/relationships" ref="D217" r:id="rId191"/>
    <hyperlink xmlns:r="http://schemas.openxmlformats.org/officeDocument/2006/relationships" ref="D218" r:id="rId19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5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50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Critical review and innovations in excavation practices for soft soil conditions</t>
        </is>
      </c>
      <c r="C4" s="176" t="inlineStr">
        <is>
          <t>Infrastructure &amp; the Underground City</t>
        </is>
      </c>
      <c r="D4" s="163" t="n">
        <v>5</v>
      </c>
      <c r="E4" s="231" t="inlineStr">
        <is>
          <t>To review</t>
        </is>
      </c>
      <c r="F4" s="167" t="n"/>
      <c r="G4" s="168" t="inlineStr">
        <is>
          <t>Reviews excavation methods in soft soils and proposes innovations, giving contractors and designers practical guidance for deep cuts in difficult ground.</t>
        </is>
      </c>
      <c r="H4" s="232" t="inlineStr">
        <is>
          <t>Soils and Foundations</t>
        </is>
      </c>
      <c r="I4" s="233" t="inlineStr">
        <is>
          <t>Tuna ŞÇ</t>
        </is>
      </c>
      <c r="J4" s="234" t="n">
        <v>46321</v>
      </c>
      <c r="K4" s="234" t="n">
        <v>46322</v>
      </c>
      <c r="L4" s="172" t="inlineStr">
        <is>
          <t>excavation, soil</t>
        </is>
      </c>
      <c r="M4" s="235" t="inlineStr">
        <is>
          <t>https://doi.org/10.1016/j.sandf.2026.101888</t>
        </is>
      </c>
    </row>
    <row r="5" ht="53" customHeight="1">
      <c r="A5" s="160" t="n">
        <v>2</v>
      </c>
      <c r="B5" s="161" t="inlineStr">
        <is>
          <t>Mechanical response of a shield tunnel to normal fault displacement considering longitudinal bolt–segment interaction</t>
        </is>
      </c>
      <c r="C5" s="162" t="inlineStr">
        <is>
          <t>Hazards &amp; Resilience</t>
        </is>
      </c>
      <c r="D5" s="163" t="n">
        <v>4</v>
      </c>
      <c r="E5" s="231" t="inlineStr">
        <is>
          <t>To review</t>
        </is>
      </c>
      <c r="F5" s="167" t="n"/>
      <c r="G5" s="168" t="inlineStr">
        <is>
          <t>Shows how shield tunnels respond to fault offset when longitudinal bolts interact with segments, useful for designing tunnels crossing active faults.</t>
        </is>
      </c>
      <c r="H5" s="232" t="inlineStr">
        <is>
          <t>Tunnelling and Underground Space Technology</t>
        </is>
      </c>
      <c r="I5" s="233" t="inlineStr">
        <is>
          <t>Zeng G, Sawamura Y et al.</t>
        </is>
      </c>
      <c r="J5" s="234" t="n">
        <v>46322</v>
      </c>
      <c r="K5" s="234" t="n">
        <v>46322</v>
      </c>
      <c r="L5" s="172" t="inlineStr">
        <is>
          <t>tunnel</t>
        </is>
      </c>
      <c r="M5" s="235" t="inlineStr">
        <is>
          <t>https://doi.org/10.1016/j.tust.2026.108223</t>
        </is>
      </c>
    </row>
    <row r="6" ht="53" customHeight="1">
      <c r="A6" s="160" t="n">
        <v>3</v>
      </c>
      <c r="B6" s="161" t="inlineStr">
        <is>
          <t>A framework for evaluating soil liquefaction and weakening of dam foundation during earthquakes</t>
        </is>
      </c>
      <c r="C6" s="162" t="inlineStr">
        <is>
          <t>Hazards &amp; Resilience</t>
        </is>
      </c>
      <c r="D6" s="163" t="n">
        <v>4</v>
      </c>
      <c r="E6" s="231" t="inlineStr">
        <is>
          <t>To review</t>
        </is>
      </c>
      <c r="F6" s="167" t="n"/>
      <c r="G6" s="168" t="inlineStr">
        <is>
          <t>Offers a framework for judging liquefaction and strength loss in dam foundations during earthquakes, directly useful for seismic safety assessments of existing dams.</t>
        </is>
      </c>
      <c r="H6" s="232" t="inlineStr">
        <is>
          <t>Soil Dynamics and Earthquake Engineering</t>
        </is>
      </c>
      <c r="I6" s="233" t="inlineStr">
        <is>
          <t>Zhou YG, Li YZ et al.</t>
        </is>
      </c>
      <c r="J6" s="234" t="n">
        <v>46321</v>
      </c>
      <c r="K6" s="234" t="n">
        <v>46322</v>
      </c>
      <c r="L6" s="172" t="inlineStr">
        <is>
          <t>liquefaction, foundation, dam, earthquake, soil</t>
        </is>
      </c>
      <c r="M6" s="235" t="inlineStr">
        <is>
          <t>https://doi.org/10.1016/j.soildyn.2026.110781</t>
        </is>
      </c>
    </row>
    <row r="7" ht="53" customHeight="1">
      <c r="A7" s="160" t="n">
        <v>4</v>
      </c>
      <c r="B7" s="161" t="inlineStr">
        <is>
          <t>Shear characteristics and torque prediction of foam-conditioned sand in EPB shield tunneling: Experimental-machine learning approach</t>
        </is>
      </c>
      <c r="C7" s="176" t="inlineStr">
        <is>
          <t>Infrastructure &amp; the Underground City</t>
        </is>
      </c>
      <c r="D7" s="163" t="n">
        <v>4</v>
      </c>
      <c r="E7" s="231" t="inlineStr">
        <is>
          <t>To review</t>
        </is>
      </c>
      <c r="F7" s="167" t="n"/>
      <c r="G7" s="168" t="inlineStr">
        <is>
          <t>Links foam-conditioned sand testing with machine learning torque prediction, helping tunnel teams anticipate cutterhead loads in EPB drives.</t>
        </is>
      </c>
      <c r="H7" s="232" t="inlineStr">
        <is>
          <t>Tunnelling and Underground Space Technology</t>
        </is>
      </c>
      <c r="I7" s="233" t="inlineStr">
        <is>
          <t>Zhou X, Yang J et al.</t>
        </is>
      </c>
      <c r="J7" s="234" t="n">
        <v>46321</v>
      </c>
      <c r="K7" s="234" t="n">
        <v>46322</v>
      </c>
      <c r="L7" s="172" t="inlineStr">
        <is>
          <t>tunneling</t>
        </is>
      </c>
      <c r="M7" s="235" t="inlineStr">
        <is>
          <t>https://doi.org/10.1016/j.tust.2026.108249</t>
        </is>
      </c>
    </row>
    <row r="8" ht="53" customHeight="1">
      <c r="A8" s="160" t="n">
        <v>5</v>
      </c>
      <c r="B8" s="161" t="inlineStr">
        <is>
          <t>Failure mechanisms and damage evolution of cross-fault tunnels under combined sliding and nonlinearly distributed fault displacement</t>
        </is>
      </c>
      <c r="C8" s="162" t="inlineStr">
        <is>
          <t>Hazards &amp; Resilience</t>
        </is>
      </c>
      <c r="D8" s="163" t="n">
        <v>4</v>
      </c>
      <c r="E8" s="231" t="inlineStr">
        <is>
          <t>To review</t>
        </is>
      </c>
      <c r="F8" s="167" t="n"/>
      <c r="G8" s="168" t="inlineStr">
        <is>
          <t>Explains how tunnels crossing faults fail under combined sliding and uneven displacement, supporting practical damage assessment and fault-crossing design.</t>
        </is>
      </c>
      <c r="H8" s="232" t="inlineStr">
        <is>
          <t>Tunnelling and Underground Space Technology</t>
        </is>
      </c>
      <c r="I8" s="233" t="inlineStr">
        <is>
          <t>Liu X, Zhang C et al.</t>
        </is>
      </c>
      <c r="J8" s="234" t="n">
        <v>46321</v>
      </c>
      <c r="K8" s="234" t="n">
        <v>46322</v>
      </c>
      <c r="L8" s="172" t="inlineStr">
        <is>
          <t>tunnel</t>
        </is>
      </c>
      <c r="M8" s="235" t="inlineStr">
        <is>
          <t>https://doi.org/10.1016/j.tust.2026.108251</t>
        </is>
      </c>
    </row>
    <row r="9" ht="53" customHeight="1">
      <c r="A9" s="160" t="n">
        <v>6</v>
      </c>
      <c r="B9" s="161" t="inlineStr">
        <is>
          <t>Damage characteristics of tunnels under different temporal sequences of reverse fault dislocation and intense seismic excitation</t>
        </is>
      </c>
      <c r="C9" s="162" t="inlineStr">
        <is>
          <t>Hazards &amp; Resilience</t>
        </is>
      </c>
      <c r="D9" s="163" t="n">
        <v>4</v>
      </c>
      <c r="E9" s="231" t="inlineStr">
        <is>
          <t>To review</t>
        </is>
      </c>
      <c r="F9" s="167" t="n"/>
      <c r="G9" s="168" t="inlineStr">
        <is>
          <t>Shows that the timing of fault movement relative to strong shaking changes tunnel damage, important for seismic risk assessment of tunnels.</t>
        </is>
      </c>
      <c r="H9" s="232" t="inlineStr">
        <is>
          <t>Soil Dynamics and Earthquake Engineering</t>
        </is>
      </c>
      <c r="I9" s="233" t="inlineStr">
        <is>
          <t>Xu Z, Yu L et al.</t>
        </is>
      </c>
      <c r="J9" s="234" t="n">
        <v>46321</v>
      </c>
      <c r="K9" s="234" t="n">
        <v>46322</v>
      </c>
      <c r="L9" s="172" t="inlineStr">
        <is>
          <t>tunnel</t>
        </is>
      </c>
      <c r="M9" s="235" t="inlineStr">
        <is>
          <t>https://doi.org/10.1016/j.soildyn.2026.110791</t>
        </is>
      </c>
    </row>
    <row r="10" ht="53" customHeight="1">
      <c r="A10" s="160" t="n">
        <v>7</v>
      </c>
      <c r="B10" s="161" t="inlineStr">
        <is>
          <t>Design implications of composite tunnel linings with varying stiffness and thickness in saturated sand: Insights from large-scale 1g shaking table tests</t>
        </is>
      </c>
      <c r="C10" s="162" t="inlineStr">
        <is>
          <t>Hazards &amp; Resilience</t>
        </is>
      </c>
      <c r="D10" s="163" t="n">
        <v>4</v>
      </c>
      <c r="E10" s="231" t="inlineStr">
        <is>
          <t>To review</t>
        </is>
      </c>
      <c r="F10" s="167" t="n"/>
      <c r="G10" s="168" t="inlineStr">
        <is>
          <t>Provides shaking-table evidence on how lining stiffness and thickness affect tunnels in saturated sand, informing seismic lining design choices.</t>
        </is>
      </c>
      <c r="H10" s="232" t="inlineStr">
        <is>
          <t>Soil Dynamics and Earthquake Engineering</t>
        </is>
      </c>
      <c r="I10" s="233" t="inlineStr">
        <is>
          <t>Huang H, Zhang S et al.</t>
        </is>
      </c>
      <c r="J10" s="234" t="n">
        <v>46321</v>
      </c>
      <c r="K10" s="234" t="n">
        <v>46322</v>
      </c>
      <c r="L10" s="172" t="inlineStr">
        <is>
          <t>tunnel</t>
        </is>
      </c>
      <c r="M10" s="235" t="inlineStr">
        <is>
          <t>https://doi.org/10.1016/j.soildyn.2026.110759</t>
        </is>
      </c>
    </row>
    <row r="11" ht="53" customHeight="1">
      <c r="A11" s="160" t="n">
        <v>8</v>
      </c>
      <c r="B11" s="161" t="inlineStr">
        <is>
          <t>Effects of sequential hydration on water retention and shrinkage of cement-stabilized unsaturated soil</t>
        </is>
      </c>
      <c r="C11" s="180" t="inlineStr">
        <is>
          <t>Ground Improvement &amp; Innovation</t>
        </is>
      </c>
      <c r="D11" s="163" t="n">
        <v>4</v>
      </c>
      <c r="E11" s="231" t="inlineStr">
        <is>
          <t>To review</t>
        </is>
      </c>
      <c r="F11" s="167" t="n"/>
      <c r="G11" s="168" t="inlineStr">
        <is>
          <t>Shows how wetting sequence alters water retention and shrinkage in cement-stabilised soils, relevant to specifying and quality-controlling stabilised fills.</t>
        </is>
      </c>
      <c r="H11" s="232" t="inlineStr">
        <is>
          <t>Soils and Foundations</t>
        </is>
      </c>
      <c r="I11" s="233" t="inlineStr">
        <is>
          <t>Tawiah SO, Shi X</t>
        </is>
      </c>
      <c r="J11" s="234" t="n">
        <v>46321</v>
      </c>
      <c r="K11" s="234" t="n">
        <v>46322</v>
      </c>
      <c r="L11" s="172" t="inlineStr">
        <is>
          <t>soil</t>
        </is>
      </c>
      <c r="M11" s="235" t="inlineStr">
        <is>
          <t>https://doi.org/10.1016/j.sandf.2026.101883</t>
        </is>
      </c>
    </row>
    <row r="12" ht="53" customHeight="1">
      <c r="A12" s="160" t="n">
        <v>9</v>
      </c>
      <c r="B12" s="161" t="inlineStr">
        <is>
          <t>One-dimensional compressive deformation behavior and underlying mechanisms of saturated coastal soft clay under vibratory loading</t>
        </is>
      </c>
      <c r="C12" s="183" t="inlineStr">
        <is>
          <t>Offshore, Coasts &amp; Water</t>
        </is>
      </c>
      <c r="D12" s="163" t="n">
        <v>4</v>
      </c>
      <c r="E12" s="231" t="inlineStr">
        <is>
          <t>To review</t>
        </is>
      </c>
      <c r="F12" s="167" t="n"/>
      <c r="G12" s="168" t="inlineStr">
        <is>
          <t>Quantifies compression of coastal soft clay under vibration, directly informing settlement predictions for foundations near ports and waterfronts.</t>
        </is>
      </c>
      <c r="H12" s="232" t="inlineStr">
        <is>
          <t>Soil Dynamics and Earthquake Engineering</t>
        </is>
      </c>
      <c r="I12" s="233" t="inlineStr">
        <is>
          <t>Du C, Xia T, Xia F</t>
        </is>
      </c>
      <c r="J12" s="234" t="n">
        <v>46321</v>
      </c>
      <c r="K12" s="234" t="n">
        <v>46322</v>
      </c>
      <c r="L12" s="172" t="inlineStr">
        <is>
          <t>clay</t>
        </is>
      </c>
      <c r="M12" s="235" t="inlineStr">
        <is>
          <t>https://doi.org/10.1016/j.soildyn.2026.110793</t>
        </is>
      </c>
    </row>
    <row r="13" ht="53" customHeight="1">
      <c r="A13" s="160" t="n">
        <v>10</v>
      </c>
      <c r="B13" s="161" t="inlineStr">
        <is>
          <t>Experimental Study on the Mechanical Properties of Gently Inclined Layered Soft Rock Utilizing 3D Printing Technology</t>
        </is>
      </c>
      <c r="C13" s="182" t="inlineStr">
        <is>
          <t>Characterisation &amp; Modelling</t>
        </is>
      </c>
      <c r="D13" s="163" t="n">
        <v>4</v>
      </c>
      <c r="E13" s="231" t="inlineStr">
        <is>
          <t>To review</t>
        </is>
      </c>
      <c r="F13" s="167" t="n"/>
      <c r="G13" s="168" t="inlineStr">
        <is>
          <t>Uses 3D printed analogue soft rock to reveal how inclined layering controls mechanical behaviour, aiding interpretation of layered rock test data.</t>
        </is>
      </c>
      <c r="H13" s="232" t="inlineStr">
        <is>
          <t>Geomechanics for Energy and the Environment</t>
        </is>
      </c>
      <c r="I13" s="233" t="inlineStr">
        <is>
          <t>Liu Q, Chen S et al.</t>
        </is>
      </c>
      <c r="J13" s="234" t="n">
        <v>46321</v>
      </c>
      <c r="K13" s="234" t="n">
        <v>46322</v>
      </c>
      <c r="L13" s="172" t="n"/>
      <c r="M13" s="235" t="inlineStr">
        <is>
          <t>https://doi.org/10.1016/j.gete.2026.100922</t>
        </is>
      </c>
    </row>
    <row r="14" ht="53" customHeight="1">
      <c r="A14" s="160" t="n">
        <v>11</v>
      </c>
      <c r="B14" s="161" t="inlineStr">
        <is>
          <t>Parameter optimization study on plant–derived enzyme–induced carbonate precipitation method to improve the mechanics and durability of Loess</t>
        </is>
      </c>
      <c r="C14" s="180" t="inlineStr">
        <is>
          <t>Ground Improvement &amp; Innovation</t>
        </is>
      </c>
      <c r="D14" s="163" t="n">
        <v>4</v>
      </c>
      <c r="E14" s="231" t="inlineStr">
        <is>
          <t>To review</t>
        </is>
      </c>
      <c r="F14" s="167" t="n"/>
      <c r="G14" s="168" t="inlineStr">
        <is>
          <t>Optimises a plant-enzyme carbonate precipitation treatment for loess, offering a greener ground improvement option with improved strength and durability.</t>
        </is>
      </c>
      <c r="H14" s="232" t="inlineStr">
        <is>
          <t>Bulletin of Engineering Geology and the Environment</t>
        </is>
      </c>
      <c r="I14" s="233" t="inlineStr">
        <is>
          <t>Wan R, Muneer M et al.</t>
        </is>
      </c>
      <c r="J14" s="234" t="n">
        <v>46321</v>
      </c>
      <c r="K14" s="234" t="n">
        <v>46322</v>
      </c>
      <c r="L14" s="172" t="n"/>
      <c r="M14" s="235" t="inlineStr">
        <is>
          <t>https://doi.org/10.1007/s10064-026-05322-2</t>
        </is>
      </c>
    </row>
    <row r="15" ht="53" customHeight="1">
      <c r="A15" s="160" t="n">
        <v>12</v>
      </c>
      <c r="B15" s="161" t="inlineStr">
        <is>
          <t>Rainfall-Induced Differential Deformation of the Fracture-Cut Roof of Beishan Cave 168: A Flexural-Rotational Interpretation and Response to Negative Poisson’s Ratio Bolting</t>
        </is>
      </c>
      <c r="C15" s="176" t="inlineStr">
        <is>
          <t>Infrastructure &amp; the Underground City</t>
        </is>
      </c>
      <c r="D15" s="163" t="n">
        <v>4</v>
      </c>
      <c r="E15" s="231" t="inlineStr">
        <is>
          <t>To review</t>
        </is>
      </c>
      <c r="F15" s="167" t="n"/>
      <c r="G15" s="168" t="inlineStr">
        <is>
          <t>Explains rainfall-driven roof movement in a cave and tests negative Poisson's ratio bolts, offering practical support lessons for fractured ground.</t>
        </is>
      </c>
      <c r="H15" s="232" t="inlineStr">
        <is>
          <t>Rock Mechanics and Rock Engineering</t>
        </is>
      </c>
      <c r="I15" s="233" t="inlineStr">
        <is>
          <t>Liu S, Yang P et al.</t>
        </is>
      </c>
      <c r="J15" s="234" t="n">
        <v>46321</v>
      </c>
      <c r="K15" s="234" t="n">
        <v>46322</v>
      </c>
      <c r="L15" s="172" t="n"/>
      <c r="M15" s="235" t="inlineStr">
        <is>
          <t>https://doi.org/10.1007/s00603-026-06107-5</t>
        </is>
      </c>
    </row>
    <row r="16" ht="53" customHeight="1">
      <c r="A16" s="160" t="n">
        <v>13</v>
      </c>
      <c r="B16" s="161" t="inlineStr">
        <is>
          <t>Experimental Research and Engineering Practice on the Synergistic Anti-impact Mechanism of Bolt–U-Steel–Backfill Support System in Deep Roadways</t>
        </is>
      </c>
      <c r="C16" s="176" t="inlineStr">
        <is>
          <t>Infrastructure &amp; the Underground City</t>
        </is>
      </c>
      <c r="D16" s="163" t="n">
        <v>4</v>
      </c>
      <c r="E16" s="231" t="inlineStr">
        <is>
          <t>To review</t>
        </is>
      </c>
      <c r="F16" s="167" t="n"/>
      <c r="G16" s="168" t="inlineStr">
        <is>
          <t>Combines experiments and field practice on a bolt, U-steel and backfill system, giving roadway designers evidence for resisting dynamic impacts in deep mines.</t>
        </is>
      </c>
      <c r="H16" s="232" t="inlineStr">
        <is>
          <t>Rock Mechanics and Rock Engineering</t>
        </is>
      </c>
      <c r="I16" s="233" t="inlineStr">
        <is>
          <t>He S, Wu Y et al.</t>
        </is>
      </c>
      <c r="J16" s="234" t="n">
        <v>46321</v>
      </c>
      <c r="K16" s="234" t="n">
        <v>46322</v>
      </c>
      <c r="L16" s="172" t="n"/>
      <c r="M16" s="235" t="inlineStr">
        <is>
          <t>https://doi.org/10.1007/s00603-026-06090-x</t>
        </is>
      </c>
    </row>
    <row r="17" ht="53" customHeight="1">
      <c r="A17" s="160" t="n">
        <v>14</v>
      </c>
      <c r="B17" s="161" t="inlineStr">
        <is>
          <t>Seismic performance assessment of high-speed railway track-bridge system with CFRP-repaired piers under near-fault pulse-like ground motions</t>
        </is>
      </c>
      <c r="C17" s="176" t="inlineStr">
        <is>
          <t>Infrastructure &amp; the Underground City</t>
        </is>
      </c>
      <c r="D17" s="163" t="n">
        <v>4</v>
      </c>
      <c r="E17" s="231" t="inlineStr">
        <is>
          <t>To review</t>
        </is>
      </c>
      <c r="F17" s="167" t="n"/>
      <c r="G17" s="168" t="inlineStr">
        <is>
          <t>Seismic response results for CFRP-repaired bridge piers under pulse-like motions help engineers judge whether repair strategies protect high-speed rail track-bridge systems.</t>
        </is>
      </c>
      <c r="H17" s="232" t="inlineStr">
        <is>
          <t>Soil Dynamics and Earthquake Engineering</t>
        </is>
      </c>
      <c r="I17" s="233" t="inlineStr">
        <is>
          <t>Kang Z, Jiang L, Jiang L</t>
        </is>
      </c>
      <c r="J17" s="234" t="n">
        <v>46321</v>
      </c>
      <c r="K17" s="234" t="n">
        <v>46321</v>
      </c>
      <c r="L17" s="172" t="inlineStr">
        <is>
          <t>railway</t>
        </is>
      </c>
      <c r="M17" s="235" t="inlineStr">
        <is>
          <t>https://doi.org/10.1016/j.soildyn.2026.110792</t>
        </is>
      </c>
    </row>
    <row r="18" ht="53" customHeight="1">
      <c r="A18" s="160" t="n">
        <v>15</v>
      </c>
      <c r="B18" s="161" t="inlineStr">
        <is>
          <t>A modified triaxial test for characterising soil–structure interface behaviour</t>
        </is>
      </c>
      <c r="C18" s="182" t="inlineStr">
        <is>
          <t>Characterisation &amp; Modelling</t>
        </is>
      </c>
      <c r="D18" s="163" t="n">
        <v>4</v>
      </c>
      <c r="E18" s="231" t="inlineStr">
        <is>
          <t>To review</t>
        </is>
      </c>
      <c r="F18" s="167" t="n"/>
      <c r="G18" s="168" t="inlineStr">
        <is>
          <t>A modified triaxial set-up that yields interface friction comparable to direct shear lets labs measure soil-structure interface strength with equipment they already own.</t>
        </is>
      </c>
      <c r="H18" s="232" t="inlineStr">
        <is>
          <t>Acta Geotechnica</t>
        </is>
      </c>
      <c r="I18" s="233" t="inlineStr">
        <is>
          <t>Ho CYR, Khoshghalb A, Khalili N</t>
        </is>
      </c>
      <c r="J18" s="234" t="n">
        <v>46320</v>
      </c>
      <c r="K18" s="234" t="n">
        <v>46321</v>
      </c>
      <c r="L18" s="172" t="inlineStr">
        <is>
          <t>soil</t>
        </is>
      </c>
      <c r="M18" s="235" t="inlineStr">
        <is>
          <t>https://doi.org/10.1007/s11440-026-03248-3</t>
        </is>
      </c>
    </row>
    <row r="19" ht="53" customHeight="1">
      <c r="A19" s="160" t="n">
        <v>16</v>
      </c>
      <c r="B19" s="161" t="inlineStr">
        <is>
          <t>Fine particle migration of gravel-sand mixtures under coupled hydraulic gradient and cyclic loading</t>
        </is>
      </c>
      <c r="C19" s="162" t="inlineStr">
        <is>
          <t>Hazards &amp; Resilience</t>
        </is>
      </c>
      <c r="D19" s="163" t="n">
        <v>4</v>
      </c>
      <c r="E19" s="231" t="inlineStr">
        <is>
          <t>To review</t>
        </is>
      </c>
      <c r="F19" s="167" t="n"/>
      <c r="G19" s="168" t="inlineStr">
        <is>
          <t>Showing how fines wash out of gravel-sand mixtures under combined seepage and cyclic loading flags internal erosion risks for dams, levees and filters that engineers must assess.</t>
        </is>
      </c>
      <c r="H19" s="232" t="inlineStr">
        <is>
          <t>Acta Geotechnica</t>
        </is>
      </c>
      <c r="I19" s="233" t="inlineStr">
        <is>
          <t>Li ZQ, Zhang S et al.</t>
        </is>
      </c>
      <c r="J19" s="234" t="n">
        <v>46320</v>
      </c>
      <c r="K19" s="234" t="n">
        <v>46321</v>
      </c>
      <c r="L19" s="172" t="n"/>
      <c r="M19" s="235" t="inlineStr">
        <is>
          <t>https://doi.org/10.1007/s11440-026-03237-6</t>
        </is>
      </c>
    </row>
    <row r="20" ht="65.5" customHeight="1">
      <c r="A20" s="160" t="n">
        <v>17</v>
      </c>
      <c r="B20" s="161" t="inlineStr">
        <is>
          <t>Secondary Compression of Deep Foundations in Carbonate Soils: An InSAR Study of Sunny Isles, Florida</t>
        </is>
      </c>
      <c r="C20" s="176" t="inlineStr">
        <is>
          <t>Infrastructure &amp; the Underground City</t>
        </is>
      </c>
      <c r="D20" s="163" t="n">
        <v>4</v>
      </c>
      <c r="E20" s="231" t="inlineStr">
        <is>
          <t>To review</t>
        </is>
      </c>
      <c r="F20" s="167" t="n"/>
      <c r="G20" s="168" t="inlineStr">
        <is>
          <t>Six years of InSAR data show building-specific settlements in carbonate soils that continue after construction, so engineers should plan for long-term deformation and monitoring of deep foundations.</t>
        </is>
      </c>
      <c r="H20" s="232" t="inlineStr">
        <is>
          <t>Journal of Geotechnical and Geoenvironmental Engineering</t>
        </is>
      </c>
      <c r="I20" s="233" t="inlineStr">
        <is>
          <t>Bardet JP</t>
        </is>
      </c>
      <c r="J20" s="234" t="n">
        <v>46319</v>
      </c>
      <c r="K20" s="234" t="n">
        <v>46319</v>
      </c>
      <c r="L20" s="172" t="inlineStr">
        <is>
          <t>subsidence, settlement, deep foundation, foundation, pile, soil</t>
        </is>
      </c>
      <c r="M20" s="235" t="inlineStr">
        <is>
          <t>https://doi.org/10.1061/jggefk.gteng-15394</t>
        </is>
      </c>
    </row>
    <row r="21" ht="53" customHeight="1">
      <c r="A21" s="160" t="n">
        <v>18</v>
      </c>
      <c r="B21" s="161" t="inlineStr">
        <is>
          <t>Experimental investigation on deformation behavior of pile-supported embankments with geogrid-tire cells reinforcement</t>
        </is>
      </c>
      <c r="C21" s="180" t="inlineStr">
        <is>
          <t>Ground Improvement &amp; Innovation</t>
        </is>
      </c>
      <c r="D21" s="163" t="n">
        <v>4</v>
      </c>
      <c r="E21" s="231" t="inlineStr">
        <is>
          <t>To review</t>
        </is>
      </c>
      <c r="F21" s="167" t="n"/>
      <c r="G21" s="168" t="inlineStr">
        <is>
          <t>Experimental results on pile-supported embankments with geogrid-tire cells give practical guidance on deformation behaviour and load transfer for low-cost reinforced embankment design.</t>
        </is>
      </c>
      <c r="H21" s="232" t="inlineStr">
        <is>
          <t>Transportation Geotechnics</t>
        </is>
      </c>
      <c r="I21" s="233" t="inlineStr">
        <is>
          <t>Zhang H, Jia Y et al.</t>
        </is>
      </c>
      <c r="J21" s="234" t="n">
        <v>46318</v>
      </c>
      <c r="K21" s="234" t="n">
        <v>46319</v>
      </c>
      <c r="L21" s="172" t="inlineStr">
        <is>
          <t>pile, embankment, geogrid</t>
        </is>
      </c>
      <c r="M21" s="235" t="inlineStr">
        <is>
          <t>https://doi.org/10.1016/j.trgeo.2026.102499</t>
        </is>
      </c>
    </row>
    <row r="22" ht="65.5" customHeight="1">
      <c r="A22" s="160" t="n">
        <v>19</v>
      </c>
      <c r="B22" s="161" t="inlineStr">
        <is>
          <t>Stiffness compatibility in geosynthetic-reinforced column-supported embankment widening over soft ground: numerical insights and a design framework</t>
        </is>
      </c>
      <c r="C22" s="180" t="inlineStr">
        <is>
          <t>Ground Improvement &amp; Innovation</t>
        </is>
      </c>
      <c r="D22" s="163" t="n">
        <v>4</v>
      </c>
      <c r="E22" s="231" t="inlineStr">
        <is>
          <t>To review</t>
        </is>
      </c>
      <c r="F22" s="167" t="n"/>
      <c r="G22" s="168" t="inlineStr">
        <is>
          <t>A stiffness-compatibility design framework for geosynthetic-reinforced column-supported embankment widening addresses differential settlement issues that practitioners face when widening existing embankments.</t>
        </is>
      </c>
      <c r="H22" s="232" t="inlineStr">
        <is>
          <t>Soils and Foundations</t>
        </is>
      </c>
      <c r="I22" s="233" t="inlineStr">
        <is>
          <t>Pham TA</t>
        </is>
      </c>
      <c r="J22" s="234" t="n">
        <v>46317</v>
      </c>
      <c r="K22" s="234" t="n">
        <v>46319</v>
      </c>
      <c r="L22" s="172" t="inlineStr">
        <is>
          <t>embankment, geosynthetic</t>
        </is>
      </c>
      <c r="M22" s="235" t="inlineStr">
        <is>
          <t>https://doi.org/10.1016/j.sandf.2026.101892</t>
        </is>
      </c>
    </row>
    <row r="23" ht="65.5" customHeight="1">
      <c r="A23" s="160" t="n">
        <v>20</v>
      </c>
      <c r="B23" s="161" t="inlineStr">
        <is>
          <t>Extended soil-arching analysis for piled embankments with rectangular pile layouts</t>
        </is>
      </c>
      <c r="C23" s="180" t="inlineStr">
        <is>
          <t>Ground Improvement &amp; Innovation</t>
        </is>
      </c>
      <c r="D23" s="163" t="n">
        <v>4</v>
      </c>
      <c r="E23" s="231" t="inlineStr">
        <is>
          <t>To review</t>
        </is>
      </c>
      <c r="F23" s="167" t="n"/>
      <c r="G23" s="168" t="inlineStr">
        <is>
          <t>Extended soil-arching solutions for rectangular pile layouts, with error quantified against the equivalent-square simplification, give designers a more accurate load-transfer method for piled embankments.</t>
        </is>
      </c>
      <c r="H23" s="232" t="inlineStr">
        <is>
          <t>Proceedings of the Institution of Civil Engineers - Geotechnical Engineering</t>
        </is>
      </c>
      <c r="I23" s="233" t="inlineStr">
        <is>
          <t>He X, Li G et al.</t>
        </is>
      </c>
      <c r="J23" s="234" t="n">
        <v>46316</v>
      </c>
      <c r="K23" s="234" t="n">
        <v>46319</v>
      </c>
      <c r="L23" s="172" t="inlineStr">
        <is>
          <t>pile, embankment, soil</t>
        </is>
      </c>
      <c r="M23" s="235" t="inlineStr">
        <is>
          <t>https://doi.org/10.1680/jgeen.26.00025</t>
        </is>
      </c>
    </row>
    <row r="24" ht="65.5" customHeight="1">
      <c r="A24" s="160" t="n">
        <v>21</v>
      </c>
      <c r="B24" s="161" t="inlineStr">
        <is>
          <t>Development and properties of thixotropic cementitious slurry for ultra-long horizontal directional pre-grouting</t>
        </is>
      </c>
      <c r="C24" s="176" t="inlineStr">
        <is>
          <t>Infrastructure &amp; the Underground City</t>
        </is>
      </c>
      <c r="D24" s="163" t="n">
        <v>4</v>
      </c>
      <c r="E24" s="231" t="inlineStr">
        <is>
          <t>To review</t>
        </is>
      </c>
      <c r="F24" s="167" t="n"/>
      <c r="G24" s="168" t="inlineStr">
        <is>
          <t>A thixotropic cementitious slurry for ultra-long horizontal directional pre-grouting offers a practical grout formulation with properties engineers can specify for long drilled crossings.</t>
        </is>
      </c>
      <c r="H24" s="232" t="inlineStr">
        <is>
          <t>Tunnelling and Underground Space Technology</t>
        </is>
      </c>
      <c r="I24" s="233" t="inlineStr">
        <is>
          <t>Gong J, Xi F et al.</t>
        </is>
      </c>
      <c r="J24" s="234" t="n">
        <v>46316</v>
      </c>
      <c r="K24" s="234" t="n">
        <v>46319</v>
      </c>
      <c r="L24" s="172" t="inlineStr">
        <is>
          <t>grouting</t>
        </is>
      </c>
      <c r="M24" s="235" t="inlineStr">
        <is>
          <t>https://doi.org/10.1016/j.tust.2026.108244</t>
        </is>
      </c>
    </row>
    <row r="25" ht="65.5" customHeight="1">
      <c r="A25" s="160" t="n">
        <v>22</v>
      </c>
      <c r="B25" s="161" t="inlineStr">
        <is>
          <t>Probabilistic State Parameter–Based Liquefaction Triggering Model</t>
        </is>
      </c>
      <c r="C25" s="162" t="inlineStr">
        <is>
          <t>Hazards &amp; Resilience</t>
        </is>
      </c>
      <c r="D25" s="163" t="n">
        <v>4</v>
      </c>
      <c r="E25" s="231" t="inlineStr">
        <is>
          <t>To review</t>
        </is>
      </c>
      <c r="F25" s="167" t="n"/>
      <c r="G25" s="168" t="inlineStr">
        <is>
          <t>A lab-anchored, state-parameter liquefaction triggering model offers an alternative to case-history procedures that can be biased, and it is validated against CPTu data practitioners already use.</t>
        </is>
      </c>
      <c r="H25" s="232" t="inlineStr">
        <is>
          <t>Journal of Geotechnical and Geoenvironmental Engineering</t>
        </is>
      </c>
      <c r="I25" s="233" t="inlineStr">
        <is>
          <t>Reyes P, Montalva G et al.</t>
        </is>
      </c>
      <c r="J25" s="234" t="n">
        <v>46315</v>
      </c>
      <c r="K25" s="234" t="n">
        <v>46319</v>
      </c>
      <c r="L25" s="172" t="inlineStr">
        <is>
          <t>geotechnical, liquefaction, earthquake, soil</t>
        </is>
      </c>
      <c r="M25" s="235" t="inlineStr">
        <is>
          <t>https://doi.org/10.1061/jggefk.gteng-15418</t>
        </is>
      </c>
    </row>
    <row r="26" ht="53" customHeight="1">
      <c r="A26" s="160" t="n">
        <v>23</v>
      </c>
      <c r="B26" s="161" t="inlineStr">
        <is>
          <t>From rockfall to landslide: early warning based on video monitoring in open-pit mines</t>
        </is>
      </c>
      <c r="C26" s="162" t="inlineStr">
        <is>
          <t>Hazards &amp; Resilience</t>
        </is>
      </c>
      <c r="D26" s="163" t="n">
        <v>4</v>
      </c>
      <c r="E26" s="231" t="inlineStr">
        <is>
          <t>To review</t>
        </is>
      </c>
      <c r="F26" s="167" t="n"/>
      <c r="G26" s="168" t="inlineStr">
        <is>
          <t>Video monitoring workflows that link rockfall events to developing landslides give open-pit mine operators a practical early-warning approach they could deploy now.</t>
        </is>
      </c>
      <c r="H26" s="232" t="inlineStr">
        <is>
          <t>Landslides</t>
        </is>
      </c>
      <c r="I26" s="233" t="inlineStr">
        <is>
          <t>Liu F, Deng W et al.</t>
        </is>
      </c>
      <c r="J26" s="234" t="n">
        <v>46315</v>
      </c>
      <c r="K26" s="234" t="n">
        <v>46319</v>
      </c>
      <c r="L26" s="172" t="inlineStr">
        <is>
          <t>landslide, rockfall</t>
        </is>
      </c>
      <c r="M26" s="235" t="inlineStr">
        <is>
          <t>https://doi.org/10.1007/s10346-026-02861-3</t>
        </is>
      </c>
    </row>
    <row r="27" ht="53" customHeight="1">
      <c r="A27" s="160" t="n">
        <v>24</v>
      </c>
      <c r="B27" s="161" t="inlineStr">
        <is>
          <t>Stability analysis of geotextile tube tailings dams under inclined stacking: composite failure mechanism and oblique horizontal slice method</t>
        </is>
      </c>
      <c r="C27" s="185" t="inlineStr">
        <is>
          <t>Sustainability &amp; the Energy Transition</t>
        </is>
      </c>
      <c r="D27" s="163" t="n">
        <v>4</v>
      </c>
      <c r="E27" s="231" t="inlineStr">
        <is>
          <t>To review</t>
        </is>
      </c>
      <c r="F27" s="167" t="n"/>
      <c r="G27" s="168" t="inlineStr">
        <is>
          <t>A composite failure mechanism and slice method for geotextile tube tailings dams under inclined stacking provide a stability check that practitioners can use for tailings management.</t>
        </is>
      </c>
      <c r="H27" s="232" t="inlineStr">
        <is>
          <t>Acta Geotechnica</t>
        </is>
      </c>
      <c r="I27" s="233" t="inlineStr">
        <is>
          <t>Wu Z, Liu X et al.</t>
        </is>
      </c>
      <c r="J27" s="234" t="n">
        <v>46315</v>
      </c>
      <c r="K27" s="234" t="n">
        <v>46319</v>
      </c>
      <c r="L27" s="172" t="inlineStr">
        <is>
          <t>tailings, dam</t>
        </is>
      </c>
      <c r="M27" s="235" t="inlineStr">
        <is>
          <t>https://doi.org/10.1007/s11440-026-03261-6</t>
        </is>
      </c>
    </row>
    <row r="28" ht="53" customHeight="1">
      <c r="A28" s="160" t="n">
        <v>25</v>
      </c>
      <c r="B28" s="161" t="inlineStr">
        <is>
          <t>A unified experimental-numerical assessment of Cable, Pile, and Zone solid rockbolt models in FLAC3D: bond-slip, load transfer, and model selection</t>
        </is>
      </c>
      <c r="C28" s="184" t="inlineStr">
        <is>
          <t>Digital Geotechnics</t>
        </is>
      </c>
      <c r="D28" s="163" t="n">
        <v>4</v>
      </c>
      <c r="E28" s="231" t="inlineStr">
        <is>
          <t>To review</t>
        </is>
      </c>
      <c r="F28" s="167" t="n"/>
      <c r="G28" s="168" t="inlineStr">
        <is>
          <t>A combined experimental and numerical comparison of FLAC3D rockbolt models helps engineers select the appropriate bolt model and calibrate bond-slip parameters for support design.</t>
        </is>
      </c>
      <c r="H28" s="232" t="inlineStr">
        <is>
          <t>Computers and Geotechnics</t>
        </is>
      </c>
      <c r="I28" s="233" t="inlineStr">
        <is>
          <t>Chen J, Ma S, Yuan L</t>
        </is>
      </c>
      <c r="J28" s="234" t="n">
        <v>46315</v>
      </c>
      <c r="K28" s="234" t="n">
        <v>46319</v>
      </c>
      <c r="L28" s="172" t="inlineStr">
        <is>
          <t>pile</t>
        </is>
      </c>
      <c r="M28" s="235" t="inlineStr">
        <is>
          <t>https://doi.org/10.1016/j.compgeo.2026.108759</t>
        </is>
      </c>
    </row>
    <row r="29" ht="53" customHeight="1">
      <c r="A29" s="160" t="n">
        <v>26</v>
      </c>
      <c r="B29" s="161" t="inlineStr">
        <is>
          <t>Integrated seismic and electrical imaging with clustering for the hydro-mechanical screening of a high-altitude earthfill dam</t>
        </is>
      </c>
      <c r="C29" s="182" t="inlineStr">
        <is>
          <t>Characterisation &amp; Modelling</t>
        </is>
      </c>
      <c r="D29" s="163" t="n">
        <v>4</v>
      </c>
      <c r="E29" s="231" t="inlineStr">
        <is>
          <t>To review</t>
        </is>
      </c>
      <c r="F29" s="167" t="n"/>
      <c r="G29" s="168" t="inlineStr">
        <is>
          <t>Integrated seismic and electrical imaging with clustering offers a practical screening approach for assessing hydro-mechanical condition in earthfill dams.</t>
        </is>
      </c>
      <c r="H29" s="232" t="inlineStr">
        <is>
          <t>Engineering Geology</t>
        </is>
      </c>
      <c r="I29" s="233" t="inlineStr">
        <is>
          <t>Strallo V, Colombero C, Godio A</t>
        </is>
      </c>
      <c r="J29" s="234" t="n">
        <v>46315</v>
      </c>
      <c r="K29" s="234" t="n">
        <v>46319</v>
      </c>
      <c r="L29" s="172" t="inlineStr">
        <is>
          <t>dam</t>
        </is>
      </c>
      <c r="M29" s="235" t="inlineStr">
        <is>
          <t>https://doi.org/10.1016/j.enggeo.2026.109161</t>
        </is>
      </c>
    </row>
    <row r="30" ht="53" customHeight="1">
      <c r="A30" s="160" t="n">
        <v>27</v>
      </c>
      <c r="B30" s="161" t="inlineStr">
        <is>
          <t>Geophysical site characterization and scenario-based seismic hazard mapping with slope-based topographic amplification factors: case study of the hilltop Trakošćan castle, Croatia</t>
        </is>
      </c>
      <c r="C30" s="162" t="inlineStr">
        <is>
          <t>Hazards &amp; Resilience</t>
        </is>
      </c>
      <c r="D30" s="163" t="n">
        <v>4</v>
      </c>
      <c r="E30" s="231" t="inlineStr">
        <is>
          <t>To review</t>
        </is>
      </c>
      <c r="F30" s="167" t="n"/>
      <c r="G30" s="168" t="inlineStr">
        <is>
          <t>A case study combining geophysical characterisation with slope-based topographic amplification factors shows a practical workflow for seismic hazard mapping at hilltop sites.</t>
        </is>
      </c>
      <c r="H30" s="232" t="inlineStr">
        <is>
          <t>Engineering Geology</t>
        </is>
      </c>
      <c r="I30" s="233" t="inlineStr">
        <is>
          <t>Stanko D, Korbar T, Markušić S</t>
        </is>
      </c>
      <c r="J30" s="234" t="n">
        <v>46315</v>
      </c>
      <c r="K30" s="234" t="n">
        <v>46319</v>
      </c>
      <c r="L30" s="172" t="inlineStr">
        <is>
          <t>slope</t>
        </is>
      </c>
      <c r="M30" s="235" t="inlineStr">
        <is>
          <t>https://doi.org/10.1016/j.enggeo.2026.109162</t>
        </is>
      </c>
    </row>
    <row r="31" ht="53" customHeight="1">
      <c r="A31" s="160" t="n">
        <v>28</v>
      </c>
      <c r="B31" s="161" t="inlineStr">
        <is>
          <t>Evaluation of cyclic response of local subgrade materials in Thailand conforming to Chinese high-speed rail standard</t>
        </is>
      </c>
      <c r="C31" s="176" t="inlineStr">
        <is>
          <t>Infrastructure &amp; the Underground City</t>
        </is>
      </c>
      <c r="D31" s="163" t="n">
        <v>4</v>
      </c>
      <c r="E31" s="231" t="inlineStr">
        <is>
          <t>To review</t>
        </is>
      </c>
      <c r="F31" s="167" t="n"/>
      <c r="G31" s="168" t="inlineStr">
        <is>
          <t>Cyclic testing of Thai subgrade materials against Chinese high-speed rail standards gives engineers local performance data for railway subgrade design.</t>
        </is>
      </c>
      <c r="H31" s="232" t="inlineStr">
        <is>
          <t>Soil Dynamics and Earthquake Engineering</t>
        </is>
      </c>
      <c r="I31" s="233" t="inlineStr">
        <is>
          <t>Kaewdee N, Suddeepong A et al.</t>
        </is>
      </c>
      <c r="J31" s="234" t="n">
        <v>46315</v>
      </c>
      <c r="K31" s="234" t="n">
        <v>46319</v>
      </c>
      <c r="L31" s="172" t="n"/>
      <c r="M31" s="235" t="inlineStr">
        <is>
          <t>https://doi.org/10.1016/j.soildyn.2026.110756</t>
        </is>
      </c>
    </row>
    <row r="32" ht="53" customHeight="1">
      <c r="A32" s="160" t="n">
        <v>29</v>
      </c>
      <c r="B32" s="161" t="inlineStr">
        <is>
          <t>Constant-Volume Direct Simple Shear Behavior of Reconstituted Natural and Degraded Glauconite Sand</t>
        </is>
      </c>
      <c r="C32" s="182" t="inlineStr">
        <is>
          <t>Characterisation &amp; Modelling</t>
        </is>
      </c>
      <c r="D32" s="163" t="n">
        <v>3</v>
      </c>
      <c r="E32" s="231" t="inlineStr">
        <is>
          <t>To review</t>
        </is>
      </c>
      <c r="F32" s="167" t="n"/>
      <c r="G32" s="168" t="inlineStr">
        <is>
          <t>Reveals how glauconite sands behave under simple shear and as they degrade, a caution for engineers encountering these unusual marine soils on site.</t>
        </is>
      </c>
      <c r="H32" s="232" t="inlineStr">
        <is>
          <t>Journal of Geotechnical and Geoenvironmental Engineering</t>
        </is>
      </c>
      <c r="I32" s="233" t="inlineStr">
        <is>
          <t>Guo D, Van Haren S et al.</t>
        </is>
      </c>
      <c r="J32" s="234" t="n">
        <v>46322</v>
      </c>
      <c r="K32" s="234" t="n">
        <v>46322</v>
      </c>
      <c r="L32" s="172" t="inlineStr">
        <is>
          <t>geotechnical, clay, soil</t>
        </is>
      </c>
      <c r="M32" s="235" t="inlineStr">
        <is>
          <t>https://doi.org/10.1061/jggefk.gteng-15176</t>
        </is>
      </c>
    </row>
    <row r="33" ht="53" customHeight="1">
      <c r="A33" s="160" t="n">
        <v>30</v>
      </c>
      <c r="B33" s="161" t="inlineStr">
        <is>
          <t>SBAS-InSAR-ML Dynamic-static coupling for landslide susceptibility in Xinyuan’s ecologically sensitive mountains</t>
        </is>
      </c>
      <c r="C33" s="162" t="inlineStr">
        <is>
          <t>Hazards &amp; Resilience</t>
        </is>
      </c>
      <c r="D33" s="163" t="n">
        <v>3</v>
      </c>
      <c r="E33" s="231" t="inlineStr">
        <is>
          <t>To review</t>
        </is>
      </c>
      <c r="F33" s="167" t="n"/>
      <c r="G33" s="168" t="inlineStr">
        <is>
          <t>Combines satellite ground-movement data with machine learning to map landslide susceptibility, a practical screening tool for planning in sensitive mountain areas.</t>
        </is>
      </c>
      <c r="H33" s="232" t="inlineStr">
        <is>
          <t>Bulletin of Engineering Geology and the Environment</t>
        </is>
      </c>
      <c r="I33" s="233" t="inlineStr">
        <is>
          <t>Deng W, Fang K</t>
        </is>
      </c>
      <c r="J33" s="234" t="n">
        <v>46322</v>
      </c>
      <c r="K33" s="234" t="n">
        <v>46322</v>
      </c>
      <c r="L33" s="172" t="inlineStr">
        <is>
          <t>landslide</t>
        </is>
      </c>
      <c r="M33" s="235" t="inlineStr">
        <is>
          <t>https://doi.org/10.1007/s10064-026-05365-5</t>
        </is>
      </c>
    </row>
    <row r="34" ht="53" customHeight="1">
      <c r="A34" s="160" t="n">
        <v>31</v>
      </c>
      <c r="B34" s="161" t="inlineStr">
        <is>
          <t>Research on the friction effect and quantitative characterization method during rock analytical drilling</t>
        </is>
      </c>
      <c r="C34" s="182" t="inlineStr">
        <is>
          <t>Characterisation &amp; Modelling</t>
        </is>
      </c>
      <c r="D34" s="163" t="n">
        <v>3</v>
      </c>
      <c r="E34" s="231" t="inlineStr">
        <is>
          <t>To review</t>
        </is>
      </c>
      <c r="F34" s="167" t="n"/>
      <c r="G34" s="168" t="inlineStr">
        <is>
          <t>Quantifies how friction affects rock drilling measurements, which could improve field strength estimates from drilling-based site investigation.</t>
        </is>
      </c>
      <c r="H34" s="232" t="inlineStr">
        <is>
          <t>Bulletin of Engineering Geology and the Environment</t>
        </is>
      </c>
      <c r="I34" s="233" t="inlineStr">
        <is>
          <t>Wang Q, Pang B et al.</t>
        </is>
      </c>
      <c r="J34" s="234" t="n">
        <v>46322</v>
      </c>
      <c r="K34" s="234" t="n">
        <v>46322</v>
      </c>
      <c r="L34" s="172" t="n"/>
      <c r="M34" s="235" t="inlineStr">
        <is>
          <t>https://doi.org/10.1007/s10064-026-05361-9</t>
        </is>
      </c>
    </row>
    <row r="35" ht="53" customHeight="1">
      <c r="A35" s="160" t="n">
        <v>32</v>
      </c>
      <c r="B35" s="161" t="inlineStr">
        <is>
          <t>Effects of blockage location on vorticity distribution, flame characteristics, and ceiling smoke temperature in longitudinally ventilated tunnel spill fires</t>
        </is>
      </c>
      <c r="C35" s="176" t="inlineStr">
        <is>
          <t>Infrastructure &amp; the Underground City</t>
        </is>
      </c>
      <c r="D35" s="163" t="n">
        <v>3</v>
      </c>
      <c r="E35" s="231" t="inlineStr">
        <is>
          <t>To review</t>
        </is>
      </c>
      <c r="F35" s="167" t="n"/>
      <c r="G35" s="168" t="inlineStr">
        <is>
          <t>Clarifies how blockages shift smoke and temperature under tunnel fires, a useful consideration for ventilation and fire-life-safety design.</t>
        </is>
      </c>
      <c r="H35" s="232" t="inlineStr">
        <is>
          <t>Tunnelling and Underground Space Technology</t>
        </is>
      </c>
      <c r="I35" s="233" t="inlineStr">
        <is>
          <t>Hu X, Li J et al.</t>
        </is>
      </c>
      <c r="J35" s="234" t="n">
        <v>46321</v>
      </c>
      <c r="K35" s="234" t="n">
        <v>46322</v>
      </c>
      <c r="L35" s="172" t="inlineStr">
        <is>
          <t>tunnel</t>
        </is>
      </c>
      <c r="M35" s="235" t="inlineStr">
        <is>
          <t>https://doi.org/10.1016/j.tust.2026.108253</t>
        </is>
      </c>
    </row>
    <row r="36" ht="53" customHeight="1">
      <c r="A36" s="160" t="n">
        <v>33</v>
      </c>
      <c r="B36" s="161" t="inlineStr">
        <is>
          <t>Thermal Impacts on Induced Hydraulic Fracture Propagation in Complex Carbonate Reservoirs</t>
        </is>
      </c>
      <c r="C36" s="185" t="inlineStr">
        <is>
          <t>Sustainability &amp; the Energy Transition</t>
        </is>
      </c>
      <c r="D36" s="163" t="n">
        <v>3</v>
      </c>
      <c r="E36" s="231" t="inlineStr">
        <is>
          <t>To review</t>
        </is>
      </c>
      <c r="F36" s="167" t="n"/>
      <c r="G36" s="168" t="inlineStr">
        <is>
          <t>Models how cold water injection alters hydraulic fracture growth in hot carbonates, relevant to geothermal and deep reservoir stimulation planning.</t>
        </is>
      </c>
      <c r="H36" s="232" t="inlineStr">
        <is>
          <t>Rock Mechanics and Rock Engineering</t>
        </is>
      </c>
      <c r="I36" s="233" t="inlineStr">
        <is>
          <t>Rueda J, Mejia C et al.</t>
        </is>
      </c>
      <c r="J36" s="234" t="n">
        <v>46321</v>
      </c>
      <c r="K36" s="234" t="n">
        <v>46322</v>
      </c>
      <c r="L36" s="172" t="n"/>
      <c r="M36" s="235" t="inlineStr">
        <is>
          <t>https://doi.org/10.1007/s00603-026-06036-3</t>
        </is>
      </c>
    </row>
    <row r="37" ht="53" customHeight="1">
      <c r="A37" s="160" t="n">
        <v>34</v>
      </c>
      <c r="B37" s="161" t="inlineStr">
        <is>
          <t>Gob Side Entry Retaining in Pillarless Mining: A Comprehensive Review and Research Agenda for Intelligent Rock Parameter Inversion and Hybrid Machine Learning Support Optimization</t>
        </is>
      </c>
      <c r="C37" s="176" t="inlineStr">
        <is>
          <t>Infrastructure &amp; the Underground City</t>
        </is>
      </c>
      <c r="D37" s="163" t="n">
        <v>3</v>
      </c>
      <c r="E37" s="231" t="inlineStr">
        <is>
          <t>To review</t>
        </is>
      </c>
      <c r="F37" s="167" t="n"/>
      <c r="G37" s="168" t="inlineStr">
        <is>
          <t>Reviews gob-side entry retaining and proposes machine-learning rock parameter inversion, offering a research agenda for pillarless mining support design.</t>
        </is>
      </c>
      <c r="H37" s="232" t="inlineStr">
        <is>
          <t>Rock Mechanics and Rock Engineering</t>
        </is>
      </c>
      <c r="I37" s="233" t="inlineStr">
        <is>
          <t>Hong L, Hongqiang T et al.</t>
        </is>
      </c>
      <c r="J37" s="234" t="n">
        <v>46321</v>
      </c>
      <c r="K37" s="234" t="n">
        <v>46322</v>
      </c>
      <c r="L37" s="172" t="n"/>
      <c r="M37" s="235" t="inlineStr">
        <is>
          <t>https://doi.org/10.1007/s00603-026-06050-5</t>
        </is>
      </c>
    </row>
    <row r="38" ht="53" customHeight="1">
      <c r="A38" s="160" t="n">
        <v>35</v>
      </c>
      <c r="B38" s="161" t="inlineStr">
        <is>
          <t>Data-driven approach for stability analysis of river embankments in Bengkulu City, Indonesia</t>
        </is>
      </c>
      <c r="C38" s="162" t="inlineStr">
        <is>
          <t>Hazards &amp; Resilience</t>
        </is>
      </c>
      <c r="D38" s="163" t="n">
        <v>3</v>
      </c>
      <c r="E38" s="231" t="inlineStr">
        <is>
          <t>To review</t>
        </is>
      </c>
      <c r="F38" s="167" t="n"/>
      <c r="G38" s="168" t="inlineStr">
        <is>
          <t>A data-driven stability tool for river embankments could give practitioners a quicker screening method for flood-prone levees, provided it is validated against local failure records.</t>
        </is>
      </c>
      <c r="H38" s="232" t="inlineStr">
        <is>
          <t>Bulletin of Engineering Geology and the Environment</t>
        </is>
      </c>
      <c r="I38" s="233" t="inlineStr">
        <is>
          <t>Apriadi AA, Mase LZ et al.</t>
        </is>
      </c>
      <c r="J38" s="234" t="n">
        <v>46321</v>
      </c>
      <c r="K38" s="234" t="n">
        <v>46321</v>
      </c>
      <c r="L38" s="172" t="inlineStr">
        <is>
          <t>embankment</t>
        </is>
      </c>
      <c r="M38" s="235" t="inlineStr">
        <is>
          <t>https://doi.org/10.1007/s10064-026-05359-3</t>
        </is>
      </c>
    </row>
    <row r="39" ht="65.5" customHeight="1">
      <c r="A39" s="160" t="n">
        <v>36</v>
      </c>
      <c r="B39" s="161" t="inlineStr">
        <is>
          <t>Origin, General Definition, and Implications of Cryosuction in Frozen Soil</t>
        </is>
      </c>
      <c r="C39" s="185" t="inlineStr">
        <is>
          <t>Sustainability &amp; the Energy Transition</t>
        </is>
      </c>
      <c r="D39" s="163" t="n">
        <v>3</v>
      </c>
      <c r="E39" s="231" t="inlineStr">
        <is>
          <t>To review</t>
        </is>
      </c>
      <c r="F39" s="167" t="n"/>
      <c r="G39" s="168" t="inlineStr">
        <is>
          <t>Explaining cryosuction thermodynamically clarifies moisture migration and frost heave mechanisms, which helps engineers judge ice lens risk in cold-region foundations and cut-off design.</t>
        </is>
      </c>
      <c r="H39" s="232" t="inlineStr">
        <is>
          <t>Journal of Geotechnical and Geoenvironmental Engineering</t>
        </is>
      </c>
      <c r="I39" s="233" t="inlineStr">
        <is>
          <t>Gou L, Likos WJ et al.</t>
        </is>
      </c>
      <c r="J39" s="234" t="n">
        <v>46321</v>
      </c>
      <c r="K39" s="234" t="n">
        <v>46321</v>
      </c>
      <c r="L39" s="172" t="inlineStr">
        <is>
          <t>soil</t>
        </is>
      </c>
      <c r="M39" s="235" t="inlineStr">
        <is>
          <t>https://doi.org/10.1061/jggefk.gteng-15318</t>
        </is>
      </c>
    </row>
    <row r="40" ht="53" customHeight="1">
      <c r="A40" s="160" t="n">
        <v>37</v>
      </c>
      <c r="B40" s="161" t="inlineStr">
        <is>
          <t>Eco-friendly urease-independent MICP through bio-stimulation of indigenous soil microorganisms for soil strength improvement: Potential involvement of carbonic anhydrase-associated processes</t>
        </is>
      </c>
      <c r="C40" s="180" t="inlineStr">
        <is>
          <t>Ground Improvement &amp; Innovation</t>
        </is>
      </c>
      <c r="D40" s="163" t="n">
        <v>3</v>
      </c>
      <c r="E40" s="231" t="inlineStr">
        <is>
          <t>To review</t>
        </is>
      </c>
      <c r="F40" s="167" t="n"/>
      <c r="G40" s="168" t="inlineStr">
        <is>
          <t>Stimulating native microbes to cement soil without added urease could make biological ground improvement more acceptable and easier to permit on real sites.</t>
        </is>
      </c>
      <c r="H40" s="232" t="inlineStr">
        <is>
          <t>Bulletin of Engineering Geology and the Environment</t>
        </is>
      </c>
      <c r="I40" s="233" t="inlineStr">
        <is>
          <t>Oulapour M, Ghezelbash GR, Rabeiazadeh M</t>
        </is>
      </c>
      <c r="J40" s="234" t="n">
        <v>46321</v>
      </c>
      <c r="K40" s="234" t="n">
        <v>46321</v>
      </c>
      <c r="L40" s="172" t="inlineStr">
        <is>
          <t>soil</t>
        </is>
      </c>
      <c r="M40" s="235" t="inlineStr">
        <is>
          <t>https://doi.org/10.1007/s10064-026-05357-5</t>
        </is>
      </c>
    </row>
    <row r="41" ht="53" customHeight="1">
      <c r="A41" s="160" t="n">
        <v>38</v>
      </c>
      <c r="B41" s="161" t="inlineStr">
        <is>
          <t>Surrogate models for forward simulation and inverse parameter identification using numerical cone penetration test data</t>
        </is>
      </c>
      <c r="C41" s="184" t="inlineStr">
        <is>
          <t>Digital Geotechnics</t>
        </is>
      </c>
      <c r="D41" s="163" t="n">
        <v>3</v>
      </c>
      <c r="E41" s="231" t="inlineStr">
        <is>
          <t>To review</t>
        </is>
      </c>
      <c r="F41" s="167" t="n"/>
      <c r="G41" s="168" t="inlineStr">
        <is>
          <t>Trained surrogate models can invert CPT data for soil parameters in seconds, offering a fast route to calibrating site-specific models from penetration records.</t>
        </is>
      </c>
      <c r="H41" s="232" t="inlineStr">
        <is>
          <t>Computers and Geotechnics</t>
        </is>
      </c>
      <c r="I41" s="233" t="inlineStr">
        <is>
          <t>Felić H, Wijaya AE et al.</t>
        </is>
      </c>
      <c r="J41" s="234" t="n">
        <v>46320</v>
      </c>
      <c r="K41" s="234" t="n">
        <v>46321</v>
      </c>
      <c r="L41" s="172" t="inlineStr">
        <is>
          <t>cone penetration</t>
        </is>
      </c>
      <c r="M41" s="235" t="inlineStr">
        <is>
          <t>https://doi.org/10.1016/j.compgeo.2026.108749</t>
        </is>
      </c>
    </row>
    <row r="42" ht="53" customHeight="1">
      <c r="A42" s="160" t="n">
        <v>39</v>
      </c>
      <c r="B42" s="161" t="inlineStr">
        <is>
          <t>Temperature-dependent swelling and compressibility behavior of microfiber-reinforced bentonite</t>
        </is>
      </c>
      <c r="C42" s="185" t="inlineStr">
        <is>
          <t>Sustainability &amp; the Energy Transition</t>
        </is>
      </c>
      <c r="D42" s="163" t="n">
        <v>3</v>
      </c>
      <c r="E42" s="231" t="inlineStr">
        <is>
          <t>To review</t>
        </is>
      </c>
      <c r="F42" s="167" t="n"/>
      <c r="G42" s="168" t="inlineStr">
        <is>
          <t>Data on how fibre-reinforced bentonite swells and compresses at elevated temperature informs buffer design for geological repositories where heat loads are significant.</t>
        </is>
      </c>
      <c r="H42" s="232" t="inlineStr">
        <is>
          <t>Acta Geotechnica</t>
        </is>
      </c>
      <c r="I42" s="233" t="inlineStr">
        <is>
          <t>Calaunan JMFV, Feng Y et al.</t>
        </is>
      </c>
      <c r="J42" s="234" t="n">
        <v>46320</v>
      </c>
      <c r="K42" s="234" t="n">
        <v>46321</v>
      </c>
      <c r="L42" s="172" t="n"/>
      <c r="M42" s="235" t="inlineStr">
        <is>
          <t>https://doi.org/10.1007/s11440-026-03269-y</t>
        </is>
      </c>
    </row>
    <row r="43" ht="65.5" customHeight="1">
      <c r="A43" s="160" t="n">
        <v>40</v>
      </c>
      <c r="B43" s="161" t="inlineStr">
        <is>
          <t>Energy-based machine learning models for predicting soil liquefaction potential</t>
        </is>
      </c>
      <c r="C43" s="162" t="inlineStr">
        <is>
          <t>Hazards &amp; Resilience</t>
        </is>
      </c>
      <c r="D43" s="163" t="n">
        <v>3</v>
      </c>
      <c r="E43" s="231" t="inlineStr">
        <is>
          <t>To review</t>
        </is>
      </c>
      <c r="F43" s="167" t="n"/>
      <c r="G43" s="168" t="inlineStr">
        <is>
          <t>Machine learning models trained on energy-based parameters could offer a quicker screening tool for liquefaction potential, though engineers should validate them against local case histories before relying on them.</t>
        </is>
      </c>
      <c r="H43" s="232" t="inlineStr">
        <is>
          <t>Computers and Geotechnics</t>
        </is>
      </c>
      <c r="I43" s="233" t="inlineStr">
        <is>
          <t>Zheng S, Xue X</t>
        </is>
      </c>
      <c r="J43" s="234" t="n">
        <v>46320</v>
      </c>
      <c r="K43" s="234" t="n">
        <v>46320</v>
      </c>
      <c r="L43" s="172" t="inlineStr">
        <is>
          <t>liquefaction, soil</t>
        </is>
      </c>
      <c r="M43" s="235" t="inlineStr">
        <is>
          <t>https://doi.org/10.1016/j.compgeo.2026.108768</t>
        </is>
      </c>
    </row>
    <row r="44" ht="65.5" customHeight="1">
      <c r="A44" s="160" t="n">
        <v>41</v>
      </c>
      <c r="B44" s="161" t="inlineStr">
        <is>
          <t>Particle-scale insights into sand deformation during open-ended pile installation using DIC and X-ray CT</t>
        </is>
      </c>
      <c r="C44" s="182" t="inlineStr">
        <is>
          <t>Characterisation &amp; Modelling</t>
        </is>
      </c>
      <c r="D44" s="163" t="n">
        <v>3</v>
      </c>
      <c r="E44" s="231" t="inlineStr">
        <is>
          <t>To review</t>
        </is>
      </c>
      <c r="F44" s="167" t="n"/>
      <c r="G44" s="168" t="inlineStr">
        <is>
          <t>Particle-scale imaging of sand around open-ended piles clarifies plugging and displacement mechanisms, offering evidence to refine installation and capacity design assumptions for pile engineers.</t>
        </is>
      </c>
      <c r="H44" s="232" t="inlineStr">
        <is>
          <t>Géotechnique</t>
        </is>
      </c>
      <c r="I44" s="233" t="inlineStr">
        <is>
          <t>Fridman DG, Stamati O et al.</t>
        </is>
      </c>
      <c r="J44" s="234" t="n">
        <v>46319</v>
      </c>
      <c r="K44" s="234" t="n">
        <v>46320</v>
      </c>
      <c r="L44" s="172" t="inlineStr">
        <is>
          <t>pile</t>
        </is>
      </c>
      <c r="M44" s="235" t="inlineStr">
        <is>
          <t>https://doi.org/10.1680/jgeot.25.00605</t>
        </is>
      </c>
    </row>
    <row r="45" ht="78" customHeight="1">
      <c r="A45" s="160" t="n">
        <v>42</v>
      </c>
      <c r="B45" s="161" t="inlineStr">
        <is>
          <t>Shaking table test of high-speed railway bridges with novel variable friction pendulum bearings</t>
        </is>
      </c>
      <c r="C45" s="162" t="inlineStr">
        <is>
          <t>Hazards &amp; Resilience</t>
        </is>
      </c>
      <c r="D45" s="163" t="n">
        <v>3</v>
      </c>
      <c r="E45" s="231" t="inlineStr">
        <is>
          <t>To review</t>
        </is>
      </c>
      <c r="F45" s="167" t="n"/>
      <c r="G45" s="168" t="inlineStr">
        <is>
          <t>Shaking table results for novel variable friction pendulum bearings on high-speed rail bridges give engineers tested seismic isolation performance data relevant to specifying bearings and foundation-structure interaction in earthquake regions.</t>
        </is>
      </c>
      <c r="H45" s="232" t="inlineStr">
        <is>
          <t>Soil Dynamics and Earthquake Engineering</t>
        </is>
      </c>
      <c r="I45" s="233" t="inlineStr">
        <is>
          <t>Xia X, Yang Z, Huang Y</t>
        </is>
      </c>
      <c r="J45" s="234" t="n">
        <v>46319</v>
      </c>
      <c r="K45" s="234" t="n">
        <v>46320</v>
      </c>
      <c r="L45" s="172" t="inlineStr">
        <is>
          <t>railway</t>
        </is>
      </c>
      <c r="M45" s="235" t="inlineStr">
        <is>
          <t>https://doi.org/10.1016/j.soildyn.2026.110782</t>
        </is>
      </c>
    </row>
    <row r="46" ht="53" customHeight="1">
      <c r="A46" s="160" t="n">
        <v>43</v>
      </c>
      <c r="B46" s="161" t="inlineStr">
        <is>
          <t>Influence of Fabric and Drying Shrinkage on Heat Transfer in Unsaturated Soils: Experimental and Microscale Numerical Study</t>
        </is>
      </c>
      <c r="C46" s="185" t="inlineStr">
        <is>
          <t>Sustainability &amp; the Energy Transition</t>
        </is>
      </c>
      <c r="D46" s="163" t="n">
        <v>3</v>
      </c>
      <c r="E46" s="231" t="inlineStr">
        <is>
          <t>To review</t>
        </is>
      </c>
      <c r="F46" s="167" t="n"/>
      <c r="G46" s="168" t="inlineStr">
        <is>
          <t>Findings on how fabric and drying shrinkage alter thermal conductivity help engineers of energy geostructures better estimate heat transfer in unsaturated soils.</t>
        </is>
      </c>
      <c r="H46" s="232" t="inlineStr">
        <is>
          <t>Journal of Geotechnical and Geoenvironmental Engineering</t>
        </is>
      </c>
      <c r="I46" s="233" t="inlineStr">
        <is>
          <t>Chen K, Liu K et al.</t>
        </is>
      </c>
      <c r="J46" s="234" t="n">
        <v>46318</v>
      </c>
      <c r="K46" s="234" t="n">
        <v>46319</v>
      </c>
      <c r="L46" s="172" t="inlineStr">
        <is>
          <t>clay, soil</t>
        </is>
      </c>
      <c r="M46" s="235" t="inlineStr">
        <is>
          <t>https://doi.org/10.1061/jggefk.gteng-15142</t>
        </is>
      </c>
    </row>
    <row r="47" ht="53" customHeight="1">
      <c r="A47" s="160" t="n">
        <v>44</v>
      </c>
      <c r="B47" s="161" t="inlineStr">
        <is>
          <t>Impact of spatial soil variability on landslide susceptibility using 3D probabilistic slope stability analysis</t>
        </is>
      </c>
      <c r="C47" s="162" t="inlineStr">
        <is>
          <t>Hazards &amp; Resilience</t>
        </is>
      </c>
      <c r="D47" s="163" t="n">
        <v>3</v>
      </c>
      <c r="E47" s="231" t="inlineStr">
        <is>
          <t>To review</t>
        </is>
      </c>
      <c r="F47" s="167" t="n"/>
      <c r="G47" s="168" t="inlineStr">
        <is>
          <t>3D probabilistic slope analysis shows how spatial soil variability changes landslide susceptibility, helping engineers judge when simple deterministic factors of safety are misleading.</t>
        </is>
      </c>
      <c r="H47" s="232" t="inlineStr">
        <is>
          <t>Georisk: Assessment and Management of Risk for Engineered Systems and Geohazards</t>
        </is>
      </c>
      <c r="I47" s="233" t="inlineStr">
        <is>
          <t>Oguz EA, Lacasse S</t>
        </is>
      </c>
      <c r="J47" s="234" t="n">
        <v>46317</v>
      </c>
      <c r="K47" s="234" t="n">
        <v>46319</v>
      </c>
      <c r="L47" s="172" t="inlineStr">
        <is>
          <t>landslide, slope stability, slope, soil</t>
        </is>
      </c>
      <c r="M47" s="235" t="inlineStr">
        <is>
          <t>https://doi.org/10.1080/17499518.2026.2750358</t>
        </is>
      </c>
    </row>
    <row r="48" ht="53" customHeight="1">
      <c r="A48" s="160" t="n">
        <v>45</v>
      </c>
      <c r="B48" s="161" t="inlineStr">
        <is>
          <t>Progressive soil collapse and tunnel-system response in an underground complex under varying excavation configurations</t>
        </is>
      </c>
      <c r="C48" s="176" t="inlineStr">
        <is>
          <t>Infrastructure &amp; the Underground City</t>
        </is>
      </c>
      <c r="D48" s="163" t="n">
        <v>3</v>
      </c>
      <c r="E48" s="231" t="inlineStr">
        <is>
          <t>To review</t>
        </is>
      </c>
      <c r="F48" s="167" t="n"/>
      <c r="G48" s="168" t="inlineStr">
        <is>
          <t>Numerical results on progressive soil collapse and tunnel-system response under different excavation sequences help designers of underground complexes assess staging risks.</t>
        </is>
      </c>
      <c r="H48" s="232" t="inlineStr">
        <is>
          <t>Tunnelling and Underground Space Technology</t>
        </is>
      </c>
      <c r="I48" s="233" t="inlineStr">
        <is>
          <t>Xiong H, Huang J et al.</t>
        </is>
      </c>
      <c r="J48" s="234" t="n">
        <v>46317</v>
      </c>
      <c r="K48" s="234" t="n">
        <v>46319</v>
      </c>
      <c r="L48" s="172" t="inlineStr">
        <is>
          <t>excavation, tunnel, collapse, soil</t>
        </is>
      </c>
      <c r="M48" s="235" t="inlineStr">
        <is>
          <t>https://doi.org/10.1016/j.tust.2026.108241</t>
        </is>
      </c>
    </row>
    <row r="49" ht="53" customHeight="1">
      <c r="A49" s="160" t="n">
        <v>46</v>
      </c>
      <c r="B49" s="161" t="inlineStr">
        <is>
          <t>Defining the chalk–shale boundary in intact rock samples for engineering geology practice</t>
        </is>
      </c>
      <c r="C49" s="182" t="inlineStr">
        <is>
          <t>Characterisation &amp; Modelling</t>
        </is>
      </c>
      <c r="D49" s="163" t="n">
        <v>3</v>
      </c>
      <c r="E49" s="231" t="inlineStr">
        <is>
          <t>To review</t>
        </is>
      </c>
      <c r="F49" s="167" t="n"/>
      <c r="G49" s="168" t="inlineStr">
        <is>
          <t>A method for defining the chalk–shale boundary in intact samples gives engineering geologists a clearer classification basis for site characterisation.</t>
        </is>
      </c>
      <c r="H49" s="232" t="inlineStr">
        <is>
          <t>Engineering Geology</t>
        </is>
      </c>
      <c r="I49" s="233" t="inlineStr">
        <is>
          <t>Gilad R, Hatzor YH</t>
        </is>
      </c>
      <c r="J49" s="234" t="n">
        <v>46317</v>
      </c>
      <c r="K49" s="234" t="n">
        <v>46319</v>
      </c>
      <c r="L49" s="172" t="inlineStr">
        <is>
          <t>engineering geology</t>
        </is>
      </c>
      <c r="M49" s="235" t="inlineStr">
        <is>
          <t>https://doi.org/10.1016/j.enggeo.2026.109168</t>
        </is>
      </c>
    </row>
    <row r="50" ht="53" customHeight="1">
      <c r="A50" s="160" t="n">
        <v>47</v>
      </c>
      <c r="B50" s="161" t="inlineStr">
        <is>
          <t>A nonlinear elastoplastic subloading surface model for rock under cyclic loading-unloading with application to compressed air energy storage cavern operation</t>
        </is>
      </c>
      <c r="C50" s="185" t="inlineStr">
        <is>
          <t>Sustainability &amp; the Energy Transition</t>
        </is>
      </c>
      <c r="D50" s="163" t="n">
        <v>3</v>
      </c>
      <c r="E50" s="231" t="inlineStr">
        <is>
          <t>To review</t>
        </is>
      </c>
      <c r="F50" s="167" t="n"/>
      <c r="G50" s="168" t="inlineStr">
        <is>
          <t>A subloading surface model for rock under cyclic loading supports compressed air energy storage cavern design by capturing the behaviour under repeated pressure cycles.</t>
        </is>
      </c>
      <c r="H50" s="232" t="inlineStr">
        <is>
          <t>Computers and Geotechnics</t>
        </is>
      </c>
      <c r="I50" s="233" t="inlineStr">
        <is>
          <t>Zhang H, Li G et al.</t>
        </is>
      </c>
      <c r="J50" s="234" t="n">
        <v>46316</v>
      </c>
      <c r="K50" s="234" t="n">
        <v>46319</v>
      </c>
      <c r="L50" s="172" t="n"/>
      <c r="M50" s="235" t="inlineStr">
        <is>
          <t>https://doi.org/10.1016/j.compgeo.2026.108765</t>
        </is>
      </c>
    </row>
    <row r="51" ht="65.5" customHeight="1">
      <c r="A51" s="160" t="n">
        <v>48</v>
      </c>
      <c r="B51" s="161" t="inlineStr">
        <is>
          <t>Probabilistic stability and progressive failure of pile-supported embankments under borehole-constrained stratigraphic uncertainty</t>
        </is>
      </c>
      <c r="C51" s="182" t="inlineStr">
        <is>
          <t>Characterisation &amp; Modelling</t>
        </is>
      </c>
      <c r="D51" s="163" t="n">
        <v>3</v>
      </c>
      <c r="E51" s="231" t="inlineStr">
        <is>
          <t>To review</t>
        </is>
      </c>
      <c r="F51" s="167" t="n"/>
      <c r="G51" s="168" t="inlineStr">
        <is>
          <t>Probabilistic progressive-failure analysis shows how borehole-limited stratigraphic uncertainty affects pile-supported embankment stability, supporting reliability-based site investigation decisions.</t>
        </is>
      </c>
      <c r="H51" s="232" t="inlineStr">
        <is>
          <t>Transportation Geotechnics</t>
        </is>
      </c>
      <c r="I51" s="233" t="inlineStr">
        <is>
          <t>Lv L, Zheng G et al.</t>
        </is>
      </c>
      <c r="J51" s="234" t="n">
        <v>46315</v>
      </c>
      <c r="K51" s="234" t="n">
        <v>46319</v>
      </c>
      <c r="L51" s="172" t="inlineStr">
        <is>
          <t>pile, embankment, borehole</t>
        </is>
      </c>
      <c r="M51" s="235" t="inlineStr">
        <is>
          <t>https://doi.org/10.1016/j.trgeo.2026.102482</t>
        </is>
      </c>
    </row>
    <row r="52" ht="53" customHeight="1">
      <c r="A52" s="160" t="n">
        <v>49</v>
      </c>
      <c r="B52" s="161" t="inlineStr">
        <is>
          <t>Large-Scale Flume Investigation of Pore Water Pressure Evolution under Wave–Soil–Structure Interaction</t>
        </is>
      </c>
      <c r="C52" s="183" t="inlineStr">
        <is>
          <t>Offshore, Coasts &amp; Water</t>
        </is>
      </c>
      <c r="D52" s="163" t="n">
        <v>3</v>
      </c>
      <c r="E52" s="231" t="inlineStr">
        <is>
          <t>To review</t>
        </is>
      </c>
      <c r="F52" s="167" t="n"/>
      <c r="G52" s="168" t="inlineStr">
        <is>
          <t>Flume tests show how solitary wave impact generates excess pore pressure and seepage gradients around foundations, informing scour and liquefaction checks for coastal structures.</t>
        </is>
      </c>
      <c r="H52" s="232" t="inlineStr">
        <is>
          <t>Journal of Geotechnical and Geoenvironmental Engineering</t>
        </is>
      </c>
      <c r="I52" s="233" t="inlineStr">
        <is>
          <t>Klait A, Mirghafouri S et al.</t>
        </is>
      </c>
      <c r="J52" s="234" t="n">
        <v>46315</v>
      </c>
      <c r="K52" s="234" t="n">
        <v>46319</v>
      </c>
      <c r="L52" s="172" t="inlineStr">
        <is>
          <t>liquefaction, foundation, soil</t>
        </is>
      </c>
      <c r="M52" s="235" t="inlineStr">
        <is>
          <t>https://doi.org/10.1061/jggefk.gteng-15428</t>
        </is>
      </c>
    </row>
    <row r="53" ht="53" customHeight="1">
      <c r="A53" s="160" t="n">
        <v>50</v>
      </c>
      <c r="B53" s="161" t="inlineStr">
        <is>
          <t>Digital technology and AI for climate-resilient underground infrastructure: Current advances and future directions</t>
        </is>
      </c>
      <c r="C53" s="184" t="inlineStr">
        <is>
          <t>Digital Geotechnics</t>
        </is>
      </c>
      <c r="D53" s="163" t="n">
        <v>3</v>
      </c>
      <c r="E53" s="231" t="inlineStr">
        <is>
          <t>To review</t>
        </is>
      </c>
      <c r="F53" s="167" t="n"/>
      <c r="G53" s="168" t="inlineStr">
        <is>
          <t>This review of digital and AI tools for climate-resilient underground infrastructure highlights practical technologies and gaps that owners and designers should track.</t>
        </is>
      </c>
      <c r="H53" s="232" t="inlineStr">
        <is>
          <t>Underground Space</t>
        </is>
      </c>
      <c r="I53" s="233" t="inlineStr">
        <is>
          <t>Heo S, Loy-Benitez J et al.</t>
        </is>
      </c>
      <c r="J53" s="234" t="n">
        <v>46315</v>
      </c>
      <c r="K53" s="234" t="n">
        <v>46319</v>
      </c>
      <c r="L53" s="172" t="n"/>
      <c r="M53" s="235" t="inlineStr">
        <is>
          <t>https://doi.org/10.1016/j.undsp.2026.09.005</t>
        </is>
      </c>
    </row>
  </sheetData>
  <conditionalFormatting sqref="E4:E5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5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5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5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27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3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135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36</v>
      </c>
      <c r="C4" s="245">
        <f>SUMPRODUCT(Stories!$W$4:$W$195,--(Stories!$J$4:$J$195=$A4))</f>
        <v/>
      </c>
      <c r="D4" s="246" t="n">
        <v>3.7</v>
      </c>
      <c r="E4" s="244" t="n">
        <v>25</v>
      </c>
      <c r="F4" s="247" t="inlineStr">
        <is>
          <t>Hazards &amp; Resilience</t>
        </is>
      </c>
      <c r="G4" s="244" t="n">
        <v>6</v>
      </c>
      <c r="H4" s="172" t="inlineStr">
        <is>
          <t>South Korea, France, Spain, Egypt, Indonesia, Vietnam, Russia, Colombia, United Kingdom, Japan, Italy, China, Brazil</t>
        </is>
      </c>
      <c r="I4" s="248" t="n">
        <v>46322</v>
      </c>
    </row>
    <row r="5" ht="28" customHeight="1">
      <c r="A5" s="232" t="inlineStr">
        <is>
          <t>Tunnels &amp; Tunnelling</t>
        </is>
      </c>
      <c r="B5" s="244" t="n">
        <v>6</v>
      </c>
      <c r="C5" s="245">
        <f>SUMPRODUCT(Stories!$W$4:$W$195,--(Stories!$J$4:$J$195=$A5))</f>
        <v/>
      </c>
      <c r="D5" s="246" t="n">
        <v>3.7</v>
      </c>
      <c r="E5" s="244" t="n">
        <v>4</v>
      </c>
      <c r="F5" s="249" t="inlineStr">
        <is>
          <t>Infrastructure &amp; the Underground City</t>
        </is>
      </c>
      <c r="G5" s="244" t="n">
        <v>2</v>
      </c>
      <c r="H5" s="172" t="inlineStr"/>
      <c r="I5" s="248" t="n">
        <v>46322</v>
      </c>
    </row>
    <row r="6" ht="28" customHeight="1">
      <c r="A6" s="232" t="inlineStr">
        <is>
          <t>Tunnelling Journal</t>
        </is>
      </c>
      <c r="B6" s="244" t="n">
        <v>4</v>
      </c>
      <c r="C6" s="245">
        <f>SUMPRODUCT(Stories!$W$4:$W$195,--(Stories!$J$4:$J$195=$A6))</f>
        <v/>
      </c>
      <c r="D6" s="246" t="n">
        <v>3.2</v>
      </c>
      <c r="E6" s="244" t="n">
        <v>1</v>
      </c>
      <c r="F6" s="249" t="inlineStr">
        <is>
          <t>Infrastructure &amp; the Underground City</t>
        </is>
      </c>
      <c r="G6" s="244" t="n">
        <v>2</v>
      </c>
      <c r="H6" s="172" t="inlineStr"/>
      <c r="I6" s="248" t="n">
        <v>46322</v>
      </c>
    </row>
    <row r="7" ht="15.5" customHeight="1">
      <c r="A7" s="232" t="inlineStr">
        <is>
          <t>Infobae</t>
        </is>
      </c>
      <c r="B7" s="244" t="n">
        <v>3</v>
      </c>
      <c r="C7" s="245">
        <f>SUMPRODUCT(Stories!$W$4:$W$195,--(Stories!$J$4:$J$195=$A7))</f>
        <v/>
      </c>
      <c r="D7" s="246" t="n">
        <v>4</v>
      </c>
      <c r="E7" s="244" t="n">
        <v>2</v>
      </c>
      <c r="F7" s="247" t="inlineStr">
        <is>
          <t>Hazards &amp; Resilience</t>
        </is>
      </c>
      <c r="G7" s="244" t="n">
        <v>2</v>
      </c>
      <c r="H7" s="172" t="inlineStr">
        <is>
          <t>Spain, Argentina, Colombia</t>
        </is>
      </c>
      <c r="I7" s="248" t="n">
        <v>46321</v>
      </c>
    </row>
    <row r="8" ht="15.5" customHeight="1">
      <c r="A8" s="232" t="inlineStr">
        <is>
          <t>China Press</t>
        </is>
      </c>
      <c r="B8" s="244" t="n">
        <v>2</v>
      </c>
      <c r="C8" s="245">
        <f>SUMPRODUCT(Stories!$W$4:$W$195,--(Stories!$J$4:$J$195=$A8))</f>
        <v/>
      </c>
      <c r="D8" s="246" t="n">
        <v>5</v>
      </c>
      <c r="E8" s="244" t="n">
        <v>2</v>
      </c>
      <c r="F8" s="247" t="inlineStr">
        <is>
          <t>Hazards &amp; Resilience</t>
        </is>
      </c>
      <c r="G8" s="244" t="n">
        <v>1</v>
      </c>
      <c r="H8" s="172" t="inlineStr">
        <is>
          <t>China</t>
        </is>
      </c>
      <c r="I8" s="248" t="n">
        <v>46321</v>
      </c>
    </row>
    <row r="9" ht="15.5" customHeight="1">
      <c r="A9" s="232" t="inlineStr">
        <is>
          <t>Cooperativa</t>
        </is>
      </c>
      <c r="B9" s="244" t="n">
        <v>2</v>
      </c>
      <c r="C9" s="245">
        <f>SUMPRODUCT(Stories!$W$4:$W$195,--(Stories!$J$4:$J$195=$A9))</f>
        <v/>
      </c>
      <c r="D9" s="246" t="n">
        <v>4</v>
      </c>
      <c r="E9" s="244" t="n">
        <v>2</v>
      </c>
      <c r="F9" s="247" t="inlineStr">
        <is>
          <t>Hazards &amp; Resilience</t>
        </is>
      </c>
      <c r="G9" s="244" t="n">
        <v>2</v>
      </c>
      <c r="H9" s="172" t="inlineStr">
        <is>
          <t>Chile, Colombia</t>
        </is>
      </c>
      <c r="I9" s="248" t="n">
        <v>46321</v>
      </c>
    </row>
    <row r="10" ht="15.5" customHeight="1">
      <c r="A10" s="232" t="inlineStr">
        <is>
          <t>El Universal</t>
        </is>
      </c>
      <c r="B10" s="244" t="n">
        <v>2</v>
      </c>
      <c r="C10" s="245">
        <f>SUMPRODUCT(Stories!$W$4:$W$195,--(Stories!$J$4:$J$195=$A10))</f>
        <v/>
      </c>
      <c r="D10" s="246" t="n">
        <v>3.5</v>
      </c>
      <c r="E10" s="244" t="n">
        <v>1</v>
      </c>
      <c r="F10" s="247" t="inlineStr">
        <is>
          <t>Hazards &amp; Resilience</t>
        </is>
      </c>
      <c r="G10" s="244" t="n">
        <v>2</v>
      </c>
      <c r="H10" s="172" t="inlineStr">
        <is>
          <t>Spain, Colombia</t>
        </is>
      </c>
      <c r="I10" s="248" t="n">
        <v>46321</v>
      </c>
    </row>
    <row r="11" ht="28" customHeight="1">
      <c r="A11" s="232" t="inlineStr">
        <is>
          <t>ETV Bharat</t>
        </is>
      </c>
      <c r="B11" s="244" t="n">
        <v>2</v>
      </c>
      <c r="C11" s="245">
        <f>SUMPRODUCT(Stories!$W$4:$W$195,--(Stories!$J$4:$J$195=$A11))</f>
        <v/>
      </c>
      <c r="D11" s="246" t="n">
        <v>4</v>
      </c>
      <c r="E11" s="244" t="n">
        <v>2</v>
      </c>
      <c r="F11" s="249" t="inlineStr">
        <is>
          <t>Infrastructure &amp; the Underground City</t>
        </is>
      </c>
      <c r="G11" s="244" t="n">
        <v>1</v>
      </c>
      <c r="H11" s="172" t="inlineStr">
        <is>
          <t>India</t>
        </is>
      </c>
      <c r="I11" s="248" t="n">
        <v>46322</v>
      </c>
    </row>
    <row r="12" ht="15.5" customHeight="1">
      <c r="A12" s="232" t="inlineStr">
        <is>
          <t>Ground Engineering</t>
        </is>
      </c>
      <c r="B12" s="244" t="n">
        <v>2</v>
      </c>
      <c r="C12" s="245">
        <f>SUMPRODUCT(Stories!$W$4:$W$195,--(Stories!$J$4:$J$195=$A12))</f>
        <v/>
      </c>
      <c r="D12" s="246" t="n">
        <v>4.5</v>
      </c>
      <c r="E12" s="244" t="n">
        <v>2</v>
      </c>
      <c r="F12" s="250" t="inlineStr">
        <is>
          <t>Offshore, Coasts &amp; Water</t>
        </is>
      </c>
      <c r="G12" s="244" t="n">
        <v>2</v>
      </c>
      <c r="H12" s="172" t="inlineStr"/>
      <c r="I12" s="248" t="n">
        <v>46319</v>
      </c>
    </row>
    <row r="13" ht="15.5" customHeight="1">
      <c r="A13" s="232" t="inlineStr">
        <is>
          <t>La Tercera</t>
        </is>
      </c>
      <c r="B13" s="244" t="n">
        <v>2</v>
      </c>
      <c r="C13" s="245">
        <f>SUMPRODUCT(Stories!$W$4:$W$195,--(Stories!$J$4:$J$195=$A13))</f>
        <v/>
      </c>
      <c r="D13" s="246" t="n">
        <v>4</v>
      </c>
      <c r="E13" s="244" t="n">
        <v>2</v>
      </c>
      <c r="F13" s="247" t="inlineStr">
        <is>
          <t>Hazards &amp; Resilience</t>
        </is>
      </c>
      <c r="G13" s="244" t="n">
        <v>1</v>
      </c>
      <c r="H13" s="172" t="inlineStr">
        <is>
          <t>Chile</t>
        </is>
      </c>
      <c r="I13" s="248" t="n">
        <v>46322</v>
      </c>
    </row>
    <row r="14" ht="15.5" customHeight="1">
      <c r="A14" s="232" t="inlineStr">
        <is>
          <t>UA.NEWS</t>
        </is>
      </c>
      <c r="B14" s="244" t="n">
        <v>2</v>
      </c>
      <c r="C14" s="245">
        <f>SUMPRODUCT(Stories!$W$4:$W$195,--(Stories!$J$4:$J$195=$A14))</f>
        <v/>
      </c>
      <c r="D14" s="246" t="n">
        <v>4</v>
      </c>
      <c r="E14" s="244" t="n">
        <v>2</v>
      </c>
      <c r="F14" s="247" t="inlineStr">
        <is>
          <t>Hazards &amp; Resilience</t>
        </is>
      </c>
      <c r="G14" s="244" t="n">
        <v>1</v>
      </c>
      <c r="H14" s="172" t="inlineStr">
        <is>
          <t>United States, Russia</t>
        </is>
      </c>
      <c r="I14" s="248" t="n">
        <v>46322</v>
      </c>
    </row>
    <row r="15" ht="15.5" customHeight="1">
      <c r="A15" s="232" t="inlineStr">
        <is>
          <t>www.noroeste.com.mx</t>
        </is>
      </c>
      <c r="B15" s="244" t="n">
        <v>2</v>
      </c>
      <c r="C15" s="245">
        <f>SUMPRODUCT(Stories!$W$4:$W$195,--(Stories!$J$4:$J$195=$A15))</f>
        <v/>
      </c>
      <c r="D15" s="246" t="n">
        <v>3.5</v>
      </c>
      <c r="E15" s="244" t="n">
        <v>1</v>
      </c>
      <c r="F15" s="250" t="inlineStr">
        <is>
          <t>Offshore, Coasts &amp; Water</t>
        </is>
      </c>
      <c r="G15" s="244" t="n">
        <v>2</v>
      </c>
      <c r="H15" s="172" t="inlineStr">
        <is>
          <t>Colombia</t>
        </is>
      </c>
      <c r="I15" s="248" t="n">
        <v>46322</v>
      </c>
    </row>
    <row r="16" ht="15.5" customHeight="1">
      <c r="A16" s="232" t="inlineStr">
        <is>
          <t>Yahoo!ニュース</t>
        </is>
      </c>
      <c r="B16" s="244" t="n">
        <v>2</v>
      </c>
      <c r="C16" s="245">
        <f>SUMPRODUCT(Stories!$W$4:$W$195,--(Stories!$J$4:$J$195=$A16))</f>
        <v/>
      </c>
      <c r="D16" s="246" t="n">
        <v>4.5</v>
      </c>
      <c r="E16" s="244" t="n">
        <v>2</v>
      </c>
      <c r="F16" s="247" t="inlineStr">
        <is>
          <t>Hazards &amp; Resilience</t>
        </is>
      </c>
      <c r="G16" s="244" t="n">
        <v>1</v>
      </c>
      <c r="H16" s="172" t="inlineStr">
        <is>
          <t>Japan</t>
        </is>
      </c>
      <c r="I16" s="248" t="n">
        <v>46321</v>
      </c>
    </row>
    <row r="17" ht="28" customHeight="1">
      <c r="A17" s="232" t="inlineStr">
        <is>
          <t>Новости Воронежа интернет-газета</t>
        </is>
      </c>
      <c r="B17" s="244" t="n">
        <v>2</v>
      </c>
      <c r="C17" s="245">
        <f>SUMPRODUCT(Stories!$W$4:$W$195,--(Stories!$J$4:$J$195=$A17))</f>
        <v/>
      </c>
      <c r="D17" s="246" t="n">
        <v>3</v>
      </c>
      <c r="E17" s="244" t="n">
        <v>0</v>
      </c>
      <c r="F17" s="249" t="inlineStr">
        <is>
          <t>Infrastructure &amp; the Underground City</t>
        </is>
      </c>
      <c r="G17" s="244" t="n">
        <v>1</v>
      </c>
      <c r="H17" s="172" t="inlineStr">
        <is>
          <t>Russia</t>
        </is>
      </c>
      <c r="I17" s="248" t="n">
        <v>46321</v>
      </c>
    </row>
    <row r="18" ht="15.5" customHeight="1">
      <c r="A18" s="232" t="inlineStr">
        <is>
          <t>生物通</t>
        </is>
      </c>
      <c r="B18" s="244" t="n">
        <v>2</v>
      </c>
      <c r="C18" s="245">
        <f>SUMPRODUCT(Stories!$W$4:$W$195,--(Stories!$J$4:$J$195=$A18))</f>
        <v/>
      </c>
      <c r="D18" s="246" t="n">
        <v>4.5</v>
      </c>
      <c r="E18" s="244" t="n">
        <v>2</v>
      </c>
      <c r="F18" s="251" t="inlineStr">
        <is>
          <t>Digital Geotechnics</t>
        </is>
      </c>
      <c r="G18" s="244" t="n">
        <v>2</v>
      </c>
      <c r="H18" s="172" t="inlineStr">
        <is>
          <t>China</t>
        </is>
      </c>
      <c r="I18" s="248" t="n">
        <v>46319</v>
      </c>
    </row>
    <row r="19" ht="15.5" customHeight="1">
      <c r="A19" s="232" t="inlineStr">
        <is>
          <t>読売新聞</t>
        </is>
      </c>
      <c r="B19" s="244" t="n">
        <v>2</v>
      </c>
      <c r="C19" s="245">
        <f>SUMPRODUCT(Stories!$W$4:$W$195,--(Stories!$J$4:$J$195=$A19))</f>
        <v/>
      </c>
      <c r="D19" s="246" t="n">
        <v>4.5</v>
      </c>
      <c r="E19" s="244" t="n">
        <v>2</v>
      </c>
      <c r="F19" s="247" t="inlineStr">
        <is>
          <t>Hazards &amp; Resilience</t>
        </is>
      </c>
      <c r="G19" s="244" t="n">
        <v>1</v>
      </c>
      <c r="H19" s="172" t="inlineStr">
        <is>
          <t>Japan</t>
        </is>
      </c>
      <c r="I19" s="248" t="n">
        <v>46322</v>
      </c>
    </row>
    <row r="20" ht="15.5" customHeight="1">
      <c r="A20" s="232" t="inlineStr">
        <is>
          <t>:: Foro Coatza ::</t>
        </is>
      </c>
      <c r="B20" s="244" t="n">
        <v>1</v>
      </c>
      <c r="C20" s="245">
        <f>SUMPRODUCT(Stories!$W$4:$W$195,--(Stories!$J$4:$J$195=$A20))</f>
        <v/>
      </c>
      <c r="D20" s="246" t="n">
        <v>3</v>
      </c>
      <c r="E20" s="244" t="n">
        <v>0</v>
      </c>
      <c r="F20" s="250" t="inlineStr">
        <is>
          <t>Offshore, Coasts &amp; Water</t>
        </is>
      </c>
      <c r="G20" s="244" t="n">
        <v>1</v>
      </c>
      <c r="H20" s="172" t="inlineStr">
        <is>
          <t>Argentina</t>
        </is>
      </c>
      <c r="I20" s="248" t="n">
        <v>46319</v>
      </c>
    </row>
    <row r="21" ht="28" customHeight="1">
      <c r="A21" s="232" t="inlineStr">
        <is>
          <t>ABC27</t>
        </is>
      </c>
      <c r="B21" s="244" t="n">
        <v>1</v>
      </c>
      <c r="C21" s="245">
        <f>SUMPRODUCT(Stories!$W$4:$W$195,--(Stories!$J$4:$J$195=$A21))</f>
        <v/>
      </c>
      <c r="D21" s="246" t="n">
        <v>3</v>
      </c>
      <c r="E21" s="244" t="n">
        <v>0</v>
      </c>
      <c r="F21" s="249" t="inlineStr">
        <is>
          <t>Infrastructure &amp; the Underground City</t>
        </is>
      </c>
      <c r="G21" s="244" t="n">
        <v>1</v>
      </c>
      <c r="H21" s="172" t="inlineStr">
        <is>
          <t>United Kingdom</t>
        </is>
      </c>
      <c r="I21" s="248" t="n">
        <v>46320</v>
      </c>
    </row>
    <row r="22" ht="15.5" customHeight="1">
      <c r="A22" s="232" t="inlineStr">
        <is>
          <t>agenzia giornalistica opinione</t>
        </is>
      </c>
      <c r="B22" s="244" t="n">
        <v>1</v>
      </c>
      <c r="C22" s="245">
        <f>SUMPRODUCT(Stories!$W$4:$W$195,--(Stories!$J$4:$J$195=$A22))</f>
        <v/>
      </c>
      <c r="D22" s="246" t="n">
        <v>4</v>
      </c>
      <c r="E22" s="244" t="n">
        <v>1</v>
      </c>
      <c r="F22" s="247" t="inlineStr">
        <is>
          <t>Hazards &amp; Resilience</t>
        </is>
      </c>
      <c r="G22" s="244" t="n">
        <v>1</v>
      </c>
      <c r="H22" s="172" t="inlineStr">
        <is>
          <t>Italy</t>
        </is>
      </c>
      <c r="I22" s="248" t="n">
        <v>46319</v>
      </c>
    </row>
    <row r="23" ht="15.5" customHeight="1">
      <c r="A23" s="232" t="inlineStr">
        <is>
          <t>AI넷</t>
        </is>
      </c>
      <c r="B23" s="244" t="n">
        <v>1</v>
      </c>
      <c r="C23" s="245">
        <f>SUMPRODUCT(Stories!$W$4:$W$195,--(Stories!$J$4:$J$195=$A23))</f>
        <v/>
      </c>
      <c r="D23" s="246" t="n">
        <v>4</v>
      </c>
      <c r="E23" s="244" t="n">
        <v>1</v>
      </c>
      <c r="F23" s="250" t="inlineStr">
        <is>
          <t>Offshore, Coasts &amp; Water</t>
        </is>
      </c>
      <c r="G23" s="244" t="n">
        <v>1</v>
      </c>
      <c r="H23" s="172" t="inlineStr">
        <is>
          <t>South Korea</t>
        </is>
      </c>
      <c r="I23" s="248" t="n">
        <v>46320</v>
      </c>
    </row>
    <row r="24" ht="15.5" customHeight="1">
      <c r="A24" s="232" t="inlineStr">
        <is>
          <t>Baolangson.vn</t>
        </is>
      </c>
      <c r="B24" s="244" t="n">
        <v>1</v>
      </c>
      <c r="C24" s="245">
        <f>SUMPRODUCT(Stories!$W$4:$W$195,--(Stories!$J$4:$J$195=$A24))</f>
        <v/>
      </c>
      <c r="D24" s="246" t="n">
        <v>4</v>
      </c>
      <c r="E24" s="244" t="n">
        <v>1</v>
      </c>
      <c r="F24" s="247" t="inlineStr">
        <is>
          <t>Hazards &amp; Resilience</t>
        </is>
      </c>
      <c r="G24" s="244" t="n">
        <v>1</v>
      </c>
      <c r="H24" s="172" t="inlineStr">
        <is>
          <t>Vietnam</t>
        </is>
      </c>
      <c r="I24" s="248" t="n">
        <v>46319</v>
      </c>
    </row>
    <row r="25" ht="28" customHeight="1">
      <c r="A25" s="232" t="inlineStr">
        <is>
          <t>BioBioChile</t>
        </is>
      </c>
      <c r="B25" s="244" t="n">
        <v>1</v>
      </c>
      <c r="C25" s="245">
        <f>SUMPRODUCT(Stories!$W$4:$W$195,--(Stories!$J$4:$J$195=$A25))</f>
        <v/>
      </c>
      <c r="D25" s="246" t="n">
        <v>4</v>
      </c>
      <c r="E25" s="244" t="n">
        <v>1</v>
      </c>
      <c r="F25" s="249" t="inlineStr">
        <is>
          <t>Infrastructure &amp; the Underground City</t>
        </is>
      </c>
      <c r="G25" s="244" t="n">
        <v>1</v>
      </c>
      <c r="H25" s="172" t="inlineStr">
        <is>
          <t>Colombia</t>
        </is>
      </c>
      <c r="I25" s="248" t="n">
        <v>46319</v>
      </c>
    </row>
    <row r="26" ht="15.5" customHeight="1">
      <c r="A26" s="232" t="inlineStr">
        <is>
          <t>Bioengineer.org</t>
        </is>
      </c>
      <c r="B26" s="244" t="n">
        <v>1</v>
      </c>
      <c r="C26" s="245">
        <f>SUMPRODUCT(Stories!$W$4:$W$195,--(Stories!$J$4:$J$195=$A26))</f>
        <v/>
      </c>
      <c r="D26" s="246" t="n">
        <v>4</v>
      </c>
      <c r="E26" s="244" t="n">
        <v>1</v>
      </c>
      <c r="F26" s="247" t="inlineStr">
        <is>
          <t>Hazards &amp; Resilience</t>
        </is>
      </c>
      <c r="G26" s="244" t="n">
        <v>1</v>
      </c>
      <c r="H26" s="172" t="inlineStr">
        <is>
          <t>United Kingdom</t>
        </is>
      </c>
      <c r="I26" s="248" t="n">
        <v>46322</v>
      </c>
    </row>
    <row r="27" ht="15.5" customHeight="1">
      <c r="A27" s="232" t="inlineStr">
        <is>
          <t>BNamericas</t>
        </is>
      </c>
      <c r="B27" s="244" t="n">
        <v>1</v>
      </c>
      <c r="C27" s="245">
        <f>SUMPRODUCT(Stories!$W$4:$W$195,--(Stories!$J$4:$J$195=$A27))</f>
        <v/>
      </c>
      <c r="D27" s="246" t="n">
        <v>5</v>
      </c>
      <c r="E27" s="244" t="n">
        <v>1</v>
      </c>
      <c r="F27" s="247" t="inlineStr">
        <is>
          <t>Hazards &amp; Resilience</t>
        </is>
      </c>
      <c r="G27" s="244" t="n">
        <v>1</v>
      </c>
      <c r="H27" s="172" t="inlineStr">
        <is>
          <t>United Kingdom</t>
        </is>
      </c>
      <c r="I27" s="248" t="n">
        <v>46322</v>
      </c>
    </row>
    <row r="28" ht="15.5" customHeight="1">
      <c r="A28" s="232" t="inlineStr">
        <is>
          <t>Boyacá 7 Días</t>
        </is>
      </c>
      <c r="B28" s="244" t="n">
        <v>1</v>
      </c>
      <c r="C28" s="245">
        <f>SUMPRODUCT(Stories!$W$4:$W$195,--(Stories!$J$4:$J$195=$A28))</f>
        <v/>
      </c>
      <c r="D28" s="246" t="n">
        <v>3</v>
      </c>
      <c r="E28" s="244" t="n">
        <v>0</v>
      </c>
      <c r="F28" s="252" t="inlineStr">
        <is>
          <t>Geotechnics &amp; Society</t>
        </is>
      </c>
      <c r="G28" s="244" t="n">
        <v>1</v>
      </c>
      <c r="H28" s="172" t="inlineStr">
        <is>
          <t>Colombia</t>
        </is>
      </c>
      <c r="I28" s="248" t="n">
        <v>46319</v>
      </c>
    </row>
    <row r="29" ht="15.5" customHeight="1">
      <c r="A29" s="232" t="inlineStr">
        <is>
          <t>Báo Nhân Dân điện tử</t>
        </is>
      </c>
      <c r="B29" s="244" t="n">
        <v>1</v>
      </c>
      <c r="C29" s="245">
        <f>SUMPRODUCT(Stories!$W$4:$W$195,--(Stories!$J$4:$J$195=$A29))</f>
        <v/>
      </c>
      <c r="D29" s="246" t="n">
        <v>4</v>
      </c>
      <c r="E29" s="244" t="n">
        <v>1</v>
      </c>
      <c r="F29" s="250" t="inlineStr">
        <is>
          <t>Offshore, Coasts &amp; Water</t>
        </is>
      </c>
      <c r="G29" s="244" t="n">
        <v>1</v>
      </c>
      <c r="H29" s="172" t="inlineStr">
        <is>
          <t>Vietnam</t>
        </is>
      </c>
      <c r="I29" s="248" t="n">
        <v>46320</v>
      </c>
    </row>
    <row r="30" ht="15.5" customHeight="1">
      <c r="A30" s="232" t="inlineStr">
        <is>
          <t>Báo Thanh Niên</t>
        </is>
      </c>
      <c r="B30" s="244" t="n">
        <v>1</v>
      </c>
      <c r="C30" s="245">
        <f>SUMPRODUCT(Stories!$W$4:$W$195,--(Stories!$J$4:$J$195=$A30))</f>
        <v/>
      </c>
      <c r="D30" s="246" t="n">
        <v>4</v>
      </c>
      <c r="E30" s="244" t="n">
        <v>1</v>
      </c>
      <c r="F30" s="247" t="inlineStr">
        <is>
          <t>Hazards &amp; Resilience</t>
        </is>
      </c>
      <c r="G30" s="244" t="n">
        <v>1</v>
      </c>
      <c r="H30" s="172" t="inlineStr">
        <is>
          <t>Vietnam</t>
        </is>
      </c>
      <c r="I30" s="248" t="n">
        <v>46319</v>
      </c>
    </row>
    <row r="31" ht="28" customHeight="1">
      <c r="A31" s="232" t="inlineStr">
        <is>
          <t>Báo và phát thanh, truyền hình Đồng Tháp</t>
        </is>
      </c>
      <c r="B31" s="244" t="n">
        <v>1</v>
      </c>
      <c r="C31" s="245">
        <f>SUMPRODUCT(Stories!$W$4:$W$195,--(Stories!$J$4:$J$195=$A31))</f>
        <v/>
      </c>
      <c r="D31" s="246" t="n">
        <v>4</v>
      </c>
      <c r="E31" s="244" t="n">
        <v>1</v>
      </c>
      <c r="F31" s="247" t="inlineStr">
        <is>
          <t>Hazards &amp; Resilience</t>
        </is>
      </c>
      <c r="G31" s="244" t="n">
        <v>1</v>
      </c>
      <c r="H31" s="172" t="inlineStr">
        <is>
          <t>Vietnam</t>
        </is>
      </c>
      <c r="I31" s="248" t="n">
        <v>46319</v>
      </c>
    </row>
    <row r="32" ht="28" customHeight="1">
      <c r="A32" s="232" t="inlineStr">
        <is>
          <t>Cancun Sun</t>
        </is>
      </c>
      <c r="B32" s="244" t="n">
        <v>1</v>
      </c>
      <c r="C32" s="245">
        <f>SUMPRODUCT(Stories!$W$4:$W$195,--(Stories!$J$4:$J$195=$A32))</f>
        <v/>
      </c>
      <c r="D32" s="246" t="n">
        <v>4</v>
      </c>
      <c r="E32" s="244" t="n">
        <v>1</v>
      </c>
      <c r="F32" s="249" t="inlineStr">
        <is>
          <t>Infrastructure &amp; the Underground City</t>
        </is>
      </c>
      <c r="G32" s="244" t="n">
        <v>1</v>
      </c>
      <c r="H32" s="172" t="inlineStr">
        <is>
          <t>United Kingdom</t>
        </is>
      </c>
      <c r="I32" s="248" t="n">
        <v>46321</v>
      </c>
    </row>
    <row r="33" ht="28" customHeight="1">
      <c r="A33" s="232" t="inlineStr">
        <is>
          <t>Catve</t>
        </is>
      </c>
      <c r="B33" s="244" t="n">
        <v>1</v>
      </c>
      <c r="C33" s="245">
        <f>SUMPRODUCT(Stories!$W$4:$W$195,--(Stories!$J$4:$J$195=$A33))</f>
        <v/>
      </c>
      <c r="D33" s="246" t="n">
        <v>3</v>
      </c>
      <c r="E33" s="244" t="n">
        <v>0</v>
      </c>
      <c r="F33" s="249" t="inlineStr">
        <is>
          <t>Infrastructure &amp; the Underground City</t>
        </is>
      </c>
      <c r="G33" s="244" t="n">
        <v>1</v>
      </c>
      <c r="H33" s="172" t="inlineStr">
        <is>
          <t>Brazil</t>
        </is>
      </c>
      <c r="I33" s="248" t="n">
        <v>46321</v>
      </c>
    </row>
    <row r="34" ht="15.5" customHeight="1">
      <c r="A34" s="232" t="inlineStr">
        <is>
          <t>ComNews.ru</t>
        </is>
      </c>
      <c r="B34" s="244" t="n">
        <v>1</v>
      </c>
      <c r="C34" s="245">
        <f>SUMPRODUCT(Stories!$W$4:$W$195,--(Stories!$J$4:$J$195=$A34))</f>
        <v/>
      </c>
      <c r="D34" s="246" t="n">
        <v>4</v>
      </c>
      <c r="E34" s="244" t="n">
        <v>1</v>
      </c>
      <c r="F34" s="251" t="inlineStr">
        <is>
          <t>Digital Geotechnics</t>
        </is>
      </c>
      <c r="G34" s="244" t="n">
        <v>1</v>
      </c>
      <c r="H34" s="172" t="inlineStr">
        <is>
          <t>Russia</t>
        </is>
      </c>
      <c r="I34" s="248" t="n">
        <v>46321</v>
      </c>
    </row>
    <row r="35" ht="28" customHeight="1">
      <c r="A35" s="232" t="inlineStr">
        <is>
          <t>Dainik Bhaskar</t>
        </is>
      </c>
      <c r="B35" s="244" t="n">
        <v>1</v>
      </c>
      <c r="C35" s="245">
        <f>SUMPRODUCT(Stories!$W$4:$W$195,--(Stories!$J$4:$J$195=$A35))</f>
        <v/>
      </c>
      <c r="D35" s="246" t="n">
        <v>5</v>
      </c>
      <c r="E35" s="244" t="n">
        <v>1</v>
      </c>
      <c r="F35" s="249" t="inlineStr">
        <is>
          <t>Infrastructure &amp; the Underground City</t>
        </is>
      </c>
      <c r="G35" s="244" t="n">
        <v>1</v>
      </c>
      <c r="H35" s="172" t="inlineStr">
        <is>
          <t>India</t>
        </is>
      </c>
      <c r="I35" s="248" t="n">
        <v>46321</v>
      </c>
    </row>
    <row r="36" ht="28" customHeight="1">
      <c r="A36" s="232" t="inlineStr">
        <is>
          <t>Debate</t>
        </is>
      </c>
      <c r="B36" s="244" t="n">
        <v>1</v>
      </c>
      <c r="C36" s="245">
        <f>SUMPRODUCT(Stories!$W$4:$W$195,--(Stories!$J$4:$J$195=$A36))</f>
        <v/>
      </c>
      <c r="D36" s="246" t="n">
        <v>4</v>
      </c>
      <c r="E36" s="244" t="n">
        <v>1</v>
      </c>
      <c r="F36" s="249" t="inlineStr">
        <is>
          <t>Infrastructure &amp; the Underground City</t>
        </is>
      </c>
      <c r="G36" s="244" t="n">
        <v>1</v>
      </c>
      <c r="H36" s="172" t="inlineStr">
        <is>
          <t>Colombia</t>
        </is>
      </c>
      <c r="I36" s="248" t="n">
        <v>46319</v>
      </c>
    </row>
    <row r="37" ht="28" customHeight="1">
      <c r="A37" s="232" t="inlineStr">
        <is>
          <t>Detona, Real News</t>
        </is>
      </c>
      <c r="B37" s="244" t="n">
        <v>1</v>
      </c>
      <c r="C37" s="245">
        <f>SUMPRODUCT(Stories!$W$4:$W$195,--(Stories!$J$4:$J$195=$A37))</f>
        <v/>
      </c>
      <c r="D37" s="246" t="n">
        <v>3</v>
      </c>
      <c r="E37" s="244" t="n">
        <v>0</v>
      </c>
      <c r="F37" s="249" t="inlineStr">
        <is>
          <t>Infrastructure &amp; the Underground City</t>
        </is>
      </c>
      <c r="G37" s="244" t="n">
        <v>1</v>
      </c>
      <c r="H37" s="172" t="inlineStr">
        <is>
          <t>Colombia</t>
        </is>
      </c>
      <c r="I37" s="248" t="n">
        <v>46319</v>
      </c>
    </row>
    <row r="38" ht="15.5" customHeight="1">
      <c r="A38" s="232" t="inlineStr">
        <is>
          <t>Diario 1588</t>
        </is>
      </c>
      <c r="B38" s="244" t="n">
        <v>1</v>
      </c>
      <c r="C38" s="245">
        <f>SUMPRODUCT(Stories!$W$4:$W$195,--(Stories!$J$4:$J$195=$A38))</f>
        <v/>
      </c>
      <c r="D38" s="246" t="n">
        <v>3</v>
      </c>
      <c r="E38" s="244" t="n">
        <v>0</v>
      </c>
      <c r="F38" s="250" t="inlineStr">
        <is>
          <t>Offshore, Coasts &amp; Water</t>
        </is>
      </c>
      <c r="G38" s="244" t="n">
        <v>1</v>
      </c>
      <c r="H38" s="172" t="inlineStr">
        <is>
          <t>Argentina</t>
        </is>
      </c>
      <c r="I38" s="248" t="n">
        <v>46320</v>
      </c>
    </row>
    <row r="39" ht="28" customHeight="1">
      <c r="A39" s="232" t="inlineStr">
        <is>
          <t>Diario 7 lagos</t>
        </is>
      </c>
      <c r="B39" s="244" t="n">
        <v>1</v>
      </c>
      <c r="C39" s="245">
        <f>SUMPRODUCT(Stories!$W$4:$W$195,--(Stories!$J$4:$J$195=$A39))</f>
        <v/>
      </c>
      <c r="D39" s="246" t="n">
        <v>3</v>
      </c>
      <c r="E39" s="244" t="n">
        <v>0</v>
      </c>
      <c r="F39" s="249" t="inlineStr">
        <is>
          <t>Infrastructure &amp; the Underground City</t>
        </is>
      </c>
      <c r="G39" s="244" t="n">
        <v>1</v>
      </c>
      <c r="H39" s="172" t="inlineStr">
        <is>
          <t>Colombia</t>
        </is>
      </c>
      <c r="I39" s="248" t="n">
        <v>46320</v>
      </c>
    </row>
    <row r="40" ht="28" customHeight="1">
      <c r="A40" s="232" t="inlineStr">
        <is>
          <t>Diario Correo</t>
        </is>
      </c>
      <c r="B40" s="244" t="n">
        <v>1</v>
      </c>
      <c r="C40" s="245">
        <f>SUMPRODUCT(Stories!$W$4:$W$195,--(Stories!$J$4:$J$195=$A40))</f>
        <v/>
      </c>
      <c r="D40" s="246" t="n">
        <v>4</v>
      </c>
      <c r="E40" s="244" t="n">
        <v>1</v>
      </c>
      <c r="F40" s="249" t="inlineStr">
        <is>
          <t>Infrastructure &amp; the Underground City</t>
        </is>
      </c>
      <c r="G40" s="244" t="n">
        <v>1</v>
      </c>
      <c r="H40" s="172" t="inlineStr">
        <is>
          <t>Peru</t>
        </is>
      </c>
      <c r="I40" s="248" t="n">
        <v>46321</v>
      </c>
    </row>
    <row r="41" ht="28" customHeight="1">
      <c r="A41" s="232" t="inlineStr">
        <is>
          <t>diariolosandes.com.ec</t>
        </is>
      </c>
      <c r="B41" s="244" t="n">
        <v>1</v>
      </c>
      <c r="C41" s="245">
        <f>SUMPRODUCT(Stories!$W$4:$W$195,--(Stories!$J$4:$J$195=$A41))</f>
        <v/>
      </c>
      <c r="D41" s="246" t="n">
        <v>3</v>
      </c>
      <c r="E41" s="244" t="n">
        <v>0</v>
      </c>
      <c r="F41" s="249" t="inlineStr">
        <is>
          <t>Infrastructure &amp; the Underground City</t>
        </is>
      </c>
      <c r="G41" s="244" t="n">
        <v>1</v>
      </c>
      <c r="H41" s="172" t="inlineStr">
        <is>
          <t>Spain</t>
        </is>
      </c>
      <c r="I41" s="248" t="n">
        <v>46321</v>
      </c>
    </row>
    <row r="42" ht="15.5" customHeight="1">
      <c r="A42" s="232" t="inlineStr">
        <is>
          <t>DTiNews</t>
        </is>
      </c>
      <c r="B42" s="244" t="n">
        <v>1</v>
      </c>
      <c r="C42" s="245">
        <f>SUMPRODUCT(Stories!$W$4:$W$195,--(Stories!$J$4:$J$195=$A42))</f>
        <v/>
      </c>
      <c r="D42" s="246" t="n">
        <v>3</v>
      </c>
      <c r="E42" s="244" t="n">
        <v>0</v>
      </c>
      <c r="F42" s="253" t="inlineStr">
        <is>
          <t>Characterisation &amp; Modelling</t>
        </is>
      </c>
      <c r="G42" s="244" t="n">
        <v>1</v>
      </c>
      <c r="H42" s="172" t="inlineStr">
        <is>
          <t>United Kingdom</t>
        </is>
      </c>
      <c r="I42" s="248" t="n">
        <v>46320</v>
      </c>
    </row>
    <row r="43" ht="28" customHeight="1">
      <c r="A43" s="232" t="inlineStr">
        <is>
          <t>El Comercio</t>
        </is>
      </c>
      <c r="B43" s="244" t="n">
        <v>1</v>
      </c>
      <c r="C43" s="245">
        <f>SUMPRODUCT(Stories!$W$4:$W$195,--(Stories!$J$4:$J$195=$A43))</f>
        <v/>
      </c>
      <c r="D43" s="246" t="n">
        <v>3</v>
      </c>
      <c r="E43" s="244" t="n">
        <v>0</v>
      </c>
      <c r="F43" s="249" t="inlineStr">
        <is>
          <t>Infrastructure &amp; the Underground City</t>
        </is>
      </c>
      <c r="G43" s="244" t="n">
        <v>1</v>
      </c>
      <c r="H43" s="172" t="inlineStr">
        <is>
          <t>Spain</t>
        </is>
      </c>
      <c r="I43" s="248" t="n">
        <v>46321</v>
      </c>
    </row>
    <row r="44" ht="15.5" customHeight="1">
      <c r="A44" s="232" t="inlineStr">
        <is>
          <t>El Congresista</t>
        </is>
      </c>
      <c r="B44" s="244" t="n">
        <v>1</v>
      </c>
      <c r="C44" s="245">
        <f>SUMPRODUCT(Stories!$W$4:$W$195,--(Stories!$J$4:$J$195=$A44))</f>
        <v/>
      </c>
      <c r="D44" s="246" t="n">
        <v>4</v>
      </c>
      <c r="E44" s="244" t="n">
        <v>1</v>
      </c>
      <c r="F44" s="247" t="inlineStr">
        <is>
          <t>Hazards &amp; Resilience</t>
        </is>
      </c>
      <c r="G44" s="244" t="n">
        <v>1</v>
      </c>
      <c r="H44" s="172" t="inlineStr">
        <is>
          <t>Spain</t>
        </is>
      </c>
      <c r="I44" s="248" t="n">
        <v>46320</v>
      </c>
    </row>
    <row r="45" ht="15.5" customHeight="1">
      <c r="A45" s="232" t="inlineStr">
        <is>
          <t>El Dínamo</t>
        </is>
      </c>
      <c r="B45" s="244" t="n">
        <v>1</v>
      </c>
      <c r="C45" s="245">
        <f>SUMPRODUCT(Stories!$W$4:$W$195,--(Stories!$J$4:$J$195=$A45))</f>
        <v/>
      </c>
      <c r="D45" s="246" t="n">
        <v>4</v>
      </c>
      <c r="E45" s="244" t="n">
        <v>1</v>
      </c>
      <c r="F45" s="247" t="inlineStr">
        <is>
          <t>Hazards &amp; Resilience</t>
        </is>
      </c>
      <c r="G45" s="244" t="n">
        <v>1</v>
      </c>
      <c r="H45" s="172" t="inlineStr">
        <is>
          <t>Chile</t>
        </is>
      </c>
      <c r="I45" s="248" t="n">
        <v>46322</v>
      </c>
    </row>
    <row r="46" ht="28" customHeight="1">
      <c r="A46" s="232" t="inlineStr">
        <is>
          <t>El Litoral | Novedades de Corrientes</t>
        </is>
      </c>
      <c r="B46" s="244" t="n">
        <v>1</v>
      </c>
      <c r="C46" s="245">
        <f>SUMPRODUCT(Stories!$W$4:$W$195,--(Stories!$J$4:$J$195=$A46))</f>
        <v/>
      </c>
      <c r="D46" s="246" t="n">
        <v>3</v>
      </c>
      <c r="E46" s="244" t="n">
        <v>0</v>
      </c>
      <c r="F46" s="250" t="inlineStr">
        <is>
          <t>Offshore, Coasts &amp; Water</t>
        </is>
      </c>
      <c r="G46" s="244" t="n">
        <v>1</v>
      </c>
      <c r="H46" s="172" t="inlineStr">
        <is>
          <t>Argentina</t>
        </is>
      </c>
      <c r="I46" s="248" t="n">
        <v>46319</v>
      </c>
    </row>
    <row r="47" ht="28" customHeight="1">
      <c r="A47" s="232" t="inlineStr">
        <is>
          <t>El Portal de Chicoloapan</t>
        </is>
      </c>
      <c r="B47" s="244" t="n">
        <v>1</v>
      </c>
      <c r="C47" s="245">
        <f>SUMPRODUCT(Stories!$W$4:$W$195,--(Stories!$J$4:$J$195=$A47))</f>
        <v/>
      </c>
      <c r="D47" s="246" t="n">
        <v>3</v>
      </c>
      <c r="E47" s="244" t="n">
        <v>0</v>
      </c>
      <c r="F47" s="249" t="inlineStr">
        <is>
          <t>Infrastructure &amp; the Underground City</t>
        </is>
      </c>
      <c r="G47" s="244" t="n">
        <v>1</v>
      </c>
      <c r="H47" s="172" t="inlineStr">
        <is>
          <t>Argentina</t>
        </is>
      </c>
      <c r="I47" s="248" t="n">
        <v>46320</v>
      </c>
    </row>
    <row r="48" ht="28" customHeight="1">
      <c r="A48" s="232" t="inlineStr">
        <is>
          <t>El Siglo de Torreón</t>
        </is>
      </c>
      <c r="B48" s="244" t="n">
        <v>1</v>
      </c>
      <c r="C48" s="245">
        <f>SUMPRODUCT(Stories!$W$4:$W$195,--(Stories!$J$4:$J$195=$A48))</f>
        <v/>
      </c>
      <c r="D48" s="246" t="n">
        <v>3</v>
      </c>
      <c r="E48" s="244" t="n">
        <v>0</v>
      </c>
      <c r="F48" s="249" t="inlineStr">
        <is>
          <t>Infrastructure &amp; the Underground City</t>
        </is>
      </c>
      <c r="G48" s="244" t="n">
        <v>1</v>
      </c>
      <c r="H48" s="172" t="inlineStr">
        <is>
          <t>Colombia</t>
        </is>
      </c>
      <c r="I48" s="248" t="n">
        <v>46319</v>
      </c>
    </row>
    <row r="49" ht="28" customHeight="1">
      <c r="A49" s="232" t="inlineStr">
        <is>
          <t>El Sol de México</t>
        </is>
      </c>
      <c r="B49" s="244" t="n">
        <v>1</v>
      </c>
      <c r="C49" s="245">
        <f>SUMPRODUCT(Stories!$W$4:$W$195,--(Stories!$J$4:$J$195=$A49))</f>
        <v/>
      </c>
      <c r="D49" s="246" t="n">
        <v>3</v>
      </c>
      <c r="E49" s="244" t="n">
        <v>0</v>
      </c>
      <c r="F49" s="249" t="inlineStr">
        <is>
          <t>Infrastructure &amp; the Underground City</t>
        </is>
      </c>
      <c r="G49" s="244" t="n">
        <v>1</v>
      </c>
      <c r="H49" s="172" t="inlineStr">
        <is>
          <t>Colombia</t>
        </is>
      </c>
      <c r="I49" s="248" t="n">
        <v>46320</v>
      </c>
    </row>
    <row r="50" ht="28" customHeight="1">
      <c r="A50" s="232" t="inlineStr">
        <is>
          <t>El Universo</t>
        </is>
      </c>
      <c r="B50" s="244" t="n">
        <v>1</v>
      </c>
      <c r="C50" s="245">
        <f>SUMPRODUCT(Stories!$W$4:$W$195,--(Stories!$J$4:$J$195=$A50))</f>
        <v/>
      </c>
      <c r="D50" s="246" t="n">
        <v>4</v>
      </c>
      <c r="E50" s="244" t="n">
        <v>1</v>
      </c>
      <c r="F50" s="249" t="inlineStr">
        <is>
          <t>Infrastructure &amp; the Underground City</t>
        </is>
      </c>
      <c r="G50" s="244" t="n">
        <v>1</v>
      </c>
      <c r="H50" s="172" t="inlineStr">
        <is>
          <t>Colombia</t>
        </is>
      </c>
      <c r="I50" s="248" t="n">
        <v>46319</v>
      </c>
    </row>
    <row r="51" ht="28" customHeight="1">
      <c r="A51" s="232" t="inlineStr">
        <is>
          <t>emsavalles.com</t>
        </is>
      </c>
      <c r="B51" s="244" t="n">
        <v>1</v>
      </c>
      <c r="C51" s="245">
        <f>SUMPRODUCT(Stories!$W$4:$W$195,--(Stories!$J$4:$J$195=$A51))</f>
        <v/>
      </c>
      <c r="D51" s="246" t="n">
        <v>3</v>
      </c>
      <c r="E51" s="244" t="n">
        <v>0</v>
      </c>
      <c r="F51" s="249" t="inlineStr">
        <is>
          <t>Infrastructure &amp; the Underground City</t>
        </is>
      </c>
      <c r="G51" s="244" t="n">
        <v>1</v>
      </c>
      <c r="H51" s="172" t="inlineStr">
        <is>
          <t>Colombia</t>
        </is>
      </c>
      <c r="I51" s="248" t="n">
        <v>46320</v>
      </c>
    </row>
    <row r="52" ht="15.5" customHeight="1">
      <c r="A52" s="232" t="inlineStr">
        <is>
          <t>FNNプライムオンライン</t>
        </is>
      </c>
      <c r="B52" s="244" t="n">
        <v>1</v>
      </c>
      <c r="C52" s="245">
        <f>SUMPRODUCT(Stories!$W$4:$W$195,--(Stories!$J$4:$J$195=$A52))</f>
        <v/>
      </c>
      <c r="D52" s="246" t="n">
        <v>4</v>
      </c>
      <c r="E52" s="244" t="n">
        <v>1</v>
      </c>
      <c r="F52" s="247" t="inlineStr">
        <is>
          <t>Hazards &amp; Resilience</t>
        </is>
      </c>
      <c r="G52" s="244" t="n">
        <v>1</v>
      </c>
      <c r="H52" s="172" t="inlineStr">
        <is>
          <t>Japan</t>
        </is>
      </c>
      <c r="I52" s="248" t="n">
        <v>46320</v>
      </c>
    </row>
    <row r="53" ht="28" customHeight="1">
      <c r="A53" s="232" t="inlineStr">
        <is>
          <t>G1</t>
        </is>
      </c>
      <c r="B53" s="244" t="n">
        <v>1</v>
      </c>
      <c r="C53" s="245">
        <f>SUMPRODUCT(Stories!$W$4:$W$195,--(Stories!$J$4:$J$195=$A53))</f>
        <v/>
      </c>
      <c r="D53" s="246" t="n">
        <v>3</v>
      </c>
      <c r="E53" s="244" t="n">
        <v>0</v>
      </c>
      <c r="F53" s="249" t="inlineStr">
        <is>
          <t>Infrastructure &amp; the Underground City</t>
        </is>
      </c>
      <c r="G53" s="244" t="n">
        <v>1</v>
      </c>
      <c r="H53" s="172" t="inlineStr">
        <is>
          <t>Brazil</t>
        </is>
      </c>
      <c r="I53" s="248" t="n">
        <v>46321</v>
      </c>
    </row>
    <row r="54" ht="15.5" customHeight="1">
      <c r="A54" s="232" t="inlineStr">
        <is>
          <t>Geoengineer.org</t>
        </is>
      </c>
      <c r="B54" s="244" t="n">
        <v>1</v>
      </c>
      <c r="C54" s="245">
        <f>SUMPRODUCT(Stories!$W$4:$W$195,--(Stories!$J$4:$J$195=$A54))</f>
        <v/>
      </c>
      <c r="D54" s="246" t="n">
        <v>5</v>
      </c>
      <c r="E54" s="244" t="n">
        <v>1</v>
      </c>
      <c r="F54" s="254" t="inlineStr">
        <is>
          <t>Ground Improvement &amp; Innovation</t>
        </is>
      </c>
      <c r="G54" s="244" t="n">
        <v>1</v>
      </c>
      <c r="H54" s="172" t="inlineStr">
        <is>
          <t>United States</t>
        </is>
      </c>
      <c r="I54" s="248" t="n">
        <v>46319</v>
      </c>
    </row>
    <row r="55" ht="15.5" customHeight="1">
      <c r="A55" s="232" t="inlineStr">
        <is>
          <t>Giornale Nord Est</t>
        </is>
      </c>
      <c r="B55" s="244" t="n">
        <v>1</v>
      </c>
      <c r="C55" s="245">
        <f>SUMPRODUCT(Stories!$W$4:$W$195,--(Stories!$J$4:$J$195=$A55))</f>
        <v/>
      </c>
      <c r="D55" s="246" t="n">
        <v>4</v>
      </c>
      <c r="E55" s="244" t="n">
        <v>1</v>
      </c>
      <c r="F55" s="247" t="inlineStr">
        <is>
          <t>Hazards &amp; Resilience</t>
        </is>
      </c>
      <c r="G55" s="244" t="n">
        <v>1</v>
      </c>
      <c r="H55" s="172" t="inlineStr">
        <is>
          <t>Italy</t>
        </is>
      </c>
      <c r="I55" s="248" t="n">
        <v>46320</v>
      </c>
    </row>
    <row r="56" ht="15.5" customHeight="1">
      <c r="A56" s="232" t="inlineStr">
        <is>
          <t>Habertürk</t>
        </is>
      </c>
      <c r="B56" s="244" t="n">
        <v>1</v>
      </c>
      <c r="C56" s="245">
        <f>SUMPRODUCT(Stories!$W$4:$W$195,--(Stories!$J$4:$J$195=$A56))</f>
        <v/>
      </c>
      <c r="D56" s="246" t="n">
        <v>3</v>
      </c>
      <c r="E56" s="244" t="n">
        <v>0</v>
      </c>
      <c r="F56" s="253" t="inlineStr">
        <is>
          <t>Characterisation &amp; Modelling</t>
        </is>
      </c>
      <c r="G56" s="244" t="n">
        <v>1</v>
      </c>
      <c r="H56" s="172" t="inlineStr">
        <is>
          <t>Türkiye</t>
        </is>
      </c>
      <c r="I56" s="248" t="n">
        <v>46322</v>
      </c>
    </row>
    <row r="57" ht="15.5" customHeight="1">
      <c r="A57" s="232" t="inlineStr">
        <is>
          <t>Il Giornale dei Castelli Romani</t>
        </is>
      </c>
      <c r="B57" s="244" t="n">
        <v>1</v>
      </c>
      <c r="C57" s="245">
        <f>SUMPRODUCT(Stories!$W$4:$W$195,--(Stories!$J$4:$J$195=$A57))</f>
        <v/>
      </c>
      <c r="D57" s="246" t="n">
        <v>4</v>
      </c>
      <c r="E57" s="244" t="n">
        <v>1</v>
      </c>
      <c r="F57" s="247" t="inlineStr">
        <is>
          <t>Hazards &amp; Resilience</t>
        </is>
      </c>
      <c r="G57" s="244" t="n">
        <v>1</v>
      </c>
      <c r="H57" s="172" t="inlineStr">
        <is>
          <t>Italy</t>
        </is>
      </c>
      <c r="I57" s="248" t="n">
        <v>46319</v>
      </c>
    </row>
    <row r="58" ht="28" customHeight="1">
      <c r="A58" s="232" t="inlineStr">
        <is>
          <t>Inh News</t>
        </is>
      </c>
      <c r="B58" s="244" t="n">
        <v>1</v>
      </c>
      <c r="C58" s="245">
        <f>SUMPRODUCT(Stories!$W$4:$W$195,--(Stories!$J$4:$J$195=$A58))</f>
        <v/>
      </c>
      <c r="D58" s="246" t="n">
        <v>4</v>
      </c>
      <c r="E58" s="244" t="n">
        <v>1</v>
      </c>
      <c r="F58" s="249" t="inlineStr">
        <is>
          <t>Infrastructure &amp; the Underground City</t>
        </is>
      </c>
      <c r="G58" s="244" t="n">
        <v>1</v>
      </c>
      <c r="H58" s="172" t="inlineStr">
        <is>
          <t>India</t>
        </is>
      </c>
      <c r="I58" s="248" t="n">
        <v>46321</v>
      </c>
    </row>
    <row r="59" ht="28" customHeight="1">
      <c r="A59" s="232" t="inlineStr">
        <is>
          <t>Institution of Civil Engineers (ICE)</t>
        </is>
      </c>
      <c r="B59" s="244" t="n">
        <v>1</v>
      </c>
      <c r="C59" s="245">
        <f>SUMPRODUCT(Stories!$W$4:$W$195,--(Stories!$J$4:$J$195=$A59))</f>
        <v/>
      </c>
      <c r="D59" s="246" t="n">
        <v>3</v>
      </c>
      <c r="E59" s="244" t="n">
        <v>0</v>
      </c>
      <c r="F59" s="250" t="inlineStr">
        <is>
          <t>Offshore, Coasts &amp; Water</t>
        </is>
      </c>
      <c r="G59" s="244" t="n">
        <v>1</v>
      </c>
      <c r="H59" s="172" t="inlineStr">
        <is>
          <t>United Kingdom</t>
        </is>
      </c>
      <c r="I59" s="248" t="n">
        <v>46322</v>
      </c>
    </row>
    <row r="60" ht="15.5" customHeight="1">
      <c r="A60" s="232" t="inlineStr">
        <is>
          <t>iXBT.com</t>
        </is>
      </c>
      <c r="B60" s="244" t="n">
        <v>1</v>
      </c>
      <c r="C60" s="245">
        <f>SUMPRODUCT(Stories!$W$4:$W$195,--(Stories!$J$4:$J$195=$A60))</f>
        <v/>
      </c>
      <c r="D60" s="246" t="n">
        <v>4</v>
      </c>
      <c r="E60" s="244" t="n">
        <v>1</v>
      </c>
      <c r="F60" s="247" t="inlineStr">
        <is>
          <t>Hazards &amp; Resilience</t>
        </is>
      </c>
      <c r="G60" s="244" t="n">
        <v>1</v>
      </c>
      <c r="H60" s="172" t="inlineStr">
        <is>
          <t>Russia</t>
        </is>
      </c>
      <c r="I60" s="248" t="n">
        <v>46322</v>
      </c>
    </row>
    <row r="61" ht="28" customHeight="1">
      <c r="A61" s="232" t="inlineStr">
        <is>
          <t>JORNAL DA REGIÃO</t>
        </is>
      </c>
      <c r="B61" s="244" t="n">
        <v>1</v>
      </c>
      <c r="C61" s="245">
        <f>SUMPRODUCT(Stories!$W$4:$W$195,--(Stories!$J$4:$J$195=$A61))</f>
        <v/>
      </c>
      <c r="D61" s="246" t="n">
        <v>3</v>
      </c>
      <c r="E61" s="244" t="n">
        <v>0</v>
      </c>
      <c r="F61" s="249" t="inlineStr">
        <is>
          <t>Infrastructure &amp; the Underground City</t>
        </is>
      </c>
      <c r="G61" s="244" t="n">
        <v>1</v>
      </c>
      <c r="H61" s="172" t="inlineStr">
        <is>
          <t>Brazil</t>
        </is>
      </c>
      <c r="I61" s="248" t="n">
        <v>46321</v>
      </c>
    </row>
    <row r="62" ht="28" customHeight="1">
      <c r="A62" s="232" t="inlineStr">
        <is>
          <t>Jornal Novo Tempo</t>
        </is>
      </c>
      <c r="B62" s="244" t="n">
        <v>1</v>
      </c>
      <c r="C62" s="245">
        <f>SUMPRODUCT(Stories!$W$4:$W$195,--(Stories!$J$4:$J$195=$A62))</f>
        <v/>
      </c>
      <c r="D62" s="246" t="n">
        <v>3</v>
      </c>
      <c r="E62" s="244" t="n">
        <v>0</v>
      </c>
      <c r="F62" s="249" t="inlineStr">
        <is>
          <t>Infrastructure &amp; the Underground City</t>
        </is>
      </c>
      <c r="G62" s="244" t="n">
        <v>1</v>
      </c>
      <c r="H62" s="172" t="inlineStr">
        <is>
          <t>Brazil</t>
        </is>
      </c>
      <c r="I62" s="248" t="n">
        <v>46321</v>
      </c>
    </row>
    <row r="63" ht="15.5" customHeight="1">
      <c r="A63" s="232" t="inlineStr">
        <is>
          <t>Kashmir Life</t>
        </is>
      </c>
      <c r="B63" s="244" t="n">
        <v>1</v>
      </c>
      <c r="C63" s="245">
        <f>SUMPRODUCT(Stories!$W$4:$W$195,--(Stories!$J$4:$J$195=$A63))</f>
        <v/>
      </c>
      <c r="D63" s="246" t="n">
        <v>5</v>
      </c>
      <c r="E63" s="244" t="n">
        <v>1</v>
      </c>
      <c r="F63" s="247" t="inlineStr">
        <is>
          <t>Hazards &amp; Resilience</t>
        </is>
      </c>
      <c r="G63" s="244" t="n">
        <v>1</v>
      </c>
      <c r="H63" s="172" t="inlineStr">
        <is>
          <t>United Kingdom</t>
        </is>
      </c>
      <c r="I63" s="248" t="n">
        <v>46321</v>
      </c>
    </row>
    <row r="64" ht="15.5" customHeight="1">
      <c r="A64" s="232" t="inlineStr">
        <is>
          <t>Kenh14.vn</t>
        </is>
      </c>
      <c r="B64" s="244" t="n">
        <v>1</v>
      </c>
      <c r="C64" s="245">
        <f>SUMPRODUCT(Stories!$W$4:$W$195,--(Stories!$J$4:$J$195=$A64))</f>
        <v/>
      </c>
      <c r="D64" s="246" t="n">
        <v>4</v>
      </c>
      <c r="E64" s="244" t="n">
        <v>1</v>
      </c>
      <c r="F64" s="247" t="inlineStr">
        <is>
          <t>Hazards &amp; Resilience</t>
        </is>
      </c>
      <c r="G64" s="244" t="n">
        <v>1</v>
      </c>
      <c r="H64" s="172" t="inlineStr">
        <is>
          <t>Vietnam</t>
        </is>
      </c>
      <c r="I64" s="248" t="n">
        <v>46319</v>
      </c>
    </row>
    <row r="65" ht="28" customHeight="1">
      <c r="A65" s="232" t="inlineStr">
        <is>
          <t>KLSE Screener</t>
        </is>
      </c>
      <c r="B65" s="244" t="n">
        <v>1</v>
      </c>
      <c r="C65" s="245">
        <f>SUMPRODUCT(Stories!$W$4:$W$195,--(Stories!$J$4:$J$195=$A65))</f>
        <v/>
      </c>
      <c r="D65" s="246" t="n">
        <v>3</v>
      </c>
      <c r="E65" s="244" t="n">
        <v>0</v>
      </c>
      <c r="F65" s="249" t="inlineStr">
        <is>
          <t>Infrastructure &amp; the Underground City</t>
        </is>
      </c>
      <c r="G65" s="244" t="n">
        <v>1</v>
      </c>
      <c r="H65" s="172" t="inlineStr">
        <is>
          <t>South Africa</t>
        </is>
      </c>
      <c r="I65" s="248" t="n">
        <v>46322</v>
      </c>
    </row>
    <row r="66" ht="28" customHeight="1">
      <c r="A66" s="232" t="inlineStr">
        <is>
          <t>La Jornada Morelos</t>
        </is>
      </c>
      <c r="B66" s="244" t="n">
        <v>1</v>
      </c>
      <c r="C66" s="245">
        <f>SUMPRODUCT(Stories!$W$4:$W$195,--(Stories!$J$4:$J$195=$A66))</f>
        <v/>
      </c>
      <c r="D66" s="246" t="n">
        <v>4</v>
      </c>
      <c r="E66" s="244" t="n">
        <v>1</v>
      </c>
      <c r="F66" s="249" t="inlineStr">
        <is>
          <t>Infrastructure &amp; the Underground City</t>
        </is>
      </c>
      <c r="G66" s="244" t="n">
        <v>1</v>
      </c>
      <c r="H66" s="172" t="inlineStr">
        <is>
          <t>Argentina</t>
        </is>
      </c>
      <c r="I66" s="248" t="n">
        <v>46321</v>
      </c>
    </row>
    <row r="67" ht="15.5" customHeight="1">
      <c r="A67" s="232" t="inlineStr">
        <is>
          <t>la Repubblica</t>
        </is>
      </c>
      <c r="B67" s="244" t="n">
        <v>1</v>
      </c>
      <c r="C67" s="245">
        <f>SUMPRODUCT(Stories!$W$4:$W$195,--(Stories!$J$4:$J$195=$A67))</f>
        <v/>
      </c>
      <c r="D67" s="246" t="n">
        <v>5</v>
      </c>
      <c r="E67" s="244" t="n">
        <v>1</v>
      </c>
      <c r="F67" s="247" t="inlineStr">
        <is>
          <t>Hazards &amp; Resilience</t>
        </is>
      </c>
      <c r="G67" s="244" t="n">
        <v>1</v>
      </c>
      <c r="H67" s="172" t="inlineStr">
        <is>
          <t>Italy</t>
        </is>
      </c>
      <c r="I67" s="248" t="n">
        <v>46321</v>
      </c>
    </row>
    <row r="68" ht="15.5" customHeight="1">
      <c r="A68" s="232" t="inlineStr">
        <is>
          <t>Laodong.vn</t>
        </is>
      </c>
      <c r="B68" s="244" t="n">
        <v>1</v>
      </c>
      <c r="C68" s="245">
        <f>SUMPRODUCT(Stories!$W$4:$W$195,--(Stories!$J$4:$J$195=$A68))</f>
        <v/>
      </c>
      <c r="D68" s="246" t="n">
        <v>4</v>
      </c>
      <c r="E68" s="244" t="n">
        <v>1</v>
      </c>
      <c r="F68" s="253" t="inlineStr">
        <is>
          <t>Characterisation &amp; Modelling</t>
        </is>
      </c>
      <c r="G68" s="244" t="n">
        <v>1</v>
      </c>
      <c r="H68" s="172" t="inlineStr">
        <is>
          <t>South Korea</t>
        </is>
      </c>
      <c r="I68" s="248" t="n">
        <v>46320</v>
      </c>
    </row>
    <row r="69" ht="28" customHeight="1">
      <c r="A69" s="232" t="inlineStr">
        <is>
          <t>Life.ru</t>
        </is>
      </c>
      <c r="B69" s="244" t="n">
        <v>1</v>
      </c>
      <c r="C69" s="245">
        <f>SUMPRODUCT(Stories!$W$4:$W$195,--(Stories!$J$4:$J$195=$A69))</f>
        <v/>
      </c>
      <c r="D69" s="246" t="n">
        <v>5</v>
      </c>
      <c r="E69" s="244" t="n">
        <v>1</v>
      </c>
      <c r="F69" s="255" t="inlineStr">
        <is>
          <t>Sustainability &amp; the Energy Transition</t>
        </is>
      </c>
      <c r="G69" s="244" t="n">
        <v>1</v>
      </c>
      <c r="H69" s="172" t="inlineStr">
        <is>
          <t>Russia</t>
        </is>
      </c>
      <c r="I69" s="248" t="n">
        <v>46321</v>
      </c>
    </row>
    <row r="70" ht="15.5" customHeight="1">
      <c r="A70" s="232" t="inlineStr">
        <is>
          <t>Live Science</t>
        </is>
      </c>
      <c r="B70" s="244" t="n">
        <v>1</v>
      </c>
      <c r="C70" s="245">
        <f>SUMPRODUCT(Stories!$W$4:$W$195,--(Stories!$J$4:$J$195=$A70))</f>
        <v/>
      </c>
      <c r="D70" s="246" t="n">
        <v>4</v>
      </c>
      <c r="E70" s="244" t="n">
        <v>1</v>
      </c>
      <c r="F70" s="247" t="inlineStr">
        <is>
          <t>Hazards &amp; Resilience</t>
        </is>
      </c>
      <c r="G70" s="244" t="n">
        <v>1</v>
      </c>
      <c r="H70" s="172" t="inlineStr">
        <is>
          <t>United Kingdom</t>
        </is>
      </c>
      <c r="I70" s="248" t="n">
        <v>46322</v>
      </c>
    </row>
    <row r="71" ht="15.5" customHeight="1">
      <c r="A71" s="232" t="inlineStr">
        <is>
          <t>Los Noticieristas</t>
        </is>
      </c>
      <c r="B71" s="244" t="n">
        <v>1</v>
      </c>
      <c r="C71" s="245">
        <f>SUMPRODUCT(Stories!$W$4:$W$195,--(Stories!$J$4:$J$195=$A71))</f>
        <v/>
      </c>
      <c r="D71" s="246" t="n">
        <v>4</v>
      </c>
      <c r="E71" s="244" t="n">
        <v>1</v>
      </c>
      <c r="F71" s="250" t="inlineStr">
        <is>
          <t>Offshore, Coasts &amp; Water</t>
        </is>
      </c>
      <c r="G71" s="244" t="n">
        <v>1</v>
      </c>
      <c r="H71" s="172" t="inlineStr">
        <is>
          <t>Colombia</t>
        </is>
      </c>
      <c r="I71" s="248" t="n">
        <v>46321</v>
      </c>
    </row>
    <row r="72" ht="28" customHeight="1">
      <c r="A72" s="232" t="inlineStr">
        <is>
          <t>luminanoticias.pe</t>
        </is>
      </c>
      <c r="B72" s="244" t="n">
        <v>1</v>
      </c>
      <c r="C72" s="245">
        <f>SUMPRODUCT(Stories!$W$4:$W$195,--(Stories!$J$4:$J$195=$A72))</f>
        <v/>
      </c>
      <c r="D72" s="246" t="n">
        <v>3</v>
      </c>
      <c r="E72" s="244" t="n">
        <v>0</v>
      </c>
      <c r="F72" s="249" t="inlineStr">
        <is>
          <t>Infrastructure &amp; the Underground City</t>
        </is>
      </c>
      <c r="G72" s="244" t="n">
        <v>1</v>
      </c>
      <c r="H72" s="172" t="inlineStr">
        <is>
          <t>Spain</t>
        </is>
      </c>
      <c r="I72" s="248" t="n">
        <v>46321</v>
      </c>
    </row>
    <row r="73" ht="15.5" customHeight="1">
      <c r="A73" s="232" t="inlineStr">
        <is>
          <t>Malay Mail</t>
        </is>
      </c>
      <c r="B73" s="244" t="n">
        <v>1</v>
      </c>
      <c r="C73" s="245">
        <f>SUMPRODUCT(Stories!$W$4:$W$195,--(Stories!$J$4:$J$195=$A73))</f>
        <v/>
      </c>
      <c r="D73" s="246" t="n">
        <v>4</v>
      </c>
      <c r="E73" s="244" t="n">
        <v>1</v>
      </c>
      <c r="F73" s="247" t="inlineStr">
        <is>
          <t>Hazards &amp; Resilience</t>
        </is>
      </c>
      <c r="G73" s="244" t="n">
        <v>1</v>
      </c>
      <c r="H73" s="172" t="inlineStr">
        <is>
          <t>United Kingdom</t>
        </is>
      </c>
      <c r="I73" s="248" t="n">
        <v>46320</v>
      </c>
    </row>
    <row r="74" ht="28" customHeight="1">
      <c r="A74" s="232" t="inlineStr">
        <is>
          <t>MarketScreener España</t>
        </is>
      </c>
      <c r="B74" s="244" t="n">
        <v>1</v>
      </c>
      <c r="C74" s="245">
        <f>SUMPRODUCT(Stories!$W$4:$W$195,--(Stories!$J$4:$J$195=$A74))</f>
        <v/>
      </c>
      <c r="D74" s="246" t="n">
        <v>4</v>
      </c>
      <c r="E74" s="244" t="n">
        <v>1</v>
      </c>
      <c r="F74" s="249" t="inlineStr">
        <is>
          <t>Infrastructure &amp; the Underground City</t>
        </is>
      </c>
      <c r="G74" s="244" t="n">
        <v>1</v>
      </c>
      <c r="H74" s="172" t="inlineStr">
        <is>
          <t>Argentina</t>
        </is>
      </c>
      <c r="I74" s="248" t="n">
        <v>46320</v>
      </c>
    </row>
    <row r="75" ht="28" customHeight="1">
      <c r="A75" s="232" t="inlineStr">
        <is>
          <t>Marília Notícia</t>
        </is>
      </c>
      <c r="B75" s="244" t="n">
        <v>1</v>
      </c>
      <c r="C75" s="245">
        <f>SUMPRODUCT(Stories!$W$4:$W$195,--(Stories!$J$4:$J$195=$A75))</f>
        <v/>
      </c>
      <c r="D75" s="246" t="n">
        <v>3</v>
      </c>
      <c r="E75" s="244" t="n">
        <v>0</v>
      </c>
      <c r="F75" s="249" t="inlineStr">
        <is>
          <t>Infrastructure &amp; the Underground City</t>
        </is>
      </c>
      <c r="G75" s="244" t="n">
        <v>1</v>
      </c>
      <c r="H75" s="172" t="inlineStr">
        <is>
          <t>Brazil</t>
        </is>
      </c>
      <c r="I75" s="248" t="n">
        <v>46321</v>
      </c>
    </row>
    <row r="76" ht="15.5" customHeight="1">
      <c r="A76" s="232" t="inlineStr">
        <is>
          <t>Meganoticias</t>
        </is>
      </c>
      <c r="B76" s="244" t="n">
        <v>1</v>
      </c>
      <c r="C76" s="245">
        <f>SUMPRODUCT(Stories!$W$4:$W$195,--(Stories!$J$4:$J$195=$A76))</f>
        <v/>
      </c>
      <c r="D76" s="246" t="n">
        <v>4</v>
      </c>
      <c r="E76" s="244" t="n">
        <v>1</v>
      </c>
      <c r="F76" s="247" t="inlineStr">
        <is>
          <t>Hazards &amp; Resilience</t>
        </is>
      </c>
      <c r="G76" s="244" t="n">
        <v>1</v>
      </c>
      <c r="H76" s="172" t="inlineStr">
        <is>
          <t>Chile</t>
        </is>
      </c>
      <c r="I76" s="248" t="n">
        <v>46319</v>
      </c>
    </row>
    <row r="77" ht="28" customHeight="1">
      <c r="A77" s="232" t="inlineStr">
        <is>
          <t>Metrolinx</t>
        </is>
      </c>
      <c r="B77" s="244" t="n">
        <v>1</v>
      </c>
      <c r="C77" s="245">
        <f>SUMPRODUCT(Stories!$W$4:$W$195,--(Stories!$J$4:$J$195=$A77))</f>
        <v/>
      </c>
      <c r="D77" s="246" t="n">
        <v>4</v>
      </c>
      <c r="E77" s="244" t="n">
        <v>1</v>
      </c>
      <c r="F77" s="249" t="inlineStr">
        <is>
          <t>Infrastructure &amp; the Underground City</t>
        </is>
      </c>
      <c r="G77" s="244" t="n">
        <v>1</v>
      </c>
      <c r="H77" s="172" t="inlineStr">
        <is>
          <t>United Kingdom</t>
        </is>
      </c>
      <c r="I77" s="248" t="n">
        <v>46322</v>
      </c>
    </row>
    <row r="78" ht="28" customHeight="1">
      <c r="A78" s="232" t="inlineStr">
        <is>
          <t>mos.ru</t>
        </is>
      </c>
      <c r="B78" s="244" t="n">
        <v>1</v>
      </c>
      <c r="C78" s="245">
        <f>SUMPRODUCT(Stories!$W$4:$W$195,--(Stories!$J$4:$J$195=$A78))</f>
        <v/>
      </c>
      <c r="D78" s="246" t="n">
        <v>4</v>
      </c>
      <c r="E78" s="244" t="n">
        <v>1</v>
      </c>
      <c r="F78" s="249" t="inlineStr">
        <is>
          <t>Infrastructure &amp; the Underground City</t>
        </is>
      </c>
      <c r="G78" s="244" t="n">
        <v>1</v>
      </c>
      <c r="H78" s="172" t="inlineStr">
        <is>
          <t>Russia</t>
        </is>
      </c>
      <c r="I78" s="248" t="n">
        <v>46322</v>
      </c>
    </row>
    <row r="79" ht="28" customHeight="1">
      <c r="A79" s="232" t="inlineStr">
        <is>
          <t>Naver Blog</t>
        </is>
      </c>
      <c r="B79" s="244" t="n">
        <v>1</v>
      </c>
      <c r="C79" s="245">
        <f>SUMPRODUCT(Stories!$W$4:$W$195,--(Stories!$J$4:$J$195=$A79))</f>
        <v/>
      </c>
      <c r="D79" s="246" t="n">
        <v>4</v>
      </c>
      <c r="E79" s="244" t="n">
        <v>1</v>
      </c>
      <c r="F79" s="249" t="inlineStr">
        <is>
          <t>Infrastructure &amp; the Underground City</t>
        </is>
      </c>
      <c r="G79" s="244" t="n">
        <v>1</v>
      </c>
      <c r="H79" s="172" t="inlineStr">
        <is>
          <t>South Korea</t>
        </is>
      </c>
      <c r="I79" s="248" t="n">
        <v>46319</v>
      </c>
    </row>
    <row r="80" ht="28" customHeight="1">
      <c r="A80" s="232" t="inlineStr">
        <is>
          <t>NDT Noticias de Tijuana</t>
        </is>
      </c>
      <c r="B80" s="244" t="n">
        <v>1</v>
      </c>
      <c r="C80" s="245">
        <f>SUMPRODUCT(Stories!$W$4:$W$195,--(Stories!$J$4:$J$195=$A80))</f>
        <v/>
      </c>
      <c r="D80" s="246" t="n">
        <v>4</v>
      </c>
      <c r="E80" s="244" t="n">
        <v>1</v>
      </c>
      <c r="F80" s="249" t="inlineStr">
        <is>
          <t>Infrastructure &amp; the Underground City</t>
        </is>
      </c>
      <c r="G80" s="244" t="n">
        <v>1</v>
      </c>
      <c r="H80" s="172" t="inlineStr">
        <is>
          <t>Colombia</t>
        </is>
      </c>
      <c r="I80" s="248" t="n">
        <v>46320</v>
      </c>
    </row>
    <row r="81" ht="28" customHeight="1">
      <c r="A81" s="232" t="inlineStr">
        <is>
          <t>Netnoticias.mx</t>
        </is>
      </c>
      <c r="B81" s="244" t="n">
        <v>1</v>
      </c>
      <c r="C81" s="245">
        <f>SUMPRODUCT(Stories!$W$4:$W$195,--(Stories!$J$4:$J$195=$A81))</f>
        <v/>
      </c>
      <c r="D81" s="246" t="n">
        <v>3</v>
      </c>
      <c r="E81" s="244" t="n">
        <v>0</v>
      </c>
      <c r="F81" s="249" t="inlineStr">
        <is>
          <t>Infrastructure &amp; the Underground City</t>
        </is>
      </c>
      <c r="G81" s="244" t="n">
        <v>1</v>
      </c>
      <c r="H81" s="172" t="inlineStr">
        <is>
          <t>Colombia</t>
        </is>
      </c>
      <c r="I81" s="248" t="n">
        <v>46321</v>
      </c>
    </row>
    <row r="82" ht="15.5" customHeight="1">
      <c r="A82" s="232" t="inlineStr">
        <is>
          <t>Người Đưa Tin</t>
        </is>
      </c>
      <c r="B82" s="244" t="n">
        <v>1</v>
      </c>
      <c r="C82" s="245">
        <f>SUMPRODUCT(Stories!$W$4:$W$195,--(Stories!$J$4:$J$195=$A82))</f>
        <v/>
      </c>
      <c r="D82" s="246" t="n">
        <v>4</v>
      </c>
      <c r="E82" s="244" t="n">
        <v>1</v>
      </c>
      <c r="F82" s="250" t="inlineStr">
        <is>
          <t>Offshore, Coasts &amp; Water</t>
        </is>
      </c>
      <c r="G82" s="244" t="n">
        <v>1</v>
      </c>
      <c r="H82" s="172" t="inlineStr">
        <is>
          <t>Vietnam</t>
        </is>
      </c>
      <c r="I82" s="248" t="n">
        <v>46319</v>
      </c>
    </row>
    <row r="83" ht="15.5" customHeight="1">
      <c r="A83" s="232" t="inlineStr">
        <is>
          <t>Noticias Caracol</t>
        </is>
      </c>
      <c r="B83" s="244" t="n">
        <v>1</v>
      </c>
      <c r="C83" s="245">
        <f>SUMPRODUCT(Stories!$W$4:$W$195,--(Stories!$J$4:$J$195=$A83))</f>
        <v/>
      </c>
      <c r="D83" s="246" t="n">
        <v>4</v>
      </c>
      <c r="E83" s="244" t="n">
        <v>1</v>
      </c>
      <c r="F83" s="247" t="inlineStr">
        <is>
          <t>Hazards &amp; Resilience</t>
        </is>
      </c>
      <c r="G83" s="244" t="n">
        <v>1</v>
      </c>
      <c r="H83" s="172" t="inlineStr">
        <is>
          <t>Mexico</t>
        </is>
      </c>
      <c r="I83" s="248" t="n">
        <v>46320</v>
      </c>
    </row>
    <row r="84" ht="15.5" customHeight="1">
      <c r="A84" s="232" t="inlineStr">
        <is>
          <t>NST Online</t>
        </is>
      </c>
      <c r="B84" s="244" t="n">
        <v>1</v>
      </c>
      <c r="C84" s="245">
        <f>SUMPRODUCT(Stories!$W$4:$W$195,--(Stories!$J$4:$J$195=$A84))</f>
        <v/>
      </c>
      <c r="D84" s="246" t="n">
        <v>3</v>
      </c>
      <c r="E84" s="244" t="n">
        <v>0</v>
      </c>
      <c r="F84" s="252" t="inlineStr">
        <is>
          <t>Geotechnics &amp; Society</t>
        </is>
      </c>
      <c r="G84" s="244" t="n">
        <v>1</v>
      </c>
      <c r="H84" s="172" t="inlineStr">
        <is>
          <t>United Kingdom</t>
        </is>
      </c>
      <c r="I84" s="248" t="n">
        <v>46320</v>
      </c>
    </row>
    <row r="85" ht="15.5" customHeight="1">
      <c r="A85" s="232" t="inlineStr">
        <is>
          <t>Onmanorama</t>
        </is>
      </c>
      <c r="B85" s="244" t="n">
        <v>1</v>
      </c>
      <c r="C85" s="245">
        <f>SUMPRODUCT(Stories!$W$4:$W$195,--(Stories!$J$4:$J$195=$A85))</f>
        <v/>
      </c>
      <c r="D85" s="246" t="n">
        <v>5</v>
      </c>
      <c r="E85" s="244" t="n">
        <v>1</v>
      </c>
      <c r="F85" s="247" t="inlineStr">
        <is>
          <t>Hazards &amp; Resilience</t>
        </is>
      </c>
      <c r="G85" s="244" t="n">
        <v>1</v>
      </c>
      <c r="H85" s="172" t="inlineStr">
        <is>
          <t>South Africa</t>
        </is>
      </c>
      <c r="I85" s="248" t="n">
        <v>46320</v>
      </c>
    </row>
    <row r="86" ht="15.5" customHeight="1">
      <c r="A86" s="232" t="inlineStr">
        <is>
          <t>Panamericana TV</t>
        </is>
      </c>
      <c r="B86" s="244" t="n">
        <v>1</v>
      </c>
      <c r="C86" s="245">
        <f>SUMPRODUCT(Stories!$W$4:$W$195,--(Stories!$J$4:$J$195=$A86))</f>
        <v/>
      </c>
      <c r="D86" s="246" t="n">
        <v>4</v>
      </c>
      <c r="E86" s="244" t="n">
        <v>1</v>
      </c>
      <c r="F86" s="247" t="inlineStr">
        <is>
          <t>Hazards &amp; Resilience</t>
        </is>
      </c>
      <c r="G86" s="244" t="n">
        <v>1</v>
      </c>
      <c r="H86" s="172" t="inlineStr">
        <is>
          <t>Spain</t>
        </is>
      </c>
      <c r="I86" s="248" t="n">
        <v>46322</v>
      </c>
    </row>
    <row r="87" ht="28" customHeight="1">
      <c r="A87" s="232" t="inlineStr">
        <is>
          <t>Piter.tv</t>
        </is>
      </c>
      <c r="B87" s="244" t="n">
        <v>1</v>
      </c>
      <c r="C87" s="245">
        <f>SUMPRODUCT(Stories!$W$4:$W$195,--(Stories!$J$4:$J$195=$A87))</f>
        <v/>
      </c>
      <c r="D87" s="246" t="n">
        <v>4</v>
      </c>
      <c r="E87" s="244" t="n">
        <v>1</v>
      </c>
      <c r="F87" s="249" t="inlineStr">
        <is>
          <t>Infrastructure &amp; the Underground City</t>
        </is>
      </c>
      <c r="G87" s="244" t="n">
        <v>1</v>
      </c>
      <c r="H87" s="172" t="inlineStr">
        <is>
          <t>Russia</t>
        </is>
      </c>
      <c r="I87" s="248" t="n">
        <v>46320</v>
      </c>
    </row>
    <row r="88" ht="15.5" customHeight="1">
      <c r="A88" s="232" t="inlineStr">
        <is>
          <t>PostaMx</t>
        </is>
      </c>
      <c r="B88" s="244" t="n">
        <v>1</v>
      </c>
      <c r="C88" s="245">
        <f>SUMPRODUCT(Stories!$W$4:$W$195,--(Stories!$J$4:$J$195=$A88))</f>
        <v/>
      </c>
      <c r="D88" s="246" t="n">
        <v>4</v>
      </c>
      <c r="E88" s="244" t="n">
        <v>1</v>
      </c>
      <c r="F88" s="247" t="inlineStr">
        <is>
          <t>Hazards &amp; Resilience</t>
        </is>
      </c>
      <c r="G88" s="244" t="n">
        <v>1</v>
      </c>
      <c r="H88" s="172" t="inlineStr">
        <is>
          <t>Spain</t>
        </is>
      </c>
      <c r="I88" s="248" t="n">
        <v>46321</v>
      </c>
    </row>
    <row r="89" ht="15.5" customHeight="1">
      <c r="A89" s="232" t="inlineStr">
        <is>
          <t>Publimicro</t>
        </is>
      </c>
      <c r="B89" s="244" t="n">
        <v>1</v>
      </c>
      <c r="C89" s="245">
        <f>SUMPRODUCT(Stories!$W$4:$W$195,--(Stories!$J$4:$J$195=$A89))</f>
        <v/>
      </c>
      <c r="D89" s="246" t="n">
        <v>5</v>
      </c>
      <c r="E89" s="244" t="n">
        <v>1</v>
      </c>
      <c r="F89" s="247" t="inlineStr">
        <is>
          <t>Hazards &amp; Resilience</t>
        </is>
      </c>
      <c r="G89" s="244" t="n">
        <v>1</v>
      </c>
      <c r="H89" s="172" t="inlineStr">
        <is>
          <t>Colombia</t>
        </is>
      </c>
      <c r="I89" s="248" t="n">
        <v>46320</v>
      </c>
    </row>
    <row r="90" ht="28" customHeight="1">
      <c r="A90" s="232" t="inlineStr">
        <is>
          <t>Pulso Diario San Luis</t>
        </is>
      </c>
      <c r="B90" s="244" t="n">
        <v>1</v>
      </c>
      <c r="C90" s="245">
        <f>SUMPRODUCT(Stories!$W$4:$W$195,--(Stories!$J$4:$J$195=$A90))</f>
        <v/>
      </c>
      <c r="D90" s="246" t="n">
        <v>4</v>
      </c>
      <c r="E90" s="244" t="n">
        <v>1</v>
      </c>
      <c r="F90" s="249" t="inlineStr">
        <is>
          <t>Infrastructure &amp; the Underground City</t>
        </is>
      </c>
      <c r="G90" s="244" t="n">
        <v>1</v>
      </c>
      <c r="H90" s="172" t="inlineStr">
        <is>
          <t>Colombia</t>
        </is>
      </c>
      <c r="I90" s="248" t="n">
        <v>46321</v>
      </c>
    </row>
    <row r="91" ht="28" customHeight="1">
      <c r="A91" s="232" t="inlineStr">
        <is>
          <t>Punto Norte</t>
        </is>
      </c>
      <c r="B91" s="244" t="n">
        <v>1</v>
      </c>
      <c r="C91" s="245">
        <f>SUMPRODUCT(Stories!$W$4:$W$195,--(Stories!$J$4:$J$195=$A91))</f>
        <v/>
      </c>
      <c r="D91" s="246" t="n">
        <v>3</v>
      </c>
      <c r="E91" s="244" t="n">
        <v>0</v>
      </c>
      <c r="F91" s="249" t="inlineStr">
        <is>
          <t>Infrastructure &amp; the Underground City</t>
        </is>
      </c>
      <c r="G91" s="244" t="n">
        <v>1</v>
      </c>
      <c r="H91" s="172" t="inlineStr">
        <is>
          <t>Colombia</t>
        </is>
      </c>
      <c r="I91" s="248" t="n">
        <v>46321</v>
      </c>
    </row>
    <row r="92" ht="15.5" customHeight="1">
      <c r="A92" s="232" t="inlineStr">
        <is>
          <t>Quinta Fuerza</t>
        </is>
      </c>
      <c r="B92" s="244" t="n">
        <v>1</v>
      </c>
      <c r="C92" s="245">
        <f>SUMPRODUCT(Stories!$W$4:$W$195,--(Stories!$J$4:$J$195=$A92))</f>
        <v/>
      </c>
      <c r="D92" s="246" t="n">
        <v>4</v>
      </c>
      <c r="E92" s="244" t="n">
        <v>1</v>
      </c>
      <c r="F92" s="247" t="inlineStr">
        <is>
          <t>Hazards &amp; Resilience</t>
        </is>
      </c>
      <c r="G92" s="244" t="n">
        <v>1</v>
      </c>
      <c r="H92" s="172" t="inlineStr">
        <is>
          <t>Colombia</t>
        </is>
      </c>
      <c r="I92" s="248" t="n">
        <v>46321</v>
      </c>
    </row>
    <row r="93" ht="28" customHeight="1">
      <c r="A93" s="232" t="inlineStr">
        <is>
          <t>Quintana Roo Hoy</t>
        </is>
      </c>
      <c r="B93" s="244" t="n">
        <v>1</v>
      </c>
      <c r="C93" s="245">
        <f>SUMPRODUCT(Stories!$W$4:$W$195,--(Stories!$J$4:$J$195=$A93))</f>
        <v/>
      </c>
      <c r="D93" s="246" t="n">
        <v>4</v>
      </c>
      <c r="E93" s="244" t="n">
        <v>1</v>
      </c>
      <c r="F93" s="249" t="inlineStr">
        <is>
          <t>Infrastructure &amp; the Underground City</t>
        </is>
      </c>
      <c r="G93" s="244" t="n">
        <v>1</v>
      </c>
      <c r="H93" s="172" t="inlineStr">
        <is>
          <t>Colombia</t>
        </is>
      </c>
      <c r="I93" s="248" t="n">
        <v>46320</v>
      </c>
    </row>
    <row r="94" ht="15.5" customHeight="1">
      <c r="A94" s="232" t="inlineStr">
        <is>
          <t>Radio-Canada</t>
        </is>
      </c>
      <c r="B94" s="244" t="n">
        <v>1</v>
      </c>
      <c r="C94" s="245">
        <f>SUMPRODUCT(Stories!$W$4:$W$195,--(Stories!$J$4:$J$195=$A94))</f>
        <v/>
      </c>
      <c r="D94" s="246" t="n">
        <v>4</v>
      </c>
      <c r="E94" s="244" t="n">
        <v>1</v>
      </c>
      <c r="F94" s="247" t="inlineStr">
        <is>
          <t>Hazards &amp; Resilience</t>
        </is>
      </c>
      <c r="G94" s="244" t="n">
        <v>1</v>
      </c>
      <c r="H94" s="172" t="inlineStr">
        <is>
          <t>France</t>
        </is>
      </c>
      <c r="I94" s="248" t="n">
        <v>46322</v>
      </c>
    </row>
    <row r="95" ht="28" customHeight="1">
      <c r="A95" s="232" t="inlineStr">
        <is>
          <t>Realidad Sanmartinense</t>
        </is>
      </c>
      <c r="B95" s="244" t="n">
        <v>1</v>
      </c>
      <c r="C95" s="245">
        <f>SUMPRODUCT(Stories!$W$4:$W$195,--(Stories!$J$4:$J$195=$A95))</f>
        <v/>
      </c>
      <c r="D95" s="246" t="n">
        <v>3</v>
      </c>
      <c r="E95" s="244" t="n">
        <v>0</v>
      </c>
      <c r="F95" s="249" t="inlineStr">
        <is>
          <t>Infrastructure &amp; the Underground City</t>
        </is>
      </c>
      <c r="G95" s="244" t="n">
        <v>1</v>
      </c>
      <c r="H95" s="172" t="inlineStr">
        <is>
          <t>Colombia</t>
        </is>
      </c>
      <c r="I95" s="248" t="n">
        <v>46319</v>
      </c>
    </row>
    <row r="96" ht="15.5" customHeight="1">
      <c r="A96" s="232" t="inlineStr">
        <is>
          <t>Revista Digital Minera REDIMIN</t>
        </is>
      </c>
      <c r="B96" s="244" t="n">
        <v>1</v>
      </c>
      <c r="C96" s="245">
        <f>SUMPRODUCT(Stories!$W$4:$W$195,--(Stories!$J$4:$J$195=$A96))</f>
        <v/>
      </c>
      <c r="D96" s="246" t="n">
        <v>5</v>
      </c>
      <c r="E96" s="244" t="n">
        <v>1</v>
      </c>
      <c r="F96" s="247" t="inlineStr">
        <is>
          <t>Hazards &amp; Resilience</t>
        </is>
      </c>
      <c r="G96" s="244" t="n">
        <v>1</v>
      </c>
      <c r="H96" s="172" t="inlineStr">
        <is>
          <t>Argentina</t>
        </is>
      </c>
      <c r="I96" s="248" t="n">
        <v>46320</v>
      </c>
    </row>
    <row r="97" ht="15.5" customHeight="1">
      <c r="A97" s="232" t="inlineStr">
        <is>
          <t>RRI.co.id</t>
        </is>
      </c>
      <c r="B97" s="244" t="n">
        <v>1</v>
      </c>
      <c r="C97" s="245">
        <f>SUMPRODUCT(Stories!$W$4:$W$195,--(Stories!$J$4:$J$195=$A97))</f>
        <v/>
      </c>
      <c r="D97" s="246" t="n">
        <v>4</v>
      </c>
      <c r="E97" s="244" t="n">
        <v>1</v>
      </c>
      <c r="F97" s="247" t="inlineStr">
        <is>
          <t>Hazards &amp; Resilience</t>
        </is>
      </c>
      <c r="G97" s="244" t="n">
        <v>1</v>
      </c>
      <c r="H97" s="172" t="inlineStr">
        <is>
          <t>Indonesia</t>
        </is>
      </c>
      <c r="I97" s="248" t="n">
        <v>46319</v>
      </c>
    </row>
    <row r="98" ht="15.5" customHeight="1">
      <c r="A98" s="232" t="inlineStr">
        <is>
          <t>Sciencepost</t>
        </is>
      </c>
      <c r="B98" s="244" t="n">
        <v>1</v>
      </c>
      <c r="C98" s="245">
        <f>SUMPRODUCT(Stories!$W$4:$W$195,--(Stories!$J$4:$J$195=$A98))</f>
        <v/>
      </c>
      <c r="D98" s="246" t="n">
        <v>5</v>
      </c>
      <c r="E98" s="244" t="n">
        <v>1</v>
      </c>
      <c r="F98" s="254" t="inlineStr">
        <is>
          <t>Ground Improvement &amp; Innovation</t>
        </is>
      </c>
      <c r="G98" s="244" t="n">
        <v>1</v>
      </c>
      <c r="H98" s="172" t="inlineStr">
        <is>
          <t>Senegal</t>
        </is>
      </c>
      <c r="I98" s="248" t="n">
        <v>46319</v>
      </c>
    </row>
    <row r="99" ht="15.5" customHeight="1">
      <c r="A99" s="232" t="inlineStr">
        <is>
          <t>StrettoWeb</t>
        </is>
      </c>
      <c r="B99" s="244" t="n">
        <v>1</v>
      </c>
      <c r="C99" s="245">
        <f>SUMPRODUCT(Stories!$W$4:$W$195,--(Stories!$J$4:$J$195=$A99))</f>
        <v/>
      </c>
      <c r="D99" s="246" t="n">
        <v>4</v>
      </c>
      <c r="E99" s="244" t="n">
        <v>1</v>
      </c>
      <c r="F99" s="247" t="inlineStr">
        <is>
          <t>Hazards &amp; Resilience</t>
        </is>
      </c>
      <c r="G99" s="244" t="n">
        <v>1</v>
      </c>
      <c r="H99" s="172" t="inlineStr">
        <is>
          <t>Italy</t>
        </is>
      </c>
      <c r="I99" s="248" t="n">
        <v>46320</v>
      </c>
    </row>
    <row r="100" ht="28" customHeight="1">
      <c r="A100" s="232" t="inlineStr">
        <is>
          <t>Tabasco HOY</t>
        </is>
      </c>
      <c r="B100" s="244" t="n">
        <v>1</v>
      </c>
      <c r="C100" s="245">
        <f>SUMPRODUCT(Stories!$W$4:$W$195,--(Stories!$J$4:$J$195=$A100))</f>
        <v/>
      </c>
      <c r="D100" s="246" t="n">
        <v>3</v>
      </c>
      <c r="E100" s="244" t="n">
        <v>0</v>
      </c>
      <c r="F100" s="249" t="inlineStr">
        <is>
          <t>Infrastructure &amp; the Underground City</t>
        </is>
      </c>
      <c r="G100" s="244" t="n">
        <v>1</v>
      </c>
      <c r="H100" s="172" t="inlineStr">
        <is>
          <t>Colombia</t>
        </is>
      </c>
      <c r="I100" s="248" t="n">
        <v>46319</v>
      </c>
    </row>
    <row r="101" ht="15.5" customHeight="1">
      <c r="A101" s="232" t="inlineStr">
        <is>
          <t>Telemetro</t>
        </is>
      </c>
      <c r="B101" s="244" t="n">
        <v>1</v>
      </c>
      <c r="C101" s="245">
        <f>SUMPRODUCT(Stories!$W$4:$W$195,--(Stories!$J$4:$J$195=$A101))</f>
        <v/>
      </c>
      <c r="D101" s="246" t="n">
        <v>4</v>
      </c>
      <c r="E101" s="244" t="n">
        <v>1</v>
      </c>
      <c r="F101" s="247" t="inlineStr">
        <is>
          <t>Hazards &amp; Resilience</t>
        </is>
      </c>
      <c r="G101" s="244" t="n">
        <v>1</v>
      </c>
      <c r="H101" s="172" t="inlineStr">
        <is>
          <t>Colombia</t>
        </is>
      </c>
      <c r="I101" s="248" t="n">
        <v>46321</v>
      </c>
    </row>
    <row r="102" ht="15.5" customHeight="1">
      <c r="A102" s="232" t="inlineStr">
        <is>
          <t>Teletrece</t>
        </is>
      </c>
      <c r="B102" s="244" t="n">
        <v>1</v>
      </c>
      <c r="C102" s="245">
        <f>SUMPRODUCT(Stories!$W$4:$W$195,--(Stories!$J$4:$J$195=$A102))</f>
        <v/>
      </c>
      <c r="D102" s="246" t="n">
        <v>4</v>
      </c>
      <c r="E102" s="244" t="n">
        <v>1</v>
      </c>
      <c r="F102" s="247" t="inlineStr">
        <is>
          <t>Hazards &amp; Resilience</t>
        </is>
      </c>
      <c r="G102" s="244" t="n">
        <v>1</v>
      </c>
      <c r="H102" s="172" t="inlineStr">
        <is>
          <t>Chile</t>
        </is>
      </c>
      <c r="I102" s="248" t="n">
        <v>46322</v>
      </c>
    </row>
    <row r="103" ht="15.5" customHeight="1">
      <c r="A103" s="232" t="inlineStr">
        <is>
          <t>The Clinic</t>
        </is>
      </c>
      <c r="B103" s="244" t="n">
        <v>1</v>
      </c>
      <c r="C103" s="245">
        <f>SUMPRODUCT(Stories!$W$4:$W$195,--(Stories!$J$4:$J$195=$A103))</f>
        <v/>
      </c>
      <c r="D103" s="246" t="n">
        <v>4</v>
      </c>
      <c r="E103" s="244" t="n">
        <v>1</v>
      </c>
      <c r="F103" s="247" t="inlineStr">
        <is>
          <t>Hazards &amp; Resilience</t>
        </is>
      </c>
      <c r="G103" s="244" t="n">
        <v>1</v>
      </c>
      <c r="H103" s="172" t="inlineStr">
        <is>
          <t>Chile</t>
        </is>
      </c>
      <c r="I103" s="248" t="n">
        <v>46322</v>
      </c>
    </row>
    <row r="104" ht="28" customHeight="1">
      <c r="A104" s="232" t="inlineStr">
        <is>
          <t>The Hindu</t>
        </is>
      </c>
      <c r="B104" s="244" t="n">
        <v>1</v>
      </c>
      <c r="C104" s="245">
        <f>SUMPRODUCT(Stories!$W$4:$W$195,--(Stories!$J$4:$J$195=$A104))</f>
        <v/>
      </c>
      <c r="D104" s="246" t="n">
        <v>3</v>
      </c>
      <c r="E104" s="244" t="n">
        <v>0</v>
      </c>
      <c r="F104" s="249" t="inlineStr">
        <is>
          <t>Infrastructure &amp; the Underground City</t>
        </is>
      </c>
      <c r="G104" s="244" t="n">
        <v>1</v>
      </c>
      <c r="H104" s="172" t="inlineStr">
        <is>
          <t>United Kingdom</t>
        </is>
      </c>
      <c r="I104" s="248" t="n">
        <v>46320</v>
      </c>
    </row>
    <row r="105" ht="15.5" customHeight="1">
      <c r="A105" s="232" t="inlineStr">
        <is>
          <t>The Japan News</t>
        </is>
      </c>
      <c r="B105" s="244" t="n">
        <v>1</v>
      </c>
      <c r="C105" s="245">
        <f>SUMPRODUCT(Stories!$W$4:$W$195,--(Stories!$J$4:$J$195=$A105))</f>
        <v/>
      </c>
      <c r="D105" s="246" t="n">
        <v>4</v>
      </c>
      <c r="E105" s="244" t="n">
        <v>1</v>
      </c>
      <c r="F105" s="254" t="inlineStr">
        <is>
          <t>Ground Improvement &amp; Innovation</t>
        </is>
      </c>
      <c r="G105" s="244" t="n">
        <v>1</v>
      </c>
      <c r="H105" s="172" t="inlineStr">
        <is>
          <t>United Kingdom</t>
        </is>
      </c>
      <c r="I105" s="248" t="n">
        <v>46322</v>
      </c>
    </row>
    <row r="106" ht="28" customHeight="1">
      <c r="A106" s="232" t="inlineStr">
        <is>
          <t>The Malaysian Reserve</t>
        </is>
      </c>
      <c r="B106" s="244" t="n">
        <v>1</v>
      </c>
      <c r="C106" s="245">
        <f>SUMPRODUCT(Stories!$W$4:$W$195,--(Stories!$J$4:$J$195=$A106))</f>
        <v/>
      </c>
      <c r="D106" s="246" t="n">
        <v>3</v>
      </c>
      <c r="E106" s="244" t="n">
        <v>0</v>
      </c>
      <c r="F106" s="249" t="inlineStr">
        <is>
          <t>Infrastructure &amp; the Underground City</t>
        </is>
      </c>
      <c r="G106" s="244" t="n">
        <v>1</v>
      </c>
      <c r="H106" s="172" t="inlineStr">
        <is>
          <t>United Kingdom</t>
        </is>
      </c>
      <c r="I106" s="248" t="n">
        <v>46322</v>
      </c>
    </row>
    <row r="107" ht="15.5" customHeight="1">
      <c r="A107" s="232" t="inlineStr">
        <is>
          <t>The New Indian Express</t>
        </is>
      </c>
      <c r="B107" s="244" t="n">
        <v>1</v>
      </c>
      <c r="C107" s="245">
        <f>SUMPRODUCT(Stories!$W$4:$W$195,--(Stories!$J$4:$J$195=$A107))</f>
        <v/>
      </c>
      <c r="D107" s="246" t="n">
        <v>4</v>
      </c>
      <c r="E107" s="244" t="n">
        <v>1</v>
      </c>
      <c r="F107" s="247" t="inlineStr">
        <is>
          <t>Hazards &amp; Resilience</t>
        </is>
      </c>
      <c r="G107" s="244" t="n">
        <v>1</v>
      </c>
      <c r="H107" s="172" t="inlineStr">
        <is>
          <t>United Kingdom</t>
        </is>
      </c>
      <c r="I107" s="248" t="n">
        <v>46320</v>
      </c>
    </row>
    <row r="108" ht="15.5" customHeight="1">
      <c r="A108" s="232" t="inlineStr">
        <is>
          <t>The Star</t>
        </is>
      </c>
      <c r="B108" s="244" t="n">
        <v>1</v>
      </c>
      <c r="C108" s="245">
        <f>SUMPRODUCT(Stories!$W$4:$W$195,--(Stories!$J$4:$J$195=$A108))</f>
        <v/>
      </c>
      <c r="D108" s="246" t="n">
        <v>4</v>
      </c>
      <c r="E108" s="244" t="n">
        <v>1</v>
      </c>
      <c r="F108" s="247" t="inlineStr">
        <is>
          <t>Hazards &amp; Resilience</t>
        </is>
      </c>
      <c r="G108" s="244" t="n">
        <v>1</v>
      </c>
      <c r="H108" s="172" t="inlineStr">
        <is>
          <t>United Kingdom</t>
        </is>
      </c>
      <c r="I108" s="248" t="n">
        <v>46321</v>
      </c>
    </row>
    <row r="109" ht="15.5" customHeight="1">
      <c r="A109" s="232" t="inlineStr">
        <is>
          <t>The Sun Malaysia</t>
        </is>
      </c>
      <c r="B109" s="244" t="n">
        <v>1</v>
      </c>
      <c r="C109" s="245">
        <f>SUMPRODUCT(Stories!$W$4:$W$195,--(Stories!$J$4:$J$195=$A109))</f>
        <v/>
      </c>
      <c r="D109" s="246" t="n">
        <v>4</v>
      </c>
      <c r="E109" s="244" t="n">
        <v>1</v>
      </c>
      <c r="F109" s="247" t="inlineStr">
        <is>
          <t>Hazards &amp; Resilience</t>
        </is>
      </c>
      <c r="G109" s="244" t="n">
        <v>1</v>
      </c>
      <c r="H109" s="172" t="inlineStr">
        <is>
          <t>United Kingdom</t>
        </is>
      </c>
      <c r="I109" s="248" t="n">
        <v>46320</v>
      </c>
    </row>
    <row r="110" ht="15.5" customHeight="1">
      <c r="A110" s="232" t="inlineStr">
        <is>
          <t>The Vibes</t>
        </is>
      </c>
      <c r="B110" s="244" t="n">
        <v>1</v>
      </c>
      <c r="C110" s="245">
        <f>SUMPRODUCT(Stories!$W$4:$W$195,--(Stories!$J$4:$J$195=$A110))</f>
        <v/>
      </c>
      <c r="D110" s="246" t="n">
        <v>4</v>
      </c>
      <c r="E110" s="244" t="n">
        <v>1</v>
      </c>
      <c r="F110" s="247" t="inlineStr">
        <is>
          <t>Hazards &amp; Resilience</t>
        </is>
      </c>
      <c r="G110" s="244" t="n">
        <v>1</v>
      </c>
      <c r="H110" s="172" t="inlineStr">
        <is>
          <t>Australia</t>
        </is>
      </c>
      <c r="I110" s="248" t="n">
        <v>46321</v>
      </c>
    </row>
    <row r="111" ht="28" customHeight="1">
      <c r="A111" s="232" t="inlineStr">
        <is>
          <t>ThePrint Hindi</t>
        </is>
      </c>
      <c r="B111" s="244" t="n">
        <v>1</v>
      </c>
      <c r="C111" s="245">
        <f>SUMPRODUCT(Stories!$W$4:$W$195,--(Stories!$J$4:$J$195=$A111))</f>
        <v/>
      </c>
      <c r="D111" s="246" t="n">
        <v>4</v>
      </c>
      <c r="E111" s="244" t="n">
        <v>1</v>
      </c>
      <c r="F111" s="249" t="inlineStr">
        <is>
          <t>Infrastructure &amp; the Underground City</t>
        </is>
      </c>
      <c r="G111" s="244" t="n">
        <v>1</v>
      </c>
      <c r="H111" s="172" t="inlineStr">
        <is>
          <t>India</t>
        </is>
      </c>
      <c r="I111" s="248" t="n">
        <v>46322</v>
      </c>
    </row>
    <row r="112" ht="15.5" customHeight="1">
      <c r="A112" s="232" t="inlineStr">
        <is>
          <t>tin.skydoor.net</t>
        </is>
      </c>
      <c r="B112" s="244" t="n">
        <v>1</v>
      </c>
      <c r="C112" s="245">
        <f>SUMPRODUCT(Stories!$W$4:$W$195,--(Stories!$J$4:$J$195=$A112))</f>
        <v/>
      </c>
      <c r="D112" s="246" t="n">
        <v>4</v>
      </c>
      <c r="E112" s="244" t="n">
        <v>1</v>
      </c>
      <c r="F112" s="250" t="inlineStr">
        <is>
          <t>Offshore, Coasts &amp; Water</t>
        </is>
      </c>
      <c r="G112" s="244" t="n">
        <v>1</v>
      </c>
      <c r="H112" s="172" t="inlineStr">
        <is>
          <t>Vietnam</t>
        </is>
      </c>
      <c r="I112" s="248" t="n">
        <v>46320</v>
      </c>
    </row>
    <row r="113" ht="28" customHeight="1">
      <c r="A113" s="232" t="inlineStr">
        <is>
          <t>Toda la información de Nariño, Colombia y El Mundo</t>
        </is>
      </c>
      <c r="B113" s="244" t="n">
        <v>1</v>
      </c>
      <c r="C113" s="245">
        <f>SUMPRODUCT(Stories!$W$4:$W$195,--(Stories!$J$4:$J$195=$A113))</f>
        <v/>
      </c>
      <c r="D113" s="246" t="n">
        <v>3</v>
      </c>
      <c r="E113" s="244" t="n">
        <v>0</v>
      </c>
      <c r="F113" s="253" t="inlineStr">
        <is>
          <t>Characterisation &amp; Modelling</t>
        </is>
      </c>
      <c r="G113" s="244" t="n">
        <v>1</v>
      </c>
      <c r="H113" s="172" t="inlineStr">
        <is>
          <t>Peru</t>
        </is>
      </c>
      <c r="I113" s="248" t="n">
        <v>46322</v>
      </c>
    </row>
    <row r="114" ht="15.5" customHeight="1">
      <c r="A114" s="232" t="inlineStr">
        <is>
          <t>Trade-news.cl</t>
        </is>
      </c>
      <c r="B114" s="244" t="n">
        <v>1</v>
      </c>
      <c r="C114" s="245">
        <f>SUMPRODUCT(Stories!$W$4:$W$195,--(Stories!$J$4:$J$195=$A114))</f>
        <v/>
      </c>
      <c r="D114" s="246" t="n">
        <v>3</v>
      </c>
      <c r="E114" s="244" t="n">
        <v>0</v>
      </c>
      <c r="F114" s="253" t="inlineStr">
        <is>
          <t>Characterisation &amp; Modelling</t>
        </is>
      </c>
      <c r="G114" s="244" t="n">
        <v>1</v>
      </c>
      <c r="H114" s="172" t="inlineStr">
        <is>
          <t>Peru</t>
        </is>
      </c>
      <c r="I114" s="248" t="n">
        <v>46319</v>
      </c>
    </row>
    <row r="115" ht="28" customHeight="1">
      <c r="A115" s="232" t="inlineStr">
        <is>
          <t>Traders Union</t>
        </is>
      </c>
      <c r="B115" s="244" t="n">
        <v>1</v>
      </c>
      <c r="C115" s="245">
        <f>SUMPRODUCT(Stories!$W$4:$W$195,--(Stories!$J$4:$J$195=$A115))</f>
        <v/>
      </c>
      <c r="D115" s="246" t="n">
        <v>3</v>
      </c>
      <c r="E115" s="244" t="n">
        <v>0</v>
      </c>
      <c r="F115" s="249" t="inlineStr">
        <is>
          <t>Infrastructure &amp; the Underground City</t>
        </is>
      </c>
      <c r="G115" s="244" t="n">
        <v>1</v>
      </c>
      <c r="H115" s="172" t="inlineStr">
        <is>
          <t>United Kingdom</t>
        </is>
      </c>
      <c r="I115" s="248" t="n">
        <v>46322</v>
      </c>
    </row>
    <row r="116" ht="15.5" customHeight="1">
      <c r="A116" s="232" t="inlineStr">
        <is>
          <t>Trigno.net</t>
        </is>
      </c>
      <c r="B116" s="244" t="n">
        <v>1</v>
      </c>
      <c r="C116" s="245">
        <f>SUMPRODUCT(Stories!$W$4:$W$195,--(Stories!$J$4:$J$195=$A116))</f>
        <v/>
      </c>
      <c r="D116" s="246" t="n">
        <v>3</v>
      </c>
      <c r="E116" s="244" t="n">
        <v>0</v>
      </c>
      <c r="F116" s="252" t="inlineStr">
        <is>
          <t>Geotechnics &amp; Society</t>
        </is>
      </c>
      <c r="G116" s="244" t="n">
        <v>1</v>
      </c>
      <c r="H116" s="172" t="inlineStr">
        <is>
          <t>Italy</t>
        </is>
      </c>
      <c r="I116" s="248" t="n">
        <v>46320</v>
      </c>
    </row>
    <row r="117" ht="15.5" customHeight="1">
      <c r="A117" s="232" t="inlineStr">
        <is>
          <t>TV Azteca Jalisco</t>
        </is>
      </c>
      <c r="B117" s="244" t="n">
        <v>1</v>
      </c>
      <c r="C117" s="245">
        <f>SUMPRODUCT(Stories!$W$4:$W$195,--(Stories!$J$4:$J$195=$A117))</f>
        <v/>
      </c>
      <c r="D117" s="246" t="n">
        <v>4</v>
      </c>
      <c r="E117" s="244" t="n">
        <v>1</v>
      </c>
      <c r="F117" s="250" t="inlineStr">
        <is>
          <t>Offshore, Coasts &amp; Water</t>
        </is>
      </c>
      <c r="G117" s="244" t="n">
        <v>1</v>
      </c>
      <c r="H117" s="172" t="inlineStr">
        <is>
          <t>Colombia</t>
        </is>
      </c>
      <c r="I117" s="248" t="n">
        <v>46321</v>
      </c>
    </row>
    <row r="118" ht="15.5" customHeight="1">
      <c r="A118" s="232" t="inlineStr">
        <is>
          <t>Tv7 Benevento</t>
        </is>
      </c>
      <c r="B118" s="244" t="n">
        <v>1</v>
      </c>
      <c r="C118" s="245">
        <f>SUMPRODUCT(Stories!$W$4:$W$195,--(Stories!$J$4:$J$195=$A118))</f>
        <v/>
      </c>
      <c r="D118" s="246" t="n">
        <v>4</v>
      </c>
      <c r="E118" s="244" t="n">
        <v>1</v>
      </c>
      <c r="F118" s="247" t="inlineStr">
        <is>
          <t>Hazards &amp; Resilience</t>
        </is>
      </c>
      <c r="G118" s="244" t="n">
        <v>1</v>
      </c>
      <c r="H118" s="172" t="inlineStr">
        <is>
          <t>Italy</t>
        </is>
      </c>
      <c r="I118" s="248" t="n">
        <v>46319</v>
      </c>
    </row>
    <row r="119" ht="15.5" customHeight="1">
      <c r="A119" s="232" t="inlineStr">
        <is>
          <t>TVN</t>
        </is>
      </c>
      <c r="B119" s="244" t="n">
        <v>1</v>
      </c>
      <c r="C119" s="245">
        <f>SUMPRODUCT(Stories!$W$4:$W$195,--(Stories!$J$4:$J$195=$A119))</f>
        <v/>
      </c>
      <c r="D119" s="246" t="n">
        <v>4</v>
      </c>
      <c r="E119" s="244" t="n">
        <v>1</v>
      </c>
      <c r="F119" s="247" t="inlineStr">
        <is>
          <t>Hazards &amp; Resilience</t>
        </is>
      </c>
      <c r="G119" s="244" t="n">
        <v>1</v>
      </c>
      <c r="H119" s="172" t="inlineStr">
        <is>
          <t>Chile</t>
        </is>
      </c>
      <c r="I119" s="248" t="n">
        <v>46322</v>
      </c>
    </row>
    <row r="120" ht="15.5" customHeight="1">
      <c r="A120" s="232" t="inlineStr">
        <is>
          <t>TVPerú</t>
        </is>
      </c>
      <c r="B120" s="244" t="n">
        <v>1</v>
      </c>
      <c r="C120" s="245">
        <f>SUMPRODUCT(Stories!$W$4:$W$195,--(Stories!$J$4:$J$195=$A120))</f>
        <v/>
      </c>
      <c r="D120" s="246" t="n">
        <v>4</v>
      </c>
      <c r="E120" s="244" t="n">
        <v>1</v>
      </c>
      <c r="F120" s="247" t="inlineStr">
        <is>
          <t>Hazards &amp; Resilience</t>
        </is>
      </c>
      <c r="G120" s="244" t="n">
        <v>1</v>
      </c>
      <c r="H120" s="172" t="inlineStr">
        <is>
          <t>Peru</t>
        </is>
      </c>
      <c r="I120" s="248" t="n">
        <v>46321</v>
      </c>
    </row>
    <row r="121" ht="15.5" customHeight="1">
      <c r="A121" s="232" t="inlineStr">
        <is>
          <t>VnExpress International</t>
        </is>
      </c>
      <c r="B121" s="244" t="n">
        <v>1</v>
      </c>
      <c r="C121" s="245">
        <f>SUMPRODUCT(Stories!$W$4:$W$195,--(Stories!$J$4:$J$195=$A121))</f>
        <v/>
      </c>
      <c r="D121" s="246" t="n">
        <v>4</v>
      </c>
      <c r="E121" s="244" t="n">
        <v>1</v>
      </c>
      <c r="F121" s="253" t="inlineStr">
        <is>
          <t>Characterisation &amp; Modelling</t>
        </is>
      </c>
      <c r="G121" s="244" t="n">
        <v>1</v>
      </c>
      <c r="H121" s="172" t="inlineStr">
        <is>
          <t>United Kingdom</t>
        </is>
      </c>
      <c r="I121" s="248" t="n">
        <v>46319</v>
      </c>
    </row>
    <row r="122" ht="28" customHeight="1">
      <c r="A122" s="232" t="inlineStr">
        <is>
          <t>VOH</t>
        </is>
      </c>
      <c r="B122" s="244" t="n">
        <v>1</v>
      </c>
      <c r="C122" s="245">
        <f>SUMPRODUCT(Stories!$W$4:$W$195,--(Stories!$J$4:$J$195=$A122))</f>
        <v/>
      </c>
      <c r="D122" s="246" t="n">
        <v>4</v>
      </c>
      <c r="E122" s="244" t="n">
        <v>1</v>
      </c>
      <c r="F122" s="249" t="inlineStr">
        <is>
          <t>Infrastructure &amp; the Underground City</t>
        </is>
      </c>
      <c r="G122" s="244" t="n">
        <v>1</v>
      </c>
      <c r="H122" s="172" t="inlineStr">
        <is>
          <t>Vietnam</t>
        </is>
      </c>
      <c r="I122" s="248" t="n">
        <v>46319</v>
      </c>
    </row>
    <row r="123" ht="15.5" customHeight="1">
      <c r="A123" s="232" t="inlineStr">
        <is>
          <t>VTV.vn</t>
        </is>
      </c>
      <c r="B123" s="244" t="n">
        <v>1</v>
      </c>
      <c r="C123" s="245">
        <f>SUMPRODUCT(Stories!$W$4:$W$195,--(Stories!$J$4:$J$195=$A123))</f>
        <v/>
      </c>
      <c r="D123" s="246" t="n">
        <v>4</v>
      </c>
      <c r="E123" s="244" t="n">
        <v>1</v>
      </c>
      <c r="F123" s="250" t="inlineStr">
        <is>
          <t>Offshore, Coasts &amp; Water</t>
        </is>
      </c>
      <c r="G123" s="244" t="n">
        <v>1</v>
      </c>
      <c r="H123" s="172" t="inlineStr">
        <is>
          <t>Vietnam</t>
        </is>
      </c>
      <c r="I123" s="248" t="n">
        <v>46319</v>
      </c>
    </row>
    <row r="124" ht="28" customHeight="1">
      <c r="A124" s="232" t="inlineStr">
        <is>
          <t>World Highways</t>
        </is>
      </c>
      <c r="B124" s="244" t="n">
        <v>1</v>
      </c>
      <c r="C124" s="245">
        <f>SUMPRODUCT(Stories!$W$4:$W$195,--(Stories!$J$4:$J$195=$A124))</f>
        <v/>
      </c>
      <c r="D124" s="246" t="n">
        <v>4</v>
      </c>
      <c r="E124" s="244" t="n">
        <v>1</v>
      </c>
      <c r="F124" s="249" t="inlineStr">
        <is>
          <t>Infrastructure &amp; the Underground City</t>
        </is>
      </c>
      <c r="G124" s="244" t="n">
        <v>1</v>
      </c>
      <c r="H124" s="172" t="inlineStr"/>
      <c r="I124" s="248" t="n">
        <v>46322</v>
      </c>
    </row>
    <row r="125" ht="28" customHeight="1">
      <c r="A125" s="232" t="inlineStr">
        <is>
          <t>www.marketscreener.com</t>
        </is>
      </c>
      <c r="B125" s="244" t="n">
        <v>1</v>
      </c>
      <c r="C125" s="245">
        <f>SUMPRODUCT(Stories!$W$4:$W$195,--(Stories!$J$4:$J$195=$A125))</f>
        <v/>
      </c>
      <c r="D125" s="246" t="n">
        <v>3</v>
      </c>
      <c r="E125" s="244" t="n">
        <v>0</v>
      </c>
      <c r="F125" s="249" t="inlineStr">
        <is>
          <t>Infrastructure &amp; the Underground City</t>
        </is>
      </c>
      <c r="G125" s="244" t="n">
        <v>1</v>
      </c>
      <c r="H125" s="172" t="inlineStr">
        <is>
          <t>United Kingdom</t>
        </is>
      </c>
      <c r="I125" s="248" t="n">
        <v>46322</v>
      </c>
    </row>
    <row r="126" ht="15.5" customHeight="1">
      <c r="A126" s="232" t="inlineStr">
        <is>
          <t>Zazoom Social News</t>
        </is>
      </c>
      <c r="B126" s="244" t="n">
        <v>1</v>
      </c>
      <c r="C126" s="245">
        <f>SUMPRODUCT(Stories!$W$4:$W$195,--(Stories!$J$4:$J$195=$A126))</f>
        <v/>
      </c>
      <c r="D126" s="246" t="n">
        <v>4</v>
      </c>
      <c r="E126" s="244" t="n">
        <v>1</v>
      </c>
      <c r="F126" s="247" t="inlineStr">
        <is>
          <t>Hazards &amp; Resilience</t>
        </is>
      </c>
      <c r="G126" s="244" t="n">
        <v>1</v>
      </c>
      <c r="H126" s="172" t="inlineStr">
        <is>
          <t>Italy</t>
        </is>
      </c>
      <c r="I126" s="248" t="n">
        <v>46319</v>
      </c>
    </row>
    <row r="127" ht="28" customHeight="1">
      <c r="A127" s="232" t="inlineStr">
        <is>
          <t>Движение.ру</t>
        </is>
      </c>
      <c r="B127" s="244" t="n">
        <v>1</v>
      </c>
      <c r="C127" s="245">
        <f>SUMPRODUCT(Stories!$W$4:$W$195,--(Stories!$J$4:$J$195=$A127))</f>
        <v/>
      </c>
      <c r="D127" s="246" t="n">
        <v>3</v>
      </c>
      <c r="E127" s="244" t="n">
        <v>0</v>
      </c>
      <c r="F127" s="249" t="inlineStr">
        <is>
          <t>Infrastructure &amp; the Underground City</t>
        </is>
      </c>
      <c r="G127" s="244" t="n">
        <v>1</v>
      </c>
      <c r="H127" s="172" t="inlineStr">
        <is>
          <t>Russia</t>
        </is>
      </c>
      <c r="I127" s="248" t="n">
        <v>46322</v>
      </c>
    </row>
    <row r="128" ht="28" customHeight="1">
      <c r="A128" s="232" t="inlineStr">
        <is>
          <t>Крыминформ</t>
        </is>
      </c>
      <c r="B128" s="244" t="n">
        <v>1</v>
      </c>
      <c r="C128" s="245">
        <f>SUMPRODUCT(Stories!$W$4:$W$195,--(Stories!$J$4:$J$195=$A128))</f>
        <v/>
      </c>
      <c r="D128" s="246" t="n">
        <v>4</v>
      </c>
      <c r="E128" s="244" t="n">
        <v>1</v>
      </c>
      <c r="F128" s="249" t="inlineStr">
        <is>
          <t>Infrastructure &amp; the Underground City</t>
        </is>
      </c>
      <c r="G128" s="244" t="n">
        <v>1</v>
      </c>
      <c r="H128" s="172" t="inlineStr">
        <is>
          <t>Russia</t>
        </is>
      </c>
      <c r="I128" s="248" t="n">
        <v>46319</v>
      </c>
    </row>
    <row r="129" ht="28" customHeight="1">
      <c r="A129" s="232" t="inlineStr">
        <is>
          <t>Самарская газета</t>
        </is>
      </c>
      <c r="B129" s="244" t="n">
        <v>1</v>
      </c>
      <c r="C129" s="245">
        <f>SUMPRODUCT(Stories!$W$4:$W$195,--(Stories!$J$4:$J$195=$A129))</f>
        <v/>
      </c>
      <c r="D129" s="246" t="n">
        <v>3</v>
      </c>
      <c r="E129" s="244" t="n">
        <v>0</v>
      </c>
      <c r="F129" s="249" t="inlineStr">
        <is>
          <t>Infrastructure &amp; the Underground City</t>
        </is>
      </c>
      <c r="G129" s="244" t="n">
        <v>1</v>
      </c>
      <c r="H129" s="172" t="inlineStr">
        <is>
          <t>Russia</t>
        </is>
      </c>
      <c r="I129" s="248" t="n">
        <v>46319</v>
      </c>
    </row>
    <row r="130" ht="15.5" customHeight="1">
      <c r="A130" s="232" t="inlineStr">
        <is>
          <t>Хабр</t>
        </is>
      </c>
      <c r="B130" s="244" t="n">
        <v>1</v>
      </c>
      <c r="C130" s="245">
        <f>SUMPRODUCT(Stories!$W$4:$W$195,--(Stories!$J$4:$J$195=$A130))</f>
        <v/>
      </c>
      <c r="D130" s="246" t="n">
        <v>3</v>
      </c>
      <c r="E130" s="244" t="n">
        <v>0</v>
      </c>
      <c r="F130" s="251" t="inlineStr">
        <is>
          <t>Digital Geotechnics</t>
        </is>
      </c>
      <c r="G130" s="244" t="n">
        <v>1</v>
      </c>
      <c r="H130" s="172" t="inlineStr">
        <is>
          <t>Russia</t>
        </is>
      </c>
      <c r="I130" s="248" t="n">
        <v>46322</v>
      </c>
    </row>
    <row r="131" ht="15.5" customHeight="1">
      <c r="A131" s="232" t="inlineStr">
        <is>
          <t>تركيا عاجل</t>
        </is>
      </c>
      <c r="B131" s="244" t="n">
        <v>1</v>
      </c>
      <c r="C131" s="245">
        <f>SUMPRODUCT(Stories!$W$4:$W$195,--(Stories!$J$4:$J$195=$A131))</f>
        <v/>
      </c>
      <c r="D131" s="246" t="n">
        <v>5</v>
      </c>
      <c r="E131" s="244" t="n">
        <v>1</v>
      </c>
      <c r="F131" s="247" t="inlineStr">
        <is>
          <t>Hazards &amp; Resilience</t>
        </is>
      </c>
      <c r="G131" s="244" t="n">
        <v>1</v>
      </c>
      <c r="H131" s="172" t="inlineStr">
        <is>
          <t>Egypt</t>
        </is>
      </c>
      <c r="I131" s="248" t="n">
        <v>46321</v>
      </c>
    </row>
    <row r="132" ht="15.5" customHeight="1">
      <c r="A132" s="232" t="inlineStr">
        <is>
          <t>ライブドアニュース</t>
        </is>
      </c>
      <c r="B132" s="244" t="n">
        <v>1</v>
      </c>
      <c r="C132" s="245">
        <f>SUMPRODUCT(Stories!$W$4:$W$195,--(Stories!$J$4:$J$195=$A132))</f>
        <v/>
      </c>
      <c r="D132" s="246" t="n">
        <v>4</v>
      </c>
      <c r="E132" s="244" t="n">
        <v>1</v>
      </c>
      <c r="F132" s="247" t="inlineStr">
        <is>
          <t>Hazards &amp; Resilience</t>
        </is>
      </c>
      <c r="G132" s="244" t="n">
        <v>1</v>
      </c>
      <c r="H132" s="172" t="inlineStr">
        <is>
          <t>Japan</t>
        </is>
      </c>
      <c r="I132" s="248" t="n">
        <v>46322</v>
      </c>
    </row>
    <row r="133" ht="15.5" customHeight="1">
      <c r="A133" s="232" t="inlineStr">
        <is>
          <t>千葉日報オンライン</t>
        </is>
      </c>
      <c r="B133" s="244" t="n">
        <v>1</v>
      </c>
      <c r="C133" s="245">
        <f>SUMPRODUCT(Stories!$W$4:$W$195,--(Stories!$J$4:$J$195=$A133))</f>
        <v/>
      </c>
      <c r="D133" s="246" t="n">
        <v>4</v>
      </c>
      <c r="E133" s="244" t="n">
        <v>1</v>
      </c>
      <c r="F133" s="247" t="inlineStr">
        <is>
          <t>Hazards &amp; Resilience</t>
        </is>
      </c>
      <c r="G133" s="244" t="n">
        <v>1</v>
      </c>
      <c r="H133" s="172" t="inlineStr">
        <is>
          <t>Japan</t>
        </is>
      </c>
      <c r="I133" s="248" t="n">
        <v>46320</v>
      </c>
    </row>
    <row r="134" ht="15.5" customHeight="1">
      <c r="A134" s="232" t="inlineStr">
        <is>
          <t>山陽新聞</t>
        </is>
      </c>
      <c r="B134" s="244" t="n">
        <v>1</v>
      </c>
      <c r="C134" s="245">
        <f>SUMPRODUCT(Stories!$W$4:$W$195,--(Stories!$J$4:$J$195=$A134))</f>
        <v/>
      </c>
      <c r="D134" s="246" t="n">
        <v>5</v>
      </c>
      <c r="E134" s="244" t="n">
        <v>1</v>
      </c>
      <c r="F134" s="247" t="inlineStr">
        <is>
          <t>Hazards &amp; Resilience</t>
        </is>
      </c>
      <c r="G134" s="244" t="n">
        <v>1</v>
      </c>
      <c r="H134" s="172" t="inlineStr">
        <is>
          <t>Japan</t>
        </is>
      </c>
      <c r="I134" s="248" t="n">
        <v>46320</v>
      </c>
    </row>
    <row r="135" ht="28" customHeight="1">
      <c r="A135" s="232" t="inlineStr">
        <is>
          <t>아시아경제</t>
        </is>
      </c>
      <c r="B135" s="244" t="n">
        <v>1</v>
      </c>
      <c r="C135" s="245">
        <f>SUMPRODUCT(Stories!$W$4:$W$195,--(Stories!$J$4:$J$195=$A135))</f>
        <v/>
      </c>
      <c r="D135" s="246" t="n">
        <v>4</v>
      </c>
      <c r="E135" s="244" t="n">
        <v>1</v>
      </c>
      <c r="F135" s="249" t="inlineStr">
        <is>
          <t>Infrastructure &amp; the Underground City</t>
        </is>
      </c>
      <c r="G135" s="244" t="n">
        <v>1</v>
      </c>
      <c r="H135" s="172" t="inlineStr">
        <is>
          <t>United Kingdom</t>
        </is>
      </c>
      <c r="I135" s="248" t="n">
        <v>46319</v>
      </c>
    </row>
    <row r="136" ht="28" customHeight="1">
      <c r="A136" s="232" t="inlineStr">
        <is>
          <t>아주경제</t>
        </is>
      </c>
      <c r="B136" s="244" t="n">
        <v>1</v>
      </c>
      <c r="C136" s="245">
        <f>SUMPRODUCT(Stories!$W$4:$W$195,--(Stories!$J$4:$J$195=$A136))</f>
        <v/>
      </c>
      <c r="D136" s="246" t="n">
        <v>4</v>
      </c>
      <c r="E136" s="244" t="n">
        <v>1</v>
      </c>
      <c r="F136" s="249" t="inlineStr">
        <is>
          <t>Infrastructure &amp; the Underground City</t>
        </is>
      </c>
      <c r="G136" s="244" t="n">
        <v>1</v>
      </c>
      <c r="H136" s="172" t="inlineStr">
        <is>
          <t>South Korea</t>
        </is>
      </c>
      <c r="I136" s="248" t="n">
        <v>46319</v>
      </c>
    </row>
    <row r="137" ht="28" customHeight="1">
      <c r="A137" s="232" t="inlineStr">
        <is>
          <t>충청신문</t>
        </is>
      </c>
      <c r="B137" s="244" t="n">
        <v>1</v>
      </c>
      <c r="C137" s="245">
        <f>SUMPRODUCT(Stories!$W$4:$W$195,--(Stories!$J$4:$J$195=$A137))</f>
        <v/>
      </c>
      <c r="D137" s="246" t="n">
        <v>5</v>
      </c>
      <c r="E137" s="244" t="n">
        <v>1</v>
      </c>
      <c r="F137" s="249" t="inlineStr">
        <is>
          <t>Infrastructure &amp; the Underground City</t>
        </is>
      </c>
      <c r="G137" s="244" t="n">
        <v>1</v>
      </c>
      <c r="H137" s="172" t="inlineStr">
        <is>
          <t>South Korea</t>
        </is>
      </c>
      <c r="I137" s="248" t="n">
        <v>46319</v>
      </c>
    </row>
    <row r="138" ht="28" customHeight="1">
      <c r="A138" s="232" t="inlineStr">
        <is>
          <t>한국일보</t>
        </is>
      </c>
      <c r="B138" s="244" t="n">
        <v>1</v>
      </c>
      <c r="C138" s="245">
        <f>SUMPRODUCT(Stories!$W$4:$W$195,--(Stories!$J$4:$J$195=$A138))</f>
        <v/>
      </c>
      <c r="D138" s="246" t="n">
        <v>3</v>
      </c>
      <c r="E138" s="244" t="n">
        <v>0</v>
      </c>
      <c r="F138" s="249" t="inlineStr">
        <is>
          <t>Infrastructure &amp; the Underground City</t>
        </is>
      </c>
      <c r="G138" s="244" t="n">
        <v>1</v>
      </c>
      <c r="H138" s="172" t="inlineStr">
        <is>
          <t>South Korea</t>
        </is>
      </c>
      <c r="I138" s="248" t="n">
        <v>46321</v>
      </c>
    </row>
  </sheetData>
  <conditionalFormatting sqref="B4:B13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46322</v>
      </c>
      <c r="K2" s="257">
        <f>COUNTIFS(Stories!$W$4:$W$195,1,Stories!$K$4:$K$195,J2)</f>
        <v/>
      </c>
      <c r="M2" s="257" t="n">
        <v>1</v>
      </c>
      <c r="N2" s="259">
        <f>IFERROR(LARGE(Stories!$X$4:$X$195,M2),"")</f>
        <v/>
      </c>
      <c r="O2" s="257">
        <f>IF(N2="","",MATCH(N2,Stories!$X$4:$X$195,0))</f>
        <v/>
      </c>
      <c r="P2" s="257">
        <f>IF(O2="","",INDEX(Stories!$V$4:$V$195,O2)&amp;"")</f>
        <v/>
      </c>
      <c r="Q2" s="257">
        <f>IF(O2="","",IF(LEN(INDEX(Stories!$B$4:$B$195,O2))&gt;120,LEFT(INDEX(Stories!$B$4:$B$195,O2),118)&amp;"…",INDEX(Stories!$B$4:$B$195,O2)&amp;"")&amp;IF(INDEX(Stories!$L$4:$L$195,O2)&amp;""&lt;&gt;"","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4</v>
      </c>
      <c r="J3" s="258" t="n">
        <v>46321</v>
      </c>
      <c r="K3" s="257">
        <f>COUNTIFS(Stories!$W$4:$W$195,1,Stories!$K$4:$K$195,J3)</f>
        <v/>
      </c>
      <c r="M3" s="257" t="n">
        <v>2</v>
      </c>
      <c r="N3" s="259">
        <f>IFERROR(LARGE(Stories!$X$4:$X$195,M3),"")</f>
        <v/>
      </c>
      <c r="O3" s="257">
        <f>IF(N3="","",MATCH(N3,Stories!$X$4:$X$195,0))</f>
        <v/>
      </c>
      <c r="P3" s="257">
        <f>IF(O3="","",INDEX(Stories!$V$4:$V$195,O3)&amp;"")</f>
        <v/>
      </c>
      <c r="Q3" s="257">
        <f>IF(O3="","",IF(LEN(INDEX(Stories!$B$4:$B$195,O3))&gt;120,LEFT(INDEX(Stories!$B$4:$B$195,O3),118)&amp;"…",INDEX(Stories!$B$4:$B$195,O3)&amp;"")&amp;IF(INDEX(Stories!$L$4:$L$195,O3)&amp;""&lt;&gt;""," (Claude's translation)",""))</f>
        <v/>
      </c>
    </row>
    <row r="4">
      <c r="A4" s="257" t="inlineStr">
        <is>
          <t>Digital Geotechnics</t>
        </is>
      </c>
      <c r="B4" s="257" t="inlineStr">
        <is>
          <t>News brief</t>
        </is>
      </c>
      <c r="C4" s="257" t="n">
        <v>4</v>
      </c>
      <c r="E4" s="257" t="inlineStr">
        <is>
          <t>Commissioned</t>
        </is>
      </c>
      <c r="G4" s="257" t="inlineStr">
        <is>
          <t>Stories in this workbook</t>
        </is>
      </c>
      <c r="H4" s="257" t="n">
        <v>192</v>
      </c>
      <c r="J4" s="258" t="n">
        <v>46320</v>
      </c>
      <c r="K4" s="257">
        <f>COUNTIFS(Stories!$W$4:$W$195,1,Stories!$K$4:$K$195,J4)</f>
        <v/>
      </c>
      <c r="M4" s="257" t="n">
        <v>3</v>
      </c>
      <c r="N4" s="259">
        <f>IFERROR(LARGE(Stories!$X$4:$X$195,M4),"")</f>
        <v/>
      </c>
      <c r="O4" s="257">
        <f>IF(N4="","",MATCH(N4,Stories!$X$4:$X$195,0))</f>
        <v/>
      </c>
      <c r="P4" s="257">
        <f>IF(O4="","",INDEX(Stories!$V$4:$V$195,O4)&amp;"")</f>
        <v/>
      </c>
      <c r="Q4" s="257">
        <f>IF(O4="","",IF(LEN(INDEX(Stories!$B$4:$B$195,O4))&gt;120,LEFT(INDEX(Stories!$B$4:$B$195,O4),118)&amp;"…",INDEX(Stories!$B$4:$B$195,O4)&amp;"")&amp;IF(INDEX(Stories!$L$4:$L$195,O4)&amp;""&lt;&gt;"","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46319</v>
      </c>
      <c r="K5" s="257">
        <f>COUNTIFS(Stories!$W$4:$W$195,1,Stories!$K$4:$K$195,J5)</f>
        <v/>
      </c>
      <c r="M5" s="257" t="n">
        <v>4</v>
      </c>
      <c r="N5" s="259">
        <f>IFERROR(LARGE(Stories!$X$4:$X$195,M5),"")</f>
        <v/>
      </c>
      <c r="O5" s="257">
        <f>IF(N5="","",MATCH(N5,Stories!$X$4:$X$195,0))</f>
        <v/>
      </c>
      <c r="P5" s="257">
        <f>IF(O5="","",INDEX(Stories!$V$4:$V$195,O5)&amp;"")</f>
        <v/>
      </c>
      <c r="Q5" s="257">
        <f>IF(O5="","",IF(LEN(INDEX(Stories!$B$4:$B$195,O5))&gt;120,LEFT(INDEX(Stories!$B$4:$B$195,O5),118)&amp;"…",INDEX(Stories!$B$4:$B$195,O5)&amp;"")&amp;IF(INDEX(Stories!$L$4:$L$195,O5)&amp;""&lt;&gt;"","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COUNTIF(Stories!$W$4:$W$195,1)</f>
        <v/>
      </c>
      <c r="M6" s="257" t="n">
        <v>5</v>
      </c>
      <c r="N6" s="259">
        <f>IFERROR(LARGE(Stories!$X$4:$X$195,M6),"")</f>
        <v/>
      </c>
      <c r="O6" s="257">
        <f>IF(N6="","",MATCH(N6,Stories!$X$4:$X$195,0))</f>
        <v/>
      </c>
      <c r="P6" s="257">
        <f>IF(O6="","",INDEX(Stories!$V$4:$V$195,O6)&amp;"")</f>
        <v/>
      </c>
      <c r="Q6" s="257">
        <f>IF(O6="","",IF(LEN(INDEX(Stories!$B$4:$B$195,O6))&gt;120,LEFT(INDEX(Stories!$B$4:$B$195,O6),118)&amp;"…",INDEX(Stories!$B$4:$B$195,O6)&amp;"")&amp;IF(INDEX(Stories!$L$4:$L$195,O6)&amp;""&lt;&gt;""," (Claude's translation)",""))</f>
        <v/>
      </c>
    </row>
    <row r="7">
      <c r="A7" s="257" t="inlineStr">
        <is>
          <t>Infrastructure &amp; the Underground City</t>
        </is>
      </c>
      <c r="B7" s="257" t="inlineStr">
        <is>
          <t>Watch only</t>
        </is>
      </c>
      <c r="M7" s="257" t="n">
        <v>6</v>
      </c>
      <c r="N7" s="259">
        <f>IFERROR(LARGE(Stories!$X$4:$X$195,M7),"")</f>
        <v/>
      </c>
      <c r="O7" s="257">
        <f>IF(N7="","",MATCH(N7,Stories!$X$4:$X$195,0))</f>
        <v/>
      </c>
      <c r="P7" s="257">
        <f>IF(O7="","",INDEX(Stories!$V$4:$V$195,O7)&amp;"")</f>
        <v/>
      </c>
      <c r="Q7" s="257">
        <f>IF(O7="","",IF(LEN(INDEX(Stories!$B$4:$B$195,O7))&gt;120,LEFT(INDEX(Stories!$B$4:$B$195,O7),118)&amp;"…",INDEX(Stories!$B$4:$B$195,O7)&amp;"")&amp;IF(INDEX(Stories!$L$4:$L$195,O7)&amp;""&lt;&gt;""," (Claude's translation)",""))</f>
        <v/>
      </c>
    </row>
    <row r="8">
      <c r="A8" s="257" t="inlineStr">
        <is>
          <t>Offshore, Coasts &amp; Water</t>
        </is>
      </c>
      <c r="M8" s="257" t="n">
        <v>7</v>
      </c>
      <c r="N8" s="259">
        <f>IFERROR(LARGE(Stories!$X$4:$X$195,M8),"")</f>
        <v/>
      </c>
      <c r="O8" s="257">
        <f>IF(N8="","",MATCH(N8,Stories!$X$4:$X$195,0))</f>
        <v/>
      </c>
      <c r="P8" s="257">
        <f>IF(O8="","",INDEX(Stories!$V$4:$V$195,O8)&amp;"")</f>
        <v/>
      </c>
      <c r="Q8" s="257">
        <f>IF(O8="","",IF(LEN(INDEX(Stories!$B$4:$B$195,O8))&gt;120,LEFT(INDEX(Stories!$B$4:$B$195,O8),118)&amp;"…",INDEX(Stories!$B$4:$B$195,O8)&amp;"")&amp;IF(INDEX(Stories!$L$4:$L$195,O8)&amp;""&lt;&gt;""," (Claude's translation)",""))</f>
        <v/>
      </c>
    </row>
    <row r="9">
      <c r="A9" s="257" t="inlineStr">
        <is>
          <t>Characterisation &amp; Modelling</t>
        </is>
      </c>
      <c r="M9" s="257" t="n">
        <v>8</v>
      </c>
      <c r="N9" s="259">
        <f>IFERROR(LARGE(Stories!$X$4:$X$195,M9),"")</f>
        <v/>
      </c>
      <c r="O9" s="257">
        <f>IF(N9="","",MATCH(N9,Stories!$X$4:$X$195,0))</f>
        <v/>
      </c>
      <c r="P9" s="257">
        <f>IF(O9="","",INDEX(Stories!$V$4:$V$195,O9)&amp;"")</f>
        <v/>
      </c>
      <c r="Q9" s="257">
        <f>IF(O9="","",IF(LEN(INDEX(Stories!$B$4:$B$195,O9))&gt;120,LEFT(INDEX(Stories!$B$4:$B$195,O9),118)&amp;"…",INDEX(Stories!$B$4:$B$195,O9)&amp;"")&amp;IF(INDEX(Stories!$L$4:$L$195,O9)&amp;""&lt;&gt;""," (Claude's translation)",""))</f>
        <v/>
      </c>
    </row>
    <row r="10">
      <c r="A10" s="257" t="inlineStr">
        <is>
          <t>Geotechnics &amp; Society</t>
        </is>
      </c>
      <c r="M10" s="257" t="n">
        <v>9</v>
      </c>
      <c r="N10" s="259">
        <f>IFERROR(LARGE(Stories!$X$4:$X$195,M10),"")</f>
        <v/>
      </c>
      <c r="O10" s="257">
        <f>IF(N10="","",MATCH(N10,Stories!$X$4:$X$195,0))</f>
        <v/>
      </c>
      <c r="P10" s="257">
        <f>IF(O10="","",INDEX(Stories!$V$4:$V$195,O10)&amp;"")</f>
        <v/>
      </c>
      <c r="Q10" s="257">
        <f>IF(O10="","",IF(LEN(INDEX(Stories!$B$4:$B$195,O10))&gt;120,LEFT(INDEX(Stories!$B$4:$B$195,O10),118)&amp;"…",INDEX(Stories!$B$4:$B$195,O10)&amp;"")&amp;IF(INDEX(Stories!$L$4:$L$195,O10)&amp;""&lt;&gt;""," (Claude's translation)",""))</f>
        <v/>
      </c>
    </row>
    <row r="11">
      <c r="A11" s="257" t="inlineStr">
        <is>
          <t>General</t>
        </is>
      </c>
      <c r="M11" s="257" t="n">
        <v>10</v>
      </c>
      <c r="N11" s="259">
        <f>IFERROR(LARGE(Stories!$X$4:$X$195,M11),"")</f>
        <v/>
      </c>
      <c r="O11" s="257">
        <f>IF(N11="","",MATCH(N11,Stories!$X$4:$X$195,0))</f>
        <v/>
      </c>
      <c r="P11" s="257">
        <f>IF(O11="","",INDEX(Stories!$V$4:$V$195,O11)&amp;"")</f>
        <v/>
      </c>
      <c r="Q11" s="257">
        <f>IF(O11="","",IF(LEN(INDEX(Stories!$B$4:$B$195,O11))&gt;120,LEFT(INDEX(Stories!$B$4:$B$195,O11),118)&amp;"…",INDEX(Stories!$B$4:$B$195,O11)&amp;"")&amp;IF(INDEX(Stories!$L$4:$L$195,O11)&amp;""&lt;&gt;"","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2026-10-27T07:15:03Z</dcterms:created>
  <dcterms:modified xmlns:dcterms="http://purl.org/dc/terms/" xmlns:xsi="http://www.w3.org/2001/XMLSchema-instance" xsi:type="dcterms:W3CDTF">2026-10-27T07:15:04Z</dcterms:modified>
</cp:coreProperties>
</file>