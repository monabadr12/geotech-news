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Sources" sheetId="6" state="visible" r:id="rId6"/>
    <sheet xmlns:r="http://schemas.openxmlformats.org/officeDocument/2006/relationships" name="Lists" sheetId="7" state="hidden" r:id="rId7"/>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'Sources'!$3:$3</definedName>
    <definedName name="_xlnm.Print_Titles" localSheetId="6">'Lists'!$1:$1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9">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0">
    <xf numFmtId="0" fontId="0" fillId="0" borderId="0" pivotButton="0" quotePrefix="0" xfId="0"/>
    <xf numFmtId="0" fontId="0" fillId="2" borderId="0" pivotButton="0" quotePrefix="0" xfId="0"/>
    <xf numFmtId="0" fontId="32" fillId="2" borderId="0" applyAlignment="1" pivotButton="0" quotePrefix="0" xfId="0">
      <alignment vertical="center"/>
    </xf>
    <xf numFmtId="0" fontId="0" fillId="29" borderId="0" pivotButton="0" quotePrefix="0" xfId="0"/>
    <xf numFmtId="0" fontId="33" fillId="29"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4" fillId="0" borderId="14" applyAlignment="1" pivotButton="0" quotePrefix="0" xfId="0">
      <alignment vertical="bottom"/>
    </xf>
    <xf numFmtId="0" fontId="0" fillId="0" borderId="14"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7" borderId="2" applyAlignment="1" pivotButton="0" quotePrefix="0" xfId="0">
      <alignment horizontal="center" vertical="top"/>
    </xf>
    <xf numFmtId="0" fontId="55" fillId="38" borderId="2" applyAlignment="1" pivotButton="0" quotePrefix="0" xfId="0">
      <alignment horizontal="center" vertical="top"/>
    </xf>
    <xf numFmtId="0" fontId="56" fillId="39" borderId="2" applyAlignment="1" pivotButton="0" quotePrefix="0" xfId="0">
      <alignment horizontal="center" vertical="top"/>
    </xf>
    <xf numFmtId="0" fontId="57" fillId="40" borderId="2" applyAlignment="1" pivotButton="0" quotePrefix="0" xfId="0">
      <alignment horizontal="center" vertical="top"/>
    </xf>
    <xf numFmtId="0" fontId="58" fillId="41" borderId="2" applyAlignment="1" pivotButton="0" quotePrefix="0" xfId="0">
      <alignment horizontal="center" vertical="top"/>
    </xf>
    <xf numFmtId="0" fontId="4" fillId="33" borderId="2" applyAlignment="1" pivotButton="0" quotePrefix="0" xfId="0">
      <alignment horizontal="center" vertical="top"/>
    </xf>
    <xf numFmtId="0" fontId="4" fillId="42" borderId="2" applyAlignment="1" pivotButton="0" quotePrefix="0" xfId="0">
      <alignment horizontal="center" vertical="top"/>
    </xf>
    <xf numFmtId="0" fontId="4" fillId="43" borderId="2" applyAlignment="1" pivotButton="0" quotePrefix="0" xfId="0">
      <alignment horizontal="center" vertical="top"/>
    </xf>
    <xf numFmtId="0" fontId="9" fillId="44" borderId="2" applyAlignment="1" pivotButton="0" quotePrefix="0" xfId="0">
      <alignment horizontal="center" vertical="top"/>
    </xf>
    <xf numFmtId="0" fontId="9" fillId="45" borderId="2" applyAlignment="1" pivotButton="0" quotePrefix="0" xfId="0">
      <alignment horizontal="center" vertical="top"/>
    </xf>
    <xf numFmtId="0" fontId="9" fillId="46" borderId="2" applyAlignment="1" pivotButton="0" quotePrefix="0" xfId="0">
      <alignment horizontal="center" vertical="top"/>
    </xf>
    <xf numFmtId="0" fontId="61" fillId="14" borderId="2" applyAlignment="1" pivotButton="0" quotePrefix="0" xfId="0">
      <alignment horizontal="left" vertical="top" indent="1"/>
    </xf>
    <xf numFmtId="0" fontId="62" fillId="16" borderId="2" applyAlignment="1" pivotButton="0" quotePrefix="0" xfId="0">
      <alignment horizontal="left" vertical="top" indent="1"/>
    </xf>
    <xf numFmtId="0" fontId="63" fillId="18" borderId="2" applyAlignment="1" pivotButton="0" quotePrefix="0" xfId="0">
      <alignment horizontal="left" vertical="top" indent="1"/>
    </xf>
    <xf numFmtId="0" fontId="64" fillId="20" borderId="2" applyAlignment="1" pivotButton="0" quotePrefix="0" xfId="0">
      <alignment horizontal="left" vertical="top" indent="1"/>
    </xf>
    <xf numFmtId="0" fontId="65" fillId="22" borderId="2" applyAlignment="1" pivotButton="0" quotePrefix="0" xfId="0">
      <alignment horizontal="left" vertical="top" indent="1"/>
    </xf>
    <xf numFmtId="0" fontId="66" fillId="24" borderId="2" applyAlignment="1" pivotButton="0" quotePrefix="0" xfId="0">
      <alignment horizontal="left" vertical="top" indent="1"/>
    </xf>
    <xf numFmtId="0" fontId="67" fillId="26" borderId="2" applyAlignment="1" pivotButton="0" quotePrefix="0" xfId="0">
      <alignment horizontal="left" vertical="top" indent="1"/>
    </xf>
    <xf numFmtId="0" fontId="68" fillId="28" borderId="2" applyAlignment="1" pivotButton="0" quotePrefix="0" xfId="0">
      <alignment horizontal="left" vertical="top" indent="1"/>
    </xf>
    <xf numFmtId="0" fontId="47" fillId="0" borderId="2" applyAlignment="1" pivotButton="0" quotePrefix="0" xfId="0">
      <alignment horizontal="left" vertical="top"/>
    </xf>
    <xf numFmtId="0" fontId="9" fillId="0" borderId="2" applyAlignment="1" pivotButton="0" quotePrefix="0" xfId="0">
      <alignment horizontal="left" vertical="top"/>
    </xf>
    <xf numFmtId="0" fontId="34" fillId="0" borderId="0" applyAlignment="1" pivotButton="0" quotePrefix="0" xfId="0">
      <alignment vertical="bottom"/>
    </xf>
    <xf numFmtId="0" fontId="36" fillId="31" borderId="0" applyAlignment="1" pivotButton="0" quotePrefix="0" xfId="0">
      <alignment vertical="center" wrapText="1" indent="1"/>
    </xf>
    <xf numFmtId="0" fontId="0" fillId="31" borderId="0" pivotButton="0" quotePrefix="0" xfId="0"/>
    <xf numFmtId="0" fontId="35" fillId="30" borderId="10" applyAlignment="1" pivotButton="0" quotePrefix="0" xfId="0">
      <alignment horizontal="left" vertical="center" indent="1"/>
    </xf>
    <xf numFmtId="0" fontId="0" fillId="30" borderId="11" pivotButton="0" quotePrefix="0" xfId="0"/>
    <xf numFmtId="0" fontId="0" fillId="30" borderId="12" pivotButton="0" quotePrefix="0" xfId="0"/>
    <xf numFmtId="0" fontId="3" fillId="0" borderId="0" applyAlignment="1" pivotButton="0" quotePrefix="0" xfId="0">
      <alignment vertical="center"/>
    </xf>
    <xf numFmtId="3" fontId="37" fillId="2" borderId="13" applyAlignment="1" pivotButton="0" quotePrefix="0" xfId="0">
      <alignment horizontal="center" vertical="center"/>
    </xf>
    <xf numFmtId="0" fontId="0" fillId="2" borderId="13" pivotButton="0" quotePrefix="0" xfId="0"/>
    <xf numFmtId="3" fontId="37" fillId="23" borderId="13" applyAlignment="1" pivotButton="0" quotePrefix="0" xfId="0">
      <alignment horizontal="center" vertical="center"/>
    </xf>
    <xf numFmtId="0" fontId="0" fillId="23" borderId="13" pivotButton="0" quotePrefix="0" xfId="0"/>
    <xf numFmtId="3" fontId="37" fillId="33" borderId="13" applyAlignment="1" pivotButton="0" quotePrefix="0" xfId="0">
      <alignment horizontal="center" vertical="center"/>
    </xf>
    <xf numFmtId="0" fontId="0" fillId="33" borderId="13" pivotButton="0" quotePrefix="0" xfId="0"/>
    <xf numFmtId="3" fontId="37" fillId="19" borderId="13" applyAlignment="1" pivotButton="0" quotePrefix="0" xfId="0">
      <alignment horizontal="center" vertical="center"/>
    </xf>
    <xf numFmtId="0" fontId="0" fillId="19" borderId="13" pivotButton="0" quotePrefix="0" xfId="0"/>
    <xf numFmtId="3" fontId="37" fillId="15" borderId="13" applyAlignment="1" pivotButton="0" quotePrefix="0" xfId="0">
      <alignment horizontal="center" vertical="center"/>
    </xf>
    <xf numFmtId="0" fontId="0" fillId="15" borderId="13" pivotButton="0" quotePrefix="0" xfId="0"/>
    <xf numFmtId="3" fontId="37" fillId="21" borderId="13" applyAlignment="1" pivotButton="0" quotePrefix="0" xfId="0">
      <alignment horizontal="center" vertical="center"/>
    </xf>
    <xf numFmtId="0" fontId="0" fillId="21" borderId="13" pivotButton="0" quotePrefix="0" xfId="0"/>
    <xf numFmtId="0" fontId="38" fillId="32" borderId="13" applyAlignment="1" pivotButton="0" quotePrefix="0" xfId="0">
      <alignment horizontal="center" vertical="center"/>
    </xf>
    <xf numFmtId="0" fontId="0" fillId="32" borderId="13" pivotButton="0" quotePrefix="0" xfId="0"/>
    <xf numFmtId="0" fontId="39" fillId="24" borderId="13" applyAlignment="1" pivotButton="0" quotePrefix="0" xfId="0">
      <alignment horizontal="center" vertical="center"/>
    </xf>
    <xf numFmtId="0" fontId="0" fillId="24" borderId="13" pivotButton="0" quotePrefix="0" xfId="0"/>
    <xf numFmtId="0" fontId="40" fillId="34" borderId="13" applyAlignment="1" pivotButton="0" quotePrefix="0" xfId="0">
      <alignment horizontal="center" vertical="center"/>
    </xf>
    <xf numFmtId="0" fontId="0" fillId="34" borderId="13" pivotButton="0" quotePrefix="0" xfId="0"/>
    <xf numFmtId="0" fontId="41" fillId="20" borderId="13" applyAlignment="1" pivotButton="0" quotePrefix="0" xfId="0">
      <alignment horizontal="center" vertical="center"/>
    </xf>
    <xf numFmtId="0" fontId="0" fillId="20" borderId="13" pivotButton="0" quotePrefix="0" xfId="0"/>
    <xf numFmtId="0" fontId="42" fillId="16" borderId="13" applyAlignment="1" pivotButton="0" quotePrefix="0" xfId="0">
      <alignment horizontal="center" vertical="center"/>
    </xf>
    <xf numFmtId="0" fontId="0" fillId="16" borderId="13" pivotButton="0" quotePrefix="0" xfId="0"/>
    <xf numFmtId="0" fontId="43" fillId="22" borderId="13" applyAlignment="1" pivotButton="0" quotePrefix="0" xfId="0">
      <alignment horizontal="center" vertical="center"/>
    </xf>
    <xf numFmtId="0" fontId="0" fillId="22" borderId="13" pivotButton="0" quotePrefix="0" xfId="0"/>
    <xf numFmtId="0" fontId="14" fillId="32" borderId="13" applyAlignment="1" pivotButton="0" quotePrefix="0" xfId="0">
      <alignment horizontal="center" vertical="center"/>
    </xf>
    <xf numFmtId="0" fontId="14" fillId="24" borderId="13" applyAlignment="1" pivotButton="0" quotePrefix="0" xfId="0">
      <alignment horizontal="center" vertical="center"/>
    </xf>
    <xf numFmtId="0" fontId="14" fillId="34" borderId="13" applyAlignment="1" pivotButton="0" quotePrefix="0" xfId="0">
      <alignment horizontal="center" vertical="center"/>
    </xf>
    <xf numFmtId="0" fontId="14" fillId="20" borderId="13" applyAlignment="1" pivotButton="0" quotePrefix="0" xfId="0">
      <alignment horizontal="center" vertical="center"/>
    </xf>
    <xf numFmtId="0" fontId="14" fillId="16" borderId="13" applyAlignment="1" pivotButton="0" quotePrefix="0" xfId="0">
      <alignment horizontal="center" vertical="center"/>
    </xf>
    <xf numFmtId="0" fontId="14" fillId="22" borderId="13" applyAlignment="1" pivotButton="0" quotePrefix="0" xfId="0">
      <alignment horizontal="center" vertical="center"/>
    </xf>
    <xf numFmtId="0" fontId="45" fillId="2" borderId="0" applyAlignment="1" pivotButton="0" quotePrefix="0" xfId="0">
      <alignment horizontal="center" vertical="center" wrapText="1"/>
    </xf>
    <xf numFmtId="0" fontId="45" fillId="2" borderId="0" applyAlignment="1" pivotButton="0" quotePrefix="0" xfId="0">
      <alignment horizontal="left" vertical="center" wrapText="1" indent="1"/>
    </xf>
    <xf numFmtId="0" fontId="46" fillId="35" borderId="2" applyAlignment="1" pivotButton="0" quotePrefix="0" xfId="0">
      <alignment horizontal="center" vertical="center"/>
    </xf>
    <xf numFmtId="0" fontId="47" fillId="35" borderId="2" applyAlignment="1" pivotButton="0" quotePrefix="0" xfId="0">
      <alignment vertical="center" wrapText="1" indent="1"/>
    </xf>
    <xf numFmtId="0" fontId="0" fillId="35" borderId="2" pivotButton="0" quotePrefix="0" xfId="0"/>
    <xf numFmtId="169" fontId="13" fillId="35" borderId="2" applyAlignment="1" pivotButton="0" quotePrefix="0" xfId="0">
      <alignment horizontal="center" vertical="center"/>
    </xf>
    <xf numFmtId="0" fontId="48" fillId="35" borderId="2" applyAlignment="1" pivotButton="0" quotePrefix="0" xfId="0">
      <alignment vertical="center" wrapText="1" indent="1"/>
    </xf>
    <xf numFmtId="164" fontId="9" fillId="35" borderId="2" applyAlignment="1" pivotButton="0" quotePrefix="0" xfId="0">
      <alignment horizontal="center" vertical="center"/>
    </xf>
    <xf numFmtId="0" fontId="13" fillId="35" borderId="2" applyAlignment="1" pivotButton="0" quotePrefix="0" xfId="0">
      <alignment vertical="center" wrapText="1" indent="1"/>
    </xf>
    <xf numFmtId="0" fontId="6" fillId="35" borderId="2" applyAlignment="1" pivotButton="0" quotePrefix="0" xfId="0">
      <alignment horizontal="center" vertical="center"/>
    </xf>
    <xf numFmtId="0" fontId="49" fillId="35" borderId="2" applyAlignment="1" pivotButton="0" quotePrefix="0" xfId="0">
      <alignment horizontal="center" vertical="center"/>
    </xf>
    <xf numFmtId="0" fontId="46" fillId="31" borderId="2" applyAlignment="1" pivotButton="0" quotePrefix="0" xfId="0">
      <alignment horizontal="center" vertical="center"/>
    </xf>
    <xf numFmtId="0" fontId="47" fillId="31" borderId="2" applyAlignment="1" pivotButton="0" quotePrefix="0" xfId="0">
      <alignment vertical="center" wrapText="1" indent="1"/>
    </xf>
    <xf numFmtId="0" fontId="0" fillId="31" borderId="2" pivotButton="0" quotePrefix="0" xfId="0"/>
    <xf numFmtId="169" fontId="13" fillId="31" borderId="2" applyAlignment="1" pivotButton="0" quotePrefix="0" xfId="0">
      <alignment horizontal="center" vertical="center"/>
    </xf>
    <xf numFmtId="0" fontId="48" fillId="31" borderId="2" applyAlignment="1" pivotButton="0" quotePrefix="0" xfId="0">
      <alignment vertical="center" wrapText="1" indent="1"/>
    </xf>
    <xf numFmtId="164" fontId="9" fillId="31" borderId="2" applyAlignment="1" pivotButton="0" quotePrefix="0" xfId="0">
      <alignment horizontal="center" vertical="center"/>
    </xf>
    <xf numFmtId="0" fontId="13" fillId="31" borderId="2" applyAlignment="1" pivotButton="0" quotePrefix="0" xfId="0">
      <alignment vertical="center" wrapText="1" indent="1"/>
    </xf>
    <xf numFmtId="0" fontId="6" fillId="31" borderId="2" applyAlignment="1" pivotButton="0" quotePrefix="0" xfId="0">
      <alignment horizontal="center" vertical="center"/>
    </xf>
    <xf numFmtId="0" fontId="49" fillId="31" borderId="2" applyAlignment="1" pivotButton="0" quotePrefix="0" xfId="0">
      <alignment horizontal="center" vertical="center"/>
    </xf>
    <xf numFmtId="0" fontId="36"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0" fillId="36" borderId="23" applyAlignment="1" pivotButton="0" quotePrefix="0" xfId="0">
      <alignment vertical="center" indent="1"/>
    </xf>
    <xf numFmtId="0" fontId="0" fillId="36" borderId="23" pivotButton="0" quotePrefix="0" xfId="0"/>
    <xf numFmtId="0" fontId="28" fillId="0" borderId="2" applyAlignment="1" pivotButton="0" quotePrefix="0" xfId="0">
      <alignment vertical="center" indent="1"/>
    </xf>
    <xf numFmtId="0" fontId="15" fillId="0" borderId="2" applyAlignment="1" pivotButton="0" quotePrefix="0" xfId="0">
      <alignment vertical="center" indent="1"/>
    </xf>
    <xf numFmtId="0" fontId="54" fillId="37" borderId="2" applyAlignment="1" pivotButton="0" quotePrefix="0" xfId="0">
      <alignment vertical="center" indent="1"/>
    </xf>
    <xf numFmtId="0" fontId="0" fillId="37"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8" borderId="2" applyAlignment="1" pivotButton="0" quotePrefix="0" xfId="0">
      <alignment vertical="center" indent="1"/>
    </xf>
    <xf numFmtId="0" fontId="0" fillId="38" borderId="2" pivotButton="0" quotePrefix="0" xfId="0"/>
    <xf numFmtId="0" fontId="26" fillId="0" borderId="2" applyAlignment="1" pivotButton="0" quotePrefix="0" xfId="0">
      <alignment vertical="center" indent="1"/>
    </xf>
    <xf numFmtId="0" fontId="53" fillId="0" borderId="2" applyAlignment="1" pivotButton="0" quotePrefix="0" xfId="0">
      <alignment vertical="center" indent="1"/>
    </xf>
    <xf numFmtId="0" fontId="56" fillId="39" borderId="2" applyAlignment="1" pivotButton="0" quotePrefix="0" xfId="0">
      <alignment vertical="center" indent="1"/>
    </xf>
    <xf numFmtId="0" fontId="0" fillId="39" borderId="2" pivotButton="0" quotePrefix="0" xfId="0"/>
    <xf numFmtId="0" fontId="25" fillId="0" borderId="2" applyAlignment="1" pivotButton="0" quotePrefix="0" xfId="0">
      <alignment vertical="center" indent="1"/>
    </xf>
    <xf numFmtId="0" fontId="57" fillId="40" borderId="2" applyAlignment="1" pivotButton="0" quotePrefix="0" xfId="0">
      <alignment vertical="center" indent="1"/>
    </xf>
    <xf numFmtId="0" fontId="0" fillId="40" borderId="2" pivotButton="0" quotePrefix="0" xfId="0"/>
    <xf numFmtId="0" fontId="51" fillId="0" borderId="2" applyAlignment="1" pivotButton="0" quotePrefix="0" xfId="0">
      <alignment vertical="center" indent="1"/>
    </xf>
    <xf numFmtId="0" fontId="58" fillId="41" borderId="2" applyAlignment="1" pivotButton="0" quotePrefix="0" xfId="0">
      <alignment vertical="center" indent="1"/>
    </xf>
    <xf numFmtId="0" fontId="0" fillId="41" borderId="2"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0" fillId="0" borderId="23" applyAlignment="1" pivotButton="0" quotePrefix="0" xfId="0">
      <alignment vertical="center" indent="1"/>
    </xf>
    <xf numFmtId="0" fontId="0" fillId="0" borderId="23" pivotButton="0" quotePrefix="0" xfId="0"/>
    <xf numFmtId="0" fontId="11"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0" fillId="13" borderId="0" applyAlignment="1" pivotButton="0" quotePrefix="0" xfId="0">
      <alignment vertical="center" indent="1"/>
    </xf>
    <xf numFmtId="0" fontId="0" fillId="13" borderId="0" pivotButton="0" quotePrefix="0" xfId="0"/>
    <xf numFmtId="0" fontId="19" fillId="14" borderId="1" applyAlignment="1" pivotButton="0" quotePrefix="0" xfId="0">
      <alignment horizontal="center" vertical="center"/>
    </xf>
    <xf numFmtId="0" fontId="19" fillId="14"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31" fillId="0" borderId="2" applyAlignment="1" pivotButton="0" quotePrefix="0" xfId="0">
      <alignment horizontal="center" vertical="top"/>
    </xf>
    <xf numFmtId="0" fontId="17"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0" fillId="0" borderId="2" applyAlignment="1" pivotButton="0" quotePrefix="0" xfId="0">
      <alignment vertical="top" wrapText="1"/>
    </xf>
    <xf numFmtId="0" fontId="30" fillId="15" borderId="0" applyAlignment="1" pivotButton="0" quotePrefix="0" xfId="0">
      <alignment vertical="center" indent="1"/>
    </xf>
    <xf numFmtId="0" fontId="0" fillId="15" borderId="0" pivotButton="0" quotePrefix="0" xfId="0"/>
    <xf numFmtId="0" fontId="10" fillId="16" borderId="3" applyAlignment="1" pivotButton="0" quotePrefix="0" xfId="0">
      <alignment horizontal="center" vertical="center"/>
    </xf>
    <xf numFmtId="0" fontId="10" fillId="16" borderId="3" applyAlignment="1" pivotButton="0" quotePrefix="0" xfId="0">
      <alignment horizontal="left" vertical="center"/>
    </xf>
    <xf numFmtId="0" fontId="30" fillId="17" borderId="0" applyAlignment="1" pivotButton="0" quotePrefix="0" xfId="0">
      <alignment vertical="center" indent="1"/>
    </xf>
    <xf numFmtId="0" fontId="0" fillId="17" borderId="0" pivotButton="0" quotePrefix="0" xfId="0"/>
    <xf numFmtId="0" fontId="18" fillId="18" borderId="4" applyAlignment="1" pivotButton="0" quotePrefix="0" xfId="0">
      <alignment horizontal="center" vertical="center"/>
    </xf>
    <xf numFmtId="0" fontId="18" fillId="18" borderId="4" applyAlignment="1" pivotButton="0" quotePrefix="0" xfId="0">
      <alignment horizontal="left" vertical="center"/>
    </xf>
    <xf numFmtId="0" fontId="8" fillId="0" borderId="2" applyAlignment="1" pivotButton="0" quotePrefix="0" xfId="0">
      <alignment vertical="top" wrapText="1"/>
    </xf>
    <xf numFmtId="0" fontId="19" fillId="0" borderId="2" applyAlignment="1" pivotButton="0" quotePrefix="0" xfId="0">
      <alignment vertical="top" wrapText="1"/>
    </xf>
    <xf numFmtId="0" fontId="30" fillId="19" borderId="0" applyAlignment="1" pivotButton="0" quotePrefix="0" xfId="0">
      <alignment vertical="center" indent="1"/>
    </xf>
    <xf numFmtId="0" fontId="0" fillId="19" borderId="0" pivotButton="0" quotePrefix="0" xfId="0"/>
    <xf numFmtId="0" fontId="8" fillId="20" borderId="5" applyAlignment="1" pivotButton="0" quotePrefix="0" xfId="0">
      <alignment horizontal="center" vertical="center"/>
    </xf>
    <xf numFmtId="0" fontId="8" fillId="20" borderId="5" applyAlignment="1" pivotButton="0" quotePrefix="0" xfId="0">
      <alignment horizontal="left" vertical="center"/>
    </xf>
    <xf numFmtId="0" fontId="30" fillId="21" borderId="0" applyAlignment="1" pivotButton="0" quotePrefix="0" xfId="0">
      <alignment vertical="center" indent="1"/>
    </xf>
    <xf numFmtId="0" fontId="0" fillId="21" borderId="0" pivotButton="0" quotePrefix="0" xfId="0"/>
    <xf numFmtId="0" fontId="17" fillId="22" borderId="6" applyAlignment="1" pivotButton="0" quotePrefix="0" xfId="0">
      <alignment horizontal="center" vertical="center"/>
    </xf>
    <xf numFmtId="0" fontId="17" fillId="22" borderId="6" applyAlignment="1" pivotButton="0" quotePrefix="0" xfId="0">
      <alignment horizontal="left" vertical="center"/>
    </xf>
    <xf numFmtId="0" fontId="30" fillId="23" borderId="0" applyAlignment="1" pivotButton="0" quotePrefix="0" xfId="0">
      <alignment vertical="center" indent="1"/>
    </xf>
    <xf numFmtId="0" fontId="0" fillId="23" borderId="0" pivotButton="0" quotePrefix="0" xfId="0"/>
    <xf numFmtId="0" fontId="16" fillId="24" borderId="7" applyAlignment="1" pivotButton="0" quotePrefix="0" xfId="0">
      <alignment horizontal="center" vertical="center"/>
    </xf>
    <xf numFmtId="0" fontId="16" fillId="24" borderId="7" applyAlignment="1" pivotButton="0" quotePrefix="0" xfId="0">
      <alignment horizontal="left" vertical="center"/>
    </xf>
    <xf numFmtId="0" fontId="30" fillId="25" borderId="0" applyAlignment="1" pivotButton="0" quotePrefix="0" xfId="0">
      <alignment vertical="center" indent="1"/>
    </xf>
    <xf numFmtId="0" fontId="0" fillId="25" borderId="0" pivotButton="0" quotePrefix="0" xfId="0"/>
    <xf numFmtId="0" fontId="20" fillId="26" borderId="8" applyAlignment="1" pivotButton="0" quotePrefix="0" xfId="0">
      <alignment horizontal="center" vertical="center"/>
    </xf>
    <xf numFmtId="0" fontId="20" fillId="26" borderId="8" applyAlignment="1" pivotButton="0" quotePrefix="0" xfId="0">
      <alignment horizontal="left" vertical="center"/>
    </xf>
    <xf numFmtId="0" fontId="30" fillId="27" borderId="0" applyAlignment="1" pivotButton="0" quotePrefix="0" xfId="0">
      <alignment vertical="center" indent="1"/>
    </xf>
    <xf numFmtId="0" fontId="0" fillId="27" borderId="0" pivotButton="0" quotePrefix="0" xfId="0"/>
    <xf numFmtId="0" fontId="21" fillId="28" borderId="9" applyAlignment="1" pivotButton="0" quotePrefix="0" xfId="0">
      <alignment horizontal="center" vertical="center"/>
    </xf>
    <xf numFmtId="0" fontId="21" fillId="28" borderId="9"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63" headerRowCount="1">
  <autoFilter ref="A3:U6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0"/>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Sources →</t>
        </is>
      </c>
      <c r="C12" s="10" t="inlineStr">
        <is>
          <t>The outlets that supplied stories: how many, average relevance, main theme and how many match the current Dashboard selection.</t>
        </is>
      </c>
      <c r="D12" s="11" t="n"/>
    </row>
    <row r="14" ht="22" customHeight="1">
      <c r="B14" s="7" t="inlineStr">
        <is>
          <t>How to use the Dashboard selectors</t>
        </is>
      </c>
      <c r="C14" s="8" t="n"/>
      <c r="D14" s="8" t="n"/>
    </row>
    <row r="15" ht="31" customHeight="1">
      <c r="B15" s="12" t="inlineStr">
        <is>
          <t>1</t>
        </is>
      </c>
      <c r="C15" s="10" t="inlineStr">
        <is>
          <t>Open the Dashboard. The yellow boxes at the top are selectors: Theme, Suggested use, Minimum relevance and Issue window.</t>
        </is>
      </c>
      <c r="D15" s="11" t="n"/>
    </row>
    <row r="16" ht="31" customHeight="1">
      <c r="B16" s="12" t="inlineStr">
        <is>
          <t>2</t>
        </is>
      </c>
      <c r="C16" s="10" t="inlineStr">
        <is>
          <t>Click a yellow box, then the ▼ arrow that appears beside it, and pick a value. Choose “All …” or “Any” to clear that selector.</t>
        </is>
      </c>
      <c r="D16" s="11" t="n"/>
    </row>
    <row r="17" ht="31" customHeight="1">
      <c r="B17" s="12" t="inlineStr">
        <is>
          <t>3</t>
        </is>
      </c>
      <c r="C17" s="10" t="inlineStr">
        <is>
          <t>The key figures, tables, charts, heat map and the Top 10 list recalculate at once. Headlines in the Top 10 open the article.</t>
        </is>
      </c>
      <c r="D17" s="11" t="n"/>
    </row>
    <row r="18" ht="31" customHeight="1">
      <c r="B18" s="12" t="inlineStr">
        <is>
          <t>4</t>
        </is>
      </c>
      <c r="C18" s="10" t="inlineStr">
        <is>
          <t>In Stories, set each story’s Status as you plan the issue. The Dashboard’s Planning status table and chart, and the PLANNED figure, count them straight away.</t>
        </is>
      </c>
      <c r="D18" s="11" t="n"/>
    </row>
    <row r="19" ht="31" customHeight="1">
      <c r="B19" s="12" t="inlineStr">
        <is>
          <t>5</t>
        </is>
      </c>
      <c r="C19" s="10" t="inlineStr">
        <is>
          <t>Filters in the Stories table (▼ in its header) only hide rows; the Dashboard follows the selectors. To list exactly what the Dashboard shows, filter the ‘In Dashboard selection’ column of Stories to ✓.</t>
        </is>
      </c>
      <c r="D19" s="11" t="n"/>
    </row>
    <row r="21" ht="22" customHeight="1">
      <c r="B21" s="7" t="inlineStr">
        <is>
          <t>Planning status (Stories › Status)</t>
        </is>
      </c>
      <c r="C21" s="8" t="n"/>
      <c r="D21" s="8" t="n"/>
    </row>
    <row r="22" ht="18" customHeight="1">
      <c r="B22" s="13" t="inlineStr">
        <is>
          <t>To review</t>
        </is>
      </c>
      <c r="C22" s="10" t="inlineStr">
        <is>
          <t>New from the scan, not looked at yet (every story starts here)</t>
        </is>
      </c>
      <c r="D22" s="11" t="n"/>
    </row>
    <row r="23" ht="18" customHeight="1">
      <c r="B23" s="14" t="inlineStr">
        <is>
          <t>Shortlisted</t>
        </is>
      </c>
      <c r="C23" s="10" t="inlineStr">
        <is>
          <t>Worth considering for the issue</t>
        </is>
      </c>
      <c r="D23" s="11" t="n"/>
    </row>
    <row r="24" ht="18" customHeight="1">
      <c r="B24" s="15" t="inlineStr">
        <is>
          <t>Commissioned</t>
        </is>
      </c>
      <c r="C24" s="10" t="inlineStr">
        <is>
          <t>A writer or contributor has been asked to cover it</t>
        </is>
      </c>
      <c r="D24" s="11" t="n"/>
    </row>
    <row r="25" ht="18" customHeight="1">
      <c r="B25" s="16" t="inlineStr">
        <is>
          <t>Published</t>
        </is>
      </c>
      <c r="C25" s="10" t="inlineStr">
        <is>
          <t>Used in a published issue or newsletter</t>
        </is>
      </c>
      <c r="D25" s="11" t="n"/>
    </row>
    <row r="26" ht="18" customHeight="1">
      <c r="B26" s="17" t="inlineStr">
        <is>
          <t>Not used</t>
        </is>
      </c>
      <c r="C26" s="10" t="inlineStr">
        <is>
          <t>Reviewed and set aside</t>
        </is>
      </c>
      <c r="D26" s="11" t="n"/>
    </row>
    <row r="28" ht="22" customHeight="1">
      <c r="B28" s="7" t="inlineStr">
        <is>
          <t>Relevance scale (AI triage)</t>
        </is>
      </c>
      <c r="C28" s="8" t="n"/>
      <c r="D28" s="8" t="n"/>
    </row>
    <row r="29" ht="18" customHeight="1">
      <c r="B29" s="18" t="inlineStr">
        <is>
          <t>5 / 5</t>
        </is>
      </c>
      <c r="C29" s="10" t="inlineStr">
        <is>
          <t>Rich geotechnical lesson or a major ground-related event</t>
        </is>
      </c>
      <c r="D29" s="11" t="n"/>
    </row>
    <row r="30" ht="18" customHeight="1">
      <c r="B30" s="19" t="inlineStr">
        <is>
          <t>4 / 5</t>
        </is>
      </c>
      <c r="C30" s="10" t="inlineStr">
        <is>
          <t>Strong ground-engineering content</t>
        </is>
      </c>
      <c r="D30" s="11" t="n"/>
    </row>
    <row r="31" ht="18" customHeight="1">
      <c r="B31" s="20" t="inlineStr">
        <is>
          <t>3 / 5</t>
        </is>
      </c>
      <c r="C31" s="10" t="inlineStr">
        <is>
          <t>Clear ground-engineering element, worth a brief</t>
        </is>
      </c>
      <c r="D31" s="11" t="n"/>
    </row>
    <row r="32" ht="18" customHeight="1">
      <c r="B32" s="21" t="inlineStr">
        <is>
          <t>2 / 5</t>
        </is>
      </c>
      <c r="C32" s="10" t="inlineStr">
        <is>
          <t>Weak link to geotechnics</t>
        </is>
      </c>
      <c r="D32" s="11" t="n"/>
    </row>
    <row r="33" ht="18" customHeight="1">
      <c r="B33" s="22" t="inlineStr">
        <is>
          <t>1 / 5</t>
        </is>
      </c>
      <c r="C33" s="10" t="inlineStr">
        <is>
          <t>Not really geotechnical</t>
        </is>
      </c>
      <c r="D33" s="11" t="n"/>
    </row>
    <row r="34" ht="18" customHeight="1">
      <c r="B34" s="23" t="inlineStr">
        <is>
          <t>–</t>
        </is>
      </c>
      <c r="C34" s="10" t="inlineStr">
        <is>
          <t>Shown as –. Not rated by AI: ranked on keyword matches only</t>
        </is>
      </c>
      <c r="D34" s="11" t="n"/>
    </row>
    <row r="36" ht="22" customHeight="1">
      <c r="B36" s="7" t="inlineStr">
        <is>
          <t>Jump to a theme (opens its section in By theme)</t>
        </is>
      </c>
      <c r="C36" s="8" t="n"/>
      <c r="D36" s="8" t="n"/>
    </row>
    <row r="37" ht="18" customHeight="1">
      <c r="B37" s="24" t="inlineStr">
        <is>
          <t>Sustainability &amp; the Energy Transition</t>
        </is>
      </c>
      <c r="C37" s="10" t="inlineStr">
        <is>
          <t>3 stories · 0 rated 5 / 5 · 0 feature leads</t>
        </is>
      </c>
      <c r="D37" s="11" t="n"/>
    </row>
    <row r="38" ht="18" customHeight="1">
      <c r="B38" s="25" t="inlineStr">
        <is>
          <t>Digital Geotechnics</t>
        </is>
      </c>
      <c r="C38" s="10" t="inlineStr">
        <is>
          <t>1 story · 1 rated 5 / 5 · 0 feature leads</t>
        </is>
      </c>
      <c r="D38" s="11" t="n"/>
    </row>
    <row r="39" ht="18" customHeight="1">
      <c r="B39" s="26" t="inlineStr">
        <is>
          <t>Hazards &amp; Resilience</t>
        </is>
      </c>
      <c r="C39" s="10" t="inlineStr">
        <is>
          <t>17 stories · 1 rated 5 / 5 · 8 feature leads</t>
        </is>
      </c>
      <c r="D39" s="11" t="n"/>
    </row>
    <row r="40" ht="18" customHeight="1">
      <c r="B40" s="27" t="inlineStr">
        <is>
          <t>Ground Improvement &amp; Innovation</t>
        </is>
      </c>
      <c r="C40" s="10" t="inlineStr">
        <is>
          <t>2 stories · 2 rated 5 / 5 · 1 feature lead</t>
        </is>
      </c>
      <c r="D40" s="11" t="n"/>
    </row>
    <row r="41" ht="18" customHeight="1">
      <c r="B41" s="28" t="inlineStr">
        <is>
          <t>Infrastructure &amp; the Underground City</t>
        </is>
      </c>
      <c r="C41" s="10" t="inlineStr">
        <is>
          <t>17 stories · 1 rated 5 / 5 · 7 feature leads</t>
        </is>
      </c>
      <c r="D41" s="11" t="n"/>
    </row>
    <row r="42" ht="18" customHeight="1">
      <c r="B42" s="29" t="inlineStr">
        <is>
          <t>Offshore, Coasts &amp; Water</t>
        </is>
      </c>
      <c r="C42" s="10" t="inlineStr">
        <is>
          <t>10 stories · 1 rated 5 / 5 · 3 feature leads</t>
        </is>
      </c>
      <c r="D42" s="11" t="n"/>
    </row>
    <row r="43" ht="18" customHeight="1">
      <c r="B43" s="30" t="inlineStr">
        <is>
          <t>Characterisation &amp; Modelling</t>
        </is>
      </c>
      <c r="C43" s="10" t="inlineStr">
        <is>
          <t>6 stories · 0 rated 5 / 5 · 4 feature leads</t>
        </is>
      </c>
      <c r="D43" s="11" t="n"/>
    </row>
    <row r="44" ht="18" customHeight="1">
      <c r="B44" s="31" t="inlineStr">
        <is>
          <t>Geotechnics &amp; Society</t>
        </is>
      </c>
      <c r="C44" s="10" t="inlineStr">
        <is>
          <t>4 stories · 0 rated 5 / 5 · 1 feature lead</t>
        </is>
      </c>
      <c r="D44" s="11" t="n"/>
    </row>
    <row r="45" ht="18" customHeight="1">
      <c r="B45" s="32" t="inlineStr">
        <is>
          <t>No stories yet</t>
        </is>
      </c>
      <c r="C45" s="10" t="inlineStr">
        <is>
          <t>General</t>
        </is>
      </c>
      <c r="D45" s="11" t="n"/>
    </row>
    <row r="47" ht="22" customHeight="1">
      <c r="B47" s="7" t="inlineStr">
        <is>
          <t>Good to know</t>
        </is>
      </c>
      <c r="C47" s="8" t="n"/>
      <c r="D47" s="8" t="n"/>
    </row>
    <row r="48" ht="44" customHeight="1">
      <c r="B48" s="33" t="inlineStr">
        <is>
          <t>Blank figures?</t>
        </is>
      </c>
      <c r="C48" s="10" t="inlineStr">
        <is>
          <t>The Dashboard is calculated when the file opens. If it shows blanks or zeros in Excel, click Enable Editing in the yellow bar at the top (files from the internet open in Protected View); in LibreOffice press Ctrl+Shift+F9.</t>
        </is>
      </c>
      <c r="D48" s="11" t="n"/>
    </row>
    <row r="49" ht="31" customHeight="1">
      <c r="B49" s="33" t="inlineStr">
        <is>
          <t>Your edits</t>
        </is>
      </c>
      <c r="C49" s="10" t="inlineStr">
        <is>
          <t>This file is generated again after every scan. Status, Assigned to and Editor notes are kept only in the copy you save, so keep one working copy per issue.</t>
        </is>
      </c>
      <c r="D49" s="11" t="n"/>
    </row>
    <row r="50" ht="31" customHeight="1">
      <c r="B50" s="33" t="inlineStr">
        <is>
          <t>Lists sheet</t>
        </is>
      </c>
      <c r="C50" s="10" t="inlineStr">
        <is>
          <t>A hidden sheet holds the values offered by the dropdowns and some helper cells. There is no need to change it.</t>
        </is>
      </c>
      <c r="D50" s="11" t="n"/>
    </row>
  </sheetData>
  <mergeCells count="36">
    <mergeCell ref="C34:D34"/>
    <mergeCell ref="C24:D24"/>
    <mergeCell ref="C30:D30"/>
    <mergeCell ref="C15:D15"/>
    <mergeCell ref="C33:D33"/>
    <mergeCell ref="B1:D1"/>
    <mergeCell ref="C42:D42"/>
    <mergeCell ref="C45:D45"/>
    <mergeCell ref="C26:D26"/>
    <mergeCell ref="C29:D29"/>
    <mergeCell ref="C10:D10"/>
    <mergeCell ref="C16:D16"/>
    <mergeCell ref="C25:D25"/>
    <mergeCell ref="C41:D41"/>
    <mergeCell ref="C50:D50"/>
    <mergeCell ref="C44:D44"/>
    <mergeCell ref="C22:D22"/>
    <mergeCell ref="C40:D40"/>
    <mergeCell ref="C9:D9"/>
    <mergeCell ref="C31:D31"/>
    <mergeCell ref="C43:D43"/>
    <mergeCell ref="C12:D12"/>
    <mergeCell ref="B5:D5"/>
    <mergeCell ref="C11:D11"/>
    <mergeCell ref="C48:D48"/>
    <mergeCell ref="C23:D23"/>
    <mergeCell ref="C17:D17"/>
    <mergeCell ref="C39:D39"/>
    <mergeCell ref="C8:D8"/>
    <mergeCell ref="C32:D32"/>
    <mergeCell ref="C38:D38"/>
    <mergeCell ref="C19:D19"/>
    <mergeCell ref="C37:D37"/>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Sources'!A1" display="Sources →"/>
    <hyperlink ref="B37" location="'By theme'!A4" display="Sustainability &amp; the Energy Transition"/>
    <hyperlink ref="B38" location="'By theme'!A10" display="Digital Geotechnics"/>
    <hyperlink ref="B39" location="'By theme'!A14" display="Hazards &amp; Resilience"/>
    <hyperlink ref="B40" location="'By theme'!A34" display="Ground Improvement &amp; Innovation"/>
    <hyperlink ref="B41" location="'By theme'!A39" display="Infrastructure &amp; the Underground City"/>
    <hyperlink ref="B42" location="'By theme'!A59" display="Offshore, Coasts &amp; Water"/>
    <hyperlink ref="B43" location="'By theme'!A72" display="Characterisation &amp; Modelling"/>
    <hyperlink ref="B44"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COUNTIFS(Stories!$T$4:$T$63,1,Stories!$D$4:$D$63,5)</f>
        <v/>
      </c>
      <c r="I8" s="46" t="n"/>
      <c r="J8" s="46" t="n"/>
      <c r="K8" s="47">
        <f>COUNTIFS(Stories!$T$4:$T$63,1,Stories!$E$4:$E$63,"Feature lead")</f>
        <v/>
      </c>
      <c r="L8" s="48" t="n"/>
      <c r="M8" s="48" t="n"/>
      <c r="N8" s="49">
        <f>COUNTIFS(Stories!$T$4:$T$63,1,Stories!$F$4:$F$63,"Shortlisted")+COUNTIFS(Stories!$T$4:$T$63,1,Stories!$F$4:$F$63,"Commissioned")+COUNTIFS(Stories!$T$4:$T$63,1,Stories!$F$4:$F$63,"Published")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"&amp;COUNTIFS(Stories!$T$4:$T$63,1,Stories!$D$4:$D$63,4)</f>
        <v/>
      </c>
      <c r="I10" s="58" t="n"/>
      <c r="J10" s="58" t="n"/>
      <c r="K10" s="68">
        <f>"news briefs: "&amp;COUNTIFS(Stories!$T$4:$T$63,1,Stories!$E$4:$E$63,"News brief")</f>
        <v/>
      </c>
      <c r="L10" s="60" t="n"/>
      <c r="M10" s="60" t="n"/>
      <c r="N10" s="69">
        <f>"shortlisted or later · to review: "&amp;COUNTIFS(Stories!$T$4:$T$63,1,Stories!$F$4:$F$63,"To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SUMPRODUCT(Stories!$T$4:$T$63,--(Stories!$C$4:$C$63=$B28))</f>
        <v/>
      </c>
      <c r="G28" s="95">
        <f>SUMPRODUCT(Stories!$T$4:$T$63,--(Stories!$C$4:$C$63=$B28),--(Stories!$D$4:$D$63=5))</f>
        <v/>
      </c>
      <c r="H28" s="95">
        <f>SUMPRODUCT(Stories!$T$4:$T$63,--(Stories!$C$4:$C$63=$B28),--(Stories!$D$4:$D$63=4))</f>
        <v/>
      </c>
      <c r="I28" s="95">
        <f>SUMPRODUCT(Stories!$T$4:$T$63,--(Stories!$C$4:$C$63=$B28),--(Stories!$E$4:$E$63="Feature lead"))</f>
        <v/>
      </c>
      <c r="J28" s="96">
        <f>IF(Lists!$H$6=0,0,F28/Lists!$H$6)</f>
        <v/>
      </c>
    </row>
    <row r="29" ht="18" customHeight="1">
      <c r="B29" s="97" t="inlineStr">
        <is>
          <t>Digital Geotechnics</t>
        </is>
      </c>
      <c r="C29" s="98" t="n"/>
      <c r="D29" s="98" t="n"/>
      <c r="E29" s="98" t="n"/>
      <c r="F29" s="94">
        <f>SUMPRODUCT(Stories!$T$4:$T$63,--(Stories!$C$4:$C$63=$B29))</f>
        <v/>
      </c>
      <c r="G29" s="95">
        <f>SUMPRODUCT(Stories!$T$4:$T$63,--(Stories!$C$4:$C$63=$B29),--(Stories!$D$4:$D$63=5))</f>
        <v/>
      </c>
      <c r="H29" s="95">
        <f>SUMPRODUCT(Stories!$T$4:$T$63,--(Stories!$C$4:$C$63=$B29),--(Stories!$D$4:$D$63=4))</f>
        <v/>
      </c>
      <c r="I29" s="95">
        <f>SUMPRODUCT(Stories!$T$4:$T$63,--(Stories!$C$4:$C$63=$B29),--(Stories!$E$4:$E$63="Feature lead"))</f>
        <v/>
      </c>
      <c r="J29" s="96">
        <f>IF(Lists!$H$6=0,0,F29/Lists!$H$6)</f>
        <v/>
      </c>
    </row>
    <row r="30" ht="18" customHeight="1">
      <c r="B30" s="99" t="inlineStr">
        <is>
          <t>Hazards &amp; Resilience</t>
        </is>
      </c>
      <c r="C30" s="100" t="n"/>
      <c r="D30" s="100" t="n"/>
      <c r="E30" s="100" t="n"/>
      <c r="F30" s="94">
        <f>SUMPRODUCT(Stories!$T$4:$T$63,--(Stories!$C$4:$C$63=$B30))</f>
        <v/>
      </c>
      <c r="G30" s="95">
        <f>SUMPRODUCT(Stories!$T$4:$T$63,--(Stories!$C$4:$C$63=$B30),--(Stories!$D$4:$D$63=5))</f>
        <v/>
      </c>
      <c r="H30" s="95">
        <f>SUMPRODUCT(Stories!$T$4:$T$63,--(Stories!$C$4:$C$63=$B30),--(Stories!$D$4:$D$63=4))</f>
        <v/>
      </c>
      <c r="I30" s="95">
        <f>SUMPRODUCT(Stories!$T$4:$T$63,--(Stories!$C$4:$C$63=$B30),--(Stories!$E$4:$E$63="Feature lead"))</f>
        <v/>
      </c>
      <c r="J30" s="96">
        <f>IF(Lists!$H$6=0,0,F30/Lists!$H$6)</f>
        <v/>
      </c>
    </row>
    <row r="31" ht="18" customHeight="1">
      <c r="B31" s="101" t="inlineStr">
        <is>
          <t>Ground Improvement &amp; Innovation</t>
        </is>
      </c>
      <c r="C31" s="102" t="n"/>
      <c r="D31" s="102" t="n"/>
      <c r="E31" s="102" t="n"/>
      <c r="F31" s="94">
        <f>SUMPRODUCT(Stories!$T$4:$T$63,--(Stories!$C$4:$C$63=$B31))</f>
        <v/>
      </c>
      <c r="G31" s="95">
        <f>SUMPRODUCT(Stories!$T$4:$T$63,--(Stories!$C$4:$C$63=$B31),--(Stories!$D$4:$D$63=5))</f>
        <v/>
      </c>
      <c r="H31" s="95">
        <f>SUMPRODUCT(Stories!$T$4:$T$63,--(Stories!$C$4:$C$63=$B31),--(Stories!$D$4:$D$63=4))</f>
        <v/>
      </c>
      <c r="I31" s="95">
        <f>SUMPRODUCT(Stories!$T$4:$T$63,--(Stories!$C$4:$C$63=$B31),--(Stories!$E$4:$E$63="Feature lead"))</f>
        <v/>
      </c>
      <c r="J31" s="96">
        <f>IF(Lists!$H$6=0,0,F31/Lists!$H$6)</f>
        <v/>
      </c>
    </row>
    <row r="32" ht="18" customHeight="1">
      <c r="B32" s="103" t="inlineStr">
        <is>
          <t>Infrastructure &amp; the Underground City</t>
        </is>
      </c>
      <c r="C32" s="104" t="n"/>
      <c r="D32" s="104" t="n"/>
      <c r="E32" s="104" t="n"/>
      <c r="F32" s="94">
        <f>SUMPRODUCT(Stories!$T$4:$T$63,--(Stories!$C$4:$C$63=$B32))</f>
        <v/>
      </c>
      <c r="G32" s="95">
        <f>SUMPRODUCT(Stories!$T$4:$T$63,--(Stories!$C$4:$C$63=$B32),--(Stories!$D$4:$D$63=5))</f>
        <v/>
      </c>
      <c r="H32" s="95">
        <f>SUMPRODUCT(Stories!$T$4:$T$63,--(Stories!$C$4:$C$63=$B32),--(Stories!$D$4:$D$63=4))</f>
        <v/>
      </c>
      <c r="I32" s="95">
        <f>SUMPRODUCT(Stories!$T$4:$T$63,--(Stories!$C$4:$C$63=$B32),--(Stories!$E$4:$E$63="Feature lead"))</f>
        <v/>
      </c>
      <c r="J32" s="96">
        <f>IF(Lists!$H$6=0,0,F32/Lists!$H$6)</f>
        <v/>
      </c>
    </row>
    <row r="33" ht="18" customHeight="1">
      <c r="B33" s="105" t="inlineStr">
        <is>
          <t>Offshore, Coasts &amp; Water</t>
        </is>
      </c>
      <c r="C33" s="106" t="n"/>
      <c r="D33" s="106" t="n"/>
      <c r="E33" s="106" t="n"/>
      <c r="F33" s="94">
        <f>SUMPRODUCT(Stories!$T$4:$T$63,--(Stories!$C$4:$C$63=$B33))</f>
        <v/>
      </c>
      <c r="G33" s="95">
        <f>SUMPRODUCT(Stories!$T$4:$T$63,--(Stories!$C$4:$C$63=$B33),--(Stories!$D$4:$D$63=5))</f>
        <v/>
      </c>
      <c r="H33" s="95">
        <f>SUMPRODUCT(Stories!$T$4:$T$63,--(Stories!$C$4:$C$63=$B33),--(Stories!$D$4:$D$63=4))</f>
        <v/>
      </c>
      <c r="I33" s="95">
        <f>SUMPRODUCT(Stories!$T$4:$T$63,--(Stories!$C$4:$C$63=$B33),--(Stories!$E$4:$E$63="Feature lead"))</f>
        <v/>
      </c>
      <c r="J33" s="96">
        <f>IF(Lists!$H$6=0,0,F33/Lists!$H$6)</f>
        <v/>
      </c>
    </row>
    <row r="34" ht="18" customHeight="1">
      <c r="B34" s="107" t="inlineStr">
        <is>
          <t>Characterisation &amp; Modelling</t>
        </is>
      </c>
      <c r="C34" s="108" t="n"/>
      <c r="D34" s="108" t="n"/>
      <c r="E34" s="108" t="n"/>
      <c r="F34" s="94">
        <f>SUMPRODUCT(Stories!$T$4:$T$63,--(Stories!$C$4:$C$63=$B34))</f>
        <v/>
      </c>
      <c r="G34" s="95">
        <f>SUMPRODUCT(Stories!$T$4:$T$63,--(Stories!$C$4:$C$63=$B34),--(Stories!$D$4:$D$63=5))</f>
        <v/>
      </c>
      <c r="H34" s="95">
        <f>SUMPRODUCT(Stories!$T$4:$T$63,--(Stories!$C$4:$C$63=$B34),--(Stories!$D$4:$D$63=4))</f>
        <v/>
      </c>
      <c r="I34" s="95">
        <f>SUMPRODUCT(Stories!$T$4:$T$63,--(Stories!$C$4:$C$63=$B34),--(Stories!$E$4:$E$63="Feature lead"))</f>
        <v/>
      </c>
      <c r="J34" s="96">
        <f>IF(Lists!$H$6=0,0,F34/Lists!$H$6)</f>
        <v/>
      </c>
    </row>
    <row r="35" ht="18" customHeight="1">
      <c r="B35" s="109" t="inlineStr">
        <is>
          <t>Geotechnics &amp; Society</t>
        </is>
      </c>
      <c r="C35" s="110" t="n"/>
      <c r="D35" s="110" t="n"/>
      <c r="E35" s="110" t="n"/>
      <c r="F35" s="94">
        <f>SUMPRODUCT(Stories!$T$4:$T$63,--(Stories!$C$4:$C$63=$B35))</f>
        <v/>
      </c>
      <c r="G35" s="95">
        <f>SUMPRODUCT(Stories!$T$4:$T$63,--(Stories!$C$4:$C$63=$B35),--(Stories!$D$4:$D$63=5))</f>
        <v/>
      </c>
      <c r="H35" s="95">
        <f>SUMPRODUCT(Stories!$T$4:$T$63,--(Stories!$C$4:$C$63=$B35),--(Stories!$D$4:$D$63=4))</f>
        <v/>
      </c>
      <c r="I35" s="95">
        <f>SUMPRODUCT(Stories!$T$4:$T$63,--(Stories!$C$4:$C$63=$B35),--(Stories!$E$4:$E$63="Feature lead"))</f>
        <v/>
      </c>
      <c r="J35" s="96">
        <f>IF(Lists!$H$6=0,0,F35/Lists!$H$6)</f>
        <v/>
      </c>
    </row>
    <row r="36" ht="18" customHeight="1">
      <c r="B36" s="111" t="inlineStr">
        <is>
          <t>General</t>
        </is>
      </c>
      <c r="C36" s="112" t="n"/>
      <c r="D36" s="112" t="n"/>
      <c r="E36" s="112" t="n"/>
      <c r="F36" s="94">
        <f>SUMPRODUCT(Stories!$T$4:$T$63,--(Stories!$C$4:$C$63=$B36))</f>
        <v/>
      </c>
      <c r="G36" s="95">
        <f>SUMPRODUCT(Stories!$T$4:$T$63,--(Stories!$C$4:$C$63=$B36),--(Stories!$D$4:$D$63=5))</f>
        <v/>
      </c>
      <c r="H36" s="95">
        <f>SUMPRODUCT(Stories!$T$4:$T$63,--(Stories!$C$4:$C$63=$B36),--(Stories!$D$4:$D$63=4))</f>
        <v/>
      </c>
      <c r="I36" s="95">
        <f>SUMPRODUCT(Stories!$T$4:$T$63,--(Stories!$C$4:$C$63=$B36),--(Stories!$E$4:$E$63="Feature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SUMPRODUCT(Stories!$T$4:$T$63,--(Stories!$E$4:$E$63=$B40))</f>
        <v/>
      </c>
      <c r="F40" s="96">
        <f>IF(Lists!$H$6=0,0,E40/Lists!$H$6)</f>
        <v/>
      </c>
      <c r="H40" s="114" t="inlineStr">
        <is>
          <t>5 / 5</t>
        </is>
      </c>
      <c r="I40" s="11" t="n"/>
      <c r="J40" s="11" t="n"/>
      <c r="K40" s="94">
        <f>COUNTIFS(Stories!$T$4:$T$63,1,Stories!$D$4:$D$63,5)</f>
        <v/>
      </c>
      <c r="L40" s="96">
        <f>IF(Lists!$H$6=0,0,K40/Lists!$H$6)</f>
        <v/>
      </c>
      <c r="N40" s="115" t="inlineStr">
        <is>
          <t>To review</t>
        </is>
      </c>
      <c r="O40" s="116" t="n"/>
      <c r="P40" s="116" t="n"/>
      <c r="Q40" s="94">
        <f>COUNTIFS(Stories!$T$4:$T$63,1,Stories!$F$4:$F$63,"To review")</f>
        <v/>
      </c>
      <c r="R40" s="96">
        <f>IF(Lists!$H$6=0,0,Q40/Lists!$H$6)</f>
        <v/>
      </c>
    </row>
    <row r="41" ht="18" customHeight="1">
      <c r="B41" s="117" t="inlineStr">
        <is>
          <t>News brief</t>
        </is>
      </c>
      <c r="C41" s="11" t="n"/>
      <c r="D41" s="11" t="n"/>
      <c r="E41" s="94">
        <f>SUMPRODUCT(Stories!$T$4:$T$63,--(Stories!$E$4:$E$63=$B41))</f>
        <v/>
      </c>
      <c r="F41" s="96">
        <f>IF(Lists!$H$6=0,0,E41/Lists!$H$6)</f>
        <v/>
      </c>
      <c r="H41" s="118" t="inlineStr">
        <is>
          <t>4 / 5</t>
        </is>
      </c>
      <c r="I41" s="11" t="n"/>
      <c r="J41" s="11" t="n"/>
      <c r="K41" s="94">
        <f>COUNTIFS(Stories!$T$4:$T$63,1,Stories!$D$4:$D$63,4)</f>
        <v/>
      </c>
      <c r="L41" s="96">
        <f>IF(Lists!$H$6=0,0,K41/Lists!$H$6)</f>
        <v/>
      </c>
      <c r="N41" s="119" t="inlineStr">
        <is>
          <t>Shortlisted</t>
        </is>
      </c>
      <c r="O41" s="120" t="n"/>
      <c r="P41" s="120" t="n"/>
      <c r="Q41" s="94">
        <f>COUNTIFS(Stories!$T$4:$T$63,1,Stories!$F$4:$F$63,"Shortlisted")</f>
        <v/>
      </c>
      <c r="R41" s="96">
        <f>IF(Lists!$H$6=0,0,Q41/Lists!$H$6)</f>
        <v/>
      </c>
    </row>
    <row r="42" ht="18" customHeight="1">
      <c r="B42" s="121" t="inlineStr">
        <is>
          <t>Academia-to-Industry topic</t>
        </is>
      </c>
      <c r="C42" s="11" t="n"/>
      <c r="D42" s="11" t="n"/>
      <c r="E42" s="94">
        <f>SUMPRODUCT(Stories!$T$4:$T$63,--(Stories!$E$4:$E$63=$B42))</f>
        <v/>
      </c>
      <c r="F42" s="96">
        <f>IF(Lists!$H$6=0,0,E42/Lists!$H$6)</f>
        <v/>
      </c>
      <c r="H42" s="122" t="inlineStr">
        <is>
          <t>3 / 5</t>
        </is>
      </c>
      <c r="I42" s="11" t="n"/>
      <c r="J42" s="11" t="n"/>
      <c r="K42" s="94">
        <f>COUNTIFS(Stories!$T$4:$T$63,1,Stories!$D$4:$D$63,3)</f>
        <v/>
      </c>
      <c r="L42" s="96">
        <f>IF(Lists!$H$6=0,0,K42/Lists!$H$6)</f>
        <v/>
      </c>
      <c r="N42" s="123" t="inlineStr">
        <is>
          <t>Commissioned</t>
        </is>
      </c>
      <c r="O42" s="124" t="n"/>
      <c r="P42" s="124" t="n"/>
      <c r="Q42" s="94">
        <f>COUNTIFS(Stories!$T$4:$T$63,1,Stories!$F$4:$F$63,"Commissioned")</f>
        <v/>
      </c>
      <c r="R42" s="96">
        <f>IF(Lists!$H$6=0,0,Q42/Lists!$H$6)</f>
        <v/>
      </c>
    </row>
    <row r="43" ht="18" customHeight="1">
      <c r="B43" s="125" t="inlineStr">
        <is>
          <t>Regional insight</t>
        </is>
      </c>
      <c r="C43" s="11" t="n"/>
      <c r="D43" s="11" t="n"/>
      <c r="E43" s="94">
        <f>SUMPRODUCT(Stories!$T$4:$T$63,--(Stories!$E$4:$E$63=$B43))</f>
        <v/>
      </c>
      <c r="F43" s="96">
        <f>IF(Lists!$H$6=0,0,E43/Lists!$H$6)</f>
        <v/>
      </c>
      <c r="N43" s="126" t="inlineStr">
        <is>
          <t>Published</t>
        </is>
      </c>
      <c r="O43" s="127" t="n"/>
      <c r="P43" s="127" t="n"/>
      <c r="Q43" s="94">
        <f>COUNTIFS(Stories!$T$4:$T$63,1,Stories!$F$4:$F$63,"Published")</f>
        <v/>
      </c>
      <c r="R43" s="96">
        <f>IF(Lists!$H$6=0,0,Q43/Lists!$H$6)</f>
        <v/>
      </c>
    </row>
    <row r="44" ht="18" customHeight="1">
      <c r="B44" s="128" t="inlineStr">
        <is>
          <t>Watch only</t>
        </is>
      </c>
      <c r="C44" s="11" t="n"/>
      <c r="D44" s="11" t="n"/>
      <c r="E44" s="94">
        <f>SUMPRODUCT(Stories!$T$4:$T$63,--(Stories!$E$4:$E$63=$B44))</f>
        <v/>
      </c>
      <c r="F44" s="96">
        <f>IF(Lists!$H$6=0,0,E44/Lists!$H$6)</f>
        <v/>
      </c>
      <c r="N44" s="129" t="inlineStr">
        <is>
          <t>Not used</t>
        </is>
      </c>
      <c r="O44" s="130" t="n"/>
      <c r="P44" s="130" t="n"/>
      <c r="Q44" s="94">
        <f>COUNTIFS(Stories!$T$4:$T$63,1,Stories!$F$4:$F$63,"Not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SUMPRODUCT(Stories!$T$4:$T$63,--(Stories!$C$4:$C$63=$B61),--(Stories!$E$4:$E$63=F$60))</f>
        <v/>
      </c>
      <c r="G61" s="133">
        <f>SUMPRODUCT(Stories!$T$4:$T$63,--(Stories!$C$4:$C$63=$B61),--(Stories!$E$4:$E$63=G$60))</f>
        <v/>
      </c>
      <c r="H61" s="133">
        <f>SUMPRODUCT(Stories!$T$4:$T$63,--(Stories!$C$4:$C$63=$B61),--(Stories!$E$4:$E$63=H$60))</f>
        <v/>
      </c>
      <c r="I61" s="133">
        <f>SUMPRODUCT(Stories!$T$4:$T$63,--(Stories!$C$4:$C$63=$B61),--(Stories!$E$4:$E$63=I$60))</f>
        <v/>
      </c>
      <c r="J61" s="133">
        <f>SUMPRODUCT(Stories!$T$4:$T$63,--(Stories!$C$4:$C$63=$B61),--(Stories!$E$4:$E$63=J$60))</f>
        <v/>
      </c>
      <c r="K61" s="94">
        <f>SUM(F61:J61)</f>
        <v/>
      </c>
    </row>
    <row r="62" ht="18" customHeight="1">
      <c r="B62" s="134" t="inlineStr">
        <is>
          <t>Digital Geotechnics</t>
        </is>
      </c>
      <c r="C62" s="135" t="n"/>
      <c r="D62" s="135" t="n"/>
      <c r="E62" s="135" t="n"/>
      <c r="F62" s="133">
        <f>SUMPRODUCT(Stories!$T$4:$T$63,--(Stories!$C$4:$C$63=$B62),--(Stories!$E$4:$E$63=F$60))</f>
        <v/>
      </c>
      <c r="G62" s="133">
        <f>SUMPRODUCT(Stories!$T$4:$T$63,--(Stories!$C$4:$C$63=$B62),--(Stories!$E$4:$E$63=G$60))</f>
        <v/>
      </c>
      <c r="H62" s="133">
        <f>SUMPRODUCT(Stories!$T$4:$T$63,--(Stories!$C$4:$C$63=$B62),--(Stories!$E$4:$E$63=H$60))</f>
        <v/>
      </c>
      <c r="I62" s="133">
        <f>SUMPRODUCT(Stories!$T$4:$T$63,--(Stories!$C$4:$C$63=$B62),--(Stories!$E$4:$E$63=I$60))</f>
        <v/>
      </c>
      <c r="J62" s="133">
        <f>SUMPRODUCT(Stories!$T$4:$T$63,--(Stories!$C$4:$C$63=$B62),--(Stories!$E$4:$E$63=J$60))</f>
        <v/>
      </c>
      <c r="K62" s="94">
        <f>SUM(F62:J62)</f>
        <v/>
      </c>
    </row>
    <row r="63" ht="18" customHeight="1">
      <c r="B63" s="136" t="inlineStr">
        <is>
          <t>Hazards &amp; Resilience</t>
        </is>
      </c>
      <c r="C63" s="137" t="n"/>
      <c r="D63" s="137" t="n"/>
      <c r="E63" s="137" t="n"/>
      <c r="F63" s="133">
        <f>SUMPRODUCT(Stories!$T$4:$T$63,--(Stories!$C$4:$C$63=$B63),--(Stories!$E$4:$E$63=F$60))</f>
        <v/>
      </c>
      <c r="G63" s="133">
        <f>SUMPRODUCT(Stories!$T$4:$T$63,--(Stories!$C$4:$C$63=$B63),--(Stories!$E$4:$E$63=G$60))</f>
        <v/>
      </c>
      <c r="H63" s="133">
        <f>SUMPRODUCT(Stories!$T$4:$T$63,--(Stories!$C$4:$C$63=$B63),--(Stories!$E$4:$E$63=H$60))</f>
        <v/>
      </c>
      <c r="I63" s="133">
        <f>SUMPRODUCT(Stories!$T$4:$T$63,--(Stories!$C$4:$C$63=$B63),--(Stories!$E$4:$E$63=I$60))</f>
        <v/>
      </c>
      <c r="J63" s="133">
        <f>SUMPRODUCT(Stories!$T$4:$T$63,--(Stories!$C$4:$C$63=$B63),--(Stories!$E$4:$E$63=J$60))</f>
        <v/>
      </c>
      <c r="K63" s="94">
        <f>SUM(F63:J63)</f>
        <v/>
      </c>
    </row>
    <row r="64" ht="18" customHeight="1">
      <c r="B64" s="138" t="inlineStr">
        <is>
          <t>Ground Improvement &amp; Innovation</t>
        </is>
      </c>
      <c r="C64" s="139" t="n"/>
      <c r="D64" s="139" t="n"/>
      <c r="E64" s="139" t="n"/>
      <c r="F64" s="133">
        <f>SUMPRODUCT(Stories!$T$4:$T$63,--(Stories!$C$4:$C$63=$B64),--(Stories!$E$4:$E$63=F$60))</f>
        <v/>
      </c>
      <c r="G64" s="133">
        <f>SUMPRODUCT(Stories!$T$4:$T$63,--(Stories!$C$4:$C$63=$B64),--(Stories!$E$4:$E$63=G$60))</f>
        <v/>
      </c>
      <c r="H64" s="133">
        <f>SUMPRODUCT(Stories!$T$4:$T$63,--(Stories!$C$4:$C$63=$B64),--(Stories!$E$4:$E$63=H$60))</f>
        <v/>
      </c>
      <c r="I64" s="133">
        <f>SUMPRODUCT(Stories!$T$4:$T$63,--(Stories!$C$4:$C$63=$B64),--(Stories!$E$4:$E$63=I$60))</f>
        <v/>
      </c>
      <c r="J64" s="133">
        <f>SUMPRODUCT(Stories!$T$4:$T$63,--(Stories!$C$4:$C$63=$B64),--(Stories!$E$4:$E$63=J$60))</f>
        <v/>
      </c>
      <c r="K64" s="94">
        <f>SUM(F64:J64)</f>
        <v/>
      </c>
    </row>
    <row r="65" ht="18" customHeight="1">
      <c r="B65" s="140" t="inlineStr">
        <is>
          <t>Infrastructure &amp; the Underground City</t>
        </is>
      </c>
      <c r="C65" s="141" t="n"/>
      <c r="D65" s="141" t="n"/>
      <c r="E65" s="141" t="n"/>
      <c r="F65" s="133">
        <f>SUMPRODUCT(Stories!$T$4:$T$63,--(Stories!$C$4:$C$63=$B65),--(Stories!$E$4:$E$63=F$60))</f>
        <v/>
      </c>
      <c r="G65" s="133">
        <f>SUMPRODUCT(Stories!$T$4:$T$63,--(Stories!$C$4:$C$63=$B65),--(Stories!$E$4:$E$63=G$60))</f>
        <v/>
      </c>
      <c r="H65" s="133">
        <f>SUMPRODUCT(Stories!$T$4:$T$63,--(Stories!$C$4:$C$63=$B65),--(Stories!$E$4:$E$63=H$60))</f>
        <v/>
      </c>
      <c r="I65" s="133">
        <f>SUMPRODUCT(Stories!$T$4:$T$63,--(Stories!$C$4:$C$63=$B65),--(Stories!$E$4:$E$63=I$60))</f>
        <v/>
      </c>
      <c r="J65" s="133">
        <f>SUMPRODUCT(Stories!$T$4:$T$63,--(Stories!$C$4:$C$63=$B65),--(Stories!$E$4:$E$63=J$60))</f>
        <v/>
      </c>
      <c r="K65" s="94">
        <f>SUM(F65:J65)</f>
        <v/>
      </c>
    </row>
    <row r="66" ht="18" customHeight="1">
      <c r="B66" s="142" t="inlineStr">
        <is>
          <t>Offshore, Coasts &amp; Water</t>
        </is>
      </c>
      <c r="C66" s="143" t="n"/>
      <c r="D66" s="143" t="n"/>
      <c r="E66" s="143" t="n"/>
      <c r="F66" s="133">
        <f>SUMPRODUCT(Stories!$T$4:$T$63,--(Stories!$C$4:$C$63=$B66),--(Stories!$E$4:$E$63=F$60))</f>
        <v/>
      </c>
      <c r="G66" s="133">
        <f>SUMPRODUCT(Stories!$T$4:$T$63,--(Stories!$C$4:$C$63=$B66),--(Stories!$E$4:$E$63=G$60))</f>
        <v/>
      </c>
      <c r="H66" s="133">
        <f>SUMPRODUCT(Stories!$T$4:$T$63,--(Stories!$C$4:$C$63=$B66),--(Stories!$E$4:$E$63=H$60))</f>
        <v/>
      </c>
      <c r="I66" s="133">
        <f>SUMPRODUCT(Stories!$T$4:$T$63,--(Stories!$C$4:$C$63=$B66),--(Stories!$E$4:$E$63=I$60))</f>
        <v/>
      </c>
      <c r="J66" s="133">
        <f>SUMPRODUCT(Stories!$T$4:$T$63,--(Stories!$C$4:$C$63=$B66),--(Stories!$E$4:$E$63=J$60))</f>
        <v/>
      </c>
      <c r="K66" s="94">
        <f>SUM(F66:J66)</f>
        <v/>
      </c>
    </row>
    <row r="67" ht="18" customHeight="1">
      <c r="B67" s="144" t="inlineStr">
        <is>
          <t>Characterisation &amp; Modelling</t>
        </is>
      </c>
      <c r="C67" s="145" t="n"/>
      <c r="D67" s="145" t="n"/>
      <c r="E67" s="145" t="n"/>
      <c r="F67" s="133">
        <f>SUMPRODUCT(Stories!$T$4:$T$63,--(Stories!$C$4:$C$63=$B67),--(Stories!$E$4:$E$63=F$60))</f>
        <v/>
      </c>
      <c r="G67" s="133">
        <f>SUMPRODUCT(Stories!$T$4:$T$63,--(Stories!$C$4:$C$63=$B67),--(Stories!$E$4:$E$63=G$60))</f>
        <v/>
      </c>
      <c r="H67" s="133">
        <f>SUMPRODUCT(Stories!$T$4:$T$63,--(Stories!$C$4:$C$63=$B67),--(Stories!$E$4:$E$63=H$60))</f>
        <v/>
      </c>
      <c r="I67" s="133">
        <f>SUMPRODUCT(Stories!$T$4:$T$63,--(Stories!$C$4:$C$63=$B67),--(Stories!$E$4:$E$63=I$60))</f>
        <v/>
      </c>
      <c r="J67" s="133">
        <f>SUMPRODUCT(Stories!$T$4:$T$63,--(Stories!$C$4:$C$63=$B67),--(Stories!$E$4:$E$63=J$60))</f>
        <v/>
      </c>
      <c r="K67" s="94">
        <f>SUM(F67:J67)</f>
        <v/>
      </c>
    </row>
    <row r="68" ht="18" customHeight="1">
      <c r="B68" s="146" t="inlineStr">
        <is>
          <t>Geotechnics &amp; Society</t>
        </is>
      </c>
      <c r="C68" s="147" t="n"/>
      <c r="D68" s="147" t="n"/>
      <c r="E68" s="147" t="n"/>
      <c r="F68" s="133">
        <f>SUMPRODUCT(Stories!$T$4:$T$63,--(Stories!$C$4:$C$63=$B68),--(Stories!$E$4:$E$63=F$60))</f>
        <v/>
      </c>
      <c r="G68" s="133">
        <f>SUMPRODUCT(Stories!$T$4:$T$63,--(Stories!$C$4:$C$63=$B68),--(Stories!$E$4:$E$63=G$60))</f>
        <v/>
      </c>
      <c r="H68" s="133">
        <f>SUMPRODUCT(Stories!$T$4:$T$63,--(Stories!$C$4:$C$63=$B68),--(Stories!$E$4:$E$63=H$60))</f>
        <v/>
      </c>
      <c r="I68" s="133">
        <f>SUMPRODUCT(Stories!$T$4:$T$63,--(Stories!$C$4:$C$63=$B68),--(Stories!$E$4:$E$63=I$60))</f>
        <v/>
      </c>
      <c r="J68" s="133">
        <f>SUMPRODUCT(Stories!$T$4:$T$63,--(Stories!$C$4:$C$63=$B68),--(Stories!$E$4:$E$63=J$60))</f>
        <v/>
      </c>
      <c r="K68" s="94">
        <f>SUM(F68:J68)</f>
        <v/>
      </c>
    </row>
    <row r="69" ht="18" customHeight="1">
      <c r="B69" s="148" t="inlineStr">
        <is>
          <t>General</t>
        </is>
      </c>
      <c r="C69" s="149" t="n"/>
      <c r="D69" s="149" t="n"/>
      <c r="E69" s="149" t="n"/>
      <c r="F69" s="133">
        <f>SUMPRODUCT(Stories!$T$4:$T$63,--(Stories!$C$4:$C$63=$B69),--(Stories!$E$4:$E$63=F$60))</f>
        <v/>
      </c>
      <c r="G69" s="133">
        <f>SUMPRODUCT(Stories!$T$4:$T$63,--(Stories!$C$4:$C$63=$B69),--(Stories!$E$4:$E$63=G$60))</f>
        <v/>
      </c>
      <c r="H69" s="133">
        <f>SUMPRODUCT(Stories!$T$4:$T$63,--(Stories!$C$4:$C$63=$B69),--(Stories!$E$4:$E$63=H$60))</f>
        <v/>
      </c>
      <c r="I69" s="133">
        <f>SUMPRODUCT(Stories!$T$4:$T$63,--(Stories!$C$4:$C$63=$B69),--(Stories!$E$4:$E$63=I$60))</f>
        <v/>
      </c>
      <c r="J69" s="133">
        <f>SUMPRODUCT(Stories!$T$4:$T$63,--(Stories!$C$4:$C$63=$B69),--(Stories!$E$4:$E$63=J$60))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COUNTIFS(Stories!$T$4:$T$63,1,Stories!$K$4:$K$63,DATE(2026,10,24))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Google News edition</t>
        </is>
      </c>
      <c r="O3" s="155" t="inlineStr">
        <is>
          <t>Published</t>
        </is>
      </c>
      <c r="P3" s="155" t="inlineStr">
        <is>
          <t>Issue window</t>
        </is>
      </c>
      <c r="Q3" s="156" t="inlineStr">
        <is>
          <t>Keywords</t>
        </is>
      </c>
      <c r="R3" s="155" t="inlineStr">
        <is>
          <t>Keyword score</t>
        </is>
      </c>
      <c r="S3" s="156" t="inlineStr">
        <is>
          <t>Article URL</t>
        </is>
      </c>
      <c r="T3" s="155" t="inlineStr">
        <is>
          <t>In Dashboard selection</t>
        </is>
      </c>
      <c r="U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inlineStr">
        <is>
          <t>United States</t>
        </is>
      </c>
      <c r="O4" s="167" t="n">
        <v>46318</v>
      </c>
      <c r="P4" s="170" t="inlineStr">
        <is>
          <t>2026-Q4</t>
        </is>
      </c>
      <c r="Q4" s="171" t="inlineStr">
        <is>
          <t>pile, shaft</t>
        </is>
      </c>
      <c r="R4" s="158" t="n">
        <v>7</v>
      </c>
      <c r="S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T4" s="173">
        <f>IF($B4="",0,IF(AND(OR(OR(Dashboard!$B$5="All themes",Dashboard!$B$5=""),$C4=Dashboard!$B$5),OR(OR(Dashboard!$G$5="All uses",Dashboard!$G$5=""),$E4=Dashboard!$G$5),N($D4)&gt;=Lists!$H$2,OR(OR(Dashboard!$N$5="All windows",Dashboard!$N$5=""),$P4=Dashboard!$N$5)),1,0))</f>
        <v/>
      </c>
      <c r="U4" s="174">
        <f>IF($T4=1,N($D4)*1E14+MIN(MAX(N($R4),0),9999)*1E10+MIN(N($K4),99999)*1E5+99999-MIN(ROW(),99999),"")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7" t="n">
        <v>46318</v>
      </c>
      <c r="P5" s="170" t="inlineStr">
        <is>
          <t>2026-Q4</t>
        </is>
      </c>
      <c r="Q5" s="171" t="inlineStr">
        <is>
          <t>offshore wind</t>
        </is>
      </c>
      <c r="R5" s="158" t="n">
        <v>6</v>
      </c>
      <c r="S5" s="172" t="inlineStr">
        <is>
          <t>https://www.geplus.co.uk/key-topics/sustainability/floating-wind-needs-grounded-solutions-23-10-2026/</t>
        </is>
      </c>
      <c r="T5" s="173">
        <f>IF($B5="",0,IF(AND(OR(OR(Dashboard!$B$5="All themes",Dashboard!$B$5=""),$C5=Dashboard!$B$5),OR(OR(Dashboard!$G$5="All uses",Dashboard!$G$5=""),$E5=Dashboard!$G$5),N($D5)&gt;=Lists!$H$2,OR(OR(Dashboard!$N$5="All windows",Dashboard!$N$5=""),$P5=Dashboard!$N$5)),1,0))</f>
        <v/>
      </c>
      <c r="U5" s="174">
        <f>IF($T5=1,N($D5)*1E14+MIN(MAX(N($R5),0),9999)*1E10+MIN(N($K5),99999)*1E5+99999-MIN(ROW(),99999),"")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inlineStr">
        <is>
          <t>South Korea</t>
        </is>
      </c>
      <c r="O6" s="167" t="n">
        <v>46317</v>
      </c>
      <c r="P6" s="170" t="inlineStr">
        <is>
          <t>2026-Q4</t>
        </is>
      </c>
      <c r="Q6" s="171" t="inlineStr">
        <is>
          <t>sinkhole, excavation</t>
        </is>
      </c>
      <c r="R6" s="158" t="n">
        <v>6</v>
      </c>
      <c r="S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T6" s="173">
        <f>IF($B6="",0,IF(AND(OR(OR(Dashboard!$B$5="All themes",Dashboard!$B$5=""),$C6=Dashboard!$B$5),OR(OR(Dashboard!$G$5="All uses",Dashboard!$G$5=""),$E6=Dashboard!$G$5),N($D6)&gt;=Lists!$H$2,OR(OR(Dashboard!$N$5="All windows",Dashboard!$N$5=""),$P6=Dashboard!$N$5)),1,0))</f>
        <v/>
      </c>
      <c r="U6" s="174">
        <f>IF($T6=1,N($D6)*1E14+MIN(MAX(N($R6),0),9999)*1E10+MIN(N($K6),99999)*1E5+99999-MIN(ROW(),99999),"")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inlineStr">
        <is>
          <t>Senegal</t>
        </is>
      </c>
      <c r="O7" s="167" t="n">
        <v>46319</v>
      </c>
      <c r="P7" s="170" t="inlineStr">
        <is>
          <t>2026-Q4</t>
        </is>
      </c>
      <c r="Q7" s="171" t="inlineStr">
        <is>
          <t>foundation</t>
        </is>
      </c>
      <c r="R7" s="158" t="n">
        <v>2</v>
      </c>
      <c r="S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T7" s="173">
        <f>IF($B7="",0,IF(AND(OR(OR(Dashboard!$B$5="All themes",Dashboard!$B$5=""),$C7=Dashboard!$B$5),OR(OR(Dashboard!$G$5="All uses",Dashboard!$G$5=""),$E7=Dashboard!$G$5),N($D7)&gt;=Lists!$H$2,OR(OR(Dashboard!$N$5="All windows",Dashboard!$N$5=""),$P7=Dashboard!$N$5)),1,0))</f>
        <v/>
      </c>
      <c r="U7" s="174">
        <f>IF($T7=1,N($D7)*1E14+MIN(MAX(N($R7),0),9999)*1E10+MIN(N($K7),99999)*1E5+99999-MIN(ROW(),99999),"")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inlineStr">
        <is>
          <t>Vietnam</t>
        </is>
      </c>
      <c r="O8" s="167" t="n">
        <v>46317</v>
      </c>
      <c r="P8" s="170" t="inlineStr">
        <is>
          <t>2026-Q4</t>
        </is>
      </c>
      <c r="Q8" s="171" t="n"/>
      <c r="R8" s="158" t="n">
        <v>0</v>
      </c>
      <c r="S8" s="172" t="inlineStr">
        <is>
          <t>https://news.google.com/rss/articles/CBMic0FVX3lxTE1zSGZTbjJtMlg2SGZxUUtTSjJMZVdlSUkxSjZBeEV1WExBUUh4ZjdOZWIzcGRHczE1dVZiOWgyQUxTdkZWOEJfM0Y1dk1mcGpKekl0dGR4VE1YRVhoYTFjV09IZGQ3dUNQcl9BSlN0QzhUSkE?oc=5</t>
        </is>
      </c>
      <c r="T8" s="173">
        <f>IF($B8="",0,IF(AND(OR(OR(Dashboard!$B$5="All themes",Dashboard!$B$5=""),$C8=Dashboard!$B$5),OR(OR(Dashboard!$G$5="All uses",Dashboard!$G$5=""),$E8=Dashboard!$G$5),N($D8)&gt;=Lists!$H$2,OR(OR(Dashboard!$N$5="All windows",Dashboard!$N$5=""),$P8=Dashboard!$N$5)),1,0))</f>
        <v/>
      </c>
      <c r="U8" s="174">
        <f>IF($T8=1,N($D8)*1E14+MIN(MAX(N($R8),0),9999)*1E10+MIN(N($K8),99999)*1E5+99999-MIN(ROW(),99999),"")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inlineStr">
        <is>
          <t>China</t>
        </is>
      </c>
      <c r="O9" s="167" t="n">
        <v>46318</v>
      </c>
      <c r="P9" s="170" t="inlineStr">
        <is>
          <t>2026-Q4</t>
        </is>
      </c>
      <c r="Q9" s="171" t="n"/>
      <c r="R9" s="158" t="n">
        <v>0</v>
      </c>
      <c r="S9" s="172" t="inlineStr">
        <is>
          <t>https://news.google.com/rss/articles/CBMibkFVX3lxTE8wdVhYVXYyQ3RwMHAtOTNnUkh5TnhCcEtVem9XenhDMFo2UVFHbWtIaGIzVHhLb1BFQmd2akRLZkFMd1pQNWJDRElESUY1SUdvLWFfd1ZaUW5tZ0ZFcmIxckZxbXg1Z1RrbXI5V0Zn?oc=5</t>
        </is>
      </c>
      <c r="T9" s="173">
        <f>IF($B9="",0,IF(AND(OR(OR(Dashboard!$B$5="All themes",Dashboard!$B$5=""),$C9=Dashboard!$B$5),OR(OR(Dashboard!$G$5="All uses",Dashboard!$G$5=""),$E9=Dashboard!$G$5),N($D9)&gt;=Lists!$H$2,OR(OR(Dashboard!$N$5="All windows",Dashboard!$N$5=""),$P9=Dashboard!$N$5)),1,0))</f>
        <v/>
      </c>
      <c r="U9" s="174">
        <f>IF($T9=1,N($D9)*1E14+MIN(MAX(N($R9),0),9999)*1E10+MIN(N($K9),99999)*1E5+99999-MIN(ROW(),99999),"")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7" t="n">
        <v>46318</v>
      </c>
      <c r="P10" s="170" t="inlineStr">
        <is>
          <t>2026-Q4</t>
        </is>
      </c>
      <c r="Q10" s="171" t="inlineStr">
        <is>
          <t>landslide, landslip, embankment</t>
        </is>
      </c>
      <c r="R10" s="158" t="n">
        <v>14</v>
      </c>
      <c r="S10" s="172" t="inlineStr">
        <is>
          <t>https://www.geplus.co.uk/news/project-news/m4-landslip-work-begins-as-part-of-wider-repair-programme-23-10-2026/</t>
        </is>
      </c>
      <c r="T10" s="173">
        <f>IF($B10="",0,IF(AND(OR(OR(Dashboard!$B$5="All themes",Dashboard!$B$5=""),$C10=Dashboard!$B$5),OR(OR(Dashboard!$G$5="All uses",Dashboard!$G$5=""),$E10=Dashboard!$G$5),N($D10)&gt;=Lists!$H$2,OR(OR(Dashboard!$N$5="All windows",Dashboard!$N$5=""),$P10=Dashboard!$N$5)),1,0))</f>
        <v/>
      </c>
      <c r="U10" s="174">
        <f>IF($T10=1,N($D10)*1E14+MIN(MAX(N($R10),0),9999)*1E10+MIN(N($K10),99999)*1E5+99999-MIN(ROW(),99999),"")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inlineStr">
        <is>
          <t>Indonesia</t>
        </is>
      </c>
      <c r="O11" s="167" t="n">
        <v>46318</v>
      </c>
      <c r="P11" s="170" t="inlineStr">
        <is>
          <t>2026-Q4</t>
        </is>
      </c>
      <c r="Q11" s="171" t="inlineStr">
        <is>
          <t>landslide, embankment</t>
        </is>
      </c>
      <c r="R11" s="158" t="n">
        <v>13</v>
      </c>
      <c r="S11" s="172" t="inlineStr">
        <is>
          <t>https://news.google.com/rss/articles/CBMia0FVX3lxTE45UVhrbTdIV2NXaVloOTBleGdWeThGbHNoSTJtMTE3cFlfalpoYVBnUEFoUVRJQUp5Z2pVOEZvaGZzRUtjRWtOMzY3Wll0RHJOUTB6c0JYdGEzOXk2VXltZUFkc3RURDBUYUg4?oc=5</t>
        </is>
      </c>
      <c r="T11" s="173">
        <f>IF($B11="",0,IF(AND(OR(OR(Dashboard!$B$5="All themes",Dashboard!$B$5=""),$C11=Dashboard!$B$5),OR(OR(Dashboard!$G$5="All uses",Dashboard!$G$5=""),$E11=Dashboard!$G$5),N($D11)&gt;=Lists!$H$2,OR(OR(Dashboard!$N$5="All windows",Dashboard!$N$5=""),$P11=Dashboard!$N$5)),1,0))</f>
        <v/>
      </c>
      <c r="U11" s="174">
        <f>IF($T11=1,N($D11)*1E14+MIN(MAX(N($R11),0),9999)*1E10+MIN(N($K11),99999)*1E5+99999-MIN(ROW(),99999),"")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inlineStr">
        <is>
          <t>Italy</t>
        </is>
      </c>
      <c r="O12" s="167" t="n">
        <v>46317</v>
      </c>
      <c r="P12" s="170" t="inlineStr">
        <is>
          <t>2026-Q4</t>
        </is>
      </c>
      <c r="Q12" s="171" t="inlineStr">
        <is>
          <t>landslide, collapse</t>
        </is>
      </c>
      <c r="R12" s="158" t="n">
        <v>11</v>
      </c>
      <c r="S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12" s="173">
        <f>IF($B12="",0,IF(AND(OR(OR(Dashboard!$B$5="All themes",Dashboard!$B$5=""),$C12=Dashboard!$B$5),OR(OR(Dashboard!$G$5="All uses",Dashboard!$G$5=""),$E12=Dashboard!$G$5),N($D12)&gt;=Lists!$H$2,OR(OR(Dashboard!$N$5="All windows",Dashboard!$N$5=""),$P12=Dashboard!$N$5)),1,0))</f>
        <v/>
      </c>
      <c r="U12" s="174">
        <f>IF($T12=1,N($D12)*1E14+MIN(MAX(N($R12),0),9999)*1E10+MIN(N($K12),99999)*1E5+99999-MIN(ROW(),99999),"")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inlineStr">
        <is>
          <t>Spain</t>
        </is>
      </c>
      <c r="O13" s="167" t="n">
        <v>46319</v>
      </c>
      <c r="P13" s="170" t="inlineStr">
        <is>
          <t>2026-Q4</t>
        </is>
      </c>
      <c r="Q13" s="171" t="inlineStr">
        <is>
          <t>landslide</t>
        </is>
      </c>
      <c r="R13" s="158" t="n">
        <v>10</v>
      </c>
      <c r="S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13" s="173">
        <f>IF($B13="",0,IF(AND(OR(OR(Dashboard!$B$5="All themes",Dashboard!$B$5=""),$C13=Dashboard!$B$5),OR(OR(Dashboard!$G$5="All uses",Dashboard!$G$5=""),$E13=Dashboard!$G$5),N($D13)&gt;=Lists!$H$2,OR(OR(Dashboard!$N$5="All windows",Dashboard!$N$5=""),$P13=Dashboard!$N$5)),1,0))</f>
        <v/>
      </c>
      <c r="U13" s="174">
        <f>IF($T13=1,N($D13)*1E14+MIN(MAX(N($R13),0),9999)*1E10+MIN(N($K13),99999)*1E5+99999-MIN(ROW(),99999),"")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inlineStr">
        <is>
          <t>Italy</t>
        </is>
      </c>
      <c r="O14" s="167" t="n">
        <v>46319</v>
      </c>
      <c r="P14" s="170" t="inlineStr">
        <is>
          <t>2026-Q4</t>
        </is>
      </c>
      <c r="Q14" s="171" t="inlineStr">
        <is>
          <t>landslide</t>
        </is>
      </c>
      <c r="R14" s="158" t="n">
        <v>10</v>
      </c>
      <c r="S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14" s="173">
        <f>IF($B14="",0,IF(AND(OR(OR(Dashboard!$B$5="All themes",Dashboard!$B$5=""),$C14=Dashboard!$B$5),OR(OR(Dashboard!$G$5="All uses",Dashboard!$G$5=""),$E14=Dashboard!$G$5),N($D14)&gt;=Lists!$H$2,OR(OR(Dashboard!$N$5="All windows",Dashboard!$N$5=""),$P14=Dashboard!$N$5)),1,0))</f>
        <v/>
      </c>
      <c r="U14" s="174">
        <f>IF($T14=1,N($D14)*1E14+MIN(MAX(N($R14),0),9999)*1E10+MIN(N($K14),99999)*1E5+99999-MIN(ROW(),99999),"")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inlineStr">
        <is>
          <t>Italy</t>
        </is>
      </c>
      <c r="O15" s="167" t="n">
        <v>46319</v>
      </c>
      <c r="P15" s="170" t="inlineStr">
        <is>
          <t>2026-Q4</t>
        </is>
      </c>
      <c r="Q15" s="171" t="inlineStr">
        <is>
          <t>landslide</t>
        </is>
      </c>
      <c r="R15" s="158" t="n">
        <v>10</v>
      </c>
      <c r="S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15" s="173">
        <f>IF($B15="",0,IF(AND(OR(OR(Dashboard!$B$5="All themes",Dashboard!$B$5=""),$C15=Dashboard!$B$5),OR(OR(Dashboard!$G$5="All uses",Dashboard!$G$5=""),$E15=Dashboard!$G$5),N($D15)&gt;=Lists!$H$2,OR(OR(Dashboard!$N$5="All windows",Dashboard!$N$5=""),$P15=Dashboard!$N$5)),1,0))</f>
        <v/>
      </c>
      <c r="U15" s="174">
        <f>IF($T15=1,N($D15)*1E14+MIN(MAX(N($R15),0),9999)*1E10+MIN(N($K15),99999)*1E5+99999-MIN(ROW(),99999),"")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inlineStr">
        <is>
          <t>Italy</t>
        </is>
      </c>
      <c r="O16" s="167" t="n">
        <v>46318</v>
      </c>
      <c r="P16" s="170" t="inlineStr">
        <is>
          <t>2026-Q4</t>
        </is>
      </c>
      <c r="Q16" s="171" t="inlineStr">
        <is>
          <t>landslide</t>
        </is>
      </c>
      <c r="R16" s="158" t="n">
        <v>10</v>
      </c>
      <c r="S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6" s="173">
        <f>IF($B16="",0,IF(AND(OR(OR(Dashboard!$B$5="All themes",Dashboard!$B$5=""),$C16=Dashboard!$B$5),OR(OR(Dashboard!$G$5="All uses",Dashboard!$G$5=""),$E16=Dashboard!$G$5),N($D16)&gt;=Lists!$H$2,OR(OR(Dashboard!$N$5="All windows",Dashboard!$N$5=""),$P16=Dashboard!$N$5)),1,0))</f>
        <v/>
      </c>
      <c r="U16" s="174">
        <f>IF($T16=1,N($D16)*1E14+MIN(MAX(N($R16),0),9999)*1E10+MIN(N($K16),99999)*1E5+99999-MIN(ROW(),99999),"")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inlineStr">
        <is>
          <t>Indonesia</t>
        </is>
      </c>
      <c r="O17" s="167" t="n">
        <v>46319</v>
      </c>
      <c r="P17" s="170" t="inlineStr">
        <is>
          <t>2026-Q4</t>
        </is>
      </c>
      <c r="Q17" s="171" t="inlineStr">
        <is>
          <t>landslide</t>
        </is>
      </c>
      <c r="R17" s="158" t="n">
        <v>10</v>
      </c>
      <c r="S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7" s="173">
        <f>IF($B17="",0,IF(AND(OR(OR(Dashboard!$B$5="All themes",Dashboard!$B$5=""),$C17=Dashboard!$B$5),OR(OR(Dashboard!$G$5="All uses",Dashboard!$G$5=""),$E17=Dashboard!$G$5),N($D17)&gt;=Lists!$H$2,OR(OR(Dashboard!$N$5="All windows",Dashboard!$N$5=""),$P17=Dashboard!$N$5)),1,0))</f>
        <v/>
      </c>
      <c r="U17" s="174">
        <f>IF($T17=1,N($D17)*1E14+MIN(MAX(N($R17),0),9999)*1E10+MIN(N($K17),99999)*1E5+99999-MIN(ROW(),99999),"")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inlineStr">
        <is>
          <t>Chile</t>
        </is>
      </c>
      <c r="O18" s="167" t="n">
        <v>46317</v>
      </c>
      <c r="P18" s="170" t="inlineStr">
        <is>
          <t>2026-Q4</t>
        </is>
      </c>
      <c r="Q18" s="171" t="inlineStr">
        <is>
          <t>landslide, debris flow</t>
        </is>
      </c>
      <c r="R18" s="158" t="n">
        <v>8</v>
      </c>
      <c r="S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T18" s="173">
        <f>IF($B18="",0,IF(AND(OR(OR(Dashboard!$B$5="All themes",Dashboard!$B$5=""),$C18=Dashboard!$B$5),OR(OR(Dashboard!$G$5="All uses",Dashboard!$G$5=""),$E18=Dashboard!$G$5),N($D18)&gt;=Lists!$H$2,OR(OR(Dashboard!$N$5="All windows",Dashboard!$N$5=""),$P18=Dashboard!$N$5)),1,0))</f>
        <v/>
      </c>
      <c r="U18" s="174">
        <f>IF($T18=1,N($D18)*1E14+MIN(MAX(N($R18),0),9999)*1E10+MIN(N($K18),99999)*1E5+99999-MIN(ROW(),99999),"")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inlineStr">
        <is>
          <t>Vietnam</t>
        </is>
      </c>
      <c r="O19" s="167" t="n">
        <v>46317</v>
      </c>
      <c r="P19" s="170" t="inlineStr">
        <is>
          <t>2026-Q4</t>
        </is>
      </c>
      <c r="Q19" s="171" t="inlineStr">
        <is>
          <t>landslide, rockfall</t>
        </is>
      </c>
      <c r="R19" s="158" t="n">
        <v>8</v>
      </c>
      <c r="S19" s="172" t="inlineStr">
        <is>
          <t>https://news.google.com/rss/articles/CBMif0FVX3lxTE4zQm1aVUtwTUM2RWlZZXpKOEdDX0xZYk41cGNLaDNFNDNlQko2SGxxTmVtLVBBQm9VZkFIOFBmUE1PSE1KclNSUHNQMDhUTGRiWnE0R0ZPcDFFV3E4R3U4M19FZzI2akVUNFRvRkgwSkxuMkZpWmU4Tlh5WTNoQ2M?oc=5</t>
        </is>
      </c>
      <c r="T19" s="173">
        <f>IF($B19="",0,IF(AND(OR(OR(Dashboard!$B$5="All themes",Dashboard!$B$5=""),$C19=Dashboard!$B$5),OR(OR(Dashboard!$G$5="All uses",Dashboard!$G$5=""),$E19=Dashboard!$G$5),N($D19)&gt;=Lists!$H$2,OR(OR(Dashboard!$N$5="All windows",Dashboard!$N$5=""),$P19=Dashboard!$N$5)),1,0))</f>
        <v/>
      </c>
      <c r="U19" s="174">
        <f>IF($T19=1,N($D19)*1E14+MIN(MAX(N($R19),0),9999)*1E10+MIN(N($K19),99999)*1E5+99999-MIN(ROW(),99999),"")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inlineStr">
        <is>
          <t>Russia</t>
        </is>
      </c>
      <c r="O20" s="167" t="n">
        <v>46317</v>
      </c>
      <c r="P20" s="170" t="inlineStr">
        <is>
          <t>2026-Q4</t>
        </is>
      </c>
      <c r="Q20" s="171" t="inlineStr">
        <is>
          <t>landslide, subsidence, soil</t>
        </is>
      </c>
      <c r="R20" s="158" t="n">
        <v>8</v>
      </c>
      <c r="S20" s="172" t="inlineStr">
        <is>
          <t>https://news.google.com/rss/articles/CBMimwFBVV95cUxPLTkyck5DaWR1VmtTV3hIeXVJaWNDUnNpR1AzZDlLbVdzdC1kSmJfTjM3T000WGlLSWt5S2hfSzItS3Y5MkFJZWRZaktBTlNVVFFyRjNHRndpczhWYkdvNFBFY1MxbXA4VTRWWlpCeVdqTWFNbG9HTldyRlRwQkdUYVV2SDNBOGFRUU9WM3pIMG16RUZBWGttYTRmVQ?oc=5</t>
        </is>
      </c>
      <c r="T20" s="173">
        <f>IF($B20="",0,IF(AND(OR(OR(Dashboard!$B$5="All themes",Dashboard!$B$5=""),$C20=Dashboard!$B$5),OR(OR(Dashboard!$G$5="All uses",Dashboard!$G$5=""),$E20=Dashboard!$G$5),N($D20)&gt;=Lists!$H$2,OR(OR(Dashboard!$N$5="All windows",Dashboard!$N$5=""),$P20=Dashboard!$N$5)),1,0))</f>
        <v/>
      </c>
      <c r="U20" s="174">
        <f>IF($T20=1,N($D20)*1E14+MIN(MAX(N($R20),0),9999)*1E10+MIN(N($K20),99999)*1E5+99999-MIN(ROW(),99999),"")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inlineStr">
        <is>
          <t>Vietnam</t>
        </is>
      </c>
      <c r="O21" s="167" t="n">
        <v>46318</v>
      </c>
      <c r="P21" s="170" t="inlineStr">
        <is>
          <t>2026-Q4</t>
        </is>
      </c>
      <c r="Q21" s="171" t="inlineStr">
        <is>
          <t>embankment, dike, erosion</t>
        </is>
      </c>
      <c r="R21" s="158" t="n">
        <v>7</v>
      </c>
      <c r="S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T21" s="173">
        <f>IF($B21="",0,IF(AND(OR(OR(Dashboard!$B$5="All themes",Dashboard!$B$5=""),$C21=Dashboard!$B$5),OR(OR(Dashboard!$G$5="All uses",Dashboard!$G$5=""),$E21=Dashboard!$G$5),N($D21)&gt;=Lists!$H$2,OR(OR(Dashboard!$N$5="All windows",Dashboard!$N$5=""),$P21=Dashboard!$N$5)),1,0))</f>
        <v/>
      </c>
      <c r="U21" s="174">
        <f>IF($T21=1,N($D21)*1E14+MIN(MAX(N($R21),0),9999)*1E10+MIN(N($K21),99999)*1E5+99999-MIN(ROW(),99999),"")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inlineStr">
        <is>
          <t>Russia</t>
        </is>
      </c>
      <c r="O22" s="167" t="n">
        <v>46318</v>
      </c>
      <c r="P22" s="170" t="inlineStr">
        <is>
          <t>2026-Q4</t>
        </is>
      </c>
      <c r="Q22" s="171" t="inlineStr">
        <is>
          <t>landslide, embankment</t>
        </is>
      </c>
      <c r="R22" s="158" t="n">
        <v>7</v>
      </c>
      <c r="S22" s="172" t="inlineStr">
        <is>
          <t>https://news.google.com/rss/articles/CBMilwFBVV95cUxNcG13NlMtVlJSQ0ZDYTM0cGN0NmZzaEtGVDFnV2ZGNkIzM1p0MU0wdUFpbnNDdFFDa0l6M1F6NW5hX2pMNFViN2lfWE80dlJFUGpiOWRfSFhBRWN1d1g2b3o5a1kxNUhIVHRNUUJ6TG5EMXdxcnE2bG9TTWxIc2dDUjBLTlpmNjg5WFVtZE15SWhRY0sxSWtv?oc=5</t>
        </is>
      </c>
      <c r="T22" s="173">
        <f>IF($B22="",0,IF(AND(OR(OR(Dashboard!$B$5="All themes",Dashboard!$B$5=""),$C22=Dashboard!$B$5),OR(OR(Dashboard!$G$5="All uses",Dashboard!$G$5=""),$E22=Dashboard!$G$5),N($D22)&gt;=Lists!$H$2,OR(OR(Dashboard!$N$5="All windows",Dashboard!$N$5=""),$P22=Dashboard!$N$5)),1,0))</f>
        <v/>
      </c>
      <c r="U22" s="174">
        <f>IF($T22=1,N($D22)*1E14+MIN(MAX(N($R22),0),9999)*1E10+MIN(N($K22),99999)*1E5+99999-MIN(ROW(),99999),"")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inlineStr">
        <is>
          <t>Vietnam</t>
        </is>
      </c>
      <c r="O23" s="167" t="n">
        <v>46319</v>
      </c>
      <c r="P23" s="170" t="inlineStr">
        <is>
          <t>2026-Q4</t>
        </is>
      </c>
      <c r="Q23" s="171" t="inlineStr">
        <is>
          <t>landslide, subsidence</t>
        </is>
      </c>
      <c r="R23" s="158" t="n">
        <v>7</v>
      </c>
      <c r="S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T23" s="173">
        <f>IF($B23="",0,IF(AND(OR(OR(Dashboard!$B$5="All themes",Dashboard!$B$5=""),$C23=Dashboard!$B$5),OR(OR(Dashboard!$G$5="All uses",Dashboard!$G$5=""),$E23=Dashboard!$G$5),N($D23)&gt;=Lists!$H$2,OR(OR(Dashboard!$N$5="All windows",Dashboard!$N$5=""),$P23=Dashboard!$N$5)),1,0))</f>
        <v/>
      </c>
      <c r="U23" s="174">
        <f>IF($T23=1,N($D23)*1E14+MIN(MAX(N($R23),0),9999)*1E10+MIN(N($K23),99999)*1E5+99999-MIN(ROW(),99999),"")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inlineStr">
        <is>
          <t>Vietnam</t>
        </is>
      </c>
      <c r="O24" s="167" t="n">
        <v>46318</v>
      </c>
      <c r="P24" s="170" t="inlineStr">
        <is>
          <t>2026-Q4</t>
        </is>
      </c>
      <c r="Q24" s="171" t="inlineStr">
        <is>
          <t>landslide, subsidence</t>
        </is>
      </c>
      <c r="R24" s="158" t="n">
        <v>7</v>
      </c>
      <c r="S24" s="172" t="inlineStr">
        <is>
          <t>https://news.google.com/rss/articles/CBMiigFBVV95cUxPZWVidFMzVlYxMDdISl9EQ2U0U3hiaVU2NmFPN09jYzZUem1CaXB3N1I4S1l0VW9Ka1l1LU9kVnY2bDQzUnFKWUFiNnF3azVkeEZoUGpxREdXNExtd2ZwRWVtNmZPTUkxUnA5TmFsczUyX3hkLUpJYmtFVU5yeTRONV9nb2VfNjVPZnc?oc=5</t>
        </is>
      </c>
      <c r="T24" s="173">
        <f>IF($B24="",0,IF(AND(OR(OR(Dashboard!$B$5="All themes",Dashboard!$B$5=""),$C24=Dashboard!$B$5),OR(OR(Dashboard!$G$5="All uses",Dashboard!$G$5=""),$E24=Dashboard!$G$5),N($D24)&gt;=Lists!$H$2,OR(OR(Dashboard!$N$5="All windows",Dashboard!$N$5=""),$P24=Dashboard!$N$5)),1,0))</f>
        <v/>
      </c>
      <c r="U24" s="174">
        <f>IF($T24=1,N($D24)*1E14+MIN(MAX(N($R24),0),9999)*1E10+MIN(N($K24),99999)*1E5+99999-MIN(ROW(),99999),"")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inlineStr">
        <is>
          <t>Vietnam</t>
        </is>
      </c>
      <c r="O25" s="167" t="n">
        <v>46318</v>
      </c>
      <c r="P25" s="170" t="inlineStr">
        <is>
          <t>2026-Q4</t>
        </is>
      </c>
      <c r="Q25" s="171" t="inlineStr">
        <is>
          <t>sinkhole, subsidence</t>
        </is>
      </c>
      <c r="R25" s="158" t="n">
        <v>7</v>
      </c>
      <c r="S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T25" s="173">
        <f>IF($B25="",0,IF(AND(OR(OR(Dashboard!$B$5="All themes",Dashboard!$B$5=""),$C25=Dashboard!$B$5),OR(OR(Dashboard!$G$5="All uses",Dashboard!$G$5=""),$E25=Dashboard!$G$5),N($D25)&gt;=Lists!$H$2,OR(OR(Dashboard!$N$5="All windows",Dashboard!$N$5=""),$P25=Dashboard!$N$5)),1,0))</f>
        <v/>
      </c>
      <c r="U25" s="174">
        <f>IF($T25=1,N($D25)*1E14+MIN(MAX(N($R25),0),9999)*1E10+MIN(N($K25),99999)*1E5+99999-MIN(ROW(),99999),"")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inlineStr">
        <is>
          <t>Vietnam</t>
        </is>
      </c>
      <c r="O26" s="167" t="n">
        <v>46317</v>
      </c>
      <c r="P26" s="170" t="inlineStr">
        <is>
          <t>2026-Q4</t>
        </is>
      </c>
      <c r="Q26" s="171" t="inlineStr">
        <is>
          <t>landslide, subsidence</t>
        </is>
      </c>
      <c r="R26" s="158" t="n">
        <v>7</v>
      </c>
      <c r="S26" s="172" t="inlineStr">
        <is>
          <t>https://news.google.com/rss/articles/CBMimwFBVV95cUxPMFBaWmJuQ3NGTklKMkNGckRqWFA0WW1sLXlvY1QxanR4YkN6YVVpejBld3ctZVREbkVPWnVab2FBOEZtTXoyeVRmTDE3TXF3ck5IRzNkNFJRZ0lmZmlqLTIwWGZhV0N0RFFiNGVPMnJBcHc4RXBBdjRqdmh5WnZSb1VkZ3B2Q3hva0JybF8tbVI0WjVQVFVsNHUxTQ?oc=5</t>
        </is>
      </c>
      <c r="T26" s="173">
        <f>IF($B26="",0,IF(AND(OR(OR(Dashboard!$B$5="All themes",Dashboard!$B$5=""),$C26=Dashboard!$B$5),OR(OR(Dashboard!$G$5="All uses",Dashboard!$G$5=""),$E26=Dashboard!$G$5),N($D26)&gt;=Lists!$H$2,OR(OR(Dashboard!$N$5="All windows",Dashboard!$N$5=""),$P26=Dashboard!$N$5)),1,0))</f>
        <v/>
      </c>
      <c r="U26" s="174">
        <f>IF($T26=1,N($D26)*1E14+MIN(MAX(N($R26),0),9999)*1E10+MIN(N($K26),99999)*1E5+99999-MIN(ROW(),99999),"")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inlineStr">
        <is>
          <t>South Korea</t>
        </is>
      </c>
      <c r="O27" s="167" t="n">
        <v>46319</v>
      </c>
      <c r="P27" s="170" t="inlineStr">
        <is>
          <t>2026-Q4</t>
        </is>
      </c>
      <c r="Q27" s="171" t="inlineStr">
        <is>
          <t>landslide, embankment</t>
        </is>
      </c>
      <c r="R27" s="158" t="n">
        <v>7</v>
      </c>
      <c r="S27" s="172" t="inlineStr">
        <is>
          <t>https://news.google.com/rss/articles/CBMia0FVX3lxTE5yN3NxbVRJdUpIaWRZaHJQMGx1MktYUTdSRHlXd0xCR0tiSkhtNEotVmltaFRvVzFvY3Qxcm1JOFVCb1RBWXVtMTZRVWRtdC1DMERha1RoblFxTjhBT01GR1hWQ1JLTlRFMW1V?oc=5</t>
        </is>
      </c>
      <c r="T27" s="173">
        <f>IF($B27="",0,IF(AND(OR(OR(Dashboard!$B$5="All themes",Dashboard!$B$5=""),$C27=Dashboard!$B$5),OR(OR(Dashboard!$G$5="All uses",Dashboard!$G$5=""),$E27=Dashboard!$G$5),N($D27)&gt;=Lists!$H$2,OR(OR(Dashboard!$N$5="All windows",Dashboard!$N$5=""),$P27=Dashboard!$N$5)),1,0))</f>
        <v/>
      </c>
      <c r="U27" s="174">
        <f>IF($T27=1,N($D27)*1E14+MIN(MAX(N($R27),0),9999)*1E10+MIN(N($K27),99999)*1E5+99999-MIN(ROW(),99999),"")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inlineStr">
        <is>
          <t>Vietnam</t>
        </is>
      </c>
      <c r="O28" s="167" t="n">
        <v>46318</v>
      </c>
      <c r="P28" s="170" t="inlineStr">
        <is>
          <t>2026-Q4</t>
        </is>
      </c>
      <c r="Q28" s="171" t="inlineStr">
        <is>
          <t>landslide, slope</t>
        </is>
      </c>
      <c r="R28" s="158" t="n">
        <v>6</v>
      </c>
      <c r="S28" s="172" t="inlineStr">
        <is>
          <t>https://news.google.com/rss/articles/CBMikwFBVV95cUxOUmJPNnl3dVdQRml6UUt3S1Joa05VaE9sdjdhNWZZeVN6QUdqdnFIS2NiMWdGMl9KN093Wm1naTRFcDRoek1UTVQxNGJkZ2lkajUyVnhRRFF4ZTV1UlhsS3NodG80YlpGdlpuOHRaaGFnaXJ5cDN4eTd0VFZJdldPMlczVVZ1NmZZdExSemVKM3lXWUk?oc=5</t>
        </is>
      </c>
      <c r="T28" s="173">
        <f>IF($B28="",0,IF(AND(OR(OR(Dashboard!$B$5="All themes",Dashboard!$B$5=""),$C28=Dashboard!$B$5),OR(OR(Dashboard!$G$5="All uses",Dashboard!$G$5=""),$E28=Dashboard!$G$5),N($D28)&gt;=Lists!$H$2,OR(OR(Dashboard!$N$5="All windows",Dashboard!$N$5=""),$P28=Dashboard!$N$5)),1,0))</f>
        <v/>
      </c>
      <c r="U28" s="174">
        <f>IF($T28=1,N($D28)*1E14+MIN(MAX(N($R28),0),9999)*1E10+MIN(N($K28),99999)*1E5+99999-MIN(ROW(),99999),"")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inlineStr">
        <is>
          <t>South Korea</t>
        </is>
      </c>
      <c r="O29" s="167" t="n">
        <v>46319</v>
      </c>
      <c r="P29" s="170" t="inlineStr">
        <is>
          <t>2026-Q4</t>
        </is>
      </c>
      <c r="Q29" s="171" t="inlineStr">
        <is>
          <t>retaining wall, collapse</t>
        </is>
      </c>
      <c r="R29" s="158" t="n">
        <v>5</v>
      </c>
      <c r="S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T29" s="173">
        <f>IF($B29="",0,IF(AND(OR(OR(Dashboard!$B$5="All themes",Dashboard!$B$5=""),$C29=Dashboard!$B$5),OR(OR(Dashboard!$G$5="All uses",Dashboard!$G$5=""),$E29=Dashboard!$G$5),N($D29)&gt;=Lists!$H$2,OR(OR(Dashboard!$N$5="All windows",Dashboard!$N$5=""),$P29=Dashboard!$N$5)),1,0))</f>
        <v/>
      </c>
      <c r="U29" s="174">
        <f>IF($T29=1,N($D29)*1E14+MIN(MAX(N($R29),0),9999)*1E10+MIN(N($K29),99999)*1E5+99999-MIN(ROW(),99999),"")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inlineStr">
        <is>
          <t>South Korea</t>
        </is>
      </c>
      <c r="O30" s="167" t="n">
        <v>46318</v>
      </c>
      <c r="P30" s="170" t="inlineStr">
        <is>
          <t>2026-Q4</t>
        </is>
      </c>
      <c r="Q30" s="171" t="inlineStr">
        <is>
          <t>retaining wall, collapse</t>
        </is>
      </c>
      <c r="R30" s="158" t="n">
        <v>5</v>
      </c>
      <c r="S30" s="172" t="inlineStr">
        <is>
          <t>https://news.google.com/rss/articles/CBMikgFBVV95cUxPcTFMNDFOcFc5MjJHLWgxTldJbW9TT3doRG10TDRuSzlYNGNSSU5DOU1Razc0dkRYY0IyeVN1OHoyT3U2WG9wNUh5VW81UEd6anIwMDF1Ym1yQ3VlVk4wZ05saEh2VFFBMnZqOV9nbkFud0NMbWZ6NW9UU0pha0E3enQxdHQtU3JaNktBMlNxWTg2Zw?oc=5</t>
        </is>
      </c>
      <c r="T30" s="173">
        <f>IF($B30="",0,IF(AND(OR(OR(Dashboard!$B$5="All themes",Dashboard!$B$5=""),$C30=Dashboard!$B$5),OR(OR(Dashboard!$G$5="All uses",Dashboard!$G$5=""),$E30=Dashboard!$G$5),N($D30)&gt;=Lists!$H$2,OR(OR(Dashboard!$N$5="All windows",Dashboard!$N$5=""),$P30=Dashboard!$N$5)),1,0))</f>
        <v/>
      </c>
      <c r="U30" s="174">
        <f>IF($T30=1,N($D30)*1E14+MIN(MAX(N($R30),0),9999)*1E10+MIN(N($K30),99999)*1E5+99999-MIN(ROW(),99999),"")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inlineStr">
        <is>
          <t>Russia</t>
        </is>
      </c>
      <c r="O31" s="167" t="n">
        <v>46317</v>
      </c>
      <c r="P31" s="170" t="inlineStr">
        <is>
          <t>2026-Q4</t>
        </is>
      </c>
      <c r="Q31" s="171" t="inlineStr">
        <is>
          <t>retaining wall, collapse</t>
        </is>
      </c>
      <c r="R31" s="158" t="n">
        <v>5</v>
      </c>
      <c r="S31" s="172" t="inlineStr">
        <is>
          <t>https://news.google.com/rss/articles/CBMiUkFVX3lxTFBBaDhzbmpCUVV6Y1lGN3hyYllJRGRHNkUta1M3SVpkamJ5MGktVWZHdDJqLWloWW40SmVzTldUSWc0UXliVXJOVWR2VmJoWUtGc0E?oc=5</t>
        </is>
      </c>
      <c r="T31" s="173">
        <f>IF($B31="",0,IF(AND(OR(OR(Dashboard!$B$5="All themes",Dashboard!$B$5=""),$C31=Dashboard!$B$5),OR(OR(Dashboard!$G$5="All uses",Dashboard!$G$5=""),$E31=Dashboard!$G$5),N($D31)&gt;=Lists!$H$2,OR(OR(Dashboard!$N$5="All windows",Dashboard!$N$5=""),$P31=Dashboard!$N$5)),1,0))</f>
        <v/>
      </c>
      <c r="U31" s="174">
        <f>IF($T31=1,N($D31)*1E14+MIN(MAX(N($R31),0),9999)*1E10+MIN(N($K31),99999)*1E5+99999-MIN(ROW(),99999),"")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inlineStr">
        <is>
          <t>Vietnam</t>
        </is>
      </c>
      <c r="O32" s="167" t="n">
        <v>46318</v>
      </c>
      <c r="P32" s="170" t="inlineStr">
        <is>
          <t>2026-Q4</t>
        </is>
      </c>
      <c r="Q32" s="171" t="inlineStr">
        <is>
          <t>landslide, collapse</t>
        </is>
      </c>
      <c r="R32" s="158" t="n">
        <v>5</v>
      </c>
      <c r="S32" s="172" t="inlineStr">
        <is>
          <t>https://news.google.com/rss/articles/CBMihgFBVV95cUxNZlBjUzdTUHFfNm9fQnZtclVPRG1ZdWtERFVpMHRYYzRrTGV1alZYeU4yR240ZnM4bFZEMkhFMEtJbk1fakR3dzgyRm12YkZZdkpnTjE4UGNBR2otMlpsbkVpdDdGbXBPbUdYaU5ldjBqUnA1c1hwcFF4Yjl3NXVFcHRacHlTZw?oc=5</t>
        </is>
      </c>
      <c r="T32" s="173">
        <f>IF($B32="",0,IF(AND(OR(OR(Dashboard!$B$5="All themes",Dashboard!$B$5=""),$C32=Dashboard!$B$5),OR(OR(Dashboard!$G$5="All uses",Dashboard!$G$5=""),$E32=Dashboard!$G$5),N($D32)&gt;=Lists!$H$2,OR(OR(Dashboard!$N$5="All windows",Dashboard!$N$5=""),$P32=Dashboard!$N$5)),1,0))</f>
        <v/>
      </c>
      <c r="U32" s="174">
        <f>IF($T32=1,N($D32)*1E14+MIN(MAX(N($R32),0),9999)*1E10+MIN(N($K32),99999)*1E5+99999-MIN(ROW(),99999),"")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inlineStr">
        <is>
          <t>United Kingdom</t>
        </is>
      </c>
      <c r="O33" s="167" t="n">
        <v>46317</v>
      </c>
      <c r="P33" s="170" t="inlineStr">
        <is>
          <t>2026-Q4</t>
        </is>
      </c>
      <c r="Q33" s="171" t="inlineStr">
        <is>
          <t>geotechnical</t>
        </is>
      </c>
      <c r="R33" s="158" t="n">
        <v>5</v>
      </c>
      <c r="S33" s="172" t="inlineStr">
        <is>
          <t>https://news.google.com/rss/articles/CBMibEFVX3lxTE9qd0p2T2p3a1lzbEg5TnFXNDZ2VXRhLWIzbGk1U0pnQlFCUk1RU2tqdFFXeEt4RkM3bThuVUUyelBfNHJMdlFmMThyZG9UakhLLTFqTGJBTDBKVmN1bXlqQmYyX1U3eHIyWTNfTw?oc=5</t>
        </is>
      </c>
      <c r="T33" s="173">
        <f>IF($B33="",0,IF(AND(OR(OR(Dashboard!$B$5="All themes",Dashboard!$B$5=""),$C33=Dashboard!$B$5),OR(OR(Dashboard!$G$5="All uses",Dashboard!$G$5=""),$E33=Dashboard!$G$5),N($D33)&gt;=Lists!$H$2,OR(OR(Dashboard!$N$5="All windows",Dashboard!$N$5=""),$P33=Dashboard!$N$5)),1,0))</f>
        <v/>
      </c>
      <c r="U33" s="174">
        <f>IF($T33=1,N($D33)*1E14+MIN(MAX(N($R33),0),9999)*1E10+MIN(N($K33),99999)*1E5+99999-MIN(ROW(),99999),"")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inlineStr">
        <is>
          <t>Colombia</t>
        </is>
      </c>
      <c r="O34" s="167" t="n">
        <v>46318</v>
      </c>
      <c r="P34" s="170" t="inlineStr">
        <is>
          <t>2026-Q4</t>
        </is>
      </c>
      <c r="Q34" s="171" t="inlineStr">
        <is>
          <t>sinkhole</t>
        </is>
      </c>
      <c r="R34" s="158" t="n">
        <v>4</v>
      </c>
      <c r="S34" s="172" t="inlineStr">
        <is>
          <t>https://news.google.com/rss/articles/CBMilgFBVV95cUxPaWJCQW9La1Z3UklqdWVaNWVLV3l0TFplUEg0R3h5ZzBSNlJtZnpNb2FONml5V3FqbnJGTnZvQ2JZSllHZGRoX3NWR0l6Q0oyWE02RXlncnRfREVCa0xBRnVMTDNhcWRxLURrVTNJUEl5UkdlU0RtdU9UcUpVdVFzblQ0UmdOVlR0YTBfTVpDbjZud2p5d1E?oc=5</t>
        </is>
      </c>
      <c r="T34" s="173">
        <f>IF($B34="",0,IF(AND(OR(OR(Dashboard!$B$5="All themes",Dashboard!$B$5=""),$C34=Dashboard!$B$5),OR(OR(Dashboard!$G$5="All uses",Dashboard!$G$5=""),$E34=Dashboard!$G$5),N($D34)&gt;=Lists!$H$2,OR(OR(Dashboard!$N$5="All windows",Dashboard!$N$5=""),$P34=Dashboard!$N$5)),1,0))</f>
        <v/>
      </c>
      <c r="U34" s="174">
        <f>IF($T34=1,N($D34)*1E14+MIN(MAX(N($R34),0),9999)*1E10+MIN(N($K34),99999)*1E5+99999-MIN(ROW(),99999),"")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inlineStr">
        <is>
          <t>Colombia</t>
        </is>
      </c>
      <c r="O35" s="167" t="n">
        <v>46317</v>
      </c>
      <c r="P35" s="170" t="inlineStr">
        <is>
          <t>2026-Q4</t>
        </is>
      </c>
      <c r="Q35" s="171" t="inlineStr">
        <is>
          <t>sinkhole</t>
        </is>
      </c>
      <c r="R35" s="158" t="n">
        <v>4</v>
      </c>
      <c r="S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T35" s="173">
        <f>IF($B35="",0,IF(AND(OR(OR(Dashboard!$B$5="All themes",Dashboard!$B$5=""),$C35=Dashboard!$B$5),OR(OR(Dashboard!$G$5="All uses",Dashboard!$G$5=""),$E35=Dashboard!$G$5),N($D35)&gt;=Lists!$H$2,OR(OR(Dashboard!$N$5="All windows",Dashboard!$N$5=""),$P35=Dashboard!$N$5)),1,0))</f>
        <v/>
      </c>
      <c r="U35" s="174">
        <f>IF($T35=1,N($D35)*1E14+MIN(MAX(N($R35),0),9999)*1E10+MIN(N($K35),99999)*1E5+99999-MIN(ROW(),99999),"")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inlineStr">
        <is>
          <t>Colombia</t>
        </is>
      </c>
      <c r="O36" s="167" t="n">
        <v>46318</v>
      </c>
      <c r="P36" s="170" t="inlineStr">
        <is>
          <t>2026-Q4</t>
        </is>
      </c>
      <c r="Q36" s="171" t="inlineStr">
        <is>
          <t>sinkhole</t>
        </is>
      </c>
      <c r="R36" s="158" t="n">
        <v>4</v>
      </c>
      <c r="S36" s="172" t="inlineStr">
        <is>
          <t>https://news.google.com/rss/articles/CBMijgFBVV95cUxORHhvYWNuVVRGRXIybWtsektBWDRYYkhhLWlYd2FwS0pBV2wzWklDdzN3UGxXLWZpa1ZLT0lWM0RZa1RXY0ZDRS1HYUdDV1RJU2dWWFpWalZ3cEhkaGJsYjk2WUZrWXQ3M2hXTWFVSGxSYjFhUzBOVlNnSUYxdVhtMGNBellTcmV4Q295SDJ3?oc=5</t>
        </is>
      </c>
      <c r="T36" s="173">
        <f>IF($B36="",0,IF(AND(OR(OR(Dashboard!$B$5="All themes",Dashboard!$B$5=""),$C36=Dashboard!$B$5),OR(OR(Dashboard!$G$5="All uses",Dashboard!$G$5=""),$E36=Dashboard!$G$5),N($D36)&gt;=Lists!$H$2,OR(OR(Dashboard!$N$5="All windows",Dashboard!$N$5=""),$P36=Dashboard!$N$5)),1,0))</f>
        <v/>
      </c>
      <c r="U36" s="174">
        <f>IF($T36=1,N($D36)*1E14+MIN(MAX(N($R36),0),9999)*1E10+MIN(N($K36),99999)*1E5+99999-MIN(ROW(),99999),"")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inlineStr">
        <is>
          <t>United Kingdom</t>
        </is>
      </c>
      <c r="O37" s="167" t="n">
        <v>46319</v>
      </c>
      <c r="P37" s="170" t="inlineStr">
        <is>
          <t>2026-Q4</t>
        </is>
      </c>
      <c r="Q37" s="171" t="inlineStr">
        <is>
          <t>sinkhole</t>
        </is>
      </c>
      <c r="R37" s="158" t="n">
        <v>4</v>
      </c>
      <c r="S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37" s="173">
        <f>IF($B37="",0,IF(AND(OR(OR(Dashboard!$B$5="All themes",Dashboard!$B$5=""),$C37=Dashboard!$B$5),OR(OR(Dashboard!$G$5="All uses",Dashboard!$G$5=""),$E37=Dashboard!$G$5),N($D37)&gt;=Lists!$H$2,OR(OR(Dashboard!$N$5="All windows",Dashboard!$N$5=""),$P37=Dashboard!$N$5)),1,0))</f>
        <v/>
      </c>
      <c r="U37" s="174">
        <f>IF($T37=1,N($D37)*1E14+MIN(MAX(N($R37),0),9999)*1E10+MIN(N($K37),99999)*1E5+99999-MIN(ROW(),99999),"")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inlineStr">
        <is>
          <t>Colombia</t>
        </is>
      </c>
      <c r="O38" s="167" t="n">
        <v>46317</v>
      </c>
      <c r="P38" s="170" t="inlineStr">
        <is>
          <t>2026-Q4</t>
        </is>
      </c>
      <c r="Q38" s="171" t="inlineStr">
        <is>
          <t>sinkhole</t>
        </is>
      </c>
      <c r="R38" s="158" t="n">
        <v>4</v>
      </c>
      <c r="S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T38" s="173">
        <f>IF($B38="",0,IF(AND(OR(OR(Dashboard!$B$5="All themes",Dashboard!$B$5=""),$C38=Dashboard!$B$5),OR(OR(Dashboard!$G$5="All uses",Dashboard!$G$5=""),$E38=Dashboard!$G$5),N($D38)&gt;=Lists!$H$2,OR(OR(Dashboard!$N$5="All windows",Dashboard!$N$5=""),$P38=Dashboard!$N$5)),1,0))</f>
        <v/>
      </c>
      <c r="U38" s="174">
        <f>IF($T38=1,N($D38)*1E14+MIN(MAX(N($R38),0),9999)*1E10+MIN(N($K38),99999)*1E5+99999-MIN(ROW(),99999),"")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inlineStr">
        <is>
          <t>Colombia</t>
        </is>
      </c>
      <c r="O39" s="167" t="n">
        <v>46318</v>
      </c>
      <c r="P39" s="170" t="inlineStr">
        <is>
          <t>2026-Q4</t>
        </is>
      </c>
      <c r="Q39" s="171" t="inlineStr">
        <is>
          <t>sinkhole</t>
        </is>
      </c>
      <c r="R39" s="158" t="n">
        <v>4</v>
      </c>
      <c r="S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T39" s="173">
        <f>IF($B39="",0,IF(AND(OR(OR(Dashboard!$B$5="All themes",Dashboard!$B$5=""),$C39=Dashboard!$B$5),OR(OR(Dashboard!$G$5="All uses",Dashboard!$G$5=""),$E39=Dashboard!$G$5),N($D39)&gt;=Lists!$H$2,OR(OR(Dashboard!$N$5="All windows",Dashboard!$N$5=""),$P39=Dashboard!$N$5)),1,0))</f>
        <v/>
      </c>
      <c r="U39" s="174">
        <f>IF($T39=1,N($D39)*1E14+MIN(MAX(N($R39),0),9999)*1E10+MIN(N($K39),99999)*1E5+99999-MIN(ROW(),99999),"")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inlineStr">
        <is>
          <t>Colombia</t>
        </is>
      </c>
      <c r="O40" s="167" t="n">
        <v>46319</v>
      </c>
      <c r="P40" s="170" t="inlineStr">
        <is>
          <t>2026-Q4</t>
        </is>
      </c>
      <c r="Q40" s="171" t="inlineStr">
        <is>
          <t>sinkhole</t>
        </is>
      </c>
      <c r="R40" s="158" t="n">
        <v>4</v>
      </c>
      <c r="S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T40" s="173">
        <f>IF($B40="",0,IF(AND(OR(OR(Dashboard!$B$5="All themes",Dashboard!$B$5=""),$C40=Dashboard!$B$5),OR(OR(Dashboard!$G$5="All uses",Dashboard!$G$5=""),$E40=Dashboard!$G$5),N($D40)&gt;=Lists!$H$2,OR(OR(Dashboard!$N$5="All windows",Dashboard!$N$5=""),$P40=Dashboard!$N$5)),1,0))</f>
        <v/>
      </c>
      <c r="U40" s="174">
        <f>IF($T40=1,N($D40)*1E14+MIN(MAX(N($R40),0),9999)*1E10+MIN(N($K40),99999)*1E5+99999-MIN(ROW(),99999),"")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inlineStr">
        <is>
          <t>Colombia</t>
        </is>
      </c>
      <c r="O41" s="167" t="n">
        <v>46317</v>
      </c>
      <c r="P41" s="170" t="inlineStr">
        <is>
          <t>2026-Q4</t>
        </is>
      </c>
      <c r="Q41" s="171" t="inlineStr">
        <is>
          <t>sinkhole</t>
        </is>
      </c>
      <c r="R41" s="158" t="n">
        <v>4</v>
      </c>
      <c r="S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T41" s="173">
        <f>IF($B41="",0,IF(AND(OR(OR(Dashboard!$B$5="All themes",Dashboard!$B$5=""),$C41=Dashboard!$B$5),OR(OR(Dashboard!$G$5="All uses",Dashboard!$G$5=""),$E41=Dashboard!$G$5),N($D41)&gt;=Lists!$H$2,OR(OR(Dashboard!$N$5="All windows",Dashboard!$N$5=""),$P41=Dashboard!$N$5)),1,0))</f>
        <v/>
      </c>
      <c r="U41" s="174">
        <f>IF($T41=1,N($D41)*1E14+MIN(MAX(N($R41),0),9999)*1E10+MIN(N($K41),99999)*1E5+99999-MIN(ROW(),99999),"")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inlineStr">
        <is>
          <t>Egypt</t>
        </is>
      </c>
      <c r="O42" s="167" t="n">
        <v>46319</v>
      </c>
      <c r="P42" s="170" t="inlineStr">
        <is>
          <t>2026-Q4</t>
        </is>
      </c>
      <c r="Q42" s="171" t="n"/>
      <c r="R42" s="158" t="n">
        <v>0</v>
      </c>
      <c r="S42" s="172" t="inlineStr">
        <is>
          <t>https://news.google.com/rss/articles/CBMijAFBVV95cUxOLWcwOXFBTWY2NnVDYW5EVi1yMldxeWpKd3NNTjB6SjMtS2FFRjBYQUd6ek1FYkVnVndOX0J3YXk1a3dVZW9KRWFCaV9KaHc4a25tdDBTWmFXc2hnU09sWEtNb2gxVjFhQ3RJaEJpVWhURWowRjNwVlV6ZG9RWVRlb1lpYXBrUV9YU0dDOQ?oc=5</t>
        </is>
      </c>
      <c r="T42" s="173">
        <f>IF($B42="",0,IF(AND(OR(OR(Dashboard!$B$5="All themes",Dashboard!$B$5=""),$C42=Dashboard!$B$5),OR(OR(Dashboard!$G$5="All uses",Dashboard!$G$5=""),$E42=Dashboard!$G$5),N($D42)&gt;=Lists!$H$2,OR(OR(Dashboard!$N$5="All windows",Dashboard!$N$5=""),$P42=Dashboard!$N$5)),1,0))</f>
        <v/>
      </c>
      <c r="U42" s="174">
        <f>IF($T42=1,N($D42)*1E14+MIN(MAX(N($R42),0),9999)*1E10+MIN(N($K42),99999)*1E5+99999-MIN(ROW(),99999),"")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inlineStr">
        <is>
          <t>China</t>
        </is>
      </c>
      <c r="O43" s="167" t="n">
        <v>46318</v>
      </c>
      <c r="P43" s="170" t="inlineStr">
        <is>
          <t>2026-Q4</t>
        </is>
      </c>
      <c r="Q43" s="171" t="n"/>
      <c r="R43" s="158" t="n">
        <v>0</v>
      </c>
      <c r="S43" s="172" t="inlineStr">
        <is>
          <t>https://news.google.com/rss/articles/CBMibkFVX3lxTE5PclBzMHZTYkNxbkRYVWFacWgzMjRTdE1JdmNYSi1xbTlBaVZLRTVjTHpCTlQ4c2lEQ2xoMk9kcEdROGxBOFI4Zk9YV3JGSXdUZDg1blVlelJzbU54VjkzTkUySEV5Z2x2aHY5R0xB?oc=5</t>
        </is>
      </c>
      <c r="T43" s="173">
        <f>IF($B43="",0,IF(AND(OR(OR(Dashboard!$B$5="All themes",Dashboard!$B$5=""),$C43=Dashboard!$B$5),OR(OR(Dashboard!$G$5="All uses",Dashboard!$G$5=""),$E43=Dashboard!$G$5),N($D43)&gt;=Lists!$H$2,OR(OR(Dashboard!$N$5="All windows",Dashboard!$N$5=""),$P43=Dashboard!$N$5)),1,0))</f>
        <v/>
      </c>
      <c r="U43" s="174">
        <f>IF($T43=1,N($D43)*1E14+MIN(MAX(N($R43),0),9999)*1E10+MIN(N($K43),99999)*1E5+99999-MIN(ROW(),99999),"")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inlineStr">
        <is>
          <t>Egypt</t>
        </is>
      </c>
      <c r="O44" s="167" t="n">
        <v>46318</v>
      </c>
      <c r="P44" s="170" t="inlineStr">
        <is>
          <t>2026-Q4</t>
        </is>
      </c>
      <c r="Q44" s="171" t="n"/>
      <c r="R44" s="158" t="n">
        <v>0</v>
      </c>
      <c r="S44" s="172" t="inlineStr">
        <is>
          <t>https://news.google.com/rss/articles/CBMic0FVX3lxTE85MmNnNDd2QkUzaFV4QTZmTmJXNTAzbUZfMjdpdlNaSjEyODN0eW51ZUp0RzE3SHY2NzRuQlZtOHdtcnFQLWlBOGQ5eVQ3QTU1REJMWTRvZm1qTFZHZWZ0ZU9WTGRiYkhJNGVEaEliZW9GZWc?oc=5</t>
        </is>
      </c>
      <c r="T44" s="173">
        <f>IF($B44="",0,IF(AND(OR(OR(Dashboard!$B$5="All themes",Dashboard!$B$5=""),$C44=Dashboard!$B$5),OR(OR(Dashboard!$G$5="All uses",Dashboard!$G$5=""),$E44=Dashboard!$G$5),N($D44)&gt;=Lists!$H$2,OR(OR(Dashboard!$N$5="All windows",Dashboard!$N$5=""),$P44=Dashboard!$N$5)),1,0))</f>
        <v/>
      </c>
      <c r="U44" s="174">
        <f>IF($T44=1,N($D44)*1E14+MIN(MAX(N($R44),0),9999)*1E10+MIN(N($K44),99999)*1E5+99999-MIN(ROW(),99999),"")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inlineStr">
        <is>
          <t>Vietnam</t>
        </is>
      </c>
      <c r="O45" s="167" t="n">
        <v>46318</v>
      </c>
      <c r="P45" s="170" t="inlineStr">
        <is>
          <t>2026-Q4</t>
        </is>
      </c>
      <c r="Q45" s="171" t="n"/>
      <c r="R45" s="158" t="n">
        <v>0</v>
      </c>
      <c r="S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T45" s="173">
        <f>IF($B45="",0,IF(AND(OR(OR(Dashboard!$B$5="All themes",Dashboard!$B$5=""),$C45=Dashboard!$B$5),OR(OR(Dashboard!$G$5="All uses",Dashboard!$G$5=""),$E45=Dashboard!$G$5),N($D45)&gt;=Lists!$H$2,OR(OR(Dashboard!$N$5="All windows",Dashboard!$N$5=""),$P45=Dashboard!$N$5)),1,0))</f>
        <v/>
      </c>
      <c r="U45" s="174">
        <f>IF($T45=1,N($D45)*1E14+MIN(MAX(N($R45),0),9999)*1E10+MIN(N($K45),99999)*1E5+99999-MIN(ROW(),99999),"")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inlineStr">
        <is>
          <t>Vietnam</t>
        </is>
      </c>
      <c r="O46" s="167" t="n">
        <v>46318</v>
      </c>
      <c r="P46" s="170" t="inlineStr">
        <is>
          <t>2026-Q4</t>
        </is>
      </c>
      <c r="Q46" s="171" t="n"/>
      <c r="R46" s="158" t="n">
        <v>0</v>
      </c>
      <c r="S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T46" s="173">
        <f>IF($B46="",0,IF(AND(OR(OR(Dashboard!$B$5="All themes",Dashboard!$B$5=""),$C46=Dashboard!$B$5),OR(OR(Dashboard!$G$5="All uses",Dashboard!$G$5=""),$E46=Dashboard!$G$5),N($D46)&gt;=Lists!$H$2,OR(OR(Dashboard!$N$5="All windows",Dashboard!$N$5=""),$P46=Dashboard!$N$5)),1,0))</f>
        <v/>
      </c>
      <c r="U46" s="174">
        <f>IF($T46=1,N($D46)*1E14+MIN(MAX(N($R46),0),9999)*1E10+MIN(N($K46),99999)*1E5+99999-MIN(ROW(),99999),"")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7" t="n">
        <v>46318</v>
      </c>
      <c r="P47" s="170" t="inlineStr">
        <is>
          <t>2026-Q4</t>
        </is>
      </c>
      <c r="Q47" s="171" t="inlineStr">
        <is>
          <t>excavation, tbm, tunnelling, tunnel</t>
        </is>
      </c>
      <c r="R47" s="158" t="n">
        <v>10</v>
      </c>
      <c r="S47" s="172" t="inlineStr">
        <is>
          <t>https://www.tunnelsandtunnelling.com/news/snowy-2-0-cost-and-completion-date-revised/</t>
        </is>
      </c>
      <c r="T47" s="173">
        <f>IF($B47="",0,IF(AND(OR(OR(Dashboard!$B$5="All themes",Dashboard!$B$5=""),$C47=Dashboard!$B$5),OR(OR(Dashboard!$G$5="All uses",Dashboard!$G$5=""),$E47=Dashboard!$G$5),N($D47)&gt;=Lists!$H$2,OR(OR(Dashboard!$N$5="All windows",Dashboard!$N$5=""),$P47=Dashboard!$N$5)),1,0))</f>
        <v/>
      </c>
      <c r="U47" s="174">
        <f>IF($T47=1,N($D47)*1E14+MIN(MAX(N($R47),0),9999)*1E10+MIN(N($K47),99999)*1E5+99999-MIN(ROW(),99999),"")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7" t="n">
        <v>46317</v>
      </c>
      <c r="P48" s="170" t="inlineStr">
        <is>
          <t>2026-Q4</t>
        </is>
      </c>
      <c r="Q48" s="171" t="inlineStr">
        <is>
          <t>tunnelling, tunnel</t>
        </is>
      </c>
      <c r="R48" s="158" t="n">
        <v>7</v>
      </c>
      <c r="S48" s="172" t="inlineStr">
        <is>
          <t>https://tunnellingjournal.com/mobile-shield-deployed-for-a14-vinci-tunnel-reconstruction/</t>
        </is>
      </c>
      <c r="T48" s="173">
        <f>IF($B48="",0,IF(AND(OR(OR(Dashboard!$B$5="All themes",Dashboard!$B$5=""),$C48=Dashboard!$B$5),OR(OR(Dashboard!$G$5="All uses",Dashboard!$G$5=""),$E48=Dashboard!$G$5),N($D48)&gt;=Lists!$H$2,OR(OR(Dashboard!$N$5="All windows",Dashboard!$N$5=""),$P48=Dashboard!$N$5)),1,0))</f>
        <v/>
      </c>
      <c r="U48" s="174">
        <f>IF($T48=1,N($D48)*1E14+MIN(MAX(N($R48),0),9999)*1E10+MIN(N($K48),99999)*1E5+99999-MIN(ROW(),99999),"")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inlineStr">
        <is>
          <t>Indonesia</t>
        </is>
      </c>
      <c r="O49" s="167" t="n">
        <v>46319</v>
      </c>
      <c r="P49" s="170" t="inlineStr">
        <is>
          <t>2026-Q4</t>
        </is>
      </c>
      <c r="Q49" s="171" t="n"/>
      <c r="R49" s="158" t="n">
        <v>6</v>
      </c>
      <c r="S49" s="172" t="inlineStr">
        <is>
          <t>https://news.google.com/rss/articles/CBMilgFBVV95cUxPbVV1NmdrOGFidElfXzZzV1ppbDBCOEc5V0luUWxOSTAwMXNGdmhVMkoxMjUwSUpmbU5lQlBuNkFVTXZGMk5IRzd5Y0taREt0ckRUT3VqSjBfbGFPTmRjUTZFS18wLTQ5Wi1ZdnFtYWd1QmN0U0Nsekx4ZzR0YVk0dmhhTXVpTW1rdEpCbGlKLTZNVXVzMEE?oc=5</t>
        </is>
      </c>
      <c r="T49" s="173">
        <f>IF($B49="",0,IF(AND(OR(OR(Dashboard!$B$5="All themes",Dashboard!$B$5=""),$C49=Dashboard!$B$5),OR(OR(Dashboard!$G$5="All uses",Dashboard!$G$5=""),$E49=Dashboard!$G$5),N($D49)&gt;=Lists!$H$2,OR(OR(Dashboard!$N$5="All windows",Dashboard!$N$5=""),$P49=Dashboard!$N$5)),1,0))</f>
        <v/>
      </c>
      <c r="U49" s="174">
        <f>IF($T49=1,N($D49)*1E14+MIN(MAX(N($R49),0),9999)*1E10+MIN(N($K49),99999)*1E5+99999-MIN(ROW(),99999),"")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7" t="n">
        <v>46318</v>
      </c>
      <c r="P50" s="170" t="inlineStr">
        <is>
          <t>2026-Q4</t>
        </is>
      </c>
      <c r="Q50" s="171" t="inlineStr">
        <is>
          <t>tunnelling, tunnel</t>
        </is>
      </c>
      <c r="R50" s="158" t="n">
        <v>5</v>
      </c>
      <c r="S50" s="172" t="inlineStr">
        <is>
          <t>https://www.tunnelsandtunnelling.com/news/abergeldie-awarded-patent-for-underground-hydrogen-storage-solution/</t>
        </is>
      </c>
      <c r="T50" s="173">
        <f>IF($B50="",0,IF(AND(OR(OR(Dashboard!$B$5="All themes",Dashboard!$B$5=""),$C50=Dashboard!$B$5),OR(OR(Dashboard!$G$5="All uses",Dashboard!$G$5=""),$E50=Dashboard!$G$5),N($D50)&gt;=Lists!$H$2,OR(OR(Dashboard!$N$5="All windows",Dashboard!$N$5=""),$P50=Dashboard!$N$5)),1,0))</f>
        <v/>
      </c>
      <c r="U50" s="174">
        <f>IF($T50=1,N($D50)*1E14+MIN(MAX(N($R50),0),9999)*1E10+MIN(N($K50),99999)*1E5+99999-MIN(ROW(),99999),"")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7" t="n">
        <v>46318</v>
      </c>
      <c r="P51" s="170" t="inlineStr">
        <is>
          <t>2026-Q4</t>
        </is>
      </c>
      <c r="Q51" s="171" t="inlineStr">
        <is>
          <t>tunnelling</t>
        </is>
      </c>
      <c r="R51" s="158" t="n">
        <v>5</v>
      </c>
      <c r="S51" s="172" t="inlineStr">
        <is>
          <t>https://tunnellingjournal.com/snowy-2-0-cost-rises-to-a22-2bn-as-tunnelling-reaches-65-completion/</t>
        </is>
      </c>
      <c r="T51" s="173">
        <f>IF($B51="",0,IF(AND(OR(OR(Dashboard!$B$5="All themes",Dashboard!$B$5=""),$C51=Dashboard!$B$5),OR(OR(Dashboard!$G$5="All uses",Dashboard!$G$5=""),$E51=Dashboard!$G$5),N($D51)&gt;=Lists!$H$2,OR(OR(Dashboard!$N$5="All windows",Dashboard!$N$5=""),$P51=Dashboard!$N$5)),1,0))</f>
        <v/>
      </c>
      <c r="U51" s="174">
        <f>IF($T51=1,N($D51)*1E14+MIN(MAX(N($R51),0),9999)*1E10+MIN(N($K51),99999)*1E5+99999-MIN(ROW(),99999),"")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inlineStr">
        <is>
          <t>Peru</t>
        </is>
      </c>
      <c r="O52" s="167" t="n">
        <v>46318</v>
      </c>
      <c r="P52" s="170" t="inlineStr">
        <is>
          <t>2026-Q4</t>
        </is>
      </c>
      <c r="Q52" s="171" t="inlineStr">
        <is>
          <t>site investigation, soil</t>
        </is>
      </c>
      <c r="R52" s="158" t="n">
        <v>5</v>
      </c>
      <c r="S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T52" s="173">
        <f>IF($B52="",0,IF(AND(OR(OR(Dashboard!$B$5="All themes",Dashboard!$B$5=""),$C52=Dashboard!$B$5),OR(OR(Dashboard!$G$5="All uses",Dashboard!$G$5=""),$E52=Dashboard!$G$5),N($D52)&gt;=Lists!$H$2,OR(OR(Dashboard!$N$5="All windows",Dashboard!$N$5=""),$P52=Dashboard!$N$5)),1,0))</f>
        <v/>
      </c>
      <c r="U52" s="174">
        <f>IF($T52=1,N($D52)*1E14+MIN(MAX(N($R52),0),9999)*1E10+MIN(N($K52),99999)*1E5+99999-MIN(ROW(),99999),"")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inlineStr">
        <is>
          <t>Colombia</t>
        </is>
      </c>
      <c r="O53" s="167" t="n">
        <v>46317</v>
      </c>
      <c r="P53" s="170" t="inlineStr">
        <is>
          <t>2026-Q4</t>
        </is>
      </c>
      <c r="Q53" s="171" t="inlineStr">
        <is>
          <t>sinkhole</t>
        </is>
      </c>
      <c r="R53" s="158" t="n">
        <v>4</v>
      </c>
      <c r="S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T53" s="173">
        <f>IF($B53="",0,IF(AND(OR(OR(Dashboard!$B$5="All themes",Dashboard!$B$5=""),$C53=Dashboard!$B$5),OR(OR(Dashboard!$G$5="All uses",Dashboard!$G$5=""),$E53=Dashboard!$G$5),N($D53)&gt;=Lists!$H$2,OR(OR(Dashboard!$N$5="All windows",Dashboard!$N$5=""),$P53=Dashboard!$N$5)),1,0))</f>
        <v/>
      </c>
      <c r="U53" s="174">
        <f>IF($T53=1,N($D53)*1E14+MIN(MAX(N($R53),0),9999)*1E10+MIN(N($K53),99999)*1E5+99999-MIN(ROW(),99999),"")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inlineStr">
        <is>
          <t>Colombia</t>
        </is>
      </c>
      <c r="O54" s="167" t="n">
        <v>46319</v>
      </c>
      <c r="P54" s="170" t="inlineStr">
        <is>
          <t>2026-Q4</t>
        </is>
      </c>
      <c r="Q54" s="171" t="inlineStr">
        <is>
          <t>sinkhole</t>
        </is>
      </c>
      <c r="R54" s="158" t="n">
        <v>4</v>
      </c>
      <c r="S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T54" s="173">
        <f>IF($B54="",0,IF(AND(OR(OR(Dashboard!$B$5="All themes",Dashboard!$B$5=""),$C54=Dashboard!$B$5),OR(OR(Dashboard!$G$5="All uses",Dashboard!$G$5=""),$E54=Dashboard!$G$5),N($D54)&gt;=Lists!$H$2,OR(OR(Dashboard!$N$5="All windows",Dashboard!$N$5=""),$P54=Dashboard!$N$5)),1,0))</f>
        <v/>
      </c>
      <c r="U54" s="174">
        <f>IF($T54=1,N($D54)*1E14+MIN(MAX(N($R54),0),9999)*1E10+MIN(N($K54),99999)*1E5+99999-MIN(ROW(),99999),"")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inlineStr">
        <is>
          <t>Russia</t>
        </is>
      </c>
      <c r="O55" s="167" t="n">
        <v>46318</v>
      </c>
      <c r="P55" s="170" t="inlineStr">
        <is>
          <t>2026-Q4</t>
        </is>
      </c>
      <c r="Q55" s="171" t="inlineStr">
        <is>
          <t>retaining wall</t>
        </is>
      </c>
      <c r="R55" s="158" t="n">
        <v>4</v>
      </c>
      <c r="S55" s="172" t="inlineStr">
        <is>
          <t>https://news.google.com/rss/articles/CBMiREFVX3lxTE9KcGh5bWlxWEhKT3FXdU5qVjNOd3c3clQ1bGw1YWFmaHljV0U3ckZYcndLVTgtakJFSHZZQ3ViYXg2QnV4?oc=5</t>
        </is>
      </c>
      <c r="T55" s="173">
        <f>IF($B55="",0,IF(AND(OR(OR(Dashboard!$B$5="All themes",Dashboard!$B$5=""),$C55=Dashboard!$B$5),OR(OR(Dashboard!$G$5="All uses",Dashboard!$G$5=""),$E55=Dashboard!$G$5),N($D55)&gt;=Lists!$H$2,OR(OR(Dashboard!$N$5="All windows",Dashboard!$N$5=""),$P55=Dashboard!$N$5)),1,0))</f>
        <v/>
      </c>
      <c r="U55" s="174">
        <f>IF($T55=1,N($D55)*1E14+MIN(MAX(N($R55),0),9999)*1E10+MIN(N($K55),99999)*1E5+99999-MIN(ROW(),99999),"")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inlineStr">
        <is>
          <t>Colombia</t>
        </is>
      </c>
      <c r="O56" s="167" t="n">
        <v>46319</v>
      </c>
      <c r="P56" s="170" t="inlineStr">
        <is>
          <t>2026-Q4</t>
        </is>
      </c>
      <c r="Q56" s="171" t="inlineStr">
        <is>
          <t>sinkhole</t>
        </is>
      </c>
      <c r="R56" s="158" t="n">
        <v>4</v>
      </c>
      <c r="S56" s="172" t="inlineStr">
        <is>
          <t>https://news.google.com/rss/articles/CBMijAFBVV95cUxQdDFPZ1hLdVRrLUxWRTkyRWtWTjdrMTlTMi1EdW5meVA1dG5ZUWxNZ09MRThFeTk0OThLTDg4QkhBRlQwMzZkTnRBWnh2ZjdTWkhVWTcxX0QxYnNrMW9XOHNyVFZxeHpJMkthZDJRbGtsV0VuTjkwLXFTN0JSS2k2NU85em9uLWgtTjBjUQ?oc=5</t>
        </is>
      </c>
      <c r="T56" s="173">
        <f>IF($B56="",0,IF(AND(OR(OR(Dashboard!$B$5="All themes",Dashboard!$B$5=""),$C56=Dashboard!$B$5),OR(OR(Dashboard!$G$5="All uses",Dashboard!$G$5=""),$E56=Dashboard!$G$5),N($D56)&gt;=Lists!$H$2,OR(OR(Dashboard!$N$5="All windows",Dashboard!$N$5=""),$P56=Dashboard!$N$5)),1,0))</f>
        <v/>
      </c>
      <c r="U56" s="174">
        <f>IF($T56=1,N($D56)*1E14+MIN(MAX(N($R56),0),9999)*1E10+MIN(N($K56),99999)*1E5+99999-MIN(ROW(),99999),"")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inlineStr">
        <is>
          <t>Colombia</t>
        </is>
      </c>
      <c r="O57" s="167" t="n">
        <v>46319</v>
      </c>
      <c r="P57" s="170" t="inlineStr">
        <is>
          <t>2026-Q4</t>
        </is>
      </c>
      <c r="Q57" s="171" t="inlineStr">
        <is>
          <t>sinkhole</t>
        </is>
      </c>
      <c r="R57" s="158" t="n">
        <v>4</v>
      </c>
      <c r="S57" s="172" t="inlineStr">
        <is>
          <t>https://news.google.com/rss/articles/CBMic0FVX3lxTE56eFFxMjNpU2dPWkppM1RsMEJJbThwdXcyYk1id0t2V1RCYUFMQTJzVGRGMFBxODZlSi1IVERlM29jWGtJRUtkb1M5em1ISlMwd1hBVnkwNEVOb1hiWlkzNU9JZUJJbWZXNUFZWTh5YkE5SE0?oc=5</t>
        </is>
      </c>
      <c r="T57" s="173">
        <f>IF($B57="",0,IF(AND(OR(OR(Dashboard!$B$5="All themes",Dashboard!$B$5=""),$C57=Dashboard!$B$5),OR(OR(Dashboard!$G$5="All uses",Dashboard!$G$5=""),$E57=Dashboard!$G$5),N($D57)&gt;=Lists!$H$2,OR(OR(Dashboard!$N$5="All windows",Dashboard!$N$5=""),$P57=Dashboard!$N$5)),1,0))</f>
        <v/>
      </c>
      <c r="U57" s="174">
        <f>IF($T57=1,N($D57)*1E14+MIN(MAX(N($R57),0),9999)*1E10+MIN(N($K57),99999)*1E5+99999-MIN(ROW(),99999),"")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inlineStr">
        <is>
          <t>Colombia</t>
        </is>
      </c>
      <c r="O58" s="167" t="n">
        <v>46318</v>
      </c>
      <c r="P58" s="170" t="inlineStr">
        <is>
          <t>2026-Q4</t>
        </is>
      </c>
      <c r="Q58" s="171" t="inlineStr">
        <is>
          <t>sinkhole</t>
        </is>
      </c>
      <c r="R58" s="158" t="n">
        <v>4</v>
      </c>
      <c r="S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T58" s="173">
        <f>IF($B58="",0,IF(AND(OR(OR(Dashboard!$B$5="All themes",Dashboard!$B$5=""),$C58=Dashboard!$B$5),OR(OR(Dashboard!$G$5="All uses",Dashboard!$G$5=""),$E58=Dashboard!$G$5),N($D58)&gt;=Lists!$H$2,OR(OR(Dashboard!$N$5="All windows",Dashboard!$N$5=""),$P58=Dashboard!$N$5)),1,0))</f>
        <v/>
      </c>
      <c r="U58" s="174">
        <f>IF($T58=1,N($D58)*1E14+MIN(MAX(N($R58),0),9999)*1E10+MIN(N($K58),99999)*1E5+99999-MIN(ROW(),99999),"")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inlineStr">
        <is>
          <t>Colombia</t>
        </is>
      </c>
      <c r="O59" s="167" t="n">
        <v>46318</v>
      </c>
      <c r="P59" s="170" t="inlineStr">
        <is>
          <t>2026-Q4</t>
        </is>
      </c>
      <c r="Q59" s="171" t="inlineStr">
        <is>
          <t>sinkhole</t>
        </is>
      </c>
      <c r="R59" s="158" t="n">
        <v>4</v>
      </c>
      <c r="S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T59" s="173">
        <f>IF($B59="",0,IF(AND(OR(OR(Dashboard!$B$5="All themes",Dashboard!$B$5=""),$C59=Dashboard!$B$5),OR(OR(Dashboard!$G$5="All uses",Dashboard!$G$5=""),$E59=Dashboard!$G$5),N($D59)&gt;=Lists!$H$2,OR(OR(Dashboard!$N$5="All windows",Dashboard!$N$5=""),$P59=Dashboard!$N$5)),1,0))</f>
        <v/>
      </c>
      <c r="U59" s="174">
        <f>IF($T59=1,N($D59)*1E14+MIN(MAX(N($R59),0),9999)*1E10+MIN(N($K59),99999)*1E5+99999-MIN(ROW(),99999),"")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inlineStr">
        <is>
          <t>Egypt</t>
        </is>
      </c>
      <c r="O60" s="167" t="n">
        <v>46318</v>
      </c>
      <c r="P60" s="170" t="inlineStr">
        <is>
          <t>2026-Q4</t>
        </is>
      </c>
      <c r="Q60" s="171" t="n"/>
      <c r="R60" s="158" t="n">
        <v>0</v>
      </c>
      <c r="S60" s="172" t="inlineStr">
        <is>
          <t>https://news.google.com/rss/articles/CBMijgFBVV95cUxNdzRhVnVlVUVUU1k4S3pUQVo2RFJENXlEM1V6Z2FrVzRMQ2cxb0pZNkJpWUY5UWFHd1ZIUEZmU2x4SGtydEtXN3k2bTBIYWQ3VmZNZkNTRkhfRFctd3JZdThkRW1HTWIxYmVXRDZsazFZVTJsUzVjTWk0R2FIUElZRG5lLUpaeXpHRlZSdFBn?oc=5</t>
        </is>
      </c>
      <c r="T60" s="173">
        <f>IF($B60="",0,IF(AND(OR(OR(Dashboard!$B$5="All themes",Dashboard!$B$5=""),$C60=Dashboard!$B$5),OR(OR(Dashboard!$G$5="All uses",Dashboard!$G$5=""),$E60=Dashboard!$G$5),N($D60)&gt;=Lists!$H$2,OR(OR(Dashboard!$N$5="All windows",Dashboard!$N$5=""),$P60=Dashboard!$N$5)),1,0))</f>
        <v/>
      </c>
      <c r="U60" s="174">
        <f>IF($T60=1,N($D60)*1E14+MIN(MAX(N($R60),0),9999)*1E10+MIN(N($K60),99999)*1E5+99999-MIN(ROW(),99999),"")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inlineStr">
        <is>
          <t>Brazil</t>
        </is>
      </c>
      <c r="O61" s="167" t="n">
        <v>46319</v>
      </c>
      <c r="P61" s="170" t="inlineStr">
        <is>
          <t>2026-Q4</t>
        </is>
      </c>
      <c r="Q61" s="171" t="n"/>
      <c r="R61" s="158" t="n">
        <v>0</v>
      </c>
      <c r="S61" s="172" t="inlineStr">
        <is>
          <t>https://news.google.com/rss/articles/CBMilgFBVV95cUxNS29sd2RXaDlmWXJYMzNQSnJKZGpCWmJpOE9kVEdWQ2RFcUd0UHBGdHdRczJLbFRwTHFDb0ZPY1lHOHNsRGtTLXhTb081eGdyWF9YcmcxZkFrc2VNNzBJOUxNU1ppYnZtWlZBTTlZcXNfa2xNVUZWRTUyMkRlTHRUMmJ4Nk95a1kybUNTTmVPaklQSHktWUE?oc=5</t>
        </is>
      </c>
      <c r="T61" s="173">
        <f>IF($B61="",0,IF(AND(OR(OR(Dashboard!$B$5="All themes",Dashboard!$B$5=""),$C61=Dashboard!$B$5),OR(OR(Dashboard!$G$5="All uses",Dashboard!$G$5=""),$E61=Dashboard!$G$5),N($D61)&gt;=Lists!$H$2,OR(OR(Dashboard!$N$5="All windows",Dashboard!$N$5=""),$P61=Dashboard!$N$5)),1,0))</f>
        <v/>
      </c>
      <c r="U61" s="174">
        <f>IF($T61=1,N($D61)*1E14+MIN(MAX(N($R61),0),9999)*1E10+MIN(N($K61),99999)*1E5+99999-MIN(ROW(),99999),"")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inlineStr">
        <is>
          <t>Argentina</t>
        </is>
      </c>
      <c r="O62" s="167" t="n">
        <v>46317</v>
      </c>
      <c r="P62" s="170" t="inlineStr">
        <is>
          <t>2026-Q4</t>
        </is>
      </c>
      <c r="Q62" s="171" t="n"/>
      <c r="R62" s="158" t="n">
        <v>0</v>
      </c>
      <c r="S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T62" s="173">
        <f>IF($B62="",0,IF(AND(OR(OR(Dashboard!$B$5="All themes",Dashboard!$B$5=""),$C62=Dashboard!$B$5),OR(OR(Dashboard!$G$5="All uses",Dashboard!$G$5=""),$E62=Dashboard!$G$5),N($D62)&gt;=Lists!$H$2,OR(OR(Dashboard!$N$5="All windows",Dashboard!$N$5=""),$P62=Dashboard!$N$5)),1,0))</f>
        <v/>
      </c>
      <c r="U62" s="174">
        <f>IF($T62=1,N($D62)*1E14+MIN(MAX(N($R62),0),9999)*1E10+MIN(N($K62),99999)*1E5+99999-MIN(ROW(),99999),"")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inlineStr">
        <is>
          <t>Argentina</t>
        </is>
      </c>
      <c r="O63" s="167" t="n">
        <v>46318</v>
      </c>
      <c r="P63" s="170" t="inlineStr">
        <is>
          <t>2026-Q4</t>
        </is>
      </c>
      <c r="Q63" s="171" t="n"/>
      <c r="R63" s="158" t="n">
        <v>0</v>
      </c>
      <c r="S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T63" s="173">
        <f>IF($B63="",0,IF(AND(OR(OR(Dashboard!$B$5="All themes",Dashboard!$B$5=""),$C63=Dashboard!$B$5),OR(OR(Dashboard!$G$5="All uses",Dashboard!$G$5=""),$E63=Dashboard!$G$5),N($D63)&gt;=Lists!$H$2,OR(OR(Dashboard!$N$5="All windows",Dashboard!$N$5=""),$P63=Dashboard!$N$5)),1,0))</f>
        <v/>
      </c>
      <c r="U63" s="174">
        <f>IF($T63=1,N($D63)*1E14+MIN(MAX(N($R63),0),9999)*1E10+MIN(N($K63),99999)*1E5+99999-MIN(ROW(),99999),"")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34" t="n">
        <v>16</v>
      </c>
      <c r="C4" s="235">
        <f>SUMPRODUCT(Stories!$T$4:$T$63,--(Stories!$J$4:$J$63=$A4))</f>
        <v/>
      </c>
      <c r="D4" s="236" t="n">
        <v>3.9</v>
      </c>
      <c r="E4" s="234" t="n">
        <v>13</v>
      </c>
      <c r="F4" s="237" t="inlineStr">
        <is>
          <t>Hazards &amp; Resilience</t>
        </is>
      </c>
      <c r="G4" s="234" t="n">
        <v>5</v>
      </c>
      <c r="H4" s="171" t="inlineStr">
        <is>
          <t>Vietnam, Egypt, Indonesia, Russia, Colombia, Spain, South Korea, Brazil</t>
        </is>
      </c>
      <c r="I4" s="238" t="n">
        <v>46319</v>
      </c>
    </row>
    <row r="5" ht="15.5" customHeight="1">
      <c r="A5" s="229" t="inlineStr">
        <is>
          <t>Ground Engineering</t>
        </is>
      </c>
      <c r="B5" s="234" t="n">
        <v>2</v>
      </c>
      <c r="C5" s="235">
        <f>SUMPRODUCT(Stories!$T$4:$T$63,--(Stories!$J$4:$J$63=$A5))</f>
        <v/>
      </c>
      <c r="D5" s="236" t="n">
        <v>4.5</v>
      </c>
      <c r="E5" s="234" t="n">
        <v>2</v>
      </c>
      <c r="F5" s="239" t="inlineStr">
        <is>
          <t>Offshore, Coasts &amp; Water</t>
        </is>
      </c>
      <c r="G5" s="234" t="n">
        <v>2</v>
      </c>
      <c r="H5" s="171" t="inlineStr"/>
      <c r="I5" s="238" t="n">
        <v>46319</v>
      </c>
    </row>
    <row r="6" ht="28" customHeight="1">
      <c r="A6" s="229" t="inlineStr">
        <is>
          <t>Tunnelling Journal</t>
        </is>
      </c>
      <c r="B6" s="234" t="n">
        <v>2</v>
      </c>
      <c r="C6" s="235">
        <f>SUMPRODUCT(Stories!$T$4:$T$63,--(Stories!$J$4:$J$63=$A6))</f>
        <v/>
      </c>
      <c r="D6" s="236" t="n">
        <v>3</v>
      </c>
      <c r="E6" s="234" t="n">
        <v>0</v>
      </c>
      <c r="F6" s="240" t="inlineStr">
        <is>
          <t>Infrastructure &amp; the Underground City</t>
        </is>
      </c>
      <c r="G6" s="234" t="n">
        <v>2</v>
      </c>
      <c r="H6" s="171" t="inlineStr"/>
      <c r="I6" s="238" t="n">
        <v>46319</v>
      </c>
    </row>
    <row r="7" ht="28" customHeight="1">
      <c r="A7" s="229" t="inlineStr">
        <is>
          <t>Tunnels &amp; Tunnelling</t>
        </is>
      </c>
      <c r="B7" s="234" t="n">
        <v>2</v>
      </c>
      <c r="C7" s="235">
        <f>SUMPRODUCT(Stories!$T$4:$T$63,--(Stories!$J$4:$J$63=$A7))</f>
        <v/>
      </c>
      <c r="D7" s="236" t="n">
        <v>3</v>
      </c>
      <c r="E7" s="234" t="n">
        <v>0</v>
      </c>
      <c r="F7" s="241" t="inlineStr">
        <is>
          <t>Sustainability &amp; the Energy Transition</t>
        </is>
      </c>
      <c r="G7" s="234" t="n">
        <v>1</v>
      </c>
      <c r="H7" s="171" t="inlineStr"/>
      <c r="I7" s="238" t="n">
        <v>46319</v>
      </c>
    </row>
    <row r="8" ht="15.5" customHeight="1">
      <c r="A8" s="229" t="inlineStr">
        <is>
          <t>生物通</t>
        </is>
      </c>
      <c r="B8" s="234" t="n">
        <v>2</v>
      </c>
      <c r="C8" s="235">
        <f>SUMPRODUCT(Stories!$T$4:$T$63,--(Stories!$J$4:$J$63=$A8))</f>
        <v/>
      </c>
      <c r="D8" s="236" t="n">
        <v>4.5</v>
      </c>
      <c r="E8" s="234" t="n">
        <v>2</v>
      </c>
      <c r="F8" s="242" t="inlineStr">
        <is>
          <t>Digital Geotechnics</t>
        </is>
      </c>
      <c r="G8" s="234" t="n">
        <v>2</v>
      </c>
      <c r="H8" s="171" t="inlineStr">
        <is>
          <t>China</t>
        </is>
      </c>
      <c r="I8" s="238" t="n">
        <v>46319</v>
      </c>
    </row>
    <row r="9" ht="15.5" customHeight="1">
      <c r="A9" s="229" t="inlineStr">
        <is>
          <t>:: Foro Coatza ::</t>
        </is>
      </c>
      <c r="B9" s="234" t="n">
        <v>1</v>
      </c>
      <c r="C9" s="235">
        <f>SUMPRODUCT(Stories!$T$4:$T$63,--(Stories!$J$4:$J$63=$A9))</f>
        <v/>
      </c>
      <c r="D9" s="236" t="n">
        <v>3</v>
      </c>
      <c r="E9" s="234" t="n">
        <v>0</v>
      </c>
      <c r="F9" s="239" t="inlineStr">
        <is>
          <t>Offshore, Coasts &amp; Water</t>
        </is>
      </c>
      <c r="G9" s="234" t="n">
        <v>1</v>
      </c>
      <c r="H9" s="171" t="inlineStr">
        <is>
          <t>Argentina</t>
        </is>
      </c>
      <c r="I9" s="238" t="n">
        <v>46319</v>
      </c>
    </row>
    <row r="10" ht="15.5" customHeight="1">
      <c r="A10" s="229" t="inlineStr">
        <is>
          <t>agenzia giornalistica opinione</t>
        </is>
      </c>
      <c r="B10" s="234" t="n">
        <v>1</v>
      </c>
      <c r="C10" s="235">
        <f>SUMPRODUCT(Stories!$T$4:$T$63,--(Stories!$J$4:$J$63=$A10))</f>
        <v/>
      </c>
      <c r="D10" s="236" t="n">
        <v>4</v>
      </c>
      <c r="E10" s="234" t="n">
        <v>1</v>
      </c>
      <c r="F10" s="237" t="inlineStr">
        <is>
          <t>Hazards &amp; Resilience</t>
        </is>
      </c>
      <c r="G10" s="234" t="n">
        <v>1</v>
      </c>
      <c r="H10" s="171" t="inlineStr">
        <is>
          <t>Italy</t>
        </is>
      </c>
      <c r="I10" s="238" t="n">
        <v>46319</v>
      </c>
    </row>
    <row r="11" ht="15.5" customHeight="1">
      <c r="A11" s="229" t="inlineStr">
        <is>
          <t>Baolangson.vn</t>
        </is>
      </c>
      <c r="B11" s="234" t="n">
        <v>1</v>
      </c>
      <c r="C11" s="235">
        <f>SUMPRODUCT(Stories!$T$4:$T$63,--(Stories!$J$4:$J$63=$A11))</f>
        <v/>
      </c>
      <c r="D11" s="236" t="n">
        <v>4</v>
      </c>
      <c r="E11" s="234" t="n">
        <v>1</v>
      </c>
      <c r="F11" s="237" t="inlineStr">
        <is>
          <t>Hazards &amp; Resilience</t>
        </is>
      </c>
      <c r="G11" s="234" t="n">
        <v>1</v>
      </c>
      <c r="H11" s="171" t="inlineStr">
        <is>
          <t>Vietnam</t>
        </is>
      </c>
      <c r="I11" s="238" t="n">
        <v>46319</v>
      </c>
    </row>
    <row r="12" ht="28" customHeight="1">
      <c r="A12" s="229" t="inlineStr">
        <is>
          <t>BioBioChile</t>
        </is>
      </c>
      <c r="B12" s="234" t="n">
        <v>1</v>
      </c>
      <c r="C12" s="235">
        <f>SUMPRODUCT(Stories!$T$4:$T$63,--(Stories!$J$4:$J$63=$A12))</f>
        <v/>
      </c>
      <c r="D12" s="236" t="n">
        <v>4</v>
      </c>
      <c r="E12" s="234" t="n">
        <v>1</v>
      </c>
      <c r="F12" s="240" t="inlineStr">
        <is>
          <t>Infrastructure &amp; the Underground City</t>
        </is>
      </c>
      <c r="G12" s="234" t="n">
        <v>1</v>
      </c>
      <c r="H12" s="171" t="inlineStr">
        <is>
          <t>Colombia</t>
        </is>
      </c>
      <c r="I12" s="238" t="n">
        <v>46319</v>
      </c>
    </row>
    <row r="13" ht="15.5" customHeight="1">
      <c r="A13" s="229" t="inlineStr">
        <is>
          <t>Boyacá 7 Días</t>
        </is>
      </c>
      <c r="B13" s="234" t="n">
        <v>1</v>
      </c>
      <c r="C13" s="235">
        <f>SUMPRODUCT(Stories!$T$4:$T$63,--(Stories!$J$4:$J$63=$A13))</f>
        <v/>
      </c>
      <c r="D13" s="236" t="n">
        <v>3</v>
      </c>
      <c r="E13" s="234" t="n">
        <v>0</v>
      </c>
      <c r="F13" s="243" t="inlineStr">
        <is>
          <t>Geotechnics &amp; Society</t>
        </is>
      </c>
      <c r="G13" s="234" t="n">
        <v>1</v>
      </c>
      <c r="H13" s="171" t="inlineStr">
        <is>
          <t>Colombia</t>
        </is>
      </c>
      <c r="I13" s="238" t="n">
        <v>46319</v>
      </c>
    </row>
    <row r="14" ht="15.5" customHeight="1">
      <c r="A14" s="229" t="inlineStr">
        <is>
          <t>Báo Thanh Niên</t>
        </is>
      </c>
      <c r="B14" s="234" t="n">
        <v>1</v>
      </c>
      <c r="C14" s="235">
        <f>SUMPRODUCT(Stories!$T$4:$T$63,--(Stories!$J$4:$J$63=$A14))</f>
        <v/>
      </c>
      <c r="D14" s="236" t="n">
        <v>4</v>
      </c>
      <c r="E14" s="234" t="n">
        <v>1</v>
      </c>
      <c r="F14" s="237" t="inlineStr">
        <is>
          <t>Hazards &amp; Resilience</t>
        </is>
      </c>
      <c r="G14" s="234" t="n">
        <v>1</v>
      </c>
      <c r="H14" s="171" t="inlineStr">
        <is>
          <t>Vietnam</t>
        </is>
      </c>
      <c r="I14" s="238" t="n">
        <v>46319</v>
      </c>
    </row>
    <row r="15" ht="28" customHeight="1">
      <c r="A15" s="229" t="inlineStr">
        <is>
          <t>Báo và phát thanh, truyền hình Đồng Tháp</t>
        </is>
      </c>
      <c r="B15" s="234" t="n">
        <v>1</v>
      </c>
      <c r="C15" s="235">
        <f>SUMPRODUCT(Stories!$T$4:$T$63,--(Stories!$J$4:$J$63=$A15))</f>
        <v/>
      </c>
      <c r="D15" s="236" t="n">
        <v>4</v>
      </c>
      <c r="E15" s="234" t="n">
        <v>1</v>
      </c>
      <c r="F15" s="237" t="inlineStr">
        <is>
          <t>Hazards &amp; Resilience</t>
        </is>
      </c>
      <c r="G15" s="234" t="n">
        <v>1</v>
      </c>
      <c r="H15" s="171" t="inlineStr">
        <is>
          <t>Vietnam</t>
        </is>
      </c>
      <c r="I15" s="238" t="n">
        <v>46319</v>
      </c>
    </row>
    <row r="16" ht="28" customHeight="1">
      <c r="A16" s="229" t="inlineStr">
        <is>
          <t>Cooperativa</t>
        </is>
      </c>
      <c r="B16" s="234" t="n">
        <v>1</v>
      </c>
      <c r="C16" s="235">
        <f>SUMPRODUCT(Stories!$T$4:$T$63,--(Stories!$J$4:$J$63=$A16))</f>
        <v/>
      </c>
      <c r="D16" s="236" t="n">
        <v>4</v>
      </c>
      <c r="E16" s="234" t="n">
        <v>1</v>
      </c>
      <c r="F16" s="240" t="inlineStr">
        <is>
          <t>Infrastructure &amp; the Underground City</t>
        </is>
      </c>
      <c r="G16" s="234" t="n">
        <v>1</v>
      </c>
      <c r="H16" s="171" t="inlineStr">
        <is>
          <t>Colombia</t>
        </is>
      </c>
      <c r="I16" s="238" t="n">
        <v>46319</v>
      </c>
    </row>
    <row r="17" ht="28" customHeight="1">
      <c r="A17" s="229" t="inlineStr">
        <is>
          <t>Debate</t>
        </is>
      </c>
      <c r="B17" s="234" t="n">
        <v>1</v>
      </c>
      <c r="C17" s="235">
        <f>SUMPRODUCT(Stories!$T$4:$T$63,--(Stories!$J$4:$J$63=$A17))</f>
        <v/>
      </c>
      <c r="D17" s="236" t="n">
        <v>4</v>
      </c>
      <c r="E17" s="234" t="n">
        <v>1</v>
      </c>
      <c r="F17" s="240" t="inlineStr">
        <is>
          <t>Infrastructure &amp; the Underground City</t>
        </is>
      </c>
      <c r="G17" s="234" t="n">
        <v>1</v>
      </c>
      <c r="H17" s="171" t="inlineStr">
        <is>
          <t>Colombia</t>
        </is>
      </c>
      <c r="I17" s="238" t="n">
        <v>46319</v>
      </c>
    </row>
    <row r="18" ht="28" customHeight="1">
      <c r="A18" s="229" t="inlineStr">
        <is>
          <t>Detona, Real News</t>
        </is>
      </c>
      <c r="B18" s="234" t="n">
        <v>1</v>
      </c>
      <c r="C18" s="235">
        <f>SUMPRODUCT(Stories!$T$4:$T$63,--(Stories!$J$4:$J$63=$A18))</f>
        <v/>
      </c>
      <c r="D18" s="236" t="n">
        <v>3</v>
      </c>
      <c r="E18" s="234" t="n">
        <v>0</v>
      </c>
      <c r="F18" s="240" t="inlineStr">
        <is>
          <t>Infrastructure &amp; the Underground City</t>
        </is>
      </c>
      <c r="G18" s="234" t="n">
        <v>1</v>
      </c>
      <c r="H18" s="171" t="inlineStr">
        <is>
          <t>Colombia</t>
        </is>
      </c>
      <c r="I18" s="238" t="n">
        <v>46319</v>
      </c>
    </row>
    <row r="19" ht="28" customHeight="1">
      <c r="A19" s="229" t="inlineStr">
        <is>
          <t>El Litoral | Novedades de Corrientes</t>
        </is>
      </c>
      <c r="B19" s="234" t="n">
        <v>1</v>
      </c>
      <c r="C19" s="235">
        <f>SUMPRODUCT(Stories!$T$4:$T$63,--(Stories!$J$4:$J$63=$A19))</f>
        <v/>
      </c>
      <c r="D19" s="236" t="n">
        <v>3</v>
      </c>
      <c r="E19" s="234" t="n">
        <v>0</v>
      </c>
      <c r="F19" s="239" t="inlineStr">
        <is>
          <t>Offshore, Coasts &amp; Water</t>
        </is>
      </c>
      <c r="G19" s="234" t="n">
        <v>1</v>
      </c>
      <c r="H19" s="171" t="inlineStr">
        <is>
          <t>Argentina</t>
        </is>
      </c>
      <c r="I19" s="238" t="n">
        <v>46319</v>
      </c>
    </row>
    <row r="20" ht="28" customHeight="1">
      <c r="A20" s="229" t="inlineStr">
        <is>
          <t>El Siglo de Torreón</t>
        </is>
      </c>
      <c r="B20" s="234" t="n">
        <v>1</v>
      </c>
      <c r="C20" s="235">
        <f>SUMPRODUCT(Stories!$T$4:$T$63,--(Stories!$J$4:$J$63=$A20))</f>
        <v/>
      </c>
      <c r="D20" s="236" t="n">
        <v>3</v>
      </c>
      <c r="E20" s="234" t="n">
        <v>0</v>
      </c>
      <c r="F20" s="240" t="inlineStr">
        <is>
          <t>Infrastructure &amp; the Underground City</t>
        </is>
      </c>
      <c r="G20" s="234" t="n">
        <v>1</v>
      </c>
      <c r="H20" s="171" t="inlineStr">
        <is>
          <t>Colombia</t>
        </is>
      </c>
      <c r="I20" s="238" t="n">
        <v>46319</v>
      </c>
    </row>
    <row r="21" ht="15.5" customHeight="1">
      <c r="A21" s="229" t="inlineStr">
        <is>
          <t>El Universal</t>
        </is>
      </c>
      <c r="B21" s="234" t="n">
        <v>1</v>
      </c>
      <c r="C21" s="235">
        <f>SUMPRODUCT(Stories!$T$4:$T$63,--(Stories!$J$4:$J$63=$A21))</f>
        <v/>
      </c>
      <c r="D21" s="236" t="n">
        <v>3</v>
      </c>
      <c r="E21" s="234" t="n">
        <v>0</v>
      </c>
      <c r="F21" s="239" t="inlineStr">
        <is>
          <t>Offshore, Coasts &amp; Water</t>
        </is>
      </c>
      <c r="G21" s="234" t="n">
        <v>1</v>
      </c>
      <c r="H21" s="171" t="inlineStr">
        <is>
          <t>Colombia</t>
        </is>
      </c>
      <c r="I21" s="238" t="n">
        <v>46319</v>
      </c>
    </row>
    <row r="22" ht="28" customHeight="1">
      <c r="A22" s="229" t="inlineStr">
        <is>
          <t>El Universo</t>
        </is>
      </c>
      <c r="B22" s="234" t="n">
        <v>1</v>
      </c>
      <c r="C22" s="235">
        <f>SUMPRODUCT(Stories!$T$4:$T$63,--(Stories!$J$4:$J$63=$A22))</f>
        <v/>
      </c>
      <c r="D22" s="236" t="n">
        <v>4</v>
      </c>
      <c r="E22" s="234" t="n">
        <v>1</v>
      </c>
      <c r="F22" s="240" t="inlineStr">
        <is>
          <t>Infrastructure &amp; the Underground City</t>
        </is>
      </c>
      <c r="G22" s="234" t="n">
        <v>1</v>
      </c>
      <c r="H22" s="171" t="inlineStr">
        <is>
          <t>Colombia</t>
        </is>
      </c>
      <c r="I22" s="238" t="n">
        <v>46319</v>
      </c>
    </row>
    <row r="23" ht="15.5" customHeight="1">
      <c r="A23" s="229" t="inlineStr">
        <is>
          <t>Geoengineer.org</t>
        </is>
      </c>
      <c r="B23" s="234" t="n">
        <v>1</v>
      </c>
      <c r="C23" s="235">
        <f>SUMPRODUCT(Stories!$T$4:$T$63,--(Stories!$J$4:$J$63=$A23))</f>
        <v/>
      </c>
      <c r="D23" s="236" t="n">
        <v>5</v>
      </c>
      <c r="E23" s="234" t="n">
        <v>1</v>
      </c>
      <c r="F23" s="244" t="inlineStr">
        <is>
          <t>Ground Improvement &amp; Innovation</t>
        </is>
      </c>
      <c r="G23" s="234" t="n">
        <v>1</v>
      </c>
      <c r="H23" s="171" t="inlineStr">
        <is>
          <t>United States</t>
        </is>
      </c>
      <c r="I23" s="238" t="n">
        <v>46319</v>
      </c>
    </row>
    <row r="24" ht="15.5" customHeight="1">
      <c r="A24" s="229" t="inlineStr">
        <is>
          <t>Il Giornale dei Castelli Romani</t>
        </is>
      </c>
      <c r="B24" s="234" t="n">
        <v>1</v>
      </c>
      <c r="C24" s="235">
        <f>SUMPRODUCT(Stories!$T$4:$T$63,--(Stories!$J$4:$J$63=$A24))</f>
        <v/>
      </c>
      <c r="D24" s="236" t="n">
        <v>4</v>
      </c>
      <c r="E24" s="234" t="n">
        <v>1</v>
      </c>
      <c r="F24" s="237" t="inlineStr">
        <is>
          <t>Hazards &amp; Resilience</t>
        </is>
      </c>
      <c r="G24" s="234" t="n">
        <v>1</v>
      </c>
      <c r="H24" s="171" t="inlineStr">
        <is>
          <t>Italy</t>
        </is>
      </c>
      <c r="I24" s="238" t="n">
        <v>46319</v>
      </c>
    </row>
    <row r="25" ht="15.5" customHeight="1">
      <c r="A25" s="229" t="inlineStr">
        <is>
          <t>Kenh14.vn</t>
        </is>
      </c>
      <c r="B25" s="234" t="n">
        <v>1</v>
      </c>
      <c r="C25" s="235">
        <f>SUMPRODUCT(Stories!$T$4:$T$63,--(Stories!$J$4:$J$63=$A25))</f>
        <v/>
      </c>
      <c r="D25" s="236" t="n">
        <v>4</v>
      </c>
      <c r="E25" s="234" t="n">
        <v>1</v>
      </c>
      <c r="F25" s="237" t="inlineStr">
        <is>
          <t>Hazards &amp; Resilience</t>
        </is>
      </c>
      <c r="G25" s="234" t="n">
        <v>1</v>
      </c>
      <c r="H25" s="171" t="inlineStr">
        <is>
          <t>Vietnam</t>
        </is>
      </c>
      <c r="I25" s="238" t="n">
        <v>46319</v>
      </c>
    </row>
    <row r="26" ht="15.5" customHeight="1">
      <c r="A26" s="229" t="inlineStr">
        <is>
          <t>Meganoticias</t>
        </is>
      </c>
      <c r="B26" s="234" t="n">
        <v>1</v>
      </c>
      <c r="C26" s="235">
        <f>SUMPRODUCT(Stories!$T$4:$T$63,--(Stories!$J$4:$J$63=$A26))</f>
        <v/>
      </c>
      <c r="D26" s="236" t="n">
        <v>4</v>
      </c>
      <c r="E26" s="234" t="n">
        <v>1</v>
      </c>
      <c r="F26" s="237" t="inlineStr">
        <is>
          <t>Hazards &amp; Resilience</t>
        </is>
      </c>
      <c r="G26" s="234" t="n">
        <v>1</v>
      </c>
      <c r="H26" s="171" t="inlineStr">
        <is>
          <t>Chile</t>
        </is>
      </c>
      <c r="I26" s="238" t="n">
        <v>46319</v>
      </c>
    </row>
    <row r="27" ht="28" customHeight="1">
      <c r="A27" s="229" t="inlineStr">
        <is>
          <t>Naver Blog</t>
        </is>
      </c>
      <c r="B27" s="234" t="n">
        <v>1</v>
      </c>
      <c r="C27" s="235">
        <f>SUMPRODUCT(Stories!$T$4:$T$63,--(Stories!$J$4:$J$63=$A27))</f>
        <v/>
      </c>
      <c r="D27" s="236" t="n">
        <v>4</v>
      </c>
      <c r="E27" s="234" t="n">
        <v>1</v>
      </c>
      <c r="F27" s="240" t="inlineStr">
        <is>
          <t>Infrastructure &amp; the Underground City</t>
        </is>
      </c>
      <c r="G27" s="234" t="n">
        <v>1</v>
      </c>
      <c r="H27" s="171" t="inlineStr">
        <is>
          <t>South Korea</t>
        </is>
      </c>
      <c r="I27" s="238" t="n">
        <v>46319</v>
      </c>
    </row>
    <row r="28" ht="15.5" customHeight="1">
      <c r="A28" s="229" t="inlineStr">
        <is>
          <t>Người Đưa Tin</t>
        </is>
      </c>
      <c r="B28" s="234" t="n">
        <v>1</v>
      </c>
      <c r="C28" s="235">
        <f>SUMPRODUCT(Stories!$T$4:$T$63,--(Stories!$J$4:$J$63=$A28))</f>
        <v/>
      </c>
      <c r="D28" s="236" t="n">
        <v>4</v>
      </c>
      <c r="E28" s="234" t="n">
        <v>1</v>
      </c>
      <c r="F28" s="239" t="inlineStr">
        <is>
          <t>Offshore, Coasts &amp; Water</t>
        </is>
      </c>
      <c r="G28" s="234" t="n">
        <v>1</v>
      </c>
      <c r="H28" s="171" t="inlineStr">
        <is>
          <t>Vietnam</t>
        </is>
      </c>
      <c r="I28" s="238" t="n">
        <v>46319</v>
      </c>
    </row>
    <row r="29" ht="28" customHeight="1">
      <c r="A29" s="229" t="inlineStr">
        <is>
          <t>Realidad Sanmartinense</t>
        </is>
      </c>
      <c r="B29" s="234" t="n">
        <v>1</v>
      </c>
      <c r="C29" s="235">
        <f>SUMPRODUCT(Stories!$T$4:$T$63,--(Stories!$J$4:$J$63=$A29))</f>
        <v/>
      </c>
      <c r="D29" s="236" t="n">
        <v>3</v>
      </c>
      <c r="E29" s="234" t="n">
        <v>0</v>
      </c>
      <c r="F29" s="240" t="inlineStr">
        <is>
          <t>Infrastructure &amp; the Underground City</t>
        </is>
      </c>
      <c r="G29" s="234" t="n">
        <v>1</v>
      </c>
      <c r="H29" s="171" t="inlineStr">
        <is>
          <t>Colombia</t>
        </is>
      </c>
      <c r="I29" s="238" t="n">
        <v>46319</v>
      </c>
    </row>
    <row r="30" ht="15.5" customHeight="1">
      <c r="A30" s="229" t="inlineStr">
        <is>
          <t>RRI.co.id</t>
        </is>
      </c>
      <c r="B30" s="234" t="n">
        <v>1</v>
      </c>
      <c r="C30" s="235">
        <f>SUMPRODUCT(Stories!$T$4:$T$63,--(Stories!$J$4:$J$63=$A30))</f>
        <v/>
      </c>
      <c r="D30" s="236" t="n">
        <v>4</v>
      </c>
      <c r="E30" s="234" t="n">
        <v>1</v>
      </c>
      <c r="F30" s="237" t="inlineStr">
        <is>
          <t>Hazards &amp; Resilience</t>
        </is>
      </c>
      <c r="G30" s="234" t="n">
        <v>1</v>
      </c>
      <c r="H30" s="171" t="inlineStr">
        <is>
          <t>Indonesia</t>
        </is>
      </c>
      <c r="I30" s="238" t="n">
        <v>46319</v>
      </c>
    </row>
    <row r="31" ht="15.5" customHeight="1">
      <c r="A31" s="229" t="inlineStr">
        <is>
          <t>Sciencepost</t>
        </is>
      </c>
      <c r="B31" s="234" t="n">
        <v>1</v>
      </c>
      <c r="C31" s="235">
        <f>SUMPRODUCT(Stories!$T$4:$T$63,--(Stories!$J$4:$J$63=$A31))</f>
        <v/>
      </c>
      <c r="D31" s="236" t="n">
        <v>5</v>
      </c>
      <c r="E31" s="234" t="n">
        <v>1</v>
      </c>
      <c r="F31" s="244" t="inlineStr">
        <is>
          <t>Ground Improvement &amp; Innovation</t>
        </is>
      </c>
      <c r="G31" s="234" t="n">
        <v>1</v>
      </c>
      <c r="H31" s="171" t="inlineStr">
        <is>
          <t>Senegal</t>
        </is>
      </c>
      <c r="I31" s="238" t="n">
        <v>46319</v>
      </c>
    </row>
    <row r="32" ht="28" customHeight="1">
      <c r="A32" s="229" t="inlineStr">
        <is>
          <t>Tabasco HOY</t>
        </is>
      </c>
      <c r="B32" s="234" t="n">
        <v>1</v>
      </c>
      <c r="C32" s="235">
        <f>SUMPRODUCT(Stories!$T$4:$T$63,--(Stories!$J$4:$J$63=$A32))</f>
        <v/>
      </c>
      <c r="D32" s="236" t="n">
        <v>3</v>
      </c>
      <c r="E32" s="234" t="n">
        <v>0</v>
      </c>
      <c r="F32" s="240" t="inlineStr">
        <is>
          <t>Infrastructure &amp; the Underground City</t>
        </is>
      </c>
      <c r="G32" s="234" t="n">
        <v>1</v>
      </c>
      <c r="H32" s="171" t="inlineStr">
        <is>
          <t>Colombia</t>
        </is>
      </c>
      <c r="I32" s="238" t="n">
        <v>46319</v>
      </c>
    </row>
    <row r="33" ht="15.5" customHeight="1">
      <c r="A33" s="229" t="inlineStr">
        <is>
          <t>Trade-news.cl</t>
        </is>
      </c>
      <c r="B33" s="234" t="n">
        <v>1</v>
      </c>
      <c r="C33" s="235">
        <f>SUMPRODUCT(Stories!$T$4:$T$63,--(Stories!$J$4:$J$63=$A33))</f>
        <v/>
      </c>
      <c r="D33" s="236" t="n">
        <v>3</v>
      </c>
      <c r="E33" s="234" t="n">
        <v>0</v>
      </c>
      <c r="F33" s="245" t="inlineStr">
        <is>
          <t>Characterisation &amp; Modelling</t>
        </is>
      </c>
      <c r="G33" s="234" t="n">
        <v>1</v>
      </c>
      <c r="H33" s="171" t="inlineStr">
        <is>
          <t>Peru</t>
        </is>
      </c>
      <c r="I33" s="238" t="n">
        <v>46319</v>
      </c>
    </row>
    <row r="34" ht="15.5" customHeight="1">
      <c r="A34" s="229" t="inlineStr">
        <is>
          <t>Tv7 Benevento</t>
        </is>
      </c>
      <c r="B34" s="234" t="n">
        <v>1</v>
      </c>
      <c r="C34" s="235">
        <f>SUMPRODUCT(Stories!$T$4:$T$63,--(Stories!$J$4:$J$63=$A34))</f>
        <v/>
      </c>
      <c r="D34" s="236" t="n">
        <v>4</v>
      </c>
      <c r="E34" s="234" t="n">
        <v>1</v>
      </c>
      <c r="F34" s="237" t="inlineStr">
        <is>
          <t>Hazards &amp; Resilience</t>
        </is>
      </c>
      <c r="G34" s="234" t="n">
        <v>1</v>
      </c>
      <c r="H34" s="171" t="inlineStr">
        <is>
          <t>Italy</t>
        </is>
      </c>
      <c r="I34" s="238" t="n">
        <v>46319</v>
      </c>
    </row>
    <row r="35" ht="15.5" customHeight="1">
      <c r="A35" s="229" t="inlineStr">
        <is>
          <t>VnExpress International</t>
        </is>
      </c>
      <c r="B35" s="234" t="n">
        <v>1</v>
      </c>
      <c r="C35" s="235">
        <f>SUMPRODUCT(Stories!$T$4:$T$63,--(Stories!$J$4:$J$63=$A35))</f>
        <v/>
      </c>
      <c r="D35" s="236" t="n">
        <v>4</v>
      </c>
      <c r="E35" s="234" t="n">
        <v>1</v>
      </c>
      <c r="F35" s="245" t="inlineStr">
        <is>
          <t>Characterisation &amp; Modelling</t>
        </is>
      </c>
      <c r="G35" s="234" t="n">
        <v>1</v>
      </c>
      <c r="H35" s="171" t="inlineStr">
        <is>
          <t>United Kingdom</t>
        </is>
      </c>
      <c r="I35" s="238" t="n">
        <v>46319</v>
      </c>
    </row>
    <row r="36" ht="28" customHeight="1">
      <c r="A36" s="229" t="inlineStr">
        <is>
          <t>VOH</t>
        </is>
      </c>
      <c r="B36" s="234" t="n">
        <v>1</v>
      </c>
      <c r="C36" s="235">
        <f>SUMPRODUCT(Stories!$T$4:$T$63,--(Stories!$J$4:$J$63=$A36))</f>
        <v/>
      </c>
      <c r="D36" s="236" t="n">
        <v>4</v>
      </c>
      <c r="E36" s="234" t="n">
        <v>1</v>
      </c>
      <c r="F36" s="240" t="inlineStr">
        <is>
          <t>Infrastructure &amp; the Underground City</t>
        </is>
      </c>
      <c r="G36" s="234" t="n">
        <v>1</v>
      </c>
      <c r="H36" s="171" t="inlineStr">
        <is>
          <t>Vietnam</t>
        </is>
      </c>
      <c r="I36" s="238" t="n">
        <v>46319</v>
      </c>
    </row>
    <row r="37" ht="15.5" customHeight="1">
      <c r="A37" s="229" t="inlineStr">
        <is>
          <t>VTV.vn</t>
        </is>
      </c>
      <c r="B37" s="234" t="n">
        <v>1</v>
      </c>
      <c r="C37" s="235">
        <f>SUMPRODUCT(Stories!$T$4:$T$63,--(Stories!$J$4:$J$63=$A37))</f>
        <v/>
      </c>
      <c r="D37" s="236" t="n">
        <v>4</v>
      </c>
      <c r="E37" s="234" t="n">
        <v>1</v>
      </c>
      <c r="F37" s="239" t="inlineStr">
        <is>
          <t>Offshore, Coasts &amp; Water</t>
        </is>
      </c>
      <c r="G37" s="234" t="n">
        <v>1</v>
      </c>
      <c r="H37" s="171" t="inlineStr">
        <is>
          <t>Vietnam</t>
        </is>
      </c>
      <c r="I37" s="238" t="n">
        <v>46319</v>
      </c>
    </row>
    <row r="38" ht="15.5" customHeight="1">
      <c r="A38" s="229" t="inlineStr">
        <is>
          <t>www.noroeste.com.mx</t>
        </is>
      </c>
      <c r="B38" s="234" t="n">
        <v>1</v>
      </c>
      <c r="C38" s="235">
        <f>SUMPRODUCT(Stories!$T$4:$T$63,--(Stories!$J$4:$J$63=$A38))</f>
        <v/>
      </c>
      <c r="D38" s="236" t="n">
        <v>4</v>
      </c>
      <c r="E38" s="234" t="n">
        <v>1</v>
      </c>
      <c r="F38" s="243" t="inlineStr">
        <is>
          <t>Geotechnics &amp; Society</t>
        </is>
      </c>
      <c r="G38" s="234" t="n">
        <v>1</v>
      </c>
      <c r="H38" s="171" t="inlineStr">
        <is>
          <t>Colombia</t>
        </is>
      </c>
      <c r="I38" s="238" t="n">
        <v>46319</v>
      </c>
    </row>
    <row r="39" ht="15.5" customHeight="1">
      <c r="A39" s="229" t="inlineStr">
        <is>
          <t>Zazoom Social News</t>
        </is>
      </c>
      <c r="B39" s="234" t="n">
        <v>1</v>
      </c>
      <c r="C39" s="235">
        <f>SUMPRODUCT(Stories!$T$4:$T$63,--(Stories!$J$4:$J$63=$A39))</f>
        <v/>
      </c>
      <c r="D39" s="236" t="n">
        <v>4</v>
      </c>
      <c r="E39" s="234" t="n">
        <v>1</v>
      </c>
      <c r="F39" s="237" t="inlineStr">
        <is>
          <t>Hazards &amp; Resilience</t>
        </is>
      </c>
      <c r="G39" s="234" t="n">
        <v>1</v>
      </c>
      <c r="H39" s="171" t="inlineStr">
        <is>
          <t>Italy</t>
        </is>
      </c>
      <c r="I39" s="238" t="n">
        <v>46319</v>
      </c>
    </row>
    <row r="40" ht="28" customHeight="1">
      <c r="A40" s="229" t="inlineStr">
        <is>
          <t>Крыминформ</t>
        </is>
      </c>
      <c r="B40" s="234" t="n">
        <v>1</v>
      </c>
      <c r="C40" s="235">
        <f>SUMPRODUCT(Stories!$T$4:$T$63,--(Stories!$J$4:$J$63=$A40))</f>
        <v/>
      </c>
      <c r="D40" s="236" t="n">
        <v>4</v>
      </c>
      <c r="E40" s="234" t="n">
        <v>1</v>
      </c>
      <c r="F40" s="240" t="inlineStr">
        <is>
          <t>Infrastructure &amp; the Underground City</t>
        </is>
      </c>
      <c r="G40" s="234" t="n">
        <v>1</v>
      </c>
      <c r="H40" s="171" t="inlineStr">
        <is>
          <t>Russia</t>
        </is>
      </c>
      <c r="I40" s="238" t="n">
        <v>46319</v>
      </c>
    </row>
    <row r="41" ht="28" customHeight="1">
      <c r="A41" s="229" t="inlineStr">
        <is>
          <t>Самарская газета</t>
        </is>
      </c>
      <c r="B41" s="234" t="n">
        <v>1</v>
      </c>
      <c r="C41" s="235">
        <f>SUMPRODUCT(Stories!$T$4:$T$63,--(Stories!$J$4:$J$63=$A41))</f>
        <v/>
      </c>
      <c r="D41" s="236" t="n">
        <v>3</v>
      </c>
      <c r="E41" s="234" t="n">
        <v>0</v>
      </c>
      <c r="F41" s="240" t="inlineStr">
        <is>
          <t>Infrastructure &amp; the Underground City</t>
        </is>
      </c>
      <c r="G41" s="234" t="n">
        <v>1</v>
      </c>
      <c r="H41" s="171" t="inlineStr">
        <is>
          <t>Russia</t>
        </is>
      </c>
      <c r="I41" s="238" t="n">
        <v>46319</v>
      </c>
    </row>
    <row r="42" ht="28" customHeight="1">
      <c r="A42" s="229" t="inlineStr">
        <is>
          <t>아시아경제</t>
        </is>
      </c>
      <c r="B42" s="234" t="n">
        <v>1</v>
      </c>
      <c r="C42" s="235">
        <f>SUMPRODUCT(Stories!$T$4:$T$63,--(Stories!$J$4:$J$63=$A42))</f>
        <v/>
      </c>
      <c r="D42" s="236" t="n">
        <v>4</v>
      </c>
      <c r="E42" s="234" t="n">
        <v>1</v>
      </c>
      <c r="F42" s="240" t="inlineStr">
        <is>
          <t>Infrastructure &amp; the Underground City</t>
        </is>
      </c>
      <c r="G42" s="234" t="n">
        <v>1</v>
      </c>
      <c r="H42" s="171" t="inlineStr">
        <is>
          <t>United Kingdom</t>
        </is>
      </c>
      <c r="I42" s="238" t="n">
        <v>46319</v>
      </c>
    </row>
    <row r="43" ht="28" customHeight="1">
      <c r="A43" s="229" t="inlineStr">
        <is>
          <t>아주경제</t>
        </is>
      </c>
      <c r="B43" s="234" t="n">
        <v>1</v>
      </c>
      <c r="C43" s="235">
        <f>SUMPRODUCT(Stories!$T$4:$T$63,--(Stories!$J$4:$J$63=$A43))</f>
        <v/>
      </c>
      <c r="D43" s="236" t="n">
        <v>4</v>
      </c>
      <c r="E43" s="234" t="n">
        <v>1</v>
      </c>
      <c r="F43" s="240" t="inlineStr">
        <is>
          <t>Infrastructure &amp; the Underground City</t>
        </is>
      </c>
      <c r="G43" s="234" t="n">
        <v>1</v>
      </c>
      <c r="H43" s="171" t="inlineStr">
        <is>
          <t>South Korea</t>
        </is>
      </c>
      <c r="I43" s="238" t="n">
        <v>46319</v>
      </c>
    </row>
    <row r="44" ht="28" customHeight="1">
      <c r="A44" s="229" t="inlineStr">
        <is>
          <t>충청신문</t>
        </is>
      </c>
      <c r="B44" s="234" t="n">
        <v>1</v>
      </c>
      <c r="C44" s="235">
        <f>SUMPRODUCT(Stories!$T$4:$T$63,--(Stories!$J$4:$J$63=$A44))</f>
        <v/>
      </c>
      <c r="D44" s="236" t="n">
        <v>5</v>
      </c>
      <c r="E44" s="234" t="n">
        <v>1</v>
      </c>
      <c r="F44" s="240" t="inlineStr">
        <is>
          <t>Infrastructure &amp; the Underground City</t>
        </is>
      </c>
      <c r="G44" s="234" t="n">
        <v>1</v>
      </c>
      <c r="H44" s="171" t="inlineStr">
        <is>
          <t>South Korea</t>
        </is>
      </c>
      <c r="I44" s="238"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46" t="inlineStr">
        <is>
          <t>Theme selector</t>
        </is>
      </c>
      <c r="B1" s="246" t="inlineStr">
        <is>
          <t>Use selector</t>
        </is>
      </c>
      <c r="C1" s="246" t="inlineStr">
        <is>
          <t>Relevance selector</t>
        </is>
      </c>
      <c r="D1" s="246" t="inlineStr">
        <is>
          <t>Window selector</t>
        </is>
      </c>
      <c r="E1" s="246" t="inlineStr">
        <is>
          <t>Status</t>
        </is>
      </c>
      <c r="G1" s="246" t="inlineStr">
        <is>
          <t>Setting</t>
        </is>
      </c>
      <c r="H1" s="246" t="inlineStr">
        <is>
          <t>Value</t>
        </is>
      </c>
      <c r="J1" s="246" t="inlineStr">
        <is>
          <t>Digest date</t>
        </is>
      </c>
      <c r="K1" s="246" t="inlineStr">
        <is>
          <t>Stories in the selection</t>
        </is>
      </c>
      <c r="M1" s="246" t="inlineStr">
        <is>
          <t>Rank</t>
        </is>
      </c>
      <c r="N1" s="246" t="inlineStr">
        <is>
          <t>Key</t>
        </is>
      </c>
      <c r="O1" s="246" t="inlineStr">
        <is>
          <t>Row in Stories</t>
        </is>
      </c>
      <c r="P1" s="246" t="inlineStr">
        <is>
          <t>Article URL</t>
        </is>
      </c>
      <c r="Q1" s="246" t="inlineStr">
        <is>
          <t>Headline shown</t>
        </is>
      </c>
    </row>
    <row r="2">
      <c r="A2" s="247" t="inlineStr">
        <is>
          <t>All themes</t>
        </is>
      </c>
      <c r="B2" s="247" t="inlineStr">
        <is>
          <t>All uses</t>
        </is>
      </c>
      <c r="C2" s="247" t="inlineStr">
        <is>
          <t>Any</t>
        </is>
      </c>
      <c r="D2" s="247" t="inlineStr">
        <is>
          <t>All windows</t>
        </is>
      </c>
      <c r="E2" s="247" t="inlineStr">
        <is>
          <t>To review</t>
        </is>
      </c>
      <c r="G2" s="247" t="inlineStr">
        <is>
          <t>Minimum relevance (number)</t>
        </is>
      </c>
      <c r="H2" s="247">
        <f>IF(ISNUMBER(Dashboard!$K$5),Dashboard!$K$5,IFERROR(VALUE(Dashboard!$K$5),0))</f>
        <v/>
      </c>
      <c r="J2" s="248" t="n">
        <v>46319</v>
      </c>
      <c r="K2" s="247">
        <f>COUNTIFS(Stories!$T$4:$T$63,1,Stories!$K$4:$K$63,J2)</f>
        <v/>
      </c>
      <c r="M2" s="247" t="n">
        <v>1</v>
      </c>
      <c r="N2" s="249">
        <f>IFERROR(LARGE(Stories!$U$4:$U$63,M2),"")</f>
        <v/>
      </c>
      <c r="O2" s="247">
        <f>IF(N2="","",MATCH(N2,Stories!$U$4:$U$63,0))</f>
        <v/>
      </c>
      <c r="P2" s="247">
        <f>IF(O2="","",INDEX(Stories!$S$4:$S$63,O2)&amp;"")</f>
        <v/>
      </c>
      <c r="Q2" s="247">
        <f>IF(O2="","",IF(LEN(INDEX(Stories!$B$4:$B$63,O2))&gt;120,LEFT(INDEX(Stories!$B$4:$B$63,O2),118)&amp;"…",INDEX(Stories!$B$4:$B$63,O2)&amp;""))</f>
        <v/>
      </c>
    </row>
    <row r="3">
      <c r="A3" s="247" t="inlineStr">
        <is>
          <t>Sustainability &amp; the Energy Transition</t>
        </is>
      </c>
      <c r="B3" s="247" t="inlineStr">
        <is>
          <t>Feature lead</t>
        </is>
      </c>
      <c r="C3" s="247" t="n">
        <v>3</v>
      </c>
      <c r="D3" s="247" t="inlineStr">
        <is>
          <t>2026-Q4</t>
        </is>
      </c>
      <c r="E3" s="247" t="inlineStr">
        <is>
          <t>Shortlisted</t>
        </is>
      </c>
      <c r="G3" s="247" t="inlineStr">
        <is>
          <t>Daily digests in this workbook</t>
        </is>
      </c>
      <c r="H3" s="247" t="n">
        <v>1</v>
      </c>
      <c r="M3" s="247" t="n">
        <v>2</v>
      </c>
      <c r="N3" s="249">
        <f>IFERROR(LARGE(Stories!$U$4:$U$63,M3),"")</f>
        <v/>
      </c>
      <c r="O3" s="247">
        <f>IF(N3="","",MATCH(N3,Stories!$U$4:$U$63,0))</f>
        <v/>
      </c>
      <c r="P3" s="247">
        <f>IF(O3="","",INDEX(Stories!$S$4:$S$63,O3)&amp;"")</f>
        <v/>
      </c>
      <c r="Q3" s="247">
        <f>IF(O3="","",IF(LEN(INDEX(Stories!$B$4:$B$63,O3))&gt;120,LEFT(INDEX(Stories!$B$4:$B$63,O3),118)&amp;"…",INDEX(Stories!$B$4:$B$63,O3)&amp;""))</f>
        <v/>
      </c>
    </row>
    <row r="4">
      <c r="A4" s="247" t="inlineStr">
        <is>
          <t>Digital Geotechnics</t>
        </is>
      </c>
      <c r="B4" s="247" t="inlineStr">
        <is>
          <t>News brief</t>
        </is>
      </c>
      <c r="C4" s="247" t="n">
        <v>4</v>
      </c>
      <c r="E4" s="247" t="inlineStr">
        <is>
          <t>Commissioned</t>
        </is>
      </c>
      <c r="G4" s="247" t="inlineStr">
        <is>
          <t>Stories in this workbook</t>
        </is>
      </c>
      <c r="H4" s="247" t="n">
        <v>60</v>
      </c>
      <c r="M4" s="247" t="n">
        <v>3</v>
      </c>
      <c r="N4" s="249">
        <f>IFERROR(LARGE(Stories!$U$4:$U$63,M4),"")</f>
        <v/>
      </c>
      <c r="O4" s="247">
        <f>IF(N4="","",MATCH(N4,Stories!$U$4:$U$63,0))</f>
        <v/>
      </c>
      <c r="P4" s="247">
        <f>IF(O4="","",INDEX(Stories!$S$4:$S$63,O4)&amp;"")</f>
        <v/>
      </c>
      <c r="Q4" s="247">
        <f>IF(O4="","",IF(LEN(INDEX(Stories!$B$4:$B$63,O4))&gt;120,LEFT(INDEX(Stories!$B$4:$B$63,O4),118)&amp;"…",INDEX(Stories!$B$4:$B$63,O4)&amp;""))</f>
        <v/>
      </c>
    </row>
    <row r="5">
      <c r="A5" s="247" t="inlineStr">
        <is>
          <t>Hazards &amp; Resilience</t>
        </is>
      </c>
      <c r="B5" s="247" t="inlineStr">
        <is>
          <t>Academia-to-Industry topic</t>
        </is>
      </c>
      <c r="C5" s="247" t="n">
        <v>5</v>
      </c>
      <c r="E5" s="247" t="inlineStr">
        <is>
          <t>Published</t>
        </is>
      </c>
      <c r="G5" s="247" t="inlineStr">
        <is>
          <t>No selector set</t>
        </is>
      </c>
      <c r="H5" s="247">
        <f>AND(OR(Dashboard!$B$5="All themes",Dashboard!$B$5=""),OR(Dashboard!$G$5="All uses",Dashboard!$G$5=""),$H$2=0,OR(Dashboard!$N$5="All windows",Dashboard!$N$5=""))</f>
        <v/>
      </c>
      <c r="M5" s="247" t="n">
        <v>4</v>
      </c>
      <c r="N5" s="249">
        <f>IFERROR(LARGE(Stories!$U$4:$U$63,M5),"")</f>
        <v/>
      </c>
      <c r="O5" s="247">
        <f>IF(N5="","",MATCH(N5,Stories!$U$4:$U$63,0))</f>
        <v/>
      </c>
      <c r="P5" s="247">
        <f>IF(O5="","",INDEX(Stories!$S$4:$S$63,O5)&amp;"")</f>
        <v/>
      </c>
      <c r="Q5" s="247">
        <f>IF(O5="","",IF(LEN(INDEX(Stories!$B$4:$B$63,O5))&gt;120,LEFT(INDEX(Stories!$B$4:$B$63,O5),118)&amp;"…",INDEX(Stories!$B$4:$B$63,O5)&amp;""))</f>
        <v/>
      </c>
    </row>
    <row r="6">
      <c r="A6" s="247" t="inlineStr">
        <is>
          <t>Ground Improvement &amp; Innovation</t>
        </is>
      </c>
      <c r="B6" s="247" t="inlineStr">
        <is>
          <t>Regional insight</t>
        </is>
      </c>
      <c r="E6" s="247" t="inlineStr">
        <is>
          <t>Not used</t>
        </is>
      </c>
      <c r="G6" s="247" t="inlineStr">
        <is>
          <t>Stories in the selection</t>
        </is>
      </c>
      <c r="H6" s="247">
        <f>COUNTIF(Stories!$T$4:$T$63,1)</f>
        <v/>
      </c>
      <c r="M6" s="247" t="n">
        <v>5</v>
      </c>
      <c r="N6" s="249">
        <f>IFERROR(LARGE(Stories!$U$4:$U$63,M6),"")</f>
        <v/>
      </c>
      <c r="O6" s="247">
        <f>IF(N6="","",MATCH(N6,Stories!$U$4:$U$63,0))</f>
        <v/>
      </c>
      <c r="P6" s="247">
        <f>IF(O6="","",INDEX(Stories!$S$4:$S$63,O6)&amp;"")</f>
        <v/>
      </c>
      <c r="Q6" s="247">
        <f>IF(O6="","",IF(LEN(INDEX(Stories!$B$4:$B$63,O6))&gt;120,LEFT(INDEX(Stories!$B$4:$B$63,O6),118)&amp;"…",INDEX(Stories!$B$4:$B$63,O6)&amp;""))</f>
        <v/>
      </c>
    </row>
    <row r="7">
      <c r="A7" s="247" t="inlineStr">
        <is>
          <t>Infrastructure &amp; the Underground City</t>
        </is>
      </c>
      <c r="B7" s="247" t="inlineStr">
        <is>
          <t>Watch only</t>
        </is>
      </c>
      <c r="M7" s="247" t="n">
        <v>6</v>
      </c>
      <c r="N7" s="249">
        <f>IFERROR(LARGE(Stories!$U$4:$U$63,M7),"")</f>
        <v/>
      </c>
      <c r="O7" s="247">
        <f>IF(N7="","",MATCH(N7,Stories!$U$4:$U$63,0))</f>
        <v/>
      </c>
      <c r="P7" s="247">
        <f>IF(O7="","",INDEX(Stories!$S$4:$S$63,O7)&amp;"")</f>
        <v/>
      </c>
      <c r="Q7" s="247">
        <f>IF(O7="","",IF(LEN(INDEX(Stories!$B$4:$B$63,O7))&gt;120,LEFT(INDEX(Stories!$B$4:$B$63,O7),118)&amp;"…",INDEX(Stories!$B$4:$B$63,O7)&amp;""))</f>
        <v/>
      </c>
    </row>
    <row r="8">
      <c r="A8" s="247" t="inlineStr">
        <is>
          <t>Offshore, Coasts &amp; Water</t>
        </is>
      </c>
      <c r="M8" s="247" t="n">
        <v>7</v>
      </c>
      <c r="N8" s="249">
        <f>IFERROR(LARGE(Stories!$U$4:$U$63,M8),"")</f>
        <v/>
      </c>
      <c r="O8" s="247">
        <f>IF(N8="","",MATCH(N8,Stories!$U$4:$U$63,0))</f>
        <v/>
      </c>
      <c r="P8" s="247">
        <f>IF(O8="","",INDEX(Stories!$S$4:$S$63,O8)&amp;"")</f>
        <v/>
      </c>
      <c r="Q8" s="247">
        <f>IF(O8="","",IF(LEN(INDEX(Stories!$B$4:$B$63,O8))&gt;120,LEFT(INDEX(Stories!$B$4:$B$63,O8),118)&amp;"…",INDEX(Stories!$B$4:$B$63,O8)&amp;""))</f>
        <v/>
      </c>
    </row>
    <row r="9">
      <c r="A9" s="247" t="inlineStr">
        <is>
          <t>Characterisation &amp; Modelling</t>
        </is>
      </c>
      <c r="M9" s="247" t="n">
        <v>8</v>
      </c>
      <c r="N9" s="249">
        <f>IFERROR(LARGE(Stories!$U$4:$U$63,M9),"")</f>
        <v/>
      </c>
      <c r="O9" s="247">
        <f>IF(N9="","",MATCH(N9,Stories!$U$4:$U$63,0))</f>
        <v/>
      </c>
      <c r="P9" s="247">
        <f>IF(O9="","",INDEX(Stories!$S$4:$S$63,O9)&amp;"")</f>
        <v/>
      </c>
      <c r="Q9" s="247">
        <f>IF(O9="","",IF(LEN(INDEX(Stories!$B$4:$B$63,O9))&gt;120,LEFT(INDEX(Stories!$B$4:$B$63,O9),118)&amp;"…",INDEX(Stories!$B$4:$B$63,O9)&amp;""))</f>
        <v/>
      </c>
    </row>
    <row r="10">
      <c r="A10" s="247" t="inlineStr">
        <is>
          <t>Geotechnics &amp; Society</t>
        </is>
      </c>
      <c r="M10" s="247" t="n">
        <v>9</v>
      </c>
      <c r="N10" s="249">
        <f>IFERROR(LARGE(Stories!$U$4:$U$63,M10),"")</f>
        <v/>
      </c>
      <c r="O10" s="247">
        <f>IF(N10="","",MATCH(N10,Stories!$U$4:$U$63,0))</f>
        <v/>
      </c>
      <c r="P10" s="247">
        <f>IF(O10="","",INDEX(Stories!$S$4:$S$63,O10)&amp;"")</f>
        <v/>
      </c>
      <c r="Q10" s="247">
        <f>IF(O10="","",IF(LEN(INDEX(Stories!$B$4:$B$63,O10))&gt;120,LEFT(INDEX(Stories!$B$4:$B$63,O10),118)&amp;"…",INDEX(Stories!$B$4:$B$63,O10)&amp;""))</f>
        <v/>
      </c>
    </row>
    <row r="11">
      <c r="A11" s="247" t="inlineStr">
        <is>
          <t>General</t>
        </is>
      </c>
      <c r="M11" s="247" t="n">
        <v>10</v>
      </c>
      <c r="N11" s="249">
        <f>IFERROR(LARGE(Stories!$U$4:$U$63,M11),"")</f>
        <v/>
      </c>
      <c r="O11" s="247">
        <f>IF(N11="","",MATCH(N11,Stories!$U$4:$U$63,0))</f>
        <v/>
      </c>
      <c r="P11" s="247">
        <f>IF(O11="","",INDEX(Stories!$S$4:$S$63,O11)&amp;"")</f>
        <v/>
      </c>
      <c r="Q11" s="247">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2026-10-24T20:19:53Z</dcterms:created>
  <dcterms:modified xmlns:dcterms="http://purl.org/dc/terms/" xmlns:xsi="http://www.w3.org/2001/XMLSchema-instance" xsi:type="dcterms:W3CDTF">2026-10-24T20:19:53Z</dcterms:modified>
</cp:coreProperties>
</file>